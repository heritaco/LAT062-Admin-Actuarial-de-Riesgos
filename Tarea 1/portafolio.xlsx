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conde/Desktop/VSCODE/Uni/AARF/01 Introducción y Riesgo de Mercado/"/>
    </mc:Choice>
  </mc:AlternateContent>
  <xr:revisionPtr revIDLastSave="0" documentId="8_{C39A8171-4CD1-9D4F-B636-96C790267658}" xr6:coauthVersionLast="47" xr6:coauthVersionMax="47" xr10:uidLastSave="{00000000-0000-0000-0000-000000000000}"/>
  <bookViews>
    <workbookView xWindow="0" yWindow="780" windowWidth="34200" windowHeight="21460" activeTab="7" xr2:uid="{A47C5708-B320-414B-88CD-0540D6E147D7}"/>
  </bookViews>
  <sheets>
    <sheet name="Acciones" sheetId="1" r:id="rId1"/>
    <sheet name="Rendimientos" sheetId="2" r:id="rId2"/>
    <sheet name="Estadísticas Descriptivas" sheetId="3" r:id="rId3"/>
    <sheet name="Portafolio" sheetId="7" r:id="rId4"/>
    <sheet name="VAR HIST" sheetId="8" r:id="rId5"/>
    <sheet name="VAR SM" sheetId="9" r:id="rId6"/>
    <sheet name="VAR PARAMETRICO" sheetId="10" r:id="rId7"/>
    <sheet name="Resumen VaR" sheetId="12" r:id="rId8"/>
  </sheets>
  <definedNames>
    <definedName name="_xlnm._FilterDatabase" localSheetId="4" hidden="1">'VAR HIST'!$A$1:$B$1</definedName>
    <definedName name="_xlnm._FilterDatabase" localSheetId="5" hidden="1">'VAR SM'!$V$4:$V$753</definedName>
    <definedName name="_xlchart.v1.0" hidden="1">Acciones!$A$2:$A$751</definedName>
    <definedName name="_xlchart.v1.1" hidden="1">Acciones!$B$1</definedName>
    <definedName name="_xlchart.v1.10" hidden="1">Rendimientos!$E$2:$E$750</definedName>
    <definedName name="_xlchart.v1.11" hidden="1">Rendimientos!$E$1</definedName>
    <definedName name="_xlchart.v1.12" hidden="1">Rendimientos!$E$2:$E$750</definedName>
    <definedName name="_xlchart.v1.13" hidden="1">Rendimientos!$C$1</definedName>
    <definedName name="_xlchart.v1.14" hidden="1">Rendimientos!$C$2:$C$750</definedName>
    <definedName name="_xlchart.v1.15" hidden="1">Rendimientos!$B$1</definedName>
    <definedName name="_xlchart.v1.16" hidden="1">Rendimientos!$B$2:$B$750</definedName>
    <definedName name="_xlchart.v1.17" hidden="1">Rendimientos!$B$2:$B$751</definedName>
    <definedName name="_xlchart.v1.18" hidden="1">Rendimientos!$C$1</definedName>
    <definedName name="_xlchart.v1.19" hidden="1">Rendimientos!$C$2:$C$751</definedName>
    <definedName name="_xlchart.v1.2" hidden="1">Acciones!$B$2:$B$751</definedName>
    <definedName name="_xlchart.v1.20" hidden="1">Rendimientos!$D$1</definedName>
    <definedName name="_xlchart.v1.21" hidden="1">Rendimientos!$D$2:$D$751</definedName>
    <definedName name="_xlchart.v1.22" hidden="1">Rendimientos!$E$1</definedName>
    <definedName name="_xlchart.v1.23" hidden="1">Rendimientos!$E$2:$E$751</definedName>
    <definedName name="_xlchart.v1.24" hidden="1">Rendimientos!$B$2:$B$751</definedName>
    <definedName name="_xlchart.v1.25" hidden="1">Rendimientos!$C$1</definedName>
    <definedName name="_xlchart.v1.26" hidden="1">Rendimientos!$C$2:$C$751</definedName>
    <definedName name="_xlchart.v1.27" hidden="1">Rendimientos!$D$1</definedName>
    <definedName name="_xlchart.v1.28" hidden="1">Rendimientos!$D$2:$D$751</definedName>
    <definedName name="_xlchart.v1.29" hidden="1">Rendimientos!$E$1</definedName>
    <definedName name="_xlchart.v1.3" hidden="1">Acciones!$C$1</definedName>
    <definedName name="_xlchart.v1.30" hidden="1">Rendimientos!$E$2:$E$751</definedName>
    <definedName name="_xlchart.v1.31" hidden="1">Rendimientos!$B$2:$B$751</definedName>
    <definedName name="_xlchart.v1.32" hidden="1">Rendimientos!$C$1</definedName>
    <definedName name="_xlchart.v1.33" hidden="1">Rendimientos!$C$2:$C$751</definedName>
    <definedName name="_xlchart.v1.34" hidden="1">Rendimientos!$D$1</definedName>
    <definedName name="_xlchart.v1.35" hidden="1">Rendimientos!$D$2:$D$751</definedName>
    <definedName name="_xlchart.v1.36" hidden="1">Rendimientos!$E$1</definedName>
    <definedName name="_xlchart.v1.37" hidden="1">Rendimientos!$E$2:$E$751</definedName>
    <definedName name="_xlchart.v1.38" hidden="1">Rendimientos!$B$2:$B$751</definedName>
    <definedName name="_xlchart.v1.39" hidden="1">Rendimientos!$C$1</definedName>
    <definedName name="_xlchart.v1.4" hidden="1">Acciones!$C$2:$C$751</definedName>
    <definedName name="_xlchart.v1.40" hidden="1">Rendimientos!$C$2:$C$751</definedName>
    <definedName name="_xlchart.v1.41" hidden="1">Rendimientos!$D$1</definedName>
    <definedName name="_xlchart.v1.42" hidden="1">Rendimientos!$D$2:$D$751</definedName>
    <definedName name="_xlchart.v1.43" hidden="1">Rendimientos!$E$1</definedName>
    <definedName name="_xlchart.v1.44" hidden="1">Rendimientos!$E$2:$E$751</definedName>
    <definedName name="_xlchart.v1.45" hidden="1">Rendimientos!$D$1</definedName>
    <definedName name="_xlchart.v1.46" hidden="1">Rendimientos!$D$2:$D$750</definedName>
    <definedName name="_xlchart.v1.47" hidden="1">Rendimientos!$B$2:$B$751</definedName>
    <definedName name="_xlchart.v1.48" hidden="1">Rendimientos!$C$1</definedName>
    <definedName name="_xlchart.v1.49" hidden="1">Rendimientos!$C$2:$C$751</definedName>
    <definedName name="_xlchart.v1.5" hidden="1">Acciones!$D$1</definedName>
    <definedName name="_xlchart.v1.50" hidden="1">Rendimientos!$D$1</definedName>
    <definedName name="_xlchart.v1.51" hidden="1">Rendimientos!$D$2:$D$751</definedName>
    <definedName name="_xlchart.v1.52" hidden="1">Rendimientos!$E$1</definedName>
    <definedName name="_xlchart.v1.53" hidden="1">Rendimientos!$E$2:$E$751</definedName>
    <definedName name="_xlchart.v1.54" hidden="1">Rendimientos!$D$1</definedName>
    <definedName name="_xlchart.v1.55" hidden="1">Rendimientos!$D$2:$D$750</definedName>
    <definedName name="_xlchart.v1.56" hidden="1">Rendimientos!$C$1</definedName>
    <definedName name="_xlchart.v1.57" hidden="1">Rendimientos!$C$2:$C$750</definedName>
    <definedName name="_xlchart.v1.58" hidden="1">Rendimientos!$E$1</definedName>
    <definedName name="_xlchart.v1.59" hidden="1">Rendimientos!$E$2:$E$750</definedName>
    <definedName name="_xlchart.v1.6" hidden="1">Acciones!$D$2:$D$751</definedName>
    <definedName name="_xlchart.v1.60" hidden="1">Rendimientos!$B$1</definedName>
    <definedName name="_xlchart.v1.61" hidden="1">Rendimientos!$B$2:$B$750</definedName>
    <definedName name="_xlchart.v1.7" hidden="1">Acciones!$E$1</definedName>
    <definedName name="_xlchart.v1.8" hidden="1">Acciones!$E$2:$E$751</definedName>
    <definedName name="_xlchart.v1.9" hidden="1">Rendimientos!$E$1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C3" i="12" s="1"/>
  <c r="H13" i="12"/>
  <c r="H12" i="12"/>
  <c r="H10" i="12"/>
  <c r="H9" i="12"/>
  <c r="G13" i="12"/>
  <c r="G12" i="12"/>
  <c r="G10" i="12"/>
  <c r="G9" i="12"/>
  <c r="D10" i="12"/>
  <c r="C10" i="12"/>
  <c r="C4" i="12"/>
  <c r="C2" i="12"/>
  <c r="K18" i="10"/>
  <c r="L15" i="10"/>
  <c r="K15" i="10"/>
  <c r="K17" i="10"/>
  <c r="K14" i="10"/>
  <c r="K12" i="10"/>
  <c r="K11" i="10"/>
  <c r="H23" i="10"/>
  <c r="H22" i="10"/>
  <c r="H20" i="10"/>
  <c r="M8" i="10"/>
  <c r="H19" i="10"/>
  <c r="H17" i="10"/>
  <c r="H13" i="10"/>
  <c r="H11" i="10" a="1"/>
  <c r="H11" i="10" s="1"/>
  <c r="K5" i="10"/>
  <c r="K4" i="10"/>
  <c r="J4" i="10"/>
  <c r="K3" i="10"/>
  <c r="J3" i="10"/>
  <c r="I3" i="10"/>
  <c r="K6" i="10"/>
  <c r="J5" i="10"/>
  <c r="I4" i="10"/>
  <c r="H3" i="10"/>
  <c r="E750" i="10"/>
  <c r="D750" i="10"/>
  <c r="C750" i="10"/>
  <c r="B750" i="10"/>
  <c r="A750" i="10"/>
  <c r="E749" i="10"/>
  <c r="D749" i="10"/>
  <c r="C749" i="10"/>
  <c r="B749" i="10"/>
  <c r="A749" i="10"/>
  <c r="E748" i="10"/>
  <c r="D748" i="10"/>
  <c r="C748" i="10"/>
  <c r="B748" i="10"/>
  <c r="A748" i="10"/>
  <c r="E747" i="10"/>
  <c r="D747" i="10"/>
  <c r="C747" i="10"/>
  <c r="B747" i="10"/>
  <c r="A747" i="10"/>
  <c r="E746" i="10"/>
  <c r="D746" i="10"/>
  <c r="C746" i="10"/>
  <c r="B746" i="10"/>
  <c r="A746" i="10"/>
  <c r="E745" i="10"/>
  <c r="D745" i="10"/>
  <c r="C745" i="10"/>
  <c r="B745" i="10"/>
  <c r="A745" i="10"/>
  <c r="E744" i="10"/>
  <c r="D744" i="10"/>
  <c r="C744" i="10"/>
  <c r="B744" i="10"/>
  <c r="A744" i="10"/>
  <c r="E743" i="10"/>
  <c r="D743" i="10"/>
  <c r="C743" i="10"/>
  <c r="B743" i="10"/>
  <c r="A743" i="10"/>
  <c r="E742" i="10"/>
  <c r="D742" i="10"/>
  <c r="C742" i="10"/>
  <c r="B742" i="10"/>
  <c r="A742" i="10"/>
  <c r="E741" i="10"/>
  <c r="D741" i="10"/>
  <c r="C741" i="10"/>
  <c r="B741" i="10"/>
  <c r="A741" i="10"/>
  <c r="E740" i="10"/>
  <c r="D740" i="10"/>
  <c r="C740" i="10"/>
  <c r="B740" i="10"/>
  <c r="A740" i="10"/>
  <c r="E739" i="10"/>
  <c r="D739" i="10"/>
  <c r="C739" i="10"/>
  <c r="B739" i="10"/>
  <c r="A739" i="10"/>
  <c r="E738" i="10"/>
  <c r="D738" i="10"/>
  <c r="C738" i="10"/>
  <c r="B738" i="10"/>
  <c r="A738" i="10"/>
  <c r="E737" i="10"/>
  <c r="D737" i="10"/>
  <c r="C737" i="10"/>
  <c r="B737" i="10"/>
  <c r="A737" i="10"/>
  <c r="E736" i="10"/>
  <c r="D736" i="10"/>
  <c r="C736" i="10"/>
  <c r="B736" i="10"/>
  <c r="A736" i="10"/>
  <c r="E735" i="10"/>
  <c r="D735" i="10"/>
  <c r="C735" i="10"/>
  <c r="B735" i="10"/>
  <c r="A735" i="10"/>
  <c r="E734" i="10"/>
  <c r="D734" i="10"/>
  <c r="C734" i="10"/>
  <c r="B734" i="10"/>
  <c r="A734" i="10"/>
  <c r="E733" i="10"/>
  <c r="D733" i="10"/>
  <c r="C733" i="10"/>
  <c r="B733" i="10"/>
  <c r="A733" i="10"/>
  <c r="E732" i="10"/>
  <c r="D732" i="10"/>
  <c r="C732" i="10"/>
  <c r="B732" i="10"/>
  <c r="A732" i="10"/>
  <c r="E731" i="10"/>
  <c r="D731" i="10"/>
  <c r="C731" i="10"/>
  <c r="B731" i="10"/>
  <c r="A731" i="10"/>
  <c r="E730" i="10"/>
  <c r="D730" i="10"/>
  <c r="C730" i="10"/>
  <c r="B730" i="10"/>
  <c r="A730" i="10"/>
  <c r="E729" i="10"/>
  <c r="D729" i="10"/>
  <c r="C729" i="10"/>
  <c r="B729" i="10"/>
  <c r="A729" i="10"/>
  <c r="E728" i="10"/>
  <c r="D728" i="10"/>
  <c r="C728" i="10"/>
  <c r="B728" i="10"/>
  <c r="A728" i="10"/>
  <c r="E727" i="10"/>
  <c r="D727" i="10"/>
  <c r="C727" i="10"/>
  <c r="B727" i="10"/>
  <c r="A727" i="10"/>
  <c r="E726" i="10"/>
  <c r="D726" i="10"/>
  <c r="C726" i="10"/>
  <c r="B726" i="10"/>
  <c r="A726" i="10"/>
  <c r="E725" i="10"/>
  <c r="D725" i="10"/>
  <c r="C725" i="10"/>
  <c r="B725" i="10"/>
  <c r="A725" i="10"/>
  <c r="E724" i="10"/>
  <c r="D724" i="10"/>
  <c r="C724" i="10"/>
  <c r="B724" i="10"/>
  <c r="A724" i="10"/>
  <c r="E723" i="10"/>
  <c r="D723" i="10"/>
  <c r="C723" i="10"/>
  <c r="B723" i="10"/>
  <c r="A723" i="10"/>
  <c r="E722" i="10"/>
  <c r="D722" i="10"/>
  <c r="C722" i="10"/>
  <c r="B722" i="10"/>
  <c r="A722" i="10"/>
  <c r="E721" i="10"/>
  <c r="D721" i="10"/>
  <c r="C721" i="10"/>
  <c r="B721" i="10"/>
  <c r="A721" i="10"/>
  <c r="E720" i="10"/>
  <c r="D720" i="10"/>
  <c r="C720" i="10"/>
  <c r="B720" i="10"/>
  <c r="A720" i="10"/>
  <c r="E719" i="10"/>
  <c r="D719" i="10"/>
  <c r="C719" i="10"/>
  <c r="B719" i="10"/>
  <c r="A719" i="10"/>
  <c r="E718" i="10"/>
  <c r="D718" i="10"/>
  <c r="C718" i="10"/>
  <c r="B718" i="10"/>
  <c r="A718" i="10"/>
  <c r="E717" i="10"/>
  <c r="D717" i="10"/>
  <c r="C717" i="10"/>
  <c r="B717" i="10"/>
  <c r="A717" i="10"/>
  <c r="E716" i="10"/>
  <c r="D716" i="10"/>
  <c r="C716" i="10"/>
  <c r="B716" i="10"/>
  <c r="A716" i="10"/>
  <c r="E715" i="10"/>
  <c r="D715" i="10"/>
  <c r="C715" i="10"/>
  <c r="B715" i="10"/>
  <c r="A715" i="10"/>
  <c r="E714" i="10"/>
  <c r="D714" i="10"/>
  <c r="C714" i="10"/>
  <c r="B714" i="10"/>
  <c r="A714" i="10"/>
  <c r="E713" i="10"/>
  <c r="D713" i="10"/>
  <c r="C713" i="10"/>
  <c r="B713" i="10"/>
  <c r="A713" i="10"/>
  <c r="E712" i="10"/>
  <c r="D712" i="10"/>
  <c r="C712" i="10"/>
  <c r="B712" i="10"/>
  <c r="A712" i="10"/>
  <c r="E711" i="10"/>
  <c r="D711" i="10"/>
  <c r="C711" i="10"/>
  <c r="B711" i="10"/>
  <c r="A711" i="10"/>
  <c r="E710" i="10"/>
  <c r="D710" i="10"/>
  <c r="C710" i="10"/>
  <c r="B710" i="10"/>
  <c r="A710" i="10"/>
  <c r="E709" i="10"/>
  <c r="D709" i="10"/>
  <c r="C709" i="10"/>
  <c r="B709" i="10"/>
  <c r="A709" i="10"/>
  <c r="E708" i="10"/>
  <c r="D708" i="10"/>
  <c r="C708" i="10"/>
  <c r="B708" i="10"/>
  <c r="A708" i="10"/>
  <c r="E707" i="10"/>
  <c r="D707" i="10"/>
  <c r="C707" i="10"/>
  <c r="B707" i="10"/>
  <c r="A707" i="10"/>
  <c r="E706" i="10"/>
  <c r="D706" i="10"/>
  <c r="C706" i="10"/>
  <c r="B706" i="10"/>
  <c r="A706" i="10"/>
  <c r="E705" i="10"/>
  <c r="D705" i="10"/>
  <c r="C705" i="10"/>
  <c r="B705" i="10"/>
  <c r="A705" i="10"/>
  <c r="E704" i="10"/>
  <c r="D704" i="10"/>
  <c r="C704" i="10"/>
  <c r="B704" i="10"/>
  <c r="A704" i="10"/>
  <c r="E703" i="10"/>
  <c r="D703" i="10"/>
  <c r="C703" i="10"/>
  <c r="B703" i="10"/>
  <c r="A703" i="10"/>
  <c r="E702" i="10"/>
  <c r="D702" i="10"/>
  <c r="C702" i="10"/>
  <c r="B702" i="10"/>
  <c r="A702" i="10"/>
  <c r="E701" i="10"/>
  <c r="D701" i="10"/>
  <c r="C701" i="10"/>
  <c r="B701" i="10"/>
  <c r="A701" i="10"/>
  <c r="E700" i="10"/>
  <c r="D700" i="10"/>
  <c r="C700" i="10"/>
  <c r="B700" i="10"/>
  <c r="A700" i="10"/>
  <c r="E699" i="10"/>
  <c r="D699" i="10"/>
  <c r="C699" i="10"/>
  <c r="B699" i="10"/>
  <c r="A699" i="10"/>
  <c r="E698" i="10"/>
  <c r="D698" i="10"/>
  <c r="C698" i="10"/>
  <c r="B698" i="10"/>
  <c r="A698" i="10"/>
  <c r="E697" i="10"/>
  <c r="D697" i="10"/>
  <c r="C697" i="10"/>
  <c r="B697" i="10"/>
  <c r="A697" i="10"/>
  <c r="E696" i="10"/>
  <c r="D696" i="10"/>
  <c r="C696" i="10"/>
  <c r="B696" i="10"/>
  <c r="A696" i="10"/>
  <c r="E695" i="10"/>
  <c r="D695" i="10"/>
  <c r="C695" i="10"/>
  <c r="B695" i="10"/>
  <c r="A695" i="10"/>
  <c r="E694" i="10"/>
  <c r="D694" i="10"/>
  <c r="C694" i="10"/>
  <c r="B694" i="10"/>
  <c r="A694" i="10"/>
  <c r="E693" i="10"/>
  <c r="D693" i="10"/>
  <c r="C693" i="10"/>
  <c r="B693" i="10"/>
  <c r="A693" i="10"/>
  <c r="E692" i="10"/>
  <c r="D692" i="10"/>
  <c r="C692" i="10"/>
  <c r="B692" i="10"/>
  <c r="A692" i="10"/>
  <c r="E691" i="10"/>
  <c r="D691" i="10"/>
  <c r="C691" i="10"/>
  <c r="B691" i="10"/>
  <c r="A691" i="10"/>
  <c r="E690" i="10"/>
  <c r="D690" i="10"/>
  <c r="C690" i="10"/>
  <c r="B690" i="10"/>
  <c r="A690" i="10"/>
  <c r="E689" i="10"/>
  <c r="D689" i="10"/>
  <c r="C689" i="10"/>
  <c r="B689" i="10"/>
  <c r="A689" i="10"/>
  <c r="E688" i="10"/>
  <c r="D688" i="10"/>
  <c r="C688" i="10"/>
  <c r="B688" i="10"/>
  <c r="A688" i="10"/>
  <c r="E687" i="10"/>
  <c r="D687" i="10"/>
  <c r="C687" i="10"/>
  <c r="B687" i="10"/>
  <c r="A687" i="10"/>
  <c r="E686" i="10"/>
  <c r="D686" i="10"/>
  <c r="C686" i="10"/>
  <c r="B686" i="10"/>
  <c r="A686" i="10"/>
  <c r="E685" i="10"/>
  <c r="D685" i="10"/>
  <c r="C685" i="10"/>
  <c r="B685" i="10"/>
  <c r="A685" i="10"/>
  <c r="E684" i="10"/>
  <c r="D684" i="10"/>
  <c r="C684" i="10"/>
  <c r="B684" i="10"/>
  <c r="A684" i="10"/>
  <c r="E683" i="10"/>
  <c r="D683" i="10"/>
  <c r="C683" i="10"/>
  <c r="B683" i="10"/>
  <c r="A683" i="10"/>
  <c r="E682" i="10"/>
  <c r="D682" i="10"/>
  <c r="C682" i="10"/>
  <c r="B682" i="10"/>
  <c r="A682" i="10"/>
  <c r="E681" i="10"/>
  <c r="D681" i="10"/>
  <c r="C681" i="10"/>
  <c r="B681" i="10"/>
  <c r="A681" i="10"/>
  <c r="E680" i="10"/>
  <c r="D680" i="10"/>
  <c r="C680" i="10"/>
  <c r="B680" i="10"/>
  <c r="A680" i="10"/>
  <c r="E679" i="10"/>
  <c r="D679" i="10"/>
  <c r="C679" i="10"/>
  <c r="B679" i="10"/>
  <c r="A679" i="10"/>
  <c r="E678" i="10"/>
  <c r="D678" i="10"/>
  <c r="C678" i="10"/>
  <c r="B678" i="10"/>
  <c r="A678" i="10"/>
  <c r="E677" i="10"/>
  <c r="D677" i="10"/>
  <c r="C677" i="10"/>
  <c r="B677" i="10"/>
  <c r="A677" i="10"/>
  <c r="E676" i="10"/>
  <c r="D676" i="10"/>
  <c r="C676" i="10"/>
  <c r="B676" i="10"/>
  <c r="A676" i="10"/>
  <c r="E675" i="10"/>
  <c r="D675" i="10"/>
  <c r="C675" i="10"/>
  <c r="B675" i="10"/>
  <c r="A675" i="10"/>
  <c r="E674" i="10"/>
  <c r="D674" i="10"/>
  <c r="C674" i="10"/>
  <c r="B674" i="10"/>
  <c r="A674" i="10"/>
  <c r="E673" i="10"/>
  <c r="D673" i="10"/>
  <c r="C673" i="10"/>
  <c r="B673" i="10"/>
  <c r="A673" i="10"/>
  <c r="E672" i="10"/>
  <c r="D672" i="10"/>
  <c r="C672" i="10"/>
  <c r="B672" i="10"/>
  <c r="A672" i="10"/>
  <c r="E671" i="10"/>
  <c r="D671" i="10"/>
  <c r="C671" i="10"/>
  <c r="B671" i="10"/>
  <c r="A671" i="10"/>
  <c r="E670" i="10"/>
  <c r="D670" i="10"/>
  <c r="C670" i="10"/>
  <c r="B670" i="10"/>
  <c r="A670" i="10"/>
  <c r="E669" i="10"/>
  <c r="D669" i="10"/>
  <c r="C669" i="10"/>
  <c r="B669" i="10"/>
  <c r="A669" i="10"/>
  <c r="E668" i="10"/>
  <c r="D668" i="10"/>
  <c r="C668" i="10"/>
  <c r="B668" i="10"/>
  <c r="A668" i="10"/>
  <c r="E667" i="10"/>
  <c r="D667" i="10"/>
  <c r="C667" i="10"/>
  <c r="B667" i="10"/>
  <c r="A667" i="10"/>
  <c r="E666" i="10"/>
  <c r="D666" i="10"/>
  <c r="C666" i="10"/>
  <c r="B666" i="10"/>
  <c r="A666" i="10"/>
  <c r="E665" i="10"/>
  <c r="D665" i="10"/>
  <c r="C665" i="10"/>
  <c r="B665" i="10"/>
  <c r="A665" i="10"/>
  <c r="E664" i="10"/>
  <c r="D664" i="10"/>
  <c r="C664" i="10"/>
  <c r="B664" i="10"/>
  <c r="A664" i="10"/>
  <c r="E663" i="10"/>
  <c r="D663" i="10"/>
  <c r="C663" i="10"/>
  <c r="B663" i="10"/>
  <c r="A663" i="10"/>
  <c r="E662" i="10"/>
  <c r="D662" i="10"/>
  <c r="C662" i="10"/>
  <c r="B662" i="10"/>
  <c r="A662" i="10"/>
  <c r="E661" i="10"/>
  <c r="D661" i="10"/>
  <c r="C661" i="10"/>
  <c r="B661" i="10"/>
  <c r="A661" i="10"/>
  <c r="E660" i="10"/>
  <c r="D660" i="10"/>
  <c r="C660" i="10"/>
  <c r="B660" i="10"/>
  <c r="A660" i="10"/>
  <c r="E659" i="10"/>
  <c r="D659" i="10"/>
  <c r="C659" i="10"/>
  <c r="B659" i="10"/>
  <c r="A659" i="10"/>
  <c r="E658" i="10"/>
  <c r="D658" i="10"/>
  <c r="C658" i="10"/>
  <c r="B658" i="10"/>
  <c r="A658" i="10"/>
  <c r="E657" i="10"/>
  <c r="D657" i="10"/>
  <c r="C657" i="10"/>
  <c r="B657" i="10"/>
  <c r="A657" i="10"/>
  <c r="E656" i="10"/>
  <c r="D656" i="10"/>
  <c r="C656" i="10"/>
  <c r="B656" i="10"/>
  <c r="A656" i="10"/>
  <c r="E655" i="10"/>
  <c r="D655" i="10"/>
  <c r="C655" i="10"/>
  <c r="B655" i="10"/>
  <c r="A655" i="10"/>
  <c r="E654" i="10"/>
  <c r="D654" i="10"/>
  <c r="C654" i="10"/>
  <c r="B654" i="10"/>
  <c r="A654" i="10"/>
  <c r="E653" i="10"/>
  <c r="D653" i="10"/>
  <c r="C653" i="10"/>
  <c r="B653" i="10"/>
  <c r="A653" i="10"/>
  <c r="E652" i="10"/>
  <c r="D652" i="10"/>
  <c r="C652" i="10"/>
  <c r="B652" i="10"/>
  <c r="A652" i="10"/>
  <c r="E651" i="10"/>
  <c r="D651" i="10"/>
  <c r="C651" i="10"/>
  <c r="B651" i="10"/>
  <c r="A651" i="10"/>
  <c r="E650" i="10"/>
  <c r="D650" i="10"/>
  <c r="C650" i="10"/>
  <c r="B650" i="10"/>
  <c r="A650" i="10"/>
  <c r="E649" i="10"/>
  <c r="D649" i="10"/>
  <c r="C649" i="10"/>
  <c r="B649" i="10"/>
  <c r="A649" i="10"/>
  <c r="E648" i="10"/>
  <c r="D648" i="10"/>
  <c r="C648" i="10"/>
  <c r="B648" i="10"/>
  <c r="A648" i="10"/>
  <c r="E647" i="10"/>
  <c r="D647" i="10"/>
  <c r="C647" i="10"/>
  <c r="B647" i="10"/>
  <c r="A647" i="10"/>
  <c r="E646" i="10"/>
  <c r="D646" i="10"/>
  <c r="C646" i="10"/>
  <c r="B646" i="10"/>
  <c r="A646" i="10"/>
  <c r="E645" i="10"/>
  <c r="D645" i="10"/>
  <c r="C645" i="10"/>
  <c r="B645" i="10"/>
  <c r="A645" i="10"/>
  <c r="E644" i="10"/>
  <c r="D644" i="10"/>
  <c r="C644" i="10"/>
  <c r="B644" i="10"/>
  <c r="A644" i="10"/>
  <c r="E643" i="10"/>
  <c r="D643" i="10"/>
  <c r="C643" i="10"/>
  <c r="B643" i="10"/>
  <c r="A643" i="10"/>
  <c r="E642" i="10"/>
  <c r="D642" i="10"/>
  <c r="C642" i="10"/>
  <c r="B642" i="10"/>
  <c r="A642" i="10"/>
  <c r="E641" i="10"/>
  <c r="D641" i="10"/>
  <c r="C641" i="10"/>
  <c r="B641" i="10"/>
  <c r="A641" i="10"/>
  <c r="E640" i="10"/>
  <c r="D640" i="10"/>
  <c r="C640" i="10"/>
  <c r="B640" i="10"/>
  <c r="A640" i="10"/>
  <c r="E639" i="10"/>
  <c r="D639" i="10"/>
  <c r="C639" i="10"/>
  <c r="B639" i="10"/>
  <c r="A639" i="10"/>
  <c r="E638" i="10"/>
  <c r="D638" i="10"/>
  <c r="C638" i="10"/>
  <c r="B638" i="10"/>
  <c r="A638" i="10"/>
  <c r="E637" i="10"/>
  <c r="D637" i="10"/>
  <c r="C637" i="10"/>
  <c r="B637" i="10"/>
  <c r="A637" i="10"/>
  <c r="E636" i="10"/>
  <c r="D636" i="10"/>
  <c r="C636" i="10"/>
  <c r="B636" i="10"/>
  <c r="A636" i="10"/>
  <c r="E635" i="10"/>
  <c r="D635" i="10"/>
  <c r="C635" i="10"/>
  <c r="B635" i="10"/>
  <c r="A635" i="10"/>
  <c r="E634" i="10"/>
  <c r="D634" i="10"/>
  <c r="C634" i="10"/>
  <c r="B634" i="10"/>
  <c r="A634" i="10"/>
  <c r="E633" i="10"/>
  <c r="D633" i="10"/>
  <c r="C633" i="10"/>
  <c r="B633" i="10"/>
  <c r="A633" i="10"/>
  <c r="E632" i="10"/>
  <c r="D632" i="10"/>
  <c r="C632" i="10"/>
  <c r="B632" i="10"/>
  <c r="A632" i="10"/>
  <c r="E631" i="10"/>
  <c r="D631" i="10"/>
  <c r="C631" i="10"/>
  <c r="B631" i="10"/>
  <c r="A631" i="10"/>
  <c r="E630" i="10"/>
  <c r="D630" i="10"/>
  <c r="C630" i="10"/>
  <c r="B630" i="10"/>
  <c r="A630" i="10"/>
  <c r="E629" i="10"/>
  <c r="D629" i="10"/>
  <c r="C629" i="10"/>
  <c r="B629" i="10"/>
  <c r="A629" i="10"/>
  <c r="E628" i="10"/>
  <c r="D628" i="10"/>
  <c r="C628" i="10"/>
  <c r="B628" i="10"/>
  <c r="A628" i="10"/>
  <c r="E627" i="10"/>
  <c r="D627" i="10"/>
  <c r="C627" i="10"/>
  <c r="B627" i="10"/>
  <c r="A627" i="10"/>
  <c r="E626" i="10"/>
  <c r="D626" i="10"/>
  <c r="C626" i="10"/>
  <c r="B626" i="10"/>
  <c r="A626" i="10"/>
  <c r="E625" i="10"/>
  <c r="D625" i="10"/>
  <c r="C625" i="10"/>
  <c r="B625" i="10"/>
  <c r="A625" i="10"/>
  <c r="E624" i="10"/>
  <c r="D624" i="10"/>
  <c r="C624" i="10"/>
  <c r="B624" i="10"/>
  <c r="A624" i="10"/>
  <c r="E623" i="10"/>
  <c r="D623" i="10"/>
  <c r="C623" i="10"/>
  <c r="B623" i="10"/>
  <c r="A623" i="10"/>
  <c r="E622" i="10"/>
  <c r="D622" i="10"/>
  <c r="C622" i="10"/>
  <c r="B622" i="10"/>
  <c r="A622" i="10"/>
  <c r="E621" i="10"/>
  <c r="D621" i="10"/>
  <c r="C621" i="10"/>
  <c r="B621" i="10"/>
  <c r="A621" i="10"/>
  <c r="E620" i="10"/>
  <c r="D620" i="10"/>
  <c r="C620" i="10"/>
  <c r="B620" i="10"/>
  <c r="A620" i="10"/>
  <c r="E619" i="10"/>
  <c r="D619" i="10"/>
  <c r="C619" i="10"/>
  <c r="B619" i="10"/>
  <c r="A619" i="10"/>
  <c r="E618" i="10"/>
  <c r="D618" i="10"/>
  <c r="C618" i="10"/>
  <c r="B618" i="10"/>
  <c r="A618" i="10"/>
  <c r="E617" i="10"/>
  <c r="D617" i="10"/>
  <c r="C617" i="10"/>
  <c r="B617" i="10"/>
  <c r="A617" i="10"/>
  <c r="E616" i="10"/>
  <c r="D616" i="10"/>
  <c r="C616" i="10"/>
  <c r="B616" i="10"/>
  <c r="A616" i="10"/>
  <c r="E615" i="10"/>
  <c r="D615" i="10"/>
  <c r="C615" i="10"/>
  <c r="B615" i="10"/>
  <c r="A615" i="10"/>
  <c r="E614" i="10"/>
  <c r="D614" i="10"/>
  <c r="C614" i="10"/>
  <c r="B614" i="10"/>
  <c r="A614" i="10"/>
  <c r="E613" i="10"/>
  <c r="D613" i="10"/>
  <c r="C613" i="10"/>
  <c r="B613" i="10"/>
  <c r="A613" i="10"/>
  <c r="E612" i="10"/>
  <c r="D612" i="10"/>
  <c r="C612" i="10"/>
  <c r="B612" i="10"/>
  <c r="A612" i="10"/>
  <c r="E611" i="10"/>
  <c r="D611" i="10"/>
  <c r="C611" i="10"/>
  <c r="B611" i="10"/>
  <c r="A611" i="10"/>
  <c r="E610" i="10"/>
  <c r="D610" i="10"/>
  <c r="C610" i="10"/>
  <c r="B610" i="10"/>
  <c r="A610" i="10"/>
  <c r="E609" i="10"/>
  <c r="D609" i="10"/>
  <c r="C609" i="10"/>
  <c r="B609" i="10"/>
  <c r="A609" i="10"/>
  <c r="E608" i="10"/>
  <c r="D608" i="10"/>
  <c r="C608" i="10"/>
  <c r="B608" i="10"/>
  <c r="A608" i="10"/>
  <c r="E607" i="10"/>
  <c r="D607" i="10"/>
  <c r="C607" i="10"/>
  <c r="B607" i="10"/>
  <c r="A607" i="10"/>
  <c r="E606" i="10"/>
  <c r="D606" i="10"/>
  <c r="C606" i="10"/>
  <c r="B606" i="10"/>
  <c r="A606" i="10"/>
  <c r="E605" i="10"/>
  <c r="D605" i="10"/>
  <c r="C605" i="10"/>
  <c r="B605" i="10"/>
  <c r="A605" i="10"/>
  <c r="E604" i="10"/>
  <c r="D604" i="10"/>
  <c r="C604" i="10"/>
  <c r="B604" i="10"/>
  <c r="A604" i="10"/>
  <c r="E603" i="10"/>
  <c r="D603" i="10"/>
  <c r="C603" i="10"/>
  <c r="B603" i="10"/>
  <c r="A603" i="10"/>
  <c r="E602" i="10"/>
  <c r="D602" i="10"/>
  <c r="C602" i="10"/>
  <c r="B602" i="10"/>
  <c r="A602" i="10"/>
  <c r="E601" i="10"/>
  <c r="D601" i="10"/>
  <c r="C601" i="10"/>
  <c r="B601" i="10"/>
  <c r="A601" i="10"/>
  <c r="E600" i="10"/>
  <c r="D600" i="10"/>
  <c r="C600" i="10"/>
  <c r="B600" i="10"/>
  <c r="A600" i="10"/>
  <c r="E599" i="10"/>
  <c r="D599" i="10"/>
  <c r="C599" i="10"/>
  <c r="B599" i="10"/>
  <c r="A599" i="10"/>
  <c r="E598" i="10"/>
  <c r="D598" i="10"/>
  <c r="C598" i="10"/>
  <c r="B598" i="10"/>
  <c r="A598" i="10"/>
  <c r="E597" i="10"/>
  <c r="D597" i="10"/>
  <c r="C597" i="10"/>
  <c r="B597" i="10"/>
  <c r="A597" i="10"/>
  <c r="E596" i="10"/>
  <c r="D596" i="10"/>
  <c r="C596" i="10"/>
  <c r="B596" i="10"/>
  <c r="A596" i="10"/>
  <c r="E595" i="10"/>
  <c r="D595" i="10"/>
  <c r="C595" i="10"/>
  <c r="B595" i="10"/>
  <c r="A595" i="10"/>
  <c r="E594" i="10"/>
  <c r="D594" i="10"/>
  <c r="C594" i="10"/>
  <c r="B594" i="10"/>
  <c r="A594" i="10"/>
  <c r="E593" i="10"/>
  <c r="D593" i="10"/>
  <c r="C593" i="10"/>
  <c r="B593" i="10"/>
  <c r="A593" i="10"/>
  <c r="E592" i="10"/>
  <c r="D592" i="10"/>
  <c r="C592" i="10"/>
  <c r="B592" i="10"/>
  <c r="A592" i="10"/>
  <c r="E591" i="10"/>
  <c r="D591" i="10"/>
  <c r="C591" i="10"/>
  <c r="B591" i="10"/>
  <c r="A591" i="10"/>
  <c r="E590" i="10"/>
  <c r="D590" i="10"/>
  <c r="C590" i="10"/>
  <c r="B590" i="10"/>
  <c r="A590" i="10"/>
  <c r="E589" i="10"/>
  <c r="D589" i="10"/>
  <c r="C589" i="10"/>
  <c r="B589" i="10"/>
  <c r="A589" i="10"/>
  <c r="E588" i="10"/>
  <c r="D588" i="10"/>
  <c r="C588" i="10"/>
  <c r="B588" i="10"/>
  <c r="A588" i="10"/>
  <c r="E587" i="10"/>
  <c r="D587" i="10"/>
  <c r="C587" i="10"/>
  <c r="B587" i="10"/>
  <c r="A587" i="10"/>
  <c r="E586" i="10"/>
  <c r="D586" i="10"/>
  <c r="C586" i="10"/>
  <c r="B586" i="10"/>
  <c r="A586" i="10"/>
  <c r="E585" i="10"/>
  <c r="D585" i="10"/>
  <c r="C585" i="10"/>
  <c r="B585" i="10"/>
  <c r="A585" i="10"/>
  <c r="E584" i="10"/>
  <c r="D584" i="10"/>
  <c r="C584" i="10"/>
  <c r="B584" i="10"/>
  <c r="A584" i="10"/>
  <c r="E583" i="10"/>
  <c r="D583" i="10"/>
  <c r="C583" i="10"/>
  <c r="B583" i="10"/>
  <c r="A583" i="10"/>
  <c r="E582" i="10"/>
  <c r="D582" i="10"/>
  <c r="C582" i="10"/>
  <c r="B582" i="10"/>
  <c r="A582" i="10"/>
  <c r="E581" i="10"/>
  <c r="D581" i="10"/>
  <c r="C581" i="10"/>
  <c r="B581" i="10"/>
  <c r="A581" i="10"/>
  <c r="E580" i="10"/>
  <c r="D580" i="10"/>
  <c r="C580" i="10"/>
  <c r="B580" i="10"/>
  <c r="A580" i="10"/>
  <c r="E579" i="10"/>
  <c r="D579" i="10"/>
  <c r="C579" i="10"/>
  <c r="B579" i="10"/>
  <c r="A579" i="10"/>
  <c r="E578" i="10"/>
  <c r="D578" i="10"/>
  <c r="C578" i="10"/>
  <c r="B578" i="10"/>
  <c r="A578" i="10"/>
  <c r="E577" i="10"/>
  <c r="D577" i="10"/>
  <c r="C577" i="10"/>
  <c r="B577" i="10"/>
  <c r="A577" i="10"/>
  <c r="E576" i="10"/>
  <c r="D576" i="10"/>
  <c r="C576" i="10"/>
  <c r="B576" i="10"/>
  <c r="A576" i="10"/>
  <c r="E575" i="10"/>
  <c r="D575" i="10"/>
  <c r="C575" i="10"/>
  <c r="B575" i="10"/>
  <c r="A575" i="10"/>
  <c r="E574" i="10"/>
  <c r="D574" i="10"/>
  <c r="C574" i="10"/>
  <c r="B574" i="10"/>
  <c r="A574" i="10"/>
  <c r="E573" i="10"/>
  <c r="D573" i="10"/>
  <c r="C573" i="10"/>
  <c r="B573" i="10"/>
  <c r="A573" i="10"/>
  <c r="E572" i="10"/>
  <c r="D572" i="10"/>
  <c r="C572" i="10"/>
  <c r="B572" i="10"/>
  <c r="A572" i="10"/>
  <c r="E571" i="10"/>
  <c r="D571" i="10"/>
  <c r="C571" i="10"/>
  <c r="B571" i="10"/>
  <c r="A571" i="10"/>
  <c r="E570" i="10"/>
  <c r="D570" i="10"/>
  <c r="C570" i="10"/>
  <c r="B570" i="10"/>
  <c r="A570" i="10"/>
  <c r="E569" i="10"/>
  <c r="D569" i="10"/>
  <c r="C569" i="10"/>
  <c r="B569" i="10"/>
  <c r="A569" i="10"/>
  <c r="E568" i="10"/>
  <c r="D568" i="10"/>
  <c r="C568" i="10"/>
  <c r="B568" i="10"/>
  <c r="A568" i="10"/>
  <c r="E567" i="10"/>
  <c r="D567" i="10"/>
  <c r="C567" i="10"/>
  <c r="B567" i="10"/>
  <c r="A567" i="10"/>
  <c r="E566" i="10"/>
  <c r="D566" i="10"/>
  <c r="C566" i="10"/>
  <c r="B566" i="10"/>
  <c r="A566" i="10"/>
  <c r="E565" i="10"/>
  <c r="D565" i="10"/>
  <c r="C565" i="10"/>
  <c r="B565" i="10"/>
  <c r="A565" i="10"/>
  <c r="E564" i="10"/>
  <c r="D564" i="10"/>
  <c r="C564" i="10"/>
  <c r="B564" i="10"/>
  <c r="A564" i="10"/>
  <c r="E563" i="10"/>
  <c r="D563" i="10"/>
  <c r="C563" i="10"/>
  <c r="B563" i="10"/>
  <c r="A563" i="10"/>
  <c r="E562" i="10"/>
  <c r="D562" i="10"/>
  <c r="C562" i="10"/>
  <c r="B562" i="10"/>
  <c r="A562" i="10"/>
  <c r="E561" i="10"/>
  <c r="D561" i="10"/>
  <c r="C561" i="10"/>
  <c r="B561" i="10"/>
  <c r="A561" i="10"/>
  <c r="E560" i="10"/>
  <c r="D560" i="10"/>
  <c r="C560" i="10"/>
  <c r="B560" i="10"/>
  <c r="A560" i="10"/>
  <c r="E559" i="10"/>
  <c r="D559" i="10"/>
  <c r="C559" i="10"/>
  <c r="B559" i="10"/>
  <c r="A559" i="10"/>
  <c r="E558" i="10"/>
  <c r="D558" i="10"/>
  <c r="C558" i="10"/>
  <c r="B558" i="10"/>
  <c r="A558" i="10"/>
  <c r="E557" i="10"/>
  <c r="D557" i="10"/>
  <c r="C557" i="10"/>
  <c r="B557" i="10"/>
  <c r="A557" i="10"/>
  <c r="E556" i="10"/>
  <c r="D556" i="10"/>
  <c r="C556" i="10"/>
  <c r="B556" i="10"/>
  <c r="A556" i="10"/>
  <c r="E555" i="10"/>
  <c r="D555" i="10"/>
  <c r="C555" i="10"/>
  <c r="B555" i="10"/>
  <c r="A555" i="10"/>
  <c r="E554" i="10"/>
  <c r="D554" i="10"/>
  <c r="C554" i="10"/>
  <c r="B554" i="10"/>
  <c r="A554" i="10"/>
  <c r="E553" i="10"/>
  <c r="D553" i="10"/>
  <c r="C553" i="10"/>
  <c r="B553" i="10"/>
  <c r="A553" i="10"/>
  <c r="E552" i="10"/>
  <c r="D552" i="10"/>
  <c r="C552" i="10"/>
  <c r="B552" i="10"/>
  <c r="A552" i="10"/>
  <c r="E551" i="10"/>
  <c r="D551" i="10"/>
  <c r="C551" i="10"/>
  <c r="B551" i="10"/>
  <c r="A551" i="10"/>
  <c r="E550" i="10"/>
  <c r="D550" i="10"/>
  <c r="C550" i="10"/>
  <c r="B550" i="10"/>
  <c r="A550" i="10"/>
  <c r="E549" i="10"/>
  <c r="D549" i="10"/>
  <c r="C549" i="10"/>
  <c r="B549" i="10"/>
  <c r="A549" i="10"/>
  <c r="E548" i="10"/>
  <c r="D548" i="10"/>
  <c r="C548" i="10"/>
  <c r="B548" i="10"/>
  <c r="A548" i="10"/>
  <c r="E547" i="10"/>
  <c r="D547" i="10"/>
  <c r="C547" i="10"/>
  <c r="B547" i="10"/>
  <c r="A547" i="10"/>
  <c r="E546" i="10"/>
  <c r="D546" i="10"/>
  <c r="C546" i="10"/>
  <c r="B546" i="10"/>
  <c r="A546" i="10"/>
  <c r="E545" i="10"/>
  <c r="D545" i="10"/>
  <c r="C545" i="10"/>
  <c r="B545" i="10"/>
  <c r="A545" i="10"/>
  <c r="E544" i="10"/>
  <c r="D544" i="10"/>
  <c r="C544" i="10"/>
  <c r="B544" i="10"/>
  <c r="A544" i="10"/>
  <c r="E543" i="10"/>
  <c r="D543" i="10"/>
  <c r="C543" i="10"/>
  <c r="B543" i="10"/>
  <c r="A543" i="10"/>
  <c r="E542" i="10"/>
  <c r="D542" i="10"/>
  <c r="C542" i="10"/>
  <c r="B542" i="10"/>
  <c r="A542" i="10"/>
  <c r="E541" i="10"/>
  <c r="D541" i="10"/>
  <c r="C541" i="10"/>
  <c r="B541" i="10"/>
  <c r="A541" i="10"/>
  <c r="E540" i="10"/>
  <c r="D540" i="10"/>
  <c r="C540" i="10"/>
  <c r="B540" i="10"/>
  <c r="A540" i="10"/>
  <c r="E539" i="10"/>
  <c r="D539" i="10"/>
  <c r="C539" i="10"/>
  <c r="B539" i="10"/>
  <c r="A539" i="10"/>
  <c r="E538" i="10"/>
  <c r="D538" i="10"/>
  <c r="C538" i="10"/>
  <c r="B538" i="10"/>
  <c r="A538" i="10"/>
  <c r="E537" i="10"/>
  <c r="D537" i="10"/>
  <c r="C537" i="10"/>
  <c r="B537" i="10"/>
  <c r="A537" i="10"/>
  <c r="E536" i="10"/>
  <c r="D536" i="10"/>
  <c r="C536" i="10"/>
  <c r="B536" i="10"/>
  <c r="A536" i="10"/>
  <c r="E535" i="10"/>
  <c r="D535" i="10"/>
  <c r="C535" i="10"/>
  <c r="B535" i="10"/>
  <c r="A535" i="10"/>
  <c r="E534" i="10"/>
  <c r="D534" i="10"/>
  <c r="C534" i="10"/>
  <c r="B534" i="10"/>
  <c r="A534" i="10"/>
  <c r="E533" i="10"/>
  <c r="D533" i="10"/>
  <c r="C533" i="10"/>
  <c r="B533" i="10"/>
  <c r="A533" i="10"/>
  <c r="E532" i="10"/>
  <c r="D532" i="10"/>
  <c r="C532" i="10"/>
  <c r="B532" i="10"/>
  <c r="A532" i="10"/>
  <c r="E531" i="10"/>
  <c r="D531" i="10"/>
  <c r="C531" i="10"/>
  <c r="B531" i="10"/>
  <c r="A531" i="10"/>
  <c r="E530" i="10"/>
  <c r="D530" i="10"/>
  <c r="C530" i="10"/>
  <c r="B530" i="10"/>
  <c r="A530" i="10"/>
  <c r="E529" i="10"/>
  <c r="D529" i="10"/>
  <c r="C529" i="10"/>
  <c r="B529" i="10"/>
  <c r="A529" i="10"/>
  <c r="E528" i="10"/>
  <c r="D528" i="10"/>
  <c r="C528" i="10"/>
  <c r="B528" i="10"/>
  <c r="A528" i="10"/>
  <c r="E527" i="10"/>
  <c r="D527" i="10"/>
  <c r="C527" i="10"/>
  <c r="B527" i="10"/>
  <c r="A527" i="10"/>
  <c r="E526" i="10"/>
  <c r="D526" i="10"/>
  <c r="C526" i="10"/>
  <c r="B526" i="10"/>
  <c r="A526" i="10"/>
  <c r="E525" i="10"/>
  <c r="D525" i="10"/>
  <c r="C525" i="10"/>
  <c r="B525" i="10"/>
  <c r="A525" i="10"/>
  <c r="E524" i="10"/>
  <c r="D524" i="10"/>
  <c r="C524" i="10"/>
  <c r="B524" i="10"/>
  <c r="A524" i="10"/>
  <c r="E523" i="10"/>
  <c r="D523" i="10"/>
  <c r="C523" i="10"/>
  <c r="B523" i="10"/>
  <c r="A523" i="10"/>
  <c r="E522" i="10"/>
  <c r="D522" i="10"/>
  <c r="C522" i="10"/>
  <c r="B522" i="10"/>
  <c r="A522" i="10"/>
  <c r="E521" i="10"/>
  <c r="D521" i="10"/>
  <c r="C521" i="10"/>
  <c r="B521" i="10"/>
  <c r="A521" i="10"/>
  <c r="E520" i="10"/>
  <c r="D520" i="10"/>
  <c r="C520" i="10"/>
  <c r="B520" i="10"/>
  <c r="A520" i="10"/>
  <c r="E519" i="10"/>
  <c r="D519" i="10"/>
  <c r="C519" i="10"/>
  <c r="B519" i="10"/>
  <c r="A519" i="10"/>
  <c r="E518" i="10"/>
  <c r="D518" i="10"/>
  <c r="C518" i="10"/>
  <c r="B518" i="10"/>
  <c r="A518" i="10"/>
  <c r="E517" i="10"/>
  <c r="D517" i="10"/>
  <c r="C517" i="10"/>
  <c r="B517" i="10"/>
  <c r="A517" i="10"/>
  <c r="E516" i="10"/>
  <c r="D516" i="10"/>
  <c r="C516" i="10"/>
  <c r="B516" i="10"/>
  <c r="A516" i="10"/>
  <c r="E515" i="10"/>
  <c r="D515" i="10"/>
  <c r="C515" i="10"/>
  <c r="B515" i="10"/>
  <c r="A515" i="10"/>
  <c r="E514" i="10"/>
  <c r="D514" i="10"/>
  <c r="C514" i="10"/>
  <c r="B514" i="10"/>
  <c r="A514" i="10"/>
  <c r="E513" i="10"/>
  <c r="D513" i="10"/>
  <c r="C513" i="10"/>
  <c r="B513" i="10"/>
  <c r="A513" i="10"/>
  <c r="E512" i="10"/>
  <c r="D512" i="10"/>
  <c r="C512" i="10"/>
  <c r="B512" i="10"/>
  <c r="A512" i="10"/>
  <c r="E511" i="10"/>
  <c r="D511" i="10"/>
  <c r="C511" i="10"/>
  <c r="B511" i="10"/>
  <c r="A511" i="10"/>
  <c r="E510" i="10"/>
  <c r="D510" i="10"/>
  <c r="C510" i="10"/>
  <c r="B510" i="10"/>
  <c r="A510" i="10"/>
  <c r="E509" i="10"/>
  <c r="D509" i="10"/>
  <c r="C509" i="10"/>
  <c r="B509" i="10"/>
  <c r="A509" i="10"/>
  <c r="E508" i="10"/>
  <c r="D508" i="10"/>
  <c r="C508" i="10"/>
  <c r="B508" i="10"/>
  <c r="A508" i="10"/>
  <c r="E507" i="10"/>
  <c r="D507" i="10"/>
  <c r="C507" i="10"/>
  <c r="B507" i="10"/>
  <c r="A507" i="10"/>
  <c r="E506" i="10"/>
  <c r="D506" i="10"/>
  <c r="C506" i="10"/>
  <c r="B506" i="10"/>
  <c r="A506" i="10"/>
  <c r="E505" i="10"/>
  <c r="D505" i="10"/>
  <c r="C505" i="10"/>
  <c r="B505" i="10"/>
  <c r="A505" i="10"/>
  <c r="E504" i="10"/>
  <c r="D504" i="10"/>
  <c r="C504" i="10"/>
  <c r="B504" i="10"/>
  <c r="A504" i="10"/>
  <c r="E503" i="10"/>
  <c r="D503" i="10"/>
  <c r="C503" i="10"/>
  <c r="B503" i="10"/>
  <c r="A503" i="10"/>
  <c r="E502" i="10"/>
  <c r="D502" i="10"/>
  <c r="C502" i="10"/>
  <c r="B502" i="10"/>
  <c r="A502" i="10"/>
  <c r="E501" i="10"/>
  <c r="D501" i="10"/>
  <c r="C501" i="10"/>
  <c r="B501" i="10"/>
  <c r="A501" i="10"/>
  <c r="E500" i="10"/>
  <c r="D500" i="10"/>
  <c r="C500" i="10"/>
  <c r="B500" i="10"/>
  <c r="A500" i="10"/>
  <c r="E499" i="10"/>
  <c r="D499" i="10"/>
  <c r="C499" i="10"/>
  <c r="B499" i="10"/>
  <c r="A499" i="10"/>
  <c r="E498" i="10"/>
  <c r="D498" i="10"/>
  <c r="C498" i="10"/>
  <c r="B498" i="10"/>
  <c r="A498" i="10"/>
  <c r="E497" i="10"/>
  <c r="D497" i="10"/>
  <c r="C497" i="10"/>
  <c r="B497" i="10"/>
  <c r="A497" i="10"/>
  <c r="E496" i="10"/>
  <c r="D496" i="10"/>
  <c r="C496" i="10"/>
  <c r="B496" i="10"/>
  <c r="A496" i="10"/>
  <c r="E495" i="10"/>
  <c r="D495" i="10"/>
  <c r="C495" i="10"/>
  <c r="B495" i="10"/>
  <c r="A495" i="10"/>
  <c r="E494" i="10"/>
  <c r="D494" i="10"/>
  <c r="C494" i="10"/>
  <c r="B494" i="10"/>
  <c r="A494" i="10"/>
  <c r="E493" i="10"/>
  <c r="D493" i="10"/>
  <c r="C493" i="10"/>
  <c r="B493" i="10"/>
  <c r="A493" i="10"/>
  <c r="E492" i="10"/>
  <c r="D492" i="10"/>
  <c r="C492" i="10"/>
  <c r="B492" i="10"/>
  <c r="A492" i="10"/>
  <c r="E491" i="10"/>
  <c r="D491" i="10"/>
  <c r="C491" i="10"/>
  <c r="B491" i="10"/>
  <c r="A491" i="10"/>
  <c r="E490" i="10"/>
  <c r="D490" i="10"/>
  <c r="C490" i="10"/>
  <c r="B490" i="10"/>
  <c r="A490" i="10"/>
  <c r="E489" i="10"/>
  <c r="D489" i="10"/>
  <c r="C489" i="10"/>
  <c r="B489" i="10"/>
  <c r="A489" i="10"/>
  <c r="E488" i="10"/>
  <c r="D488" i="10"/>
  <c r="C488" i="10"/>
  <c r="B488" i="10"/>
  <c r="A488" i="10"/>
  <c r="E487" i="10"/>
  <c r="D487" i="10"/>
  <c r="C487" i="10"/>
  <c r="B487" i="10"/>
  <c r="A487" i="10"/>
  <c r="E486" i="10"/>
  <c r="D486" i="10"/>
  <c r="C486" i="10"/>
  <c r="B486" i="10"/>
  <c r="A486" i="10"/>
  <c r="E485" i="10"/>
  <c r="D485" i="10"/>
  <c r="C485" i="10"/>
  <c r="B485" i="10"/>
  <c r="A485" i="10"/>
  <c r="E484" i="10"/>
  <c r="D484" i="10"/>
  <c r="C484" i="10"/>
  <c r="B484" i="10"/>
  <c r="A484" i="10"/>
  <c r="E483" i="10"/>
  <c r="D483" i="10"/>
  <c r="C483" i="10"/>
  <c r="B483" i="10"/>
  <c r="A483" i="10"/>
  <c r="E482" i="10"/>
  <c r="D482" i="10"/>
  <c r="C482" i="10"/>
  <c r="B482" i="10"/>
  <c r="A482" i="10"/>
  <c r="E481" i="10"/>
  <c r="D481" i="10"/>
  <c r="C481" i="10"/>
  <c r="B481" i="10"/>
  <c r="A481" i="10"/>
  <c r="E480" i="10"/>
  <c r="D480" i="10"/>
  <c r="C480" i="10"/>
  <c r="B480" i="10"/>
  <c r="A480" i="10"/>
  <c r="E479" i="10"/>
  <c r="D479" i="10"/>
  <c r="C479" i="10"/>
  <c r="B479" i="10"/>
  <c r="A479" i="10"/>
  <c r="E478" i="10"/>
  <c r="D478" i="10"/>
  <c r="C478" i="10"/>
  <c r="B478" i="10"/>
  <c r="A478" i="10"/>
  <c r="E477" i="10"/>
  <c r="D477" i="10"/>
  <c r="C477" i="10"/>
  <c r="B477" i="10"/>
  <c r="A477" i="10"/>
  <c r="E476" i="10"/>
  <c r="D476" i="10"/>
  <c r="C476" i="10"/>
  <c r="B476" i="10"/>
  <c r="A476" i="10"/>
  <c r="E475" i="10"/>
  <c r="D475" i="10"/>
  <c r="C475" i="10"/>
  <c r="B475" i="10"/>
  <c r="A475" i="10"/>
  <c r="E474" i="10"/>
  <c r="D474" i="10"/>
  <c r="C474" i="10"/>
  <c r="B474" i="10"/>
  <c r="A474" i="10"/>
  <c r="E473" i="10"/>
  <c r="D473" i="10"/>
  <c r="C473" i="10"/>
  <c r="B473" i="10"/>
  <c r="A473" i="10"/>
  <c r="E472" i="10"/>
  <c r="D472" i="10"/>
  <c r="C472" i="10"/>
  <c r="B472" i="10"/>
  <c r="A472" i="10"/>
  <c r="E471" i="10"/>
  <c r="D471" i="10"/>
  <c r="C471" i="10"/>
  <c r="B471" i="10"/>
  <c r="A471" i="10"/>
  <c r="E470" i="10"/>
  <c r="D470" i="10"/>
  <c r="C470" i="10"/>
  <c r="B470" i="10"/>
  <c r="A470" i="10"/>
  <c r="E469" i="10"/>
  <c r="D469" i="10"/>
  <c r="C469" i="10"/>
  <c r="B469" i="10"/>
  <c r="A469" i="10"/>
  <c r="E468" i="10"/>
  <c r="D468" i="10"/>
  <c r="C468" i="10"/>
  <c r="B468" i="10"/>
  <c r="A468" i="10"/>
  <c r="E467" i="10"/>
  <c r="D467" i="10"/>
  <c r="C467" i="10"/>
  <c r="B467" i="10"/>
  <c r="A467" i="10"/>
  <c r="E466" i="10"/>
  <c r="D466" i="10"/>
  <c r="C466" i="10"/>
  <c r="B466" i="10"/>
  <c r="A466" i="10"/>
  <c r="E465" i="10"/>
  <c r="D465" i="10"/>
  <c r="C465" i="10"/>
  <c r="B465" i="10"/>
  <c r="A465" i="10"/>
  <c r="E464" i="10"/>
  <c r="D464" i="10"/>
  <c r="C464" i="10"/>
  <c r="B464" i="10"/>
  <c r="A464" i="10"/>
  <c r="E463" i="10"/>
  <c r="D463" i="10"/>
  <c r="C463" i="10"/>
  <c r="B463" i="10"/>
  <c r="A463" i="10"/>
  <c r="E462" i="10"/>
  <c r="D462" i="10"/>
  <c r="C462" i="10"/>
  <c r="B462" i="10"/>
  <c r="A462" i="10"/>
  <c r="E461" i="10"/>
  <c r="D461" i="10"/>
  <c r="C461" i="10"/>
  <c r="B461" i="10"/>
  <c r="A461" i="10"/>
  <c r="E460" i="10"/>
  <c r="D460" i="10"/>
  <c r="C460" i="10"/>
  <c r="B460" i="10"/>
  <c r="A460" i="10"/>
  <c r="E459" i="10"/>
  <c r="D459" i="10"/>
  <c r="C459" i="10"/>
  <c r="B459" i="10"/>
  <c r="A459" i="10"/>
  <c r="E458" i="10"/>
  <c r="D458" i="10"/>
  <c r="C458" i="10"/>
  <c r="B458" i="10"/>
  <c r="A458" i="10"/>
  <c r="E457" i="10"/>
  <c r="D457" i="10"/>
  <c r="C457" i="10"/>
  <c r="B457" i="10"/>
  <c r="A457" i="10"/>
  <c r="E456" i="10"/>
  <c r="D456" i="10"/>
  <c r="C456" i="10"/>
  <c r="B456" i="10"/>
  <c r="A456" i="10"/>
  <c r="E455" i="10"/>
  <c r="D455" i="10"/>
  <c r="C455" i="10"/>
  <c r="B455" i="10"/>
  <c r="A455" i="10"/>
  <c r="E454" i="10"/>
  <c r="D454" i="10"/>
  <c r="C454" i="10"/>
  <c r="B454" i="10"/>
  <c r="A454" i="10"/>
  <c r="E453" i="10"/>
  <c r="D453" i="10"/>
  <c r="C453" i="10"/>
  <c r="B453" i="10"/>
  <c r="A453" i="10"/>
  <c r="E452" i="10"/>
  <c r="D452" i="10"/>
  <c r="C452" i="10"/>
  <c r="B452" i="10"/>
  <c r="A452" i="10"/>
  <c r="E451" i="10"/>
  <c r="D451" i="10"/>
  <c r="C451" i="10"/>
  <c r="B451" i="10"/>
  <c r="A451" i="10"/>
  <c r="E450" i="10"/>
  <c r="D450" i="10"/>
  <c r="C450" i="10"/>
  <c r="B450" i="10"/>
  <c r="A450" i="10"/>
  <c r="E449" i="10"/>
  <c r="D449" i="10"/>
  <c r="C449" i="10"/>
  <c r="B449" i="10"/>
  <c r="A449" i="10"/>
  <c r="E448" i="10"/>
  <c r="D448" i="10"/>
  <c r="C448" i="10"/>
  <c r="B448" i="10"/>
  <c r="A448" i="10"/>
  <c r="E447" i="10"/>
  <c r="D447" i="10"/>
  <c r="C447" i="10"/>
  <c r="B447" i="10"/>
  <c r="A447" i="10"/>
  <c r="E446" i="10"/>
  <c r="D446" i="10"/>
  <c r="C446" i="10"/>
  <c r="B446" i="10"/>
  <c r="A446" i="10"/>
  <c r="E445" i="10"/>
  <c r="D445" i="10"/>
  <c r="C445" i="10"/>
  <c r="B445" i="10"/>
  <c r="A445" i="10"/>
  <c r="E444" i="10"/>
  <c r="D444" i="10"/>
  <c r="C444" i="10"/>
  <c r="B444" i="10"/>
  <c r="A444" i="10"/>
  <c r="E443" i="10"/>
  <c r="D443" i="10"/>
  <c r="C443" i="10"/>
  <c r="B443" i="10"/>
  <c r="A443" i="10"/>
  <c r="E442" i="10"/>
  <c r="D442" i="10"/>
  <c r="C442" i="10"/>
  <c r="B442" i="10"/>
  <c r="A442" i="10"/>
  <c r="E441" i="10"/>
  <c r="D441" i="10"/>
  <c r="C441" i="10"/>
  <c r="B441" i="10"/>
  <c r="A441" i="10"/>
  <c r="E440" i="10"/>
  <c r="D440" i="10"/>
  <c r="C440" i="10"/>
  <c r="B440" i="10"/>
  <c r="A440" i="10"/>
  <c r="E439" i="10"/>
  <c r="D439" i="10"/>
  <c r="C439" i="10"/>
  <c r="B439" i="10"/>
  <c r="A439" i="10"/>
  <c r="E438" i="10"/>
  <c r="D438" i="10"/>
  <c r="C438" i="10"/>
  <c r="B438" i="10"/>
  <c r="A438" i="10"/>
  <c r="E437" i="10"/>
  <c r="D437" i="10"/>
  <c r="C437" i="10"/>
  <c r="B437" i="10"/>
  <c r="A437" i="10"/>
  <c r="E436" i="10"/>
  <c r="D436" i="10"/>
  <c r="C436" i="10"/>
  <c r="B436" i="10"/>
  <c r="A436" i="10"/>
  <c r="E435" i="10"/>
  <c r="D435" i="10"/>
  <c r="C435" i="10"/>
  <c r="B435" i="10"/>
  <c r="A435" i="10"/>
  <c r="E434" i="10"/>
  <c r="D434" i="10"/>
  <c r="C434" i="10"/>
  <c r="B434" i="10"/>
  <c r="A434" i="10"/>
  <c r="E433" i="10"/>
  <c r="D433" i="10"/>
  <c r="C433" i="10"/>
  <c r="B433" i="10"/>
  <c r="A433" i="10"/>
  <c r="E432" i="10"/>
  <c r="D432" i="10"/>
  <c r="C432" i="10"/>
  <c r="B432" i="10"/>
  <c r="A432" i="10"/>
  <c r="E431" i="10"/>
  <c r="D431" i="10"/>
  <c r="C431" i="10"/>
  <c r="B431" i="10"/>
  <c r="A431" i="10"/>
  <c r="E430" i="10"/>
  <c r="D430" i="10"/>
  <c r="C430" i="10"/>
  <c r="B430" i="10"/>
  <c r="A430" i="10"/>
  <c r="E429" i="10"/>
  <c r="D429" i="10"/>
  <c r="C429" i="10"/>
  <c r="B429" i="10"/>
  <c r="A429" i="10"/>
  <c r="E428" i="10"/>
  <c r="D428" i="10"/>
  <c r="C428" i="10"/>
  <c r="B428" i="10"/>
  <c r="A428" i="10"/>
  <c r="E427" i="10"/>
  <c r="D427" i="10"/>
  <c r="C427" i="10"/>
  <c r="B427" i="10"/>
  <c r="A427" i="10"/>
  <c r="E426" i="10"/>
  <c r="D426" i="10"/>
  <c r="C426" i="10"/>
  <c r="B426" i="10"/>
  <c r="A426" i="10"/>
  <c r="E425" i="10"/>
  <c r="D425" i="10"/>
  <c r="C425" i="10"/>
  <c r="B425" i="10"/>
  <c r="A425" i="10"/>
  <c r="E424" i="10"/>
  <c r="D424" i="10"/>
  <c r="C424" i="10"/>
  <c r="B424" i="10"/>
  <c r="A424" i="10"/>
  <c r="E423" i="10"/>
  <c r="D423" i="10"/>
  <c r="C423" i="10"/>
  <c r="B423" i="10"/>
  <c r="A423" i="10"/>
  <c r="E422" i="10"/>
  <c r="D422" i="10"/>
  <c r="C422" i="10"/>
  <c r="B422" i="10"/>
  <c r="A422" i="10"/>
  <c r="E421" i="10"/>
  <c r="D421" i="10"/>
  <c r="C421" i="10"/>
  <c r="B421" i="10"/>
  <c r="A421" i="10"/>
  <c r="E420" i="10"/>
  <c r="D420" i="10"/>
  <c r="C420" i="10"/>
  <c r="B420" i="10"/>
  <c r="A420" i="10"/>
  <c r="E419" i="10"/>
  <c r="D419" i="10"/>
  <c r="C419" i="10"/>
  <c r="B419" i="10"/>
  <c r="A419" i="10"/>
  <c r="E418" i="10"/>
  <c r="D418" i="10"/>
  <c r="C418" i="10"/>
  <c r="B418" i="10"/>
  <c r="A418" i="10"/>
  <c r="E417" i="10"/>
  <c r="D417" i="10"/>
  <c r="C417" i="10"/>
  <c r="B417" i="10"/>
  <c r="A417" i="10"/>
  <c r="E416" i="10"/>
  <c r="D416" i="10"/>
  <c r="C416" i="10"/>
  <c r="B416" i="10"/>
  <c r="A416" i="10"/>
  <c r="E415" i="10"/>
  <c r="D415" i="10"/>
  <c r="C415" i="10"/>
  <c r="B415" i="10"/>
  <c r="A415" i="10"/>
  <c r="E414" i="10"/>
  <c r="D414" i="10"/>
  <c r="C414" i="10"/>
  <c r="B414" i="10"/>
  <c r="A414" i="10"/>
  <c r="E413" i="10"/>
  <c r="D413" i="10"/>
  <c r="C413" i="10"/>
  <c r="B413" i="10"/>
  <c r="A413" i="10"/>
  <c r="E412" i="10"/>
  <c r="D412" i="10"/>
  <c r="C412" i="10"/>
  <c r="B412" i="10"/>
  <c r="A412" i="10"/>
  <c r="E411" i="10"/>
  <c r="D411" i="10"/>
  <c r="C411" i="10"/>
  <c r="B411" i="10"/>
  <c r="A411" i="10"/>
  <c r="E410" i="10"/>
  <c r="D410" i="10"/>
  <c r="C410" i="10"/>
  <c r="B410" i="10"/>
  <c r="A410" i="10"/>
  <c r="E409" i="10"/>
  <c r="D409" i="10"/>
  <c r="C409" i="10"/>
  <c r="B409" i="10"/>
  <c r="A409" i="10"/>
  <c r="E408" i="10"/>
  <c r="D408" i="10"/>
  <c r="C408" i="10"/>
  <c r="B408" i="10"/>
  <c r="A408" i="10"/>
  <c r="E407" i="10"/>
  <c r="D407" i="10"/>
  <c r="C407" i="10"/>
  <c r="B407" i="10"/>
  <c r="A407" i="10"/>
  <c r="E406" i="10"/>
  <c r="D406" i="10"/>
  <c r="C406" i="10"/>
  <c r="B406" i="10"/>
  <c r="A406" i="10"/>
  <c r="E405" i="10"/>
  <c r="D405" i="10"/>
  <c r="C405" i="10"/>
  <c r="B405" i="10"/>
  <c r="A405" i="10"/>
  <c r="E404" i="10"/>
  <c r="D404" i="10"/>
  <c r="C404" i="10"/>
  <c r="B404" i="10"/>
  <c r="A404" i="10"/>
  <c r="E403" i="10"/>
  <c r="D403" i="10"/>
  <c r="C403" i="10"/>
  <c r="B403" i="10"/>
  <c r="A403" i="10"/>
  <c r="E402" i="10"/>
  <c r="D402" i="10"/>
  <c r="C402" i="10"/>
  <c r="B402" i="10"/>
  <c r="A402" i="10"/>
  <c r="E401" i="10"/>
  <c r="D401" i="10"/>
  <c r="C401" i="10"/>
  <c r="B401" i="10"/>
  <c r="A401" i="10"/>
  <c r="E400" i="10"/>
  <c r="D400" i="10"/>
  <c r="C400" i="10"/>
  <c r="B400" i="10"/>
  <c r="A400" i="10"/>
  <c r="E399" i="10"/>
  <c r="D399" i="10"/>
  <c r="C399" i="10"/>
  <c r="B399" i="10"/>
  <c r="A399" i="10"/>
  <c r="E398" i="10"/>
  <c r="D398" i="10"/>
  <c r="C398" i="10"/>
  <c r="B398" i="10"/>
  <c r="A398" i="10"/>
  <c r="E397" i="10"/>
  <c r="D397" i="10"/>
  <c r="C397" i="10"/>
  <c r="B397" i="10"/>
  <c r="A397" i="10"/>
  <c r="E396" i="10"/>
  <c r="D396" i="10"/>
  <c r="C396" i="10"/>
  <c r="B396" i="10"/>
  <c r="A396" i="10"/>
  <c r="E395" i="10"/>
  <c r="D395" i="10"/>
  <c r="C395" i="10"/>
  <c r="B395" i="10"/>
  <c r="A395" i="10"/>
  <c r="E394" i="10"/>
  <c r="D394" i="10"/>
  <c r="C394" i="10"/>
  <c r="B394" i="10"/>
  <c r="A394" i="10"/>
  <c r="E393" i="10"/>
  <c r="D393" i="10"/>
  <c r="C393" i="10"/>
  <c r="B393" i="10"/>
  <c r="A393" i="10"/>
  <c r="E392" i="10"/>
  <c r="D392" i="10"/>
  <c r="C392" i="10"/>
  <c r="B392" i="10"/>
  <c r="A392" i="10"/>
  <c r="E391" i="10"/>
  <c r="D391" i="10"/>
  <c r="C391" i="10"/>
  <c r="B391" i="10"/>
  <c r="A391" i="10"/>
  <c r="E390" i="10"/>
  <c r="D390" i="10"/>
  <c r="C390" i="10"/>
  <c r="B390" i="10"/>
  <c r="A390" i="10"/>
  <c r="E389" i="10"/>
  <c r="D389" i="10"/>
  <c r="C389" i="10"/>
  <c r="B389" i="10"/>
  <c r="A389" i="10"/>
  <c r="E388" i="10"/>
  <c r="D388" i="10"/>
  <c r="C388" i="10"/>
  <c r="B388" i="10"/>
  <c r="A388" i="10"/>
  <c r="E387" i="10"/>
  <c r="D387" i="10"/>
  <c r="C387" i="10"/>
  <c r="B387" i="10"/>
  <c r="A387" i="10"/>
  <c r="E386" i="10"/>
  <c r="D386" i="10"/>
  <c r="C386" i="10"/>
  <c r="B386" i="10"/>
  <c r="A386" i="10"/>
  <c r="E385" i="10"/>
  <c r="D385" i="10"/>
  <c r="C385" i="10"/>
  <c r="B385" i="10"/>
  <c r="A385" i="10"/>
  <c r="E384" i="10"/>
  <c r="D384" i="10"/>
  <c r="C384" i="10"/>
  <c r="B384" i="10"/>
  <c r="A384" i="10"/>
  <c r="E383" i="10"/>
  <c r="D383" i="10"/>
  <c r="C383" i="10"/>
  <c r="B383" i="10"/>
  <c r="A383" i="10"/>
  <c r="E382" i="10"/>
  <c r="D382" i="10"/>
  <c r="C382" i="10"/>
  <c r="B382" i="10"/>
  <c r="A382" i="10"/>
  <c r="E381" i="10"/>
  <c r="D381" i="10"/>
  <c r="C381" i="10"/>
  <c r="B381" i="10"/>
  <c r="A381" i="10"/>
  <c r="E380" i="10"/>
  <c r="D380" i="10"/>
  <c r="C380" i="10"/>
  <c r="B380" i="10"/>
  <c r="A380" i="10"/>
  <c r="E379" i="10"/>
  <c r="D379" i="10"/>
  <c r="C379" i="10"/>
  <c r="B379" i="10"/>
  <c r="A379" i="10"/>
  <c r="E378" i="10"/>
  <c r="D378" i="10"/>
  <c r="C378" i="10"/>
  <c r="B378" i="10"/>
  <c r="A378" i="10"/>
  <c r="E377" i="10"/>
  <c r="D377" i="10"/>
  <c r="C377" i="10"/>
  <c r="B377" i="10"/>
  <c r="A377" i="10"/>
  <c r="E376" i="10"/>
  <c r="D376" i="10"/>
  <c r="C376" i="10"/>
  <c r="B376" i="10"/>
  <c r="A376" i="10"/>
  <c r="E375" i="10"/>
  <c r="D375" i="10"/>
  <c r="C375" i="10"/>
  <c r="B375" i="10"/>
  <c r="A375" i="10"/>
  <c r="E374" i="10"/>
  <c r="D374" i="10"/>
  <c r="C374" i="10"/>
  <c r="B374" i="10"/>
  <c r="A374" i="10"/>
  <c r="E373" i="10"/>
  <c r="D373" i="10"/>
  <c r="C373" i="10"/>
  <c r="B373" i="10"/>
  <c r="A373" i="10"/>
  <c r="E372" i="10"/>
  <c r="D372" i="10"/>
  <c r="C372" i="10"/>
  <c r="B372" i="10"/>
  <c r="A372" i="10"/>
  <c r="E371" i="10"/>
  <c r="D371" i="10"/>
  <c r="C371" i="10"/>
  <c r="B371" i="10"/>
  <c r="A371" i="10"/>
  <c r="E370" i="10"/>
  <c r="D370" i="10"/>
  <c r="C370" i="10"/>
  <c r="B370" i="10"/>
  <c r="A370" i="10"/>
  <c r="E369" i="10"/>
  <c r="D369" i="10"/>
  <c r="C369" i="10"/>
  <c r="B369" i="10"/>
  <c r="A369" i="10"/>
  <c r="E368" i="10"/>
  <c r="D368" i="10"/>
  <c r="C368" i="10"/>
  <c r="B368" i="10"/>
  <c r="A368" i="10"/>
  <c r="E367" i="10"/>
  <c r="D367" i="10"/>
  <c r="C367" i="10"/>
  <c r="B367" i="10"/>
  <c r="A367" i="10"/>
  <c r="E366" i="10"/>
  <c r="D366" i="10"/>
  <c r="C366" i="10"/>
  <c r="B366" i="10"/>
  <c r="A366" i="10"/>
  <c r="E365" i="10"/>
  <c r="D365" i="10"/>
  <c r="C365" i="10"/>
  <c r="B365" i="10"/>
  <c r="A365" i="10"/>
  <c r="E364" i="10"/>
  <c r="D364" i="10"/>
  <c r="C364" i="10"/>
  <c r="B364" i="10"/>
  <c r="A364" i="10"/>
  <c r="E363" i="10"/>
  <c r="D363" i="10"/>
  <c r="C363" i="10"/>
  <c r="B363" i="10"/>
  <c r="A363" i="10"/>
  <c r="E362" i="10"/>
  <c r="D362" i="10"/>
  <c r="C362" i="10"/>
  <c r="B362" i="10"/>
  <c r="A362" i="10"/>
  <c r="E361" i="10"/>
  <c r="D361" i="10"/>
  <c r="C361" i="10"/>
  <c r="B361" i="10"/>
  <c r="A361" i="10"/>
  <c r="E360" i="10"/>
  <c r="D360" i="10"/>
  <c r="C360" i="10"/>
  <c r="B360" i="10"/>
  <c r="A360" i="10"/>
  <c r="E359" i="10"/>
  <c r="D359" i="10"/>
  <c r="C359" i="10"/>
  <c r="B359" i="10"/>
  <c r="A359" i="10"/>
  <c r="E358" i="10"/>
  <c r="D358" i="10"/>
  <c r="C358" i="10"/>
  <c r="B358" i="10"/>
  <c r="A358" i="10"/>
  <c r="E357" i="10"/>
  <c r="D357" i="10"/>
  <c r="C357" i="10"/>
  <c r="B357" i="10"/>
  <c r="A357" i="10"/>
  <c r="E356" i="10"/>
  <c r="D356" i="10"/>
  <c r="C356" i="10"/>
  <c r="B356" i="10"/>
  <c r="A356" i="10"/>
  <c r="E355" i="10"/>
  <c r="D355" i="10"/>
  <c r="C355" i="10"/>
  <c r="B355" i="10"/>
  <c r="A355" i="10"/>
  <c r="E354" i="10"/>
  <c r="D354" i="10"/>
  <c r="C354" i="10"/>
  <c r="B354" i="10"/>
  <c r="A354" i="10"/>
  <c r="E353" i="10"/>
  <c r="D353" i="10"/>
  <c r="C353" i="10"/>
  <c r="B353" i="10"/>
  <c r="A353" i="10"/>
  <c r="E352" i="10"/>
  <c r="D352" i="10"/>
  <c r="C352" i="10"/>
  <c r="B352" i="10"/>
  <c r="A352" i="10"/>
  <c r="E351" i="10"/>
  <c r="D351" i="10"/>
  <c r="C351" i="10"/>
  <c r="B351" i="10"/>
  <c r="A351" i="10"/>
  <c r="E350" i="10"/>
  <c r="D350" i="10"/>
  <c r="C350" i="10"/>
  <c r="B350" i="10"/>
  <c r="A350" i="10"/>
  <c r="E349" i="10"/>
  <c r="D349" i="10"/>
  <c r="C349" i="10"/>
  <c r="B349" i="10"/>
  <c r="A349" i="10"/>
  <c r="E348" i="10"/>
  <c r="D348" i="10"/>
  <c r="C348" i="10"/>
  <c r="B348" i="10"/>
  <c r="A348" i="10"/>
  <c r="E347" i="10"/>
  <c r="D347" i="10"/>
  <c r="C347" i="10"/>
  <c r="B347" i="10"/>
  <c r="A347" i="10"/>
  <c r="E346" i="10"/>
  <c r="D346" i="10"/>
  <c r="C346" i="10"/>
  <c r="B346" i="10"/>
  <c r="A346" i="10"/>
  <c r="E345" i="10"/>
  <c r="D345" i="10"/>
  <c r="C345" i="10"/>
  <c r="B345" i="10"/>
  <c r="A345" i="10"/>
  <c r="E344" i="10"/>
  <c r="D344" i="10"/>
  <c r="C344" i="10"/>
  <c r="B344" i="10"/>
  <c r="A344" i="10"/>
  <c r="E343" i="10"/>
  <c r="D343" i="10"/>
  <c r="C343" i="10"/>
  <c r="B343" i="10"/>
  <c r="A343" i="10"/>
  <c r="E342" i="10"/>
  <c r="D342" i="10"/>
  <c r="C342" i="10"/>
  <c r="B342" i="10"/>
  <c r="A342" i="10"/>
  <c r="E341" i="10"/>
  <c r="D341" i="10"/>
  <c r="C341" i="10"/>
  <c r="B341" i="10"/>
  <c r="A341" i="10"/>
  <c r="E340" i="10"/>
  <c r="D340" i="10"/>
  <c r="C340" i="10"/>
  <c r="B340" i="10"/>
  <c r="A340" i="10"/>
  <c r="E339" i="10"/>
  <c r="D339" i="10"/>
  <c r="C339" i="10"/>
  <c r="B339" i="10"/>
  <c r="A339" i="10"/>
  <c r="E338" i="10"/>
  <c r="D338" i="10"/>
  <c r="C338" i="10"/>
  <c r="B338" i="10"/>
  <c r="A338" i="10"/>
  <c r="E337" i="10"/>
  <c r="D337" i="10"/>
  <c r="C337" i="10"/>
  <c r="B337" i="10"/>
  <c r="A337" i="10"/>
  <c r="E336" i="10"/>
  <c r="D336" i="10"/>
  <c r="C336" i="10"/>
  <c r="B336" i="10"/>
  <c r="A336" i="10"/>
  <c r="E335" i="10"/>
  <c r="D335" i="10"/>
  <c r="C335" i="10"/>
  <c r="B335" i="10"/>
  <c r="A335" i="10"/>
  <c r="E334" i="10"/>
  <c r="D334" i="10"/>
  <c r="C334" i="10"/>
  <c r="B334" i="10"/>
  <c r="A334" i="10"/>
  <c r="E333" i="10"/>
  <c r="D333" i="10"/>
  <c r="C333" i="10"/>
  <c r="B333" i="10"/>
  <c r="A333" i="10"/>
  <c r="E332" i="10"/>
  <c r="D332" i="10"/>
  <c r="C332" i="10"/>
  <c r="B332" i="10"/>
  <c r="A332" i="10"/>
  <c r="E331" i="10"/>
  <c r="D331" i="10"/>
  <c r="C331" i="10"/>
  <c r="B331" i="10"/>
  <c r="A331" i="10"/>
  <c r="E330" i="10"/>
  <c r="D330" i="10"/>
  <c r="C330" i="10"/>
  <c r="B330" i="10"/>
  <c r="A330" i="10"/>
  <c r="E329" i="10"/>
  <c r="D329" i="10"/>
  <c r="C329" i="10"/>
  <c r="B329" i="10"/>
  <c r="A329" i="10"/>
  <c r="E328" i="10"/>
  <c r="D328" i="10"/>
  <c r="C328" i="10"/>
  <c r="B328" i="10"/>
  <c r="A328" i="10"/>
  <c r="E327" i="10"/>
  <c r="D327" i="10"/>
  <c r="C327" i="10"/>
  <c r="B327" i="10"/>
  <c r="A327" i="10"/>
  <c r="E326" i="10"/>
  <c r="D326" i="10"/>
  <c r="C326" i="10"/>
  <c r="B326" i="10"/>
  <c r="A326" i="10"/>
  <c r="E325" i="10"/>
  <c r="D325" i="10"/>
  <c r="C325" i="10"/>
  <c r="B325" i="10"/>
  <c r="A325" i="10"/>
  <c r="E324" i="10"/>
  <c r="D324" i="10"/>
  <c r="C324" i="10"/>
  <c r="B324" i="10"/>
  <c r="A324" i="10"/>
  <c r="E323" i="10"/>
  <c r="D323" i="10"/>
  <c r="C323" i="10"/>
  <c r="B323" i="10"/>
  <c r="A323" i="10"/>
  <c r="E322" i="10"/>
  <c r="D322" i="10"/>
  <c r="C322" i="10"/>
  <c r="B322" i="10"/>
  <c r="A322" i="10"/>
  <c r="E321" i="10"/>
  <c r="D321" i="10"/>
  <c r="C321" i="10"/>
  <c r="B321" i="10"/>
  <c r="A321" i="10"/>
  <c r="E320" i="10"/>
  <c r="D320" i="10"/>
  <c r="C320" i="10"/>
  <c r="B320" i="10"/>
  <c r="A320" i="10"/>
  <c r="E319" i="10"/>
  <c r="D319" i="10"/>
  <c r="C319" i="10"/>
  <c r="B319" i="10"/>
  <c r="A319" i="10"/>
  <c r="E318" i="10"/>
  <c r="D318" i="10"/>
  <c r="C318" i="10"/>
  <c r="B318" i="10"/>
  <c r="A318" i="10"/>
  <c r="E317" i="10"/>
  <c r="D317" i="10"/>
  <c r="C317" i="10"/>
  <c r="B317" i="10"/>
  <c r="A317" i="10"/>
  <c r="E316" i="10"/>
  <c r="D316" i="10"/>
  <c r="C316" i="10"/>
  <c r="B316" i="10"/>
  <c r="A316" i="10"/>
  <c r="E315" i="10"/>
  <c r="D315" i="10"/>
  <c r="C315" i="10"/>
  <c r="B315" i="10"/>
  <c r="A315" i="10"/>
  <c r="E314" i="10"/>
  <c r="D314" i="10"/>
  <c r="C314" i="10"/>
  <c r="B314" i="10"/>
  <c r="A314" i="10"/>
  <c r="E313" i="10"/>
  <c r="D313" i="10"/>
  <c r="C313" i="10"/>
  <c r="B313" i="10"/>
  <c r="A313" i="10"/>
  <c r="E312" i="10"/>
  <c r="D312" i="10"/>
  <c r="C312" i="10"/>
  <c r="B312" i="10"/>
  <c r="A312" i="10"/>
  <c r="E311" i="10"/>
  <c r="D311" i="10"/>
  <c r="C311" i="10"/>
  <c r="B311" i="10"/>
  <c r="A311" i="10"/>
  <c r="E310" i="10"/>
  <c r="D310" i="10"/>
  <c r="C310" i="10"/>
  <c r="B310" i="10"/>
  <c r="A310" i="10"/>
  <c r="E309" i="10"/>
  <c r="D309" i="10"/>
  <c r="C309" i="10"/>
  <c r="B309" i="10"/>
  <c r="A309" i="10"/>
  <c r="E308" i="10"/>
  <c r="D308" i="10"/>
  <c r="C308" i="10"/>
  <c r="B308" i="10"/>
  <c r="A308" i="10"/>
  <c r="E307" i="10"/>
  <c r="D307" i="10"/>
  <c r="C307" i="10"/>
  <c r="B307" i="10"/>
  <c r="A307" i="10"/>
  <c r="E306" i="10"/>
  <c r="D306" i="10"/>
  <c r="C306" i="10"/>
  <c r="B306" i="10"/>
  <c r="A306" i="10"/>
  <c r="E305" i="10"/>
  <c r="D305" i="10"/>
  <c r="C305" i="10"/>
  <c r="B305" i="10"/>
  <c r="A305" i="10"/>
  <c r="E304" i="10"/>
  <c r="D304" i="10"/>
  <c r="C304" i="10"/>
  <c r="B304" i="10"/>
  <c r="A304" i="10"/>
  <c r="E303" i="10"/>
  <c r="D303" i="10"/>
  <c r="C303" i="10"/>
  <c r="B303" i="10"/>
  <c r="A303" i="10"/>
  <c r="E302" i="10"/>
  <c r="D302" i="10"/>
  <c r="C302" i="10"/>
  <c r="B302" i="10"/>
  <c r="A302" i="10"/>
  <c r="E301" i="10"/>
  <c r="D301" i="10"/>
  <c r="C301" i="10"/>
  <c r="B301" i="10"/>
  <c r="A301" i="10"/>
  <c r="E300" i="10"/>
  <c r="D300" i="10"/>
  <c r="C300" i="10"/>
  <c r="B300" i="10"/>
  <c r="A300" i="10"/>
  <c r="E299" i="10"/>
  <c r="D299" i="10"/>
  <c r="C299" i="10"/>
  <c r="B299" i="10"/>
  <c r="A299" i="10"/>
  <c r="E298" i="10"/>
  <c r="D298" i="10"/>
  <c r="C298" i="10"/>
  <c r="B298" i="10"/>
  <c r="A298" i="10"/>
  <c r="E297" i="10"/>
  <c r="D297" i="10"/>
  <c r="C297" i="10"/>
  <c r="B297" i="10"/>
  <c r="A297" i="10"/>
  <c r="E296" i="10"/>
  <c r="D296" i="10"/>
  <c r="C296" i="10"/>
  <c r="B296" i="10"/>
  <c r="A296" i="10"/>
  <c r="E295" i="10"/>
  <c r="D295" i="10"/>
  <c r="C295" i="10"/>
  <c r="B295" i="10"/>
  <c r="A295" i="10"/>
  <c r="E294" i="10"/>
  <c r="D294" i="10"/>
  <c r="C294" i="10"/>
  <c r="B294" i="10"/>
  <c r="A294" i="10"/>
  <c r="E293" i="10"/>
  <c r="D293" i="10"/>
  <c r="C293" i="10"/>
  <c r="B293" i="10"/>
  <c r="A293" i="10"/>
  <c r="E292" i="10"/>
  <c r="D292" i="10"/>
  <c r="C292" i="10"/>
  <c r="B292" i="10"/>
  <c r="A292" i="10"/>
  <c r="E291" i="10"/>
  <c r="D291" i="10"/>
  <c r="C291" i="10"/>
  <c r="B291" i="10"/>
  <c r="A291" i="10"/>
  <c r="E290" i="10"/>
  <c r="D290" i="10"/>
  <c r="C290" i="10"/>
  <c r="B290" i="10"/>
  <c r="A290" i="10"/>
  <c r="E289" i="10"/>
  <c r="D289" i="10"/>
  <c r="C289" i="10"/>
  <c r="B289" i="10"/>
  <c r="A289" i="10"/>
  <c r="E288" i="10"/>
  <c r="D288" i="10"/>
  <c r="C288" i="10"/>
  <c r="B288" i="10"/>
  <c r="A288" i="10"/>
  <c r="E287" i="10"/>
  <c r="D287" i="10"/>
  <c r="C287" i="10"/>
  <c r="B287" i="10"/>
  <c r="A287" i="10"/>
  <c r="E286" i="10"/>
  <c r="D286" i="10"/>
  <c r="C286" i="10"/>
  <c r="B286" i="10"/>
  <c r="A286" i="10"/>
  <c r="E285" i="10"/>
  <c r="D285" i="10"/>
  <c r="C285" i="10"/>
  <c r="B285" i="10"/>
  <c r="A285" i="10"/>
  <c r="E284" i="10"/>
  <c r="D284" i="10"/>
  <c r="C284" i="10"/>
  <c r="B284" i="10"/>
  <c r="A284" i="10"/>
  <c r="E283" i="10"/>
  <c r="D283" i="10"/>
  <c r="C283" i="10"/>
  <c r="B283" i="10"/>
  <c r="A283" i="10"/>
  <c r="E282" i="10"/>
  <c r="D282" i="10"/>
  <c r="C282" i="10"/>
  <c r="B282" i="10"/>
  <c r="A282" i="10"/>
  <c r="E281" i="10"/>
  <c r="D281" i="10"/>
  <c r="C281" i="10"/>
  <c r="B281" i="10"/>
  <c r="A281" i="10"/>
  <c r="E280" i="10"/>
  <c r="D280" i="10"/>
  <c r="C280" i="10"/>
  <c r="B280" i="10"/>
  <c r="A280" i="10"/>
  <c r="E279" i="10"/>
  <c r="D279" i="10"/>
  <c r="C279" i="10"/>
  <c r="B279" i="10"/>
  <c r="A279" i="10"/>
  <c r="E278" i="10"/>
  <c r="D278" i="10"/>
  <c r="C278" i="10"/>
  <c r="B278" i="10"/>
  <c r="A278" i="10"/>
  <c r="E277" i="10"/>
  <c r="D277" i="10"/>
  <c r="C277" i="10"/>
  <c r="B277" i="10"/>
  <c r="A277" i="10"/>
  <c r="E276" i="10"/>
  <c r="D276" i="10"/>
  <c r="C276" i="10"/>
  <c r="B276" i="10"/>
  <c r="A276" i="10"/>
  <c r="E275" i="10"/>
  <c r="D275" i="10"/>
  <c r="C275" i="10"/>
  <c r="B275" i="10"/>
  <c r="A275" i="10"/>
  <c r="E274" i="10"/>
  <c r="D274" i="10"/>
  <c r="C274" i="10"/>
  <c r="B274" i="10"/>
  <c r="A274" i="10"/>
  <c r="E273" i="10"/>
  <c r="D273" i="10"/>
  <c r="C273" i="10"/>
  <c r="B273" i="10"/>
  <c r="A273" i="10"/>
  <c r="E272" i="10"/>
  <c r="D272" i="10"/>
  <c r="C272" i="10"/>
  <c r="B272" i="10"/>
  <c r="A272" i="10"/>
  <c r="E271" i="10"/>
  <c r="D271" i="10"/>
  <c r="C271" i="10"/>
  <c r="B271" i="10"/>
  <c r="A271" i="10"/>
  <c r="E270" i="10"/>
  <c r="D270" i="10"/>
  <c r="C270" i="10"/>
  <c r="B270" i="10"/>
  <c r="A270" i="10"/>
  <c r="E269" i="10"/>
  <c r="D269" i="10"/>
  <c r="C269" i="10"/>
  <c r="B269" i="10"/>
  <c r="A269" i="10"/>
  <c r="E268" i="10"/>
  <c r="D268" i="10"/>
  <c r="C268" i="10"/>
  <c r="B268" i="10"/>
  <c r="A268" i="10"/>
  <c r="E267" i="10"/>
  <c r="D267" i="10"/>
  <c r="C267" i="10"/>
  <c r="B267" i="10"/>
  <c r="A267" i="10"/>
  <c r="E266" i="10"/>
  <c r="D266" i="10"/>
  <c r="C266" i="10"/>
  <c r="B266" i="10"/>
  <c r="A266" i="10"/>
  <c r="E265" i="10"/>
  <c r="D265" i="10"/>
  <c r="C265" i="10"/>
  <c r="B265" i="10"/>
  <c r="A265" i="10"/>
  <c r="E264" i="10"/>
  <c r="D264" i="10"/>
  <c r="C264" i="10"/>
  <c r="B264" i="10"/>
  <c r="A264" i="10"/>
  <c r="E263" i="10"/>
  <c r="D263" i="10"/>
  <c r="C263" i="10"/>
  <c r="B263" i="10"/>
  <c r="A263" i="10"/>
  <c r="E262" i="10"/>
  <c r="D262" i="10"/>
  <c r="C262" i="10"/>
  <c r="B262" i="10"/>
  <c r="A262" i="10"/>
  <c r="E261" i="10"/>
  <c r="D261" i="10"/>
  <c r="C261" i="10"/>
  <c r="B261" i="10"/>
  <c r="A261" i="10"/>
  <c r="E260" i="10"/>
  <c r="D260" i="10"/>
  <c r="C260" i="10"/>
  <c r="B260" i="10"/>
  <c r="A260" i="10"/>
  <c r="E259" i="10"/>
  <c r="D259" i="10"/>
  <c r="C259" i="10"/>
  <c r="B259" i="10"/>
  <c r="A259" i="10"/>
  <c r="E258" i="10"/>
  <c r="D258" i="10"/>
  <c r="C258" i="10"/>
  <c r="B258" i="10"/>
  <c r="A258" i="10"/>
  <c r="E257" i="10"/>
  <c r="D257" i="10"/>
  <c r="C257" i="10"/>
  <c r="B257" i="10"/>
  <c r="A257" i="10"/>
  <c r="E256" i="10"/>
  <c r="D256" i="10"/>
  <c r="C256" i="10"/>
  <c r="B256" i="10"/>
  <c r="A256" i="10"/>
  <c r="E255" i="10"/>
  <c r="D255" i="10"/>
  <c r="C255" i="10"/>
  <c r="B255" i="10"/>
  <c r="A255" i="10"/>
  <c r="E254" i="10"/>
  <c r="D254" i="10"/>
  <c r="C254" i="10"/>
  <c r="B254" i="10"/>
  <c r="A254" i="10"/>
  <c r="E253" i="10"/>
  <c r="D253" i="10"/>
  <c r="C253" i="10"/>
  <c r="B253" i="10"/>
  <c r="A253" i="10"/>
  <c r="E252" i="10"/>
  <c r="D252" i="10"/>
  <c r="C252" i="10"/>
  <c r="B252" i="10"/>
  <c r="A252" i="10"/>
  <c r="E251" i="10"/>
  <c r="D251" i="10"/>
  <c r="C251" i="10"/>
  <c r="B251" i="10"/>
  <c r="A251" i="10"/>
  <c r="E250" i="10"/>
  <c r="D250" i="10"/>
  <c r="C250" i="10"/>
  <c r="B250" i="10"/>
  <c r="A250" i="10"/>
  <c r="E249" i="10"/>
  <c r="D249" i="10"/>
  <c r="C249" i="10"/>
  <c r="B249" i="10"/>
  <c r="A249" i="10"/>
  <c r="E248" i="10"/>
  <c r="D248" i="10"/>
  <c r="C248" i="10"/>
  <c r="B248" i="10"/>
  <c r="A248" i="10"/>
  <c r="E247" i="10"/>
  <c r="D247" i="10"/>
  <c r="C247" i="10"/>
  <c r="B247" i="10"/>
  <c r="A247" i="10"/>
  <c r="E246" i="10"/>
  <c r="D246" i="10"/>
  <c r="C246" i="10"/>
  <c r="B246" i="10"/>
  <c r="A246" i="10"/>
  <c r="E245" i="10"/>
  <c r="D245" i="10"/>
  <c r="C245" i="10"/>
  <c r="B245" i="10"/>
  <c r="A245" i="10"/>
  <c r="E244" i="10"/>
  <c r="D244" i="10"/>
  <c r="C244" i="10"/>
  <c r="B244" i="10"/>
  <c r="A244" i="10"/>
  <c r="E243" i="10"/>
  <c r="D243" i="10"/>
  <c r="C243" i="10"/>
  <c r="B243" i="10"/>
  <c r="A243" i="10"/>
  <c r="E242" i="10"/>
  <c r="D242" i="10"/>
  <c r="C242" i="10"/>
  <c r="B242" i="10"/>
  <c r="A242" i="10"/>
  <c r="E241" i="10"/>
  <c r="D241" i="10"/>
  <c r="C241" i="10"/>
  <c r="B241" i="10"/>
  <c r="A241" i="10"/>
  <c r="E240" i="10"/>
  <c r="D240" i="10"/>
  <c r="C240" i="10"/>
  <c r="B240" i="10"/>
  <c r="A240" i="10"/>
  <c r="E239" i="10"/>
  <c r="D239" i="10"/>
  <c r="C239" i="10"/>
  <c r="B239" i="10"/>
  <c r="A239" i="10"/>
  <c r="E238" i="10"/>
  <c r="D238" i="10"/>
  <c r="C238" i="10"/>
  <c r="B238" i="10"/>
  <c r="A238" i="10"/>
  <c r="E237" i="10"/>
  <c r="D237" i="10"/>
  <c r="C237" i="10"/>
  <c r="B237" i="10"/>
  <c r="A237" i="10"/>
  <c r="E236" i="10"/>
  <c r="D236" i="10"/>
  <c r="C236" i="10"/>
  <c r="B236" i="10"/>
  <c r="A236" i="10"/>
  <c r="E235" i="10"/>
  <c r="D235" i="10"/>
  <c r="C235" i="10"/>
  <c r="B235" i="10"/>
  <c r="A235" i="10"/>
  <c r="E234" i="10"/>
  <c r="D234" i="10"/>
  <c r="C234" i="10"/>
  <c r="B234" i="10"/>
  <c r="A234" i="10"/>
  <c r="E233" i="10"/>
  <c r="D233" i="10"/>
  <c r="C233" i="10"/>
  <c r="B233" i="10"/>
  <c r="A233" i="10"/>
  <c r="E232" i="10"/>
  <c r="D232" i="10"/>
  <c r="C232" i="10"/>
  <c r="B232" i="10"/>
  <c r="A232" i="10"/>
  <c r="E231" i="10"/>
  <c r="D231" i="10"/>
  <c r="C231" i="10"/>
  <c r="B231" i="10"/>
  <c r="A231" i="10"/>
  <c r="E230" i="10"/>
  <c r="D230" i="10"/>
  <c r="C230" i="10"/>
  <c r="B230" i="10"/>
  <c r="A230" i="10"/>
  <c r="E229" i="10"/>
  <c r="D229" i="10"/>
  <c r="C229" i="10"/>
  <c r="B229" i="10"/>
  <c r="A229" i="10"/>
  <c r="E228" i="10"/>
  <c r="D228" i="10"/>
  <c r="C228" i="10"/>
  <c r="B228" i="10"/>
  <c r="A228" i="10"/>
  <c r="E227" i="10"/>
  <c r="D227" i="10"/>
  <c r="C227" i="10"/>
  <c r="B227" i="10"/>
  <c r="A227" i="10"/>
  <c r="E226" i="10"/>
  <c r="D226" i="10"/>
  <c r="C226" i="10"/>
  <c r="B226" i="10"/>
  <c r="A226" i="10"/>
  <c r="E225" i="10"/>
  <c r="D225" i="10"/>
  <c r="C225" i="10"/>
  <c r="B225" i="10"/>
  <c r="A225" i="10"/>
  <c r="E224" i="10"/>
  <c r="D224" i="10"/>
  <c r="C224" i="10"/>
  <c r="B224" i="10"/>
  <c r="A224" i="10"/>
  <c r="E223" i="10"/>
  <c r="D223" i="10"/>
  <c r="C223" i="10"/>
  <c r="B223" i="10"/>
  <c r="A223" i="10"/>
  <c r="E222" i="10"/>
  <c r="D222" i="10"/>
  <c r="C222" i="10"/>
  <c r="B222" i="10"/>
  <c r="A222" i="10"/>
  <c r="E221" i="10"/>
  <c r="D221" i="10"/>
  <c r="C221" i="10"/>
  <c r="B221" i="10"/>
  <c r="A221" i="10"/>
  <c r="E220" i="10"/>
  <c r="D220" i="10"/>
  <c r="C220" i="10"/>
  <c r="B220" i="10"/>
  <c r="A220" i="10"/>
  <c r="E219" i="10"/>
  <c r="D219" i="10"/>
  <c r="C219" i="10"/>
  <c r="B219" i="10"/>
  <c r="A219" i="10"/>
  <c r="E218" i="10"/>
  <c r="D218" i="10"/>
  <c r="C218" i="10"/>
  <c r="B218" i="10"/>
  <c r="A218" i="10"/>
  <c r="E217" i="10"/>
  <c r="D217" i="10"/>
  <c r="C217" i="10"/>
  <c r="B217" i="10"/>
  <c r="A217" i="10"/>
  <c r="E216" i="10"/>
  <c r="D216" i="10"/>
  <c r="C216" i="10"/>
  <c r="B216" i="10"/>
  <c r="A216" i="10"/>
  <c r="E215" i="10"/>
  <c r="D215" i="10"/>
  <c r="C215" i="10"/>
  <c r="B215" i="10"/>
  <c r="A215" i="10"/>
  <c r="E214" i="10"/>
  <c r="D214" i="10"/>
  <c r="C214" i="10"/>
  <c r="B214" i="10"/>
  <c r="A214" i="10"/>
  <c r="E213" i="10"/>
  <c r="D213" i="10"/>
  <c r="C213" i="10"/>
  <c r="B213" i="10"/>
  <c r="A213" i="10"/>
  <c r="E212" i="10"/>
  <c r="D212" i="10"/>
  <c r="C212" i="10"/>
  <c r="B212" i="10"/>
  <c r="A212" i="10"/>
  <c r="E211" i="10"/>
  <c r="D211" i="10"/>
  <c r="C211" i="10"/>
  <c r="B211" i="10"/>
  <c r="A211" i="10"/>
  <c r="E210" i="10"/>
  <c r="D210" i="10"/>
  <c r="C210" i="10"/>
  <c r="B210" i="10"/>
  <c r="A210" i="10"/>
  <c r="E209" i="10"/>
  <c r="D209" i="10"/>
  <c r="C209" i="10"/>
  <c r="B209" i="10"/>
  <c r="A209" i="10"/>
  <c r="E208" i="10"/>
  <c r="D208" i="10"/>
  <c r="C208" i="10"/>
  <c r="B208" i="10"/>
  <c r="A208" i="10"/>
  <c r="E207" i="10"/>
  <c r="D207" i="10"/>
  <c r="C207" i="10"/>
  <c r="B207" i="10"/>
  <c r="A207" i="10"/>
  <c r="E206" i="10"/>
  <c r="D206" i="10"/>
  <c r="C206" i="10"/>
  <c r="B206" i="10"/>
  <c r="A206" i="10"/>
  <c r="E205" i="10"/>
  <c r="D205" i="10"/>
  <c r="C205" i="10"/>
  <c r="B205" i="10"/>
  <c r="A205" i="10"/>
  <c r="E204" i="10"/>
  <c r="D204" i="10"/>
  <c r="C204" i="10"/>
  <c r="B204" i="10"/>
  <c r="A204" i="10"/>
  <c r="E203" i="10"/>
  <c r="D203" i="10"/>
  <c r="C203" i="10"/>
  <c r="B203" i="10"/>
  <c r="A203" i="10"/>
  <c r="E202" i="10"/>
  <c r="D202" i="10"/>
  <c r="C202" i="10"/>
  <c r="B202" i="10"/>
  <c r="A202" i="10"/>
  <c r="E201" i="10"/>
  <c r="D201" i="10"/>
  <c r="C201" i="10"/>
  <c r="B201" i="10"/>
  <c r="A201" i="10"/>
  <c r="E200" i="10"/>
  <c r="D200" i="10"/>
  <c r="C200" i="10"/>
  <c r="B200" i="10"/>
  <c r="A200" i="10"/>
  <c r="E199" i="10"/>
  <c r="D199" i="10"/>
  <c r="C199" i="10"/>
  <c r="B199" i="10"/>
  <c r="A199" i="10"/>
  <c r="E198" i="10"/>
  <c r="D198" i="10"/>
  <c r="C198" i="10"/>
  <c r="B198" i="10"/>
  <c r="A198" i="10"/>
  <c r="E197" i="10"/>
  <c r="D197" i="10"/>
  <c r="C197" i="10"/>
  <c r="B197" i="10"/>
  <c r="A197" i="10"/>
  <c r="E196" i="10"/>
  <c r="D196" i="10"/>
  <c r="C196" i="10"/>
  <c r="B196" i="10"/>
  <c r="A196" i="10"/>
  <c r="E195" i="10"/>
  <c r="D195" i="10"/>
  <c r="C195" i="10"/>
  <c r="B195" i="10"/>
  <c r="A195" i="10"/>
  <c r="E194" i="10"/>
  <c r="D194" i="10"/>
  <c r="C194" i="10"/>
  <c r="B194" i="10"/>
  <c r="A194" i="10"/>
  <c r="E193" i="10"/>
  <c r="D193" i="10"/>
  <c r="C193" i="10"/>
  <c r="B193" i="10"/>
  <c r="A193" i="10"/>
  <c r="E192" i="10"/>
  <c r="D192" i="10"/>
  <c r="C192" i="10"/>
  <c r="B192" i="10"/>
  <c r="A192" i="10"/>
  <c r="E191" i="10"/>
  <c r="D191" i="10"/>
  <c r="C191" i="10"/>
  <c r="B191" i="10"/>
  <c r="A191" i="10"/>
  <c r="E190" i="10"/>
  <c r="D190" i="10"/>
  <c r="C190" i="10"/>
  <c r="B190" i="10"/>
  <c r="A190" i="10"/>
  <c r="E189" i="10"/>
  <c r="D189" i="10"/>
  <c r="C189" i="10"/>
  <c r="B189" i="10"/>
  <c r="A189" i="10"/>
  <c r="E188" i="10"/>
  <c r="D188" i="10"/>
  <c r="C188" i="10"/>
  <c r="B188" i="10"/>
  <c r="A188" i="10"/>
  <c r="E187" i="10"/>
  <c r="D187" i="10"/>
  <c r="C187" i="10"/>
  <c r="B187" i="10"/>
  <c r="A187" i="10"/>
  <c r="E186" i="10"/>
  <c r="D186" i="10"/>
  <c r="C186" i="10"/>
  <c r="B186" i="10"/>
  <c r="A186" i="10"/>
  <c r="E185" i="10"/>
  <c r="D185" i="10"/>
  <c r="C185" i="10"/>
  <c r="B185" i="10"/>
  <c r="A185" i="10"/>
  <c r="E184" i="10"/>
  <c r="D184" i="10"/>
  <c r="C184" i="10"/>
  <c r="B184" i="10"/>
  <c r="A184" i="10"/>
  <c r="E183" i="10"/>
  <c r="D183" i="10"/>
  <c r="C183" i="10"/>
  <c r="B183" i="10"/>
  <c r="A183" i="10"/>
  <c r="E182" i="10"/>
  <c r="D182" i="10"/>
  <c r="C182" i="10"/>
  <c r="B182" i="10"/>
  <c r="A182" i="10"/>
  <c r="E181" i="10"/>
  <c r="D181" i="10"/>
  <c r="C181" i="10"/>
  <c r="B181" i="10"/>
  <c r="A181" i="10"/>
  <c r="E180" i="10"/>
  <c r="D180" i="10"/>
  <c r="C180" i="10"/>
  <c r="B180" i="10"/>
  <c r="A180" i="10"/>
  <c r="E179" i="10"/>
  <c r="D179" i="10"/>
  <c r="C179" i="10"/>
  <c r="B179" i="10"/>
  <c r="A179" i="10"/>
  <c r="E178" i="10"/>
  <c r="D178" i="10"/>
  <c r="C178" i="10"/>
  <c r="B178" i="10"/>
  <c r="A178" i="10"/>
  <c r="E177" i="10"/>
  <c r="D177" i="10"/>
  <c r="C177" i="10"/>
  <c r="B177" i="10"/>
  <c r="A177" i="10"/>
  <c r="E176" i="10"/>
  <c r="D176" i="10"/>
  <c r="C176" i="10"/>
  <c r="B176" i="10"/>
  <c r="A176" i="10"/>
  <c r="E175" i="10"/>
  <c r="D175" i="10"/>
  <c r="C175" i="10"/>
  <c r="B175" i="10"/>
  <c r="A175" i="10"/>
  <c r="E174" i="10"/>
  <c r="D174" i="10"/>
  <c r="C174" i="10"/>
  <c r="B174" i="10"/>
  <c r="A174" i="10"/>
  <c r="E173" i="10"/>
  <c r="D173" i="10"/>
  <c r="C173" i="10"/>
  <c r="B173" i="10"/>
  <c r="A173" i="10"/>
  <c r="E172" i="10"/>
  <c r="D172" i="10"/>
  <c r="C172" i="10"/>
  <c r="B172" i="10"/>
  <c r="A172" i="10"/>
  <c r="E171" i="10"/>
  <c r="D171" i="10"/>
  <c r="C171" i="10"/>
  <c r="B171" i="10"/>
  <c r="A171" i="10"/>
  <c r="E170" i="10"/>
  <c r="D170" i="10"/>
  <c r="C170" i="10"/>
  <c r="B170" i="10"/>
  <c r="A170" i="10"/>
  <c r="E169" i="10"/>
  <c r="D169" i="10"/>
  <c r="C169" i="10"/>
  <c r="B169" i="10"/>
  <c r="A169" i="10"/>
  <c r="E168" i="10"/>
  <c r="D168" i="10"/>
  <c r="C168" i="10"/>
  <c r="B168" i="10"/>
  <c r="A168" i="10"/>
  <c r="E167" i="10"/>
  <c r="D167" i="10"/>
  <c r="C167" i="10"/>
  <c r="B167" i="10"/>
  <c r="A167" i="10"/>
  <c r="E166" i="10"/>
  <c r="D166" i="10"/>
  <c r="C166" i="10"/>
  <c r="B166" i="10"/>
  <c r="A166" i="10"/>
  <c r="E165" i="10"/>
  <c r="D165" i="10"/>
  <c r="C165" i="10"/>
  <c r="B165" i="10"/>
  <c r="A165" i="10"/>
  <c r="E164" i="10"/>
  <c r="D164" i="10"/>
  <c r="C164" i="10"/>
  <c r="B164" i="10"/>
  <c r="A164" i="10"/>
  <c r="E163" i="10"/>
  <c r="D163" i="10"/>
  <c r="C163" i="10"/>
  <c r="B163" i="10"/>
  <c r="A163" i="10"/>
  <c r="E162" i="10"/>
  <c r="D162" i="10"/>
  <c r="C162" i="10"/>
  <c r="B162" i="10"/>
  <c r="A162" i="10"/>
  <c r="E161" i="10"/>
  <c r="D161" i="10"/>
  <c r="C161" i="10"/>
  <c r="B161" i="10"/>
  <c r="A161" i="10"/>
  <c r="E160" i="10"/>
  <c r="D160" i="10"/>
  <c r="C160" i="10"/>
  <c r="B160" i="10"/>
  <c r="A160" i="10"/>
  <c r="E159" i="10"/>
  <c r="D159" i="10"/>
  <c r="C159" i="10"/>
  <c r="B159" i="10"/>
  <c r="A159" i="10"/>
  <c r="E158" i="10"/>
  <c r="D158" i="10"/>
  <c r="C158" i="10"/>
  <c r="B158" i="10"/>
  <c r="A158" i="10"/>
  <c r="E157" i="10"/>
  <c r="D157" i="10"/>
  <c r="C157" i="10"/>
  <c r="B157" i="10"/>
  <c r="A157" i="10"/>
  <c r="E156" i="10"/>
  <c r="D156" i="10"/>
  <c r="C156" i="10"/>
  <c r="B156" i="10"/>
  <c r="A156" i="10"/>
  <c r="E155" i="10"/>
  <c r="D155" i="10"/>
  <c r="C155" i="10"/>
  <c r="B155" i="10"/>
  <c r="A155" i="10"/>
  <c r="E154" i="10"/>
  <c r="D154" i="10"/>
  <c r="C154" i="10"/>
  <c r="B154" i="10"/>
  <c r="A154" i="10"/>
  <c r="E153" i="10"/>
  <c r="D153" i="10"/>
  <c r="C153" i="10"/>
  <c r="B153" i="10"/>
  <c r="A153" i="10"/>
  <c r="E152" i="10"/>
  <c r="D152" i="10"/>
  <c r="C152" i="10"/>
  <c r="B152" i="10"/>
  <c r="A152" i="10"/>
  <c r="E151" i="10"/>
  <c r="D151" i="10"/>
  <c r="C151" i="10"/>
  <c r="B151" i="10"/>
  <c r="A151" i="10"/>
  <c r="E150" i="10"/>
  <c r="D150" i="10"/>
  <c r="C150" i="10"/>
  <c r="B150" i="10"/>
  <c r="A150" i="10"/>
  <c r="E149" i="10"/>
  <c r="D149" i="10"/>
  <c r="C149" i="10"/>
  <c r="B149" i="10"/>
  <c r="A149" i="10"/>
  <c r="E148" i="10"/>
  <c r="D148" i="10"/>
  <c r="C148" i="10"/>
  <c r="B148" i="10"/>
  <c r="A148" i="10"/>
  <c r="E147" i="10"/>
  <c r="D147" i="10"/>
  <c r="C147" i="10"/>
  <c r="B147" i="10"/>
  <c r="A147" i="10"/>
  <c r="E146" i="10"/>
  <c r="D146" i="10"/>
  <c r="C146" i="10"/>
  <c r="B146" i="10"/>
  <c r="A146" i="10"/>
  <c r="E145" i="10"/>
  <c r="D145" i="10"/>
  <c r="C145" i="10"/>
  <c r="B145" i="10"/>
  <c r="A145" i="10"/>
  <c r="E144" i="10"/>
  <c r="D144" i="10"/>
  <c r="C144" i="10"/>
  <c r="B144" i="10"/>
  <c r="A144" i="10"/>
  <c r="E143" i="10"/>
  <c r="D143" i="10"/>
  <c r="C143" i="10"/>
  <c r="B143" i="10"/>
  <c r="A143" i="10"/>
  <c r="E142" i="10"/>
  <c r="D142" i="10"/>
  <c r="C142" i="10"/>
  <c r="B142" i="10"/>
  <c r="A142" i="10"/>
  <c r="E141" i="10"/>
  <c r="D141" i="10"/>
  <c r="C141" i="10"/>
  <c r="B141" i="10"/>
  <c r="A141" i="10"/>
  <c r="E140" i="10"/>
  <c r="D140" i="10"/>
  <c r="C140" i="10"/>
  <c r="B140" i="10"/>
  <c r="A140" i="10"/>
  <c r="E139" i="10"/>
  <c r="D139" i="10"/>
  <c r="C139" i="10"/>
  <c r="B139" i="10"/>
  <c r="A139" i="10"/>
  <c r="E138" i="10"/>
  <c r="D138" i="10"/>
  <c r="C138" i="10"/>
  <c r="B138" i="10"/>
  <c r="A138" i="10"/>
  <c r="E137" i="10"/>
  <c r="D137" i="10"/>
  <c r="C137" i="10"/>
  <c r="B137" i="10"/>
  <c r="A137" i="10"/>
  <c r="E136" i="10"/>
  <c r="D136" i="10"/>
  <c r="C136" i="10"/>
  <c r="B136" i="10"/>
  <c r="A136" i="10"/>
  <c r="E135" i="10"/>
  <c r="D135" i="10"/>
  <c r="C135" i="10"/>
  <c r="B135" i="10"/>
  <c r="A135" i="10"/>
  <c r="E134" i="10"/>
  <c r="D134" i="10"/>
  <c r="C134" i="10"/>
  <c r="B134" i="10"/>
  <c r="A134" i="10"/>
  <c r="E133" i="10"/>
  <c r="D133" i="10"/>
  <c r="C133" i="10"/>
  <c r="B133" i="10"/>
  <c r="A133" i="10"/>
  <c r="E132" i="10"/>
  <c r="D132" i="10"/>
  <c r="C132" i="10"/>
  <c r="B132" i="10"/>
  <c r="A132" i="10"/>
  <c r="E131" i="10"/>
  <c r="D131" i="10"/>
  <c r="C131" i="10"/>
  <c r="B131" i="10"/>
  <c r="A131" i="10"/>
  <c r="E130" i="10"/>
  <c r="D130" i="10"/>
  <c r="C130" i="10"/>
  <c r="B130" i="10"/>
  <c r="A130" i="10"/>
  <c r="E129" i="10"/>
  <c r="D129" i="10"/>
  <c r="C129" i="10"/>
  <c r="B129" i="10"/>
  <c r="A129" i="10"/>
  <c r="E128" i="10"/>
  <c r="D128" i="10"/>
  <c r="C128" i="10"/>
  <c r="B128" i="10"/>
  <c r="A128" i="10"/>
  <c r="E127" i="10"/>
  <c r="D127" i="10"/>
  <c r="C127" i="10"/>
  <c r="B127" i="10"/>
  <c r="A127" i="10"/>
  <c r="E126" i="10"/>
  <c r="D126" i="10"/>
  <c r="C126" i="10"/>
  <c r="B126" i="10"/>
  <c r="A126" i="10"/>
  <c r="E125" i="10"/>
  <c r="D125" i="10"/>
  <c r="C125" i="10"/>
  <c r="B125" i="10"/>
  <c r="A125" i="10"/>
  <c r="E124" i="10"/>
  <c r="D124" i="10"/>
  <c r="C124" i="10"/>
  <c r="B124" i="10"/>
  <c r="A124" i="10"/>
  <c r="E123" i="10"/>
  <c r="D123" i="10"/>
  <c r="C123" i="10"/>
  <c r="B123" i="10"/>
  <c r="A123" i="10"/>
  <c r="E122" i="10"/>
  <c r="D122" i="10"/>
  <c r="C122" i="10"/>
  <c r="B122" i="10"/>
  <c r="A122" i="10"/>
  <c r="E121" i="10"/>
  <c r="D121" i="10"/>
  <c r="C121" i="10"/>
  <c r="B121" i="10"/>
  <c r="A121" i="10"/>
  <c r="E120" i="10"/>
  <c r="D120" i="10"/>
  <c r="C120" i="10"/>
  <c r="B120" i="10"/>
  <c r="A120" i="10"/>
  <c r="E119" i="10"/>
  <c r="D119" i="10"/>
  <c r="C119" i="10"/>
  <c r="B119" i="10"/>
  <c r="A119" i="10"/>
  <c r="E118" i="10"/>
  <c r="D118" i="10"/>
  <c r="C118" i="10"/>
  <c r="B118" i="10"/>
  <c r="A118" i="10"/>
  <c r="E117" i="10"/>
  <c r="D117" i="10"/>
  <c r="C117" i="10"/>
  <c r="B117" i="10"/>
  <c r="A117" i="10"/>
  <c r="E116" i="10"/>
  <c r="D116" i="10"/>
  <c r="C116" i="10"/>
  <c r="B116" i="10"/>
  <c r="A116" i="10"/>
  <c r="E115" i="10"/>
  <c r="D115" i="10"/>
  <c r="C115" i="10"/>
  <c r="B115" i="10"/>
  <c r="A115" i="10"/>
  <c r="E114" i="10"/>
  <c r="D114" i="10"/>
  <c r="C114" i="10"/>
  <c r="B114" i="10"/>
  <c r="A114" i="10"/>
  <c r="E113" i="10"/>
  <c r="D113" i="10"/>
  <c r="C113" i="10"/>
  <c r="B113" i="10"/>
  <c r="A113" i="10"/>
  <c r="E112" i="10"/>
  <c r="D112" i="10"/>
  <c r="C112" i="10"/>
  <c r="B112" i="10"/>
  <c r="A112" i="10"/>
  <c r="E111" i="10"/>
  <c r="D111" i="10"/>
  <c r="C111" i="10"/>
  <c r="B111" i="10"/>
  <c r="A111" i="10"/>
  <c r="E110" i="10"/>
  <c r="D110" i="10"/>
  <c r="C110" i="10"/>
  <c r="B110" i="10"/>
  <c r="A110" i="10"/>
  <c r="E109" i="10"/>
  <c r="D109" i="10"/>
  <c r="C109" i="10"/>
  <c r="B109" i="10"/>
  <c r="A109" i="10"/>
  <c r="E108" i="10"/>
  <c r="D108" i="10"/>
  <c r="C108" i="10"/>
  <c r="B108" i="10"/>
  <c r="A108" i="10"/>
  <c r="E107" i="10"/>
  <c r="D107" i="10"/>
  <c r="C107" i="10"/>
  <c r="B107" i="10"/>
  <c r="A107" i="10"/>
  <c r="E106" i="10"/>
  <c r="D106" i="10"/>
  <c r="C106" i="10"/>
  <c r="B106" i="10"/>
  <c r="A106" i="10"/>
  <c r="E105" i="10"/>
  <c r="D105" i="10"/>
  <c r="C105" i="10"/>
  <c r="B105" i="10"/>
  <c r="A105" i="10"/>
  <c r="E104" i="10"/>
  <c r="D104" i="10"/>
  <c r="C104" i="10"/>
  <c r="B104" i="10"/>
  <c r="A104" i="10"/>
  <c r="E103" i="10"/>
  <c r="D103" i="10"/>
  <c r="C103" i="10"/>
  <c r="B103" i="10"/>
  <c r="A103" i="10"/>
  <c r="E102" i="10"/>
  <c r="D102" i="10"/>
  <c r="C102" i="10"/>
  <c r="B102" i="10"/>
  <c r="A102" i="10"/>
  <c r="E101" i="10"/>
  <c r="D101" i="10"/>
  <c r="C101" i="10"/>
  <c r="B101" i="10"/>
  <c r="A101" i="10"/>
  <c r="E100" i="10"/>
  <c r="D100" i="10"/>
  <c r="C100" i="10"/>
  <c r="B100" i="10"/>
  <c r="A100" i="10"/>
  <c r="E99" i="10"/>
  <c r="D99" i="10"/>
  <c r="C99" i="10"/>
  <c r="B99" i="10"/>
  <c r="A99" i="10"/>
  <c r="E98" i="10"/>
  <c r="D98" i="10"/>
  <c r="C98" i="10"/>
  <c r="B98" i="10"/>
  <c r="A98" i="10"/>
  <c r="E97" i="10"/>
  <c r="D97" i="10"/>
  <c r="C97" i="10"/>
  <c r="B97" i="10"/>
  <c r="A97" i="10"/>
  <c r="E96" i="10"/>
  <c r="D96" i="10"/>
  <c r="C96" i="10"/>
  <c r="B96" i="10"/>
  <c r="A96" i="10"/>
  <c r="E95" i="10"/>
  <c r="D95" i="10"/>
  <c r="C95" i="10"/>
  <c r="B95" i="10"/>
  <c r="A95" i="10"/>
  <c r="E94" i="10"/>
  <c r="D94" i="10"/>
  <c r="C94" i="10"/>
  <c r="B94" i="10"/>
  <c r="A94" i="10"/>
  <c r="E93" i="10"/>
  <c r="D93" i="10"/>
  <c r="C93" i="10"/>
  <c r="B93" i="10"/>
  <c r="A93" i="10"/>
  <c r="E92" i="10"/>
  <c r="D92" i="10"/>
  <c r="C92" i="10"/>
  <c r="B92" i="10"/>
  <c r="A92" i="10"/>
  <c r="E91" i="10"/>
  <c r="D91" i="10"/>
  <c r="C91" i="10"/>
  <c r="B91" i="10"/>
  <c r="A91" i="10"/>
  <c r="E90" i="10"/>
  <c r="D90" i="10"/>
  <c r="C90" i="10"/>
  <c r="B90" i="10"/>
  <c r="A90" i="10"/>
  <c r="E89" i="10"/>
  <c r="D89" i="10"/>
  <c r="C89" i="10"/>
  <c r="B89" i="10"/>
  <c r="A89" i="10"/>
  <c r="E88" i="10"/>
  <c r="D88" i="10"/>
  <c r="C88" i="10"/>
  <c r="B88" i="10"/>
  <c r="A88" i="10"/>
  <c r="E87" i="10"/>
  <c r="D87" i="10"/>
  <c r="C87" i="10"/>
  <c r="B87" i="10"/>
  <c r="A87" i="10"/>
  <c r="E86" i="10"/>
  <c r="D86" i="10"/>
  <c r="C86" i="10"/>
  <c r="B86" i="10"/>
  <c r="A86" i="10"/>
  <c r="E85" i="10"/>
  <c r="D85" i="10"/>
  <c r="C85" i="10"/>
  <c r="B85" i="10"/>
  <c r="A85" i="10"/>
  <c r="E84" i="10"/>
  <c r="D84" i="10"/>
  <c r="C84" i="10"/>
  <c r="B84" i="10"/>
  <c r="A84" i="10"/>
  <c r="E83" i="10"/>
  <c r="D83" i="10"/>
  <c r="C83" i="10"/>
  <c r="B83" i="10"/>
  <c r="A83" i="10"/>
  <c r="E82" i="10"/>
  <c r="D82" i="10"/>
  <c r="C82" i="10"/>
  <c r="B82" i="10"/>
  <c r="A82" i="10"/>
  <c r="E81" i="10"/>
  <c r="D81" i="10"/>
  <c r="C81" i="10"/>
  <c r="B81" i="10"/>
  <c r="A81" i="10"/>
  <c r="E80" i="10"/>
  <c r="D80" i="10"/>
  <c r="C80" i="10"/>
  <c r="B80" i="10"/>
  <c r="A80" i="10"/>
  <c r="E79" i="10"/>
  <c r="D79" i="10"/>
  <c r="C79" i="10"/>
  <c r="B79" i="10"/>
  <c r="A79" i="10"/>
  <c r="E78" i="10"/>
  <c r="D78" i="10"/>
  <c r="C78" i="10"/>
  <c r="B78" i="10"/>
  <c r="A78" i="10"/>
  <c r="E77" i="10"/>
  <c r="D77" i="10"/>
  <c r="C77" i="10"/>
  <c r="B77" i="10"/>
  <c r="A77" i="10"/>
  <c r="E76" i="10"/>
  <c r="D76" i="10"/>
  <c r="C76" i="10"/>
  <c r="B76" i="10"/>
  <c r="A76" i="10"/>
  <c r="E75" i="10"/>
  <c r="D75" i="10"/>
  <c r="C75" i="10"/>
  <c r="B75" i="10"/>
  <c r="A75" i="10"/>
  <c r="E74" i="10"/>
  <c r="D74" i="10"/>
  <c r="C74" i="10"/>
  <c r="B74" i="10"/>
  <c r="A74" i="10"/>
  <c r="E73" i="10"/>
  <c r="D73" i="10"/>
  <c r="C73" i="10"/>
  <c r="B73" i="10"/>
  <c r="A73" i="10"/>
  <c r="E72" i="10"/>
  <c r="D72" i="10"/>
  <c r="C72" i="10"/>
  <c r="B72" i="10"/>
  <c r="A72" i="10"/>
  <c r="E71" i="10"/>
  <c r="D71" i="10"/>
  <c r="C71" i="10"/>
  <c r="B71" i="10"/>
  <c r="A71" i="10"/>
  <c r="E70" i="10"/>
  <c r="D70" i="10"/>
  <c r="C70" i="10"/>
  <c r="B70" i="10"/>
  <c r="A70" i="10"/>
  <c r="E69" i="10"/>
  <c r="D69" i="10"/>
  <c r="C69" i="10"/>
  <c r="B69" i="10"/>
  <c r="A69" i="10"/>
  <c r="E68" i="10"/>
  <c r="D68" i="10"/>
  <c r="C68" i="10"/>
  <c r="B68" i="10"/>
  <c r="A68" i="10"/>
  <c r="E67" i="10"/>
  <c r="D67" i="10"/>
  <c r="C67" i="10"/>
  <c r="B67" i="10"/>
  <c r="A67" i="10"/>
  <c r="E66" i="10"/>
  <c r="D66" i="10"/>
  <c r="C66" i="10"/>
  <c r="B66" i="10"/>
  <c r="A66" i="10"/>
  <c r="E65" i="10"/>
  <c r="D65" i="10"/>
  <c r="C65" i="10"/>
  <c r="B65" i="10"/>
  <c r="A65" i="10"/>
  <c r="E64" i="10"/>
  <c r="D64" i="10"/>
  <c r="C64" i="10"/>
  <c r="B64" i="10"/>
  <c r="A64" i="10"/>
  <c r="E63" i="10"/>
  <c r="D63" i="10"/>
  <c r="C63" i="10"/>
  <c r="B63" i="10"/>
  <c r="A63" i="10"/>
  <c r="E62" i="10"/>
  <c r="D62" i="10"/>
  <c r="C62" i="10"/>
  <c r="B62" i="10"/>
  <c r="A62" i="10"/>
  <c r="E61" i="10"/>
  <c r="D61" i="10"/>
  <c r="C61" i="10"/>
  <c r="B61" i="10"/>
  <c r="A61" i="10"/>
  <c r="E60" i="10"/>
  <c r="D60" i="10"/>
  <c r="C60" i="10"/>
  <c r="B60" i="10"/>
  <c r="A60" i="10"/>
  <c r="E59" i="10"/>
  <c r="D59" i="10"/>
  <c r="C59" i="10"/>
  <c r="B59" i="10"/>
  <c r="A59" i="10"/>
  <c r="E58" i="10"/>
  <c r="D58" i="10"/>
  <c r="C58" i="10"/>
  <c r="B58" i="10"/>
  <c r="A58" i="10"/>
  <c r="E57" i="10"/>
  <c r="D57" i="10"/>
  <c r="C57" i="10"/>
  <c r="B57" i="10"/>
  <c r="A57" i="10"/>
  <c r="E56" i="10"/>
  <c r="D56" i="10"/>
  <c r="C56" i="10"/>
  <c r="B56" i="10"/>
  <c r="A56" i="10"/>
  <c r="E55" i="10"/>
  <c r="D55" i="10"/>
  <c r="C55" i="10"/>
  <c r="B55" i="10"/>
  <c r="A55" i="10"/>
  <c r="E54" i="10"/>
  <c r="D54" i="10"/>
  <c r="C54" i="10"/>
  <c r="B54" i="10"/>
  <c r="A54" i="10"/>
  <c r="E53" i="10"/>
  <c r="D53" i="10"/>
  <c r="C53" i="10"/>
  <c r="B53" i="10"/>
  <c r="A53" i="10"/>
  <c r="E52" i="10"/>
  <c r="D52" i="10"/>
  <c r="C52" i="10"/>
  <c r="B52" i="10"/>
  <c r="A52" i="10"/>
  <c r="E51" i="10"/>
  <c r="D51" i="10"/>
  <c r="C51" i="10"/>
  <c r="B51" i="10"/>
  <c r="A51" i="10"/>
  <c r="E50" i="10"/>
  <c r="D50" i="10"/>
  <c r="C50" i="10"/>
  <c r="B50" i="10"/>
  <c r="A50" i="10"/>
  <c r="E49" i="10"/>
  <c r="D49" i="10"/>
  <c r="C49" i="10"/>
  <c r="B49" i="10"/>
  <c r="A49" i="10"/>
  <c r="E48" i="10"/>
  <c r="D48" i="10"/>
  <c r="C48" i="10"/>
  <c r="B48" i="10"/>
  <c r="A48" i="10"/>
  <c r="E47" i="10"/>
  <c r="D47" i="10"/>
  <c r="C47" i="10"/>
  <c r="B47" i="10"/>
  <c r="A47" i="10"/>
  <c r="E46" i="10"/>
  <c r="D46" i="10"/>
  <c r="C46" i="10"/>
  <c r="B46" i="10"/>
  <c r="A46" i="10"/>
  <c r="E45" i="10"/>
  <c r="D45" i="10"/>
  <c r="C45" i="10"/>
  <c r="B45" i="10"/>
  <c r="A45" i="10"/>
  <c r="E44" i="10"/>
  <c r="D44" i="10"/>
  <c r="C44" i="10"/>
  <c r="B44" i="10"/>
  <c r="A44" i="10"/>
  <c r="E43" i="10"/>
  <c r="D43" i="10"/>
  <c r="C43" i="10"/>
  <c r="B43" i="10"/>
  <c r="A43" i="10"/>
  <c r="E42" i="10"/>
  <c r="D42" i="10"/>
  <c r="C42" i="10"/>
  <c r="B42" i="10"/>
  <c r="A42" i="10"/>
  <c r="E41" i="10"/>
  <c r="D41" i="10"/>
  <c r="C41" i="10"/>
  <c r="B41" i="10"/>
  <c r="A41" i="10"/>
  <c r="E40" i="10"/>
  <c r="D40" i="10"/>
  <c r="C40" i="10"/>
  <c r="B40" i="10"/>
  <c r="A40" i="10"/>
  <c r="E39" i="10"/>
  <c r="D39" i="10"/>
  <c r="C39" i="10"/>
  <c r="B39" i="10"/>
  <c r="A39" i="10"/>
  <c r="E38" i="10"/>
  <c r="D38" i="10"/>
  <c r="C38" i="10"/>
  <c r="B38" i="10"/>
  <c r="A38" i="10"/>
  <c r="E37" i="10"/>
  <c r="D37" i="10"/>
  <c r="C37" i="10"/>
  <c r="B37" i="10"/>
  <c r="A37" i="10"/>
  <c r="E36" i="10"/>
  <c r="D36" i="10"/>
  <c r="C36" i="10"/>
  <c r="B36" i="10"/>
  <c r="A36" i="10"/>
  <c r="E35" i="10"/>
  <c r="D35" i="10"/>
  <c r="C35" i="10"/>
  <c r="B35" i="10"/>
  <c r="A35" i="10"/>
  <c r="E34" i="10"/>
  <c r="D34" i="10"/>
  <c r="C34" i="10"/>
  <c r="B34" i="10"/>
  <c r="A34" i="10"/>
  <c r="E33" i="10"/>
  <c r="D33" i="10"/>
  <c r="C33" i="10"/>
  <c r="B33" i="10"/>
  <c r="A33" i="10"/>
  <c r="E32" i="10"/>
  <c r="D32" i="10"/>
  <c r="C32" i="10"/>
  <c r="B32" i="10"/>
  <c r="A32" i="10"/>
  <c r="E31" i="10"/>
  <c r="D31" i="10"/>
  <c r="C31" i="10"/>
  <c r="B31" i="10"/>
  <c r="A31" i="10"/>
  <c r="E30" i="10"/>
  <c r="D30" i="10"/>
  <c r="C30" i="10"/>
  <c r="B30" i="10"/>
  <c r="A30" i="10"/>
  <c r="E29" i="10"/>
  <c r="D29" i="10"/>
  <c r="C29" i="10"/>
  <c r="B29" i="10"/>
  <c r="A29" i="10"/>
  <c r="E28" i="10"/>
  <c r="D28" i="10"/>
  <c r="C28" i="10"/>
  <c r="B28" i="10"/>
  <c r="A28" i="10"/>
  <c r="E27" i="10"/>
  <c r="D27" i="10"/>
  <c r="C27" i="10"/>
  <c r="B27" i="10"/>
  <c r="A27" i="10"/>
  <c r="E26" i="10"/>
  <c r="D26" i="10"/>
  <c r="C26" i="10"/>
  <c r="B26" i="10"/>
  <c r="A26" i="10"/>
  <c r="E25" i="10"/>
  <c r="D25" i="10"/>
  <c r="C25" i="10"/>
  <c r="B25" i="10"/>
  <c r="A25" i="10"/>
  <c r="E24" i="10"/>
  <c r="D24" i="10"/>
  <c r="C24" i="10"/>
  <c r="B24" i="10"/>
  <c r="A24" i="10"/>
  <c r="E23" i="10"/>
  <c r="D23" i="10"/>
  <c r="C23" i="10"/>
  <c r="B23" i="10"/>
  <c r="A23" i="10"/>
  <c r="E22" i="10"/>
  <c r="D22" i="10"/>
  <c r="C22" i="10"/>
  <c r="B22" i="10"/>
  <c r="A22" i="10"/>
  <c r="E21" i="10"/>
  <c r="D21" i="10"/>
  <c r="C21" i="10"/>
  <c r="B21" i="10"/>
  <c r="A21" i="10"/>
  <c r="E20" i="10"/>
  <c r="D20" i="10"/>
  <c r="C20" i="10"/>
  <c r="B20" i="10"/>
  <c r="A20" i="10"/>
  <c r="E19" i="10"/>
  <c r="D19" i="10"/>
  <c r="C19" i="10"/>
  <c r="B19" i="10"/>
  <c r="A19" i="10"/>
  <c r="E18" i="10"/>
  <c r="D18" i="10"/>
  <c r="C18" i="10"/>
  <c r="B18" i="10"/>
  <c r="A18" i="10"/>
  <c r="E17" i="10"/>
  <c r="D17" i="10"/>
  <c r="C17" i="10"/>
  <c r="B17" i="10"/>
  <c r="A17" i="10"/>
  <c r="E16" i="10"/>
  <c r="D16" i="10"/>
  <c r="C16" i="10"/>
  <c r="B16" i="10"/>
  <c r="A16" i="10"/>
  <c r="E15" i="10"/>
  <c r="D15" i="10"/>
  <c r="C15" i="10"/>
  <c r="B15" i="10"/>
  <c r="A15" i="10"/>
  <c r="E14" i="10"/>
  <c r="D14" i="10"/>
  <c r="C14" i="10"/>
  <c r="B14" i="10"/>
  <c r="A14" i="10"/>
  <c r="E13" i="10"/>
  <c r="D13" i="10"/>
  <c r="C13" i="10"/>
  <c r="B13" i="10"/>
  <c r="A13" i="10"/>
  <c r="E12" i="10"/>
  <c r="D12" i="10"/>
  <c r="C12" i="10"/>
  <c r="B12" i="10"/>
  <c r="A12" i="10"/>
  <c r="E11" i="10"/>
  <c r="D11" i="10"/>
  <c r="C11" i="10"/>
  <c r="B11" i="10"/>
  <c r="A11" i="10"/>
  <c r="E10" i="10"/>
  <c r="D10" i="10"/>
  <c r="C10" i="10"/>
  <c r="B10" i="10"/>
  <c r="A10" i="10"/>
  <c r="E9" i="10"/>
  <c r="D9" i="10"/>
  <c r="C9" i="10"/>
  <c r="B9" i="10"/>
  <c r="A9" i="10"/>
  <c r="E8" i="10"/>
  <c r="D8" i="10"/>
  <c r="C8" i="10"/>
  <c r="B8" i="10"/>
  <c r="A8" i="10"/>
  <c r="E7" i="10"/>
  <c r="D7" i="10"/>
  <c r="C7" i="10"/>
  <c r="B7" i="10"/>
  <c r="A7" i="10"/>
  <c r="E6" i="10"/>
  <c r="D6" i="10"/>
  <c r="C6" i="10"/>
  <c r="B6" i="10"/>
  <c r="A6" i="10"/>
  <c r="E5" i="10"/>
  <c r="D5" i="10"/>
  <c r="C5" i="10"/>
  <c r="B5" i="10"/>
  <c r="A5" i="10"/>
  <c r="E4" i="10"/>
  <c r="D4" i="10"/>
  <c r="C4" i="10"/>
  <c r="B4" i="10"/>
  <c r="A4" i="10"/>
  <c r="E3" i="10"/>
  <c r="D3" i="10"/>
  <c r="C3" i="10"/>
  <c r="B3" i="10"/>
  <c r="A3" i="10"/>
  <c r="E2" i="10"/>
  <c r="D2" i="10"/>
  <c r="C2" i="10"/>
  <c r="B2" i="10"/>
  <c r="A2" i="10"/>
  <c r="A1" i="10"/>
  <c r="Y8" i="9"/>
  <c r="E10" i="12" s="1"/>
  <c r="Y7" i="9"/>
  <c r="Y10" i="9" s="1"/>
  <c r="Y6" i="9"/>
  <c r="I14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3" i="9"/>
  <c r="D3" i="9"/>
  <c r="E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3" i="9"/>
  <c r="E1" i="9"/>
  <c r="B1" i="9"/>
  <c r="C1" i="9"/>
  <c r="D1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1" i="9"/>
  <c r="E6" i="8"/>
  <c r="E4" i="8"/>
  <c r="C9" i="12" s="1"/>
  <c r="A402" i="8"/>
  <c r="A504" i="8"/>
  <c r="A25" i="8"/>
  <c r="A135" i="8"/>
  <c r="A548" i="8"/>
  <c r="A156" i="8"/>
  <c r="A637" i="8"/>
  <c r="A518" i="8"/>
  <c r="A405" i="8"/>
  <c r="A561" i="8"/>
  <c r="A520" i="8"/>
  <c r="A152" i="8"/>
  <c r="A246" i="8"/>
  <c r="A647" i="8"/>
  <c r="A553" i="8"/>
  <c r="A182" i="8"/>
  <c r="A512" i="8"/>
  <c r="A708" i="8"/>
  <c r="A296" i="8"/>
  <c r="A254" i="8"/>
  <c r="A230" i="8"/>
  <c r="A30" i="8"/>
  <c r="A749" i="8"/>
  <c r="A10" i="8"/>
  <c r="A228" i="8"/>
  <c r="A32" i="8"/>
  <c r="A164" i="8"/>
  <c r="A70" i="8"/>
  <c r="A302" i="8"/>
  <c r="A574" i="8"/>
  <c r="A185" i="8"/>
  <c r="A329" i="8"/>
  <c r="A288" i="8"/>
  <c r="A535" i="8"/>
  <c r="A39" i="8"/>
  <c r="A206" i="8"/>
  <c r="A566" i="8"/>
  <c r="A222" i="8"/>
  <c r="A279" i="8"/>
  <c r="A407" i="8"/>
  <c r="A583" i="8"/>
  <c r="A654" i="8"/>
  <c r="A726" i="8"/>
  <c r="A3" i="8"/>
  <c r="A496" i="8"/>
  <c r="A751" i="8"/>
  <c r="A750" i="8"/>
  <c r="A379" i="8"/>
  <c r="A59" i="8"/>
  <c r="A100" i="8"/>
  <c r="A38" i="8"/>
  <c r="A268" i="8"/>
  <c r="A57" i="8"/>
  <c r="A24" i="8"/>
  <c r="A14" i="8"/>
  <c r="A107" i="8"/>
  <c r="A8" i="8"/>
  <c r="A133" i="8"/>
  <c r="A64" i="8"/>
  <c r="A214" i="8"/>
  <c r="A463" i="8"/>
  <c r="A461" i="8"/>
  <c r="A327" i="8"/>
  <c r="A128" i="8"/>
  <c r="A394" i="8"/>
  <c r="A664" i="8"/>
  <c r="A473" i="8"/>
  <c r="A390" i="8"/>
  <c r="A426" i="8"/>
  <c r="A519" i="8"/>
  <c r="A382" i="8"/>
  <c r="A505" i="8"/>
  <c r="A688" i="8"/>
  <c r="A384" i="8"/>
  <c r="A95" i="8"/>
  <c r="A196" i="8"/>
  <c r="A205" i="8"/>
  <c r="A80" i="8"/>
  <c r="A91" i="8"/>
  <c r="A378" i="8"/>
  <c r="A262" i="8"/>
  <c r="A333" i="8"/>
  <c r="A154" i="8"/>
  <c r="A139" i="8"/>
  <c r="A552" i="8"/>
  <c r="A112" i="8"/>
  <c r="A175" i="8"/>
  <c r="A436" i="8"/>
  <c r="A92" i="8"/>
  <c r="A330" i="8"/>
  <c r="A216" i="8"/>
  <c r="A393" i="8"/>
  <c r="A432" i="8"/>
  <c r="A445" i="8"/>
  <c r="A291" i="8"/>
  <c r="A247" i="8"/>
  <c r="A668" i="8"/>
  <c r="A179" i="8"/>
  <c r="A23" i="8"/>
  <c r="A559" i="8"/>
  <c r="A699" i="8"/>
  <c r="A705" i="8"/>
  <c r="A42" i="8"/>
  <c r="A328" i="8"/>
  <c r="A449" i="8"/>
  <c r="A169" i="8"/>
  <c r="A642" i="8"/>
  <c r="A237" i="8"/>
  <c r="A567" i="8"/>
  <c r="A667" i="8"/>
  <c r="A325" i="8"/>
  <c r="A724" i="8"/>
  <c r="A352" i="8"/>
  <c r="A41" i="8"/>
  <c r="A469" i="8"/>
  <c r="A217" i="8"/>
  <c r="A455" i="8"/>
  <c r="A240" i="8"/>
  <c r="A635" i="8"/>
  <c r="A644" i="8"/>
  <c r="A308" i="8"/>
  <c r="A458" i="8"/>
  <c r="A347" i="8"/>
  <c r="A438" i="8"/>
  <c r="A481" i="8"/>
  <c r="A362" i="8"/>
  <c r="A265" i="8"/>
  <c r="A295" i="8"/>
  <c r="A314" i="8"/>
  <c r="A366" i="8"/>
  <c r="A374" i="8"/>
  <c r="A334" i="8"/>
  <c r="A386" i="8"/>
  <c r="A411" i="8"/>
  <c r="A457" i="8"/>
  <c r="A256" i="8"/>
  <c r="A660" i="8"/>
  <c r="A418" i="8"/>
  <c r="A389" i="8"/>
  <c r="A180" i="8"/>
  <c r="A640" i="8"/>
  <c r="A81" i="8"/>
  <c r="A612" i="8"/>
  <c r="A343" i="8"/>
  <c r="A501" i="8"/>
  <c r="A537" i="8"/>
  <c r="A218" i="8"/>
  <c r="A274" i="8"/>
  <c r="A544" i="8"/>
  <c r="A134" i="8"/>
  <c r="A598" i="8"/>
  <c r="A241" i="8"/>
  <c r="A208" i="8"/>
  <c r="A311" i="8"/>
  <c r="A281" i="8"/>
  <c r="A532" i="8"/>
  <c r="A431" i="8"/>
  <c r="A304" i="8"/>
  <c r="A65" i="8"/>
  <c r="A563" i="8"/>
  <c r="A649" i="8"/>
  <c r="A201" i="8"/>
  <c r="A529" i="8"/>
  <c r="A533" i="8"/>
  <c r="A522" i="8"/>
  <c r="A336" i="8"/>
  <c r="A280" i="8"/>
  <c r="A476" i="8"/>
  <c r="A627" i="8"/>
  <c r="A277" i="8"/>
  <c r="A110" i="8"/>
  <c r="A427" i="8"/>
  <c r="A263" i="8"/>
  <c r="A739" i="8"/>
  <c r="A572" i="8"/>
  <c r="A498" i="8"/>
  <c r="A720" i="8"/>
  <c r="A573" i="8"/>
  <c r="A488" i="8"/>
  <c r="A610" i="8"/>
  <c r="A243" i="8"/>
  <c r="A335" i="8"/>
  <c r="A448" i="8"/>
  <c r="A344" i="8"/>
  <c r="A138" i="8"/>
  <c r="A599" i="8"/>
  <c r="A63" i="8"/>
  <c r="A299" i="8"/>
  <c r="A189" i="8"/>
  <c r="A631" i="8"/>
  <c r="A524" i="8"/>
  <c r="A611" i="8"/>
  <c r="A94" i="8"/>
  <c r="A358" i="8"/>
  <c r="A702" i="8"/>
  <c r="A434" i="8"/>
  <c r="A285" i="8"/>
  <c r="A229" i="8"/>
  <c r="A82" i="8"/>
  <c r="A710" i="8"/>
  <c r="A446" i="8"/>
  <c r="A62" i="8"/>
  <c r="A487" i="8"/>
  <c r="A86" i="8"/>
  <c r="A357" i="8"/>
  <c r="A376" i="8"/>
  <c r="A650" i="8"/>
  <c r="A443" i="8"/>
  <c r="A130" i="8"/>
  <c r="A604" i="8"/>
  <c r="A715" i="8"/>
  <c r="A172" i="8"/>
  <c r="A745" i="8"/>
  <c r="A735" i="8"/>
  <c r="A484" i="8"/>
  <c r="A19" i="8"/>
  <c r="A516" i="8"/>
  <c r="A78" i="8"/>
  <c r="A594" i="8"/>
  <c r="A540" i="8"/>
  <c r="A215" i="8"/>
  <c r="A490" i="8"/>
  <c r="A392" i="8"/>
  <c r="A694" i="8"/>
  <c r="A77" i="8"/>
  <c r="A242" i="8"/>
  <c r="A500" i="8"/>
  <c r="A423" i="8"/>
  <c r="A592" i="8"/>
  <c r="A9" i="8"/>
  <c r="A746" i="8"/>
  <c r="A21" i="8"/>
  <c r="A132" i="8"/>
  <c r="A558" i="8"/>
  <c r="A2" i="8"/>
  <c r="A602" i="8"/>
  <c r="A560" i="8"/>
  <c r="A89" i="8"/>
  <c r="A28" i="8"/>
  <c r="A404" i="8"/>
  <c r="A194" i="8"/>
  <c r="A301" i="8"/>
  <c r="A716" i="8"/>
  <c r="A261" i="8"/>
  <c r="A272" i="8"/>
  <c r="A653" i="8"/>
  <c r="A235" i="8"/>
  <c r="A568" i="8"/>
  <c r="A43" i="8"/>
  <c r="A168" i="8"/>
  <c r="A106" i="8"/>
  <c r="A13" i="8"/>
  <c r="A651" i="8"/>
  <c r="A400" i="8"/>
  <c r="A571" i="8"/>
  <c r="A210" i="8"/>
  <c r="A190" i="8"/>
  <c r="A636" i="8"/>
  <c r="A620" i="8"/>
  <c r="A73" i="8"/>
  <c r="A36" i="8"/>
  <c r="A266" i="8"/>
  <c r="A85" i="8"/>
  <c r="A267" i="8"/>
  <c r="A258" i="8"/>
  <c r="A585" i="8"/>
  <c r="A582" i="8"/>
  <c r="A93" i="8"/>
  <c r="A478" i="8"/>
  <c r="A466" i="8"/>
  <c r="A226" i="8"/>
  <c r="A588" i="8"/>
  <c r="A90" i="8"/>
  <c r="A162" i="8"/>
  <c r="A157" i="8"/>
  <c r="A456" i="8"/>
  <c r="A364" i="8"/>
  <c r="A683" i="8"/>
  <c r="A670" i="8"/>
  <c r="A480" i="8"/>
  <c r="A543" i="8"/>
  <c r="A188" i="8"/>
  <c r="A474" i="8"/>
  <c r="A324" i="8"/>
  <c r="A257" i="8"/>
  <c r="A151" i="8"/>
  <c r="A578" i="8"/>
  <c r="A191" i="8"/>
  <c r="A698" i="8"/>
  <c r="A675" i="8"/>
  <c r="A617" i="8"/>
  <c r="A657" i="8"/>
  <c r="A641" i="8"/>
  <c r="A209" i="8"/>
  <c r="A743" i="8"/>
  <c r="A494" i="8"/>
  <c r="A732" i="8"/>
  <c r="A259" i="8"/>
  <c r="A410" i="8"/>
  <c r="A160" i="8"/>
  <c r="A148" i="8"/>
  <c r="A317" i="8"/>
  <c r="A587" i="8"/>
  <c r="A177" i="8"/>
  <c r="A141" i="8"/>
  <c r="A76" i="8"/>
  <c r="A35" i="8"/>
  <c r="A499" i="8"/>
  <c r="A661" i="8"/>
  <c r="A171" i="8"/>
  <c r="A581" i="8"/>
  <c r="A149" i="8"/>
  <c r="A61" i="8"/>
  <c r="A659" i="8"/>
  <c r="A545" i="8"/>
  <c r="A514" i="8"/>
  <c r="A276" i="8"/>
  <c r="A213" i="8"/>
  <c r="A470" i="8"/>
  <c r="A485" i="8"/>
  <c r="A671" i="8"/>
  <c r="A127" i="8"/>
  <c r="A415" i="8"/>
  <c r="A695" i="8"/>
  <c r="A679" i="8"/>
  <c r="A714" i="8"/>
  <c r="A17" i="8"/>
  <c r="A509" i="8"/>
  <c r="A121" i="8"/>
  <c r="A16" i="8"/>
  <c r="A531" i="8"/>
  <c r="A748" i="8"/>
  <c r="A399" i="8"/>
  <c r="A479" i="8"/>
  <c r="A734" i="8"/>
  <c r="A593" i="8"/>
  <c r="A165" i="8"/>
  <c r="A398" i="8"/>
  <c r="A66" i="8"/>
  <c r="A319" i="8"/>
  <c r="A326" i="8"/>
  <c r="A717" i="8"/>
  <c r="A253" i="8"/>
  <c r="A58" i="8"/>
  <c r="A53" i="8"/>
  <c r="A282" i="8"/>
  <c r="A75" i="8"/>
  <c r="A569" i="8"/>
  <c r="A348" i="8"/>
  <c r="A697" i="8"/>
  <c r="A441" i="8"/>
  <c r="A555" i="8"/>
  <c r="A87" i="8"/>
  <c r="A234" i="8"/>
  <c r="A440" i="8"/>
  <c r="A459" i="8"/>
  <c r="A54" i="8"/>
  <c r="A619" i="8"/>
  <c r="A373" i="8"/>
  <c r="A22" i="8"/>
  <c r="A69" i="8"/>
  <c r="A375" i="8"/>
  <c r="A711" i="8"/>
  <c r="A609" i="8"/>
  <c r="A345" i="8"/>
  <c r="A292" i="8"/>
  <c r="A564" i="8"/>
  <c r="A245" i="8"/>
  <c r="A547" i="8"/>
  <c r="A403" i="8"/>
  <c r="A409" i="8"/>
  <c r="A278" i="8"/>
  <c r="A204" i="8"/>
  <c r="A665" i="8"/>
  <c r="A608" i="8"/>
  <c r="A115" i="8"/>
  <c r="A129" i="8"/>
  <c r="A225" i="8"/>
  <c r="A27" i="8"/>
  <c r="A452" i="8"/>
  <c r="A142" i="8"/>
  <c r="A286" i="8"/>
  <c r="A99" i="8"/>
  <c r="A294" i="8"/>
  <c r="A368" i="8"/>
  <c r="A625" i="8"/>
  <c r="A238" i="8"/>
  <c r="A692" i="8"/>
  <c r="A502" i="8"/>
  <c r="A421" i="8"/>
  <c r="A663" i="8"/>
  <c r="A676" i="8"/>
  <c r="A125" i="8"/>
  <c r="A632" i="8"/>
  <c r="A74" i="8"/>
  <c r="A163" i="8"/>
  <c r="A674" i="8"/>
  <c r="A46" i="8"/>
  <c r="A528" i="8"/>
  <c r="A297" i="8"/>
  <c r="A293" i="8"/>
  <c r="A67" i="8"/>
  <c r="A310" i="8"/>
  <c r="A462" i="8"/>
  <c r="A338" i="8"/>
  <c r="A643" i="8"/>
  <c r="A372" i="8"/>
  <c r="A146" i="8"/>
  <c r="A44" i="8"/>
  <c r="A477" i="8"/>
  <c r="A633" i="8"/>
  <c r="A119" i="8"/>
  <c r="A200" i="8"/>
  <c r="A673" i="8"/>
  <c r="A740" i="8"/>
  <c r="A689" i="8"/>
  <c r="A420" i="8"/>
  <c r="A244" i="8"/>
  <c r="A161" i="8"/>
  <c r="A122" i="8"/>
  <c r="A140" i="8"/>
  <c r="A439" i="8"/>
  <c r="A104" i="8"/>
  <c r="A227" i="8"/>
  <c r="A721" i="8"/>
  <c r="A5" i="8"/>
  <c r="A468" i="8"/>
  <c r="A577" i="8"/>
  <c r="A391" i="8"/>
  <c r="A284" i="8"/>
  <c r="A84" i="8"/>
  <c r="A517" i="8"/>
  <c r="A424" i="8"/>
  <c r="A435" i="8"/>
  <c r="A615" i="8"/>
  <c r="A221" i="8"/>
  <c r="A207" i="8"/>
  <c r="A549" i="8"/>
  <c r="A534" i="8"/>
  <c r="A323" i="8"/>
  <c r="A387" i="8"/>
  <c r="A416" i="8"/>
  <c r="A340" i="8"/>
  <c r="A662" i="8"/>
  <c r="A601" i="8"/>
  <c r="A275" i="8"/>
  <c r="A511" i="8"/>
  <c r="A356" i="8"/>
  <c r="A425" i="8"/>
  <c r="A492" i="8"/>
  <c r="A597" i="8"/>
  <c r="A178" i="8"/>
  <c r="A367" i="8"/>
  <c r="A271" i="8"/>
  <c r="A730" i="8"/>
  <c r="A300" i="8"/>
  <c r="A467" i="8"/>
  <c r="A680" i="8"/>
  <c r="A538" i="8"/>
  <c r="A503" i="8"/>
  <c r="A15" i="8"/>
  <c r="A273" i="8"/>
  <c r="A351" i="8"/>
  <c r="A318" i="8"/>
  <c r="A728" i="8"/>
  <c r="A507" i="8"/>
  <c r="A570" i="8"/>
  <c r="A34" i="8"/>
  <c r="A117" i="8"/>
  <c r="A486" i="8"/>
  <c r="A450" i="8"/>
  <c r="A349" i="8"/>
  <c r="A677" i="8"/>
  <c r="A616" i="8"/>
  <c r="A681" i="8"/>
  <c r="A629" i="8"/>
  <c r="A414" i="8"/>
  <c r="A395" i="8"/>
  <c r="A109" i="8"/>
  <c r="A116" i="8"/>
  <c r="A600" i="8"/>
  <c r="A114" i="8"/>
  <c r="A497" i="8"/>
  <c r="A250" i="8"/>
  <c r="A313" i="8"/>
  <c r="A124" i="8"/>
  <c r="A283" i="8"/>
  <c r="A26" i="8"/>
  <c r="A363" i="8"/>
  <c r="A669" i="8"/>
  <c r="A71" i="8"/>
  <c r="A401" i="8"/>
  <c r="A37" i="8"/>
  <c r="A417" i="8"/>
  <c r="A722" i="8"/>
  <c r="A451" i="8"/>
  <c r="A551" i="8"/>
  <c r="A29" i="8"/>
  <c r="A453" i="8"/>
  <c r="A483" i="8"/>
  <c r="A113" i="8"/>
  <c r="A700" i="8"/>
  <c r="A444" i="8"/>
  <c r="A361" i="8"/>
  <c r="A7" i="8"/>
  <c r="A60" i="8"/>
  <c r="A287" i="8"/>
  <c r="A4" i="8"/>
  <c r="A305" i="8"/>
  <c r="A495" i="8"/>
  <c r="A741" i="8"/>
  <c r="A290" i="8"/>
  <c r="A685" i="8"/>
  <c r="A166" i="8"/>
  <c r="A88" i="8"/>
  <c r="A464" i="8"/>
  <c r="A118" i="8"/>
  <c r="A144" i="8"/>
  <c r="A725" i="8"/>
  <c r="A136" i="8"/>
  <c r="A738" i="8"/>
  <c r="A666" i="8"/>
  <c r="A744" i="8"/>
  <c r="A541" i="8"/>
  <c r="A184" i="8"/>
  <c r="A176" i="8"/>
  <c r="A584" i="8"/>
  <c r="A103" i="8"/>
  <c r="A408" i="8"/>
  <c r="A628" i="8"/>
  <c r="A696" i="8"/>
  <c r="A465" i="8"/>
  <c r="A186" i="8"/>
  <c r="A422" i="8"/>
  <c r="A513" i="8"/>
  <c r="A353" i="8"/>
  <c r="A232" i="8"/>
  <c r="A131" i="8"/>
  <c r="A155" i="8"/>
  <c r="A381" i="8"/>
  <c r="A11" i="8"/>
  <c r="A49" i="8"/>
  <c r="A369" i="8"/>
  <c r="A147" i="8"/>
  <c r="A672" i="8"/>
  <c r="A105" i="8"/>
  <c r="A684" i="8"/>
  <c r="A252" i="8"/>
  <c r="A212" i="8"/>
  <c r="A18" i="8"/>
  <c r="A79" i="8"/>
  <c r="A729" i="8"/>
  <c r="A396" i="8"/>
  <c r="A239" i="8"/>
  <c r="A645" i="8"/>
  <c r="A589" i="8"/>
  <c r="A693" i="8"/>
  <c r="A682" i="8"/>
  <c r="A433" i="8"/>
  <c r="A630" i="8"/>
  <c r="A719" i="8"/>
  <c r="A48" i="8"/>
  <c r="A652" i="8"/>
  <c r="A270" i="8"/>
  <c r="A508" i="8"/>
  <c r="A562" i="8"/>
  <c r="A718" i="8"/>
  <c r="A742" i="8"/>
  <c r="A307" i="8"/>
  <c r="A510" i="8"/>
  <c r="A709" i="8"/>
  <c r="A515" i="8"/>
  <c r="A579" i="8"/>
  <c r="A316" i="8"/>
  <c r="A687" i="8"/>
  <c r="A525" i="8"/>
  <c r="A380" i="8"/>
  <c r="A153" i="8"/>
  <c r="A713" i="8"/>
  <c r="A419" i="8"/>
  <c r="A96" i="8"/>
  <c r="A430" i="8"/>
  <c r="A704" i="8"/>
  <c r="A150" i="8"/>
  <c r="A460" i="8"/>
  <c r="A371" i="8"/>
  <c r="A707" i="8"/>
  <c r="A303" i="8"/>
  <c r="A332" i="8"/>
  <c r="A355" i="8"/>
  <c r="A322" i="8"/>
  <c r="A52" i="8"/>
  <c r="A236" i="8"/>
  <c r="A727" i="8"/>
  <c r="A712" i="8"/>
  <c r="A321" i="8"/>
  <c r="A428" i="8"/>
  <c r="A145" i="8"/>
  <c r="A590" i="8"/>
  <c r="A658" i="8"/>
  <c r="A491" i="8"/>
  <c r="A442" i="8"/>
  <c r="A195" i="8"/>
  <c r="A621" i="8"/>
  <c r="A623" i="8"/>
  <c r="A626" i="8"/>
  <c r="A354" i="8"/>
  <c r="A489" i="8"/>
  <c r="A31" i="8"/>
  <c r="A527" i="8"/>
  <c r="A539" i="8"/>
  <c r="A565" i="8"/>
  <c r="A102" i="8"/>
  <c r="A98" i="8"/>
  <c r="A530" i="8"/>
  <c r="A72" i="8"/>
  <c r="A331" i="8"/>
  <c r="A123" i="8"/>
  <c r="A193" i="8"/>
  <c r="A360" i="8"/>
  <c r="A108" i="8"/>
  <c r="A385" i="8"/>
  <c r="A359" i="8"/>
  <c r="A260" i="8"/>
  <c r="A40" i="8"/>
  <c r="A47" i="8"/>
  <c r="A536" i="8"/>
  <c r="A447" i="8"/>
  <c r="A341" i="8"/>
  <c r="A575" i="8"/>
  <c r="A231" i="8"/>
  <c r="A126" i="8"/>
  <c r="A339" i="8"/>
  <c r="A747" i="8"/>
  <c r="A556" i="8"/>
  <c r="A429" i="8"/>
  <c r="A20" i="8"/>
  <c r="A624" i="8"/>
  <c r="A202" i="8"/>
  <c r="A174" i="8"/>
  <c r="A51" i="8"/>
  <c r="A83" i="8"/>
  <c r="A249" i="8"/>
  <c r="A197" i="8"/>
  <c r="A406" i="8"/>
  <c r="A346" i="8"/>
  <c r="A68" i="8"/>
  <c r="A309" i="8"/>
  <c r="A622" i="8"/>
  <c r="A181" i="8"/>
  <c r="A183" i="8"/>
  <c r="A576" i="8"/>
  <c r="A251" i="8"/>
  <c r="A289" i="8"/>
  <c r="A634" i="8"/>
  <c r="A603" i="8"/>
  <c r="A137" i="8"/>
  <c r="A546" i="8"/>
  <c r="A365" i="8"/>
  <c r="A219" i="8"/>
  <c r="A472" i="8"/>
  <c r="A170" i="8"/>
  <c r="A607" i="8"/>
  <c r="A315" i="8"/>
  <c r="A223" i="8"/>
  <c r="A97" i="8"/>
  <c r="A723" i="8"/>
  <c r="A199" i="8"/>
  <c r="A605" i="8"/>
  <c r="A655" i="8"/>
  <c r="A493" i="8"/>
  <c r="A312" i="8"/>
  <c r="A269" i="8"/>
  <c r="A482" i="8"/>
  <c r="A690" i="8"/>
  <c r="A220" i="8"/>
  <c r="A613" i="8"/>
  <c r="A224" i="8"/>
  <c r="A731" i="8"/>
  <c r="A159" i="8"/>
  <c r="A618" i="8"/>
  <c r="A264" i="8"/>
  <c r="A557" i="8"/>
  <c r="A706" i="8"/>
  <c r="A521" i="8"/>
  <c r="A639" i="8"/>
  <c r="A255" i="8"/>
  <c r="A596" i="8"/>
  <c r="A523" i="8"/>
  <c r="A412" i="8"/>
  <c r="A111" i="8"/>
  <c r="A413" i="8"/>
  <c r="A211" i="8"/>
  <c r="A686" i="8"/>
  <c r="A50" i="8"/>
  <c r="A454" i="8"/>
  <c r="A370" i="8"/>
  <c r="A550" i="8"/>
  <c r="A298" i="8"/>
  <c r="A526" i="8"/>
  <c r="A187" i="8"/>
  <c r="A198" i="8"/>
  <c r="A383" i="8"/>
  <c r="A233" i="8"/>
  <c r="A606" i="8"/>
  <c r="A101" i="8"/>
  <c r="A337" i="8"/>
  <c r="A701" i="8"/>
  <c r="A248" i="8"/>
  <c r="A646" i="8"/>
  <c r="A342" i="8"/>
  <c r="A12" i="8"/>
  <c r="A591" i="8"/>
  <c r="A475" i="8"/>
  <c r="A45" i="8"/>
  <c r="A595" i="8"/>
  <c r="A586" i="8"/>
  <c r="A471" i="8"/>
  <c r="A167" i="8"/>
  <c r="A397" i="8"/>
  <c r="A614" i="8"/>
  <c r="A580" i="8"/>
  <c r="A320" i="8"/>
  <c r="A437" i="8"/>
  <c r="A143" i="8"/>
  <c r="A33" i="8"/>
  <c r="A55" i="8"/>
  <c r="A506" i="8"/>
  <c r="A192" i="8"/>
  <c r="A388" i="8"/>
  <c r="A733" i="8"/>
  <c r="A203" i="8"/>
  <c r="A691" i="8"/>
  <c r="A736" i="8"/>
  <c r="A158" i="8"/>
  <c r="A554" i="8"/>
  <c r="A306" i="8"/>
  <c r="A737" i="8"/>
  <c r="A173" i="8"/>
  <c r="A678" i="8"/>
  <c r="A377" i="8"/>
  <c r="A56" i="8"/>
  <c r="A120" i="8"/>
  <c r="A638" i="8"/>
  <c r="A6" i="8"/>
  <c r="A648" i="8"/>
  <c r="A656" i="8"/>
  <c r="A703" i="8"/>
  <c r="A350" i="8"/>
  <c r="A542" i="8"/>
  <c r="A1" i="8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3" i="7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2" i="2"/>
  <c r="B4" i="7"/>
  <c r="C4" i="7"/>
  <c r="D4" i="7"/>
  <c r="E4" i="7"/>
  <c r="B5" i="7"/>
  <c r="C5" i="7"/>
  <c r="D5" i="7"/>
  <c r="E5" i="7"/>
  <c r="B6" i="7"/>
  <c r="C6" i="7"/>
  <c r="D6" i="7"/>
  <c r="E6" i="7"/>
  <c r="B7" i="7"/>
  <c r="C7" i="7"/>
  <c r="D7" i="7"/>
  <c r="E7" i="7"/>
  <c r="B8" i="7"/>
  <c r="C8" i="7"/>
  <c r="D8" i="7"/>
  <c r="E8" i="7"/>
  <c r="B9" i="7"/>
  <c r="C9" i="7"/>
  <c r="D9" i="7"/>
  <c r="E9" i="7"/>
  <c r="B10" i="7"/>
  <c r="C10" i="7"/>
  <c r="D10" i="7"/>
  <c r="E10" i="7"/>
  <c r="B11" i="7"/>
  <c r="C11" i="7"/>
  <c r="D11" i="7"/>
  <c r="E11" i="7"/>
  <c r="B12" i="7"/>
  <c r="C12" i="7"/>
  <c r="D12" i="7"/>
  <c r="E12" i="7"/>
  <c r="B13" i="7"/>
  <c r="C13" i="7"/>
  <c r="D13" i="7"/>
  <c r="E13" i="7"/>
  <c r="B14" i="7"/>
  <c r="C14" i="7"/>
  <c r="D14" i="7"/>
  <c r="E14" i="7"/>
  <c r="B15" i="7"/>
  <c r="C15" i="7"/>
  <c r="D15" i="7"/>
  <c r="E15" i="7"/>
  <c r="B16" i="7"/>
  <c r="C16" i="7"/>
  <c r="D16" i="7"/>
  <c r="E16" i="7"/>
  <c r="B17" i="7"/>
  <c r="C17" i="7"/>
  <c r="D17" i="7"/>
  <c r="E17" i="7"/>
  <c r="B18" i="7"/>
  <c r="C18" i="7"/>
  <c r="D18" i="7"/>
  <c r="E18" i="7"/>
  <c r="B19" i="7"/>
  <c r="C19" i="7"/>
  <c r="D19" i="7"/>
  <c r="E19" i="7"/>
  <c r="B20" i="7"/>
  <c r="C20" i="7"/>
  <c r="D20" i="7"/>
  <c r="E20" i="7"/>
  <c r="B21" i="7"/>
  <c r="C21" i="7"/>
  <c r="D21" i="7"/>
  <c r="E21" i="7"/>
  <c r="B22" i="7"/>
  <c r="C22" i="7"/>
  <c r="D22" i="7"/>
  <c r="E22" i="7"/>
  <c r="B23" i="7"/>
  <c r="C23" i="7"/>
  <c r="D23" i="7"/>
  <c r="E23" i="7"/>
  <c r="B24" i="7"/>
  <c r="C24" i="7"/>
  <c r="D24" i="7"/>
  <c r="E24" i="7"/>
  <c r="B25" i="7"/>
  <c r="C25" i="7"/>
  <c r="D25" i="7"/>
  <c r="E25" i="7"/>
  <c r="B26" i="7"/>
  <c r="C26" i="7"/>
  <c r="D26" i="7"/>
  <c r="E26" i="7"/>
  <c r="B27" i="7"/>
  <c r="C27" i="7"/>
  <c r="D27" i="7"/>
  <c r="E27" i="7"/>
  <c r="B28" i="7"/>
  <c r="C28" i="7"/>
  <c r="D28" i="7"/>
  <c r="E28" i="7"/>
  <c r="B29" i="7"/>
  <c r="C29" i="7"/>
  <c r="D29" i="7"/>
  <c r="E29" i="7"/>
  <c r="B30" i="7"/>
  <c r="C30" i="7"/>
  <c r="D30" i="7"/>
  <c r="E30" i="7"/>
  <c r="B31" i="7"/>
  <c r="C31" i="7"/>
  <c r="D31" i="7"/>
  <c r="E31" i="7"/>
  <c r="B32" i="7"/>
  <c r="C32" i="7"/>
  <c r="D32" i="7"/>
  <c r="E32" i="7"/>
  <c r="B33" i="7"/>
  <c r="C33" i="7"/>
  <c r="D33" i="7"/>
  <c r="E33" i="7"/>
  <c r="B34" i="7"/>
  <c r="C34" i="7"/>
  <c r="D34" i="7"/>
  <c r="E34" i="7"/>
  <c r="B35" i="7"/>
  <c r="C35" i="7"/>
  <c r="D35" i="7"/>
  <c r="E35" i="7"/>
  <c r="B36" i="7"/>
  <c r="C36" i="7"/>
  <c r="D36" i="7"/>
  <c r="E36" i="7"/>
  <c r="B37" i="7"/>
  <c r="C37" i="7"/>
  <c r="D37" i="7"/>
  <c r="E37" i="7"/>
  <c r="B38" i="7"/>
  <c r="C38" i="7"/>
  <c r="D38" i="7"/>
  <c r="E38" i="7"/>
  <c r="B39" i="7"/>
  <c r="C39" i="7"/>
  <c r="D39" i="7"/>
  <c r="E39" i="7"/>
  <c r="B40" i="7"/>
  <c r="C40" i="7"/>
  <c r="D40" i="7"/>
  <c r="E40" i="7"/>
  <c r="B41" i="7"/>
  <c r="C41" i="7"/>
  <c r="D41" i="7"/>
  <c r="E41" i="7"/>
  <c r="B42" i="7"/>
  <c r="C42" i="7"/>
  <c r="D42" i="7"/>
  <c r="E42" i="7"/>
  <c r="B43" i="7"/>
  <c r="C43" i="7"/>
  <c r="D43" i="7"/>
  <c r="E43" i="7"/>
  <c r="B44" i="7"/>
  <c r="C44" i="7"/>
  <c r="D44" i="7"/>
  <c r="E44" i="7"/>
  <c r="B45" i="7"/>
  <c r="C45" i="7"/>
  <c r="D45" i="7"/>
  <c r="E45" i="7"/>
  <c r="B46" i="7"/>
  <c r="C46" i="7"/>
  <c r="D46" i="7"/>
  <c r="E46" i="7"/>
  <c r="B47" i="7"/>
  <c r="C47" i="7"/>
  <c r="D47" i="7"/>
  <c r="E47" i="7"/>
  <c r="B48" i="7"/>
  <c r="C48" i="7"/>
  <c r="D48" i="7"/>
  <c r="E48" i="7"/>
  <c r="B49" i="7"/>
  <c r="C49" i="7"/>
  <c r="D49" i="7"/>
  <c r="E49" i="7"/>
  <c r="B50" i="7"/>
  <c r="C50" i="7"/>
  <c r="D50" i="7"/>
  <c r="E50" i="7"/>
  <c r="B51" i="7"/>
  <c r="C51" i="7"/>
  <c r="D51" i="7"/>
  <c r="E51" i="7"/>
  <c r="B52" i="7"/>
  <c r="C52" i="7"/>
  <c r="D52" i="7"/>
  <c r="E52" i="7"/>
  <c r="B53" i="7"/>
  <c r="C53" i="7"/>
  <c r="D53" i="7"/>
  <c r="E53" i="7"/>
  <c r="B54" i="7"/>
  <c r="C54" i="7"/>
  <c r="D54" i="7"/>
  <c r="E54" i="7"/>
  <c r="B55" i="7"/>
  <c r="C55" i="7"/>
  <c r="D55" i="7"/>
  <c r="E55" i="7"/>
  <c r="B56" i="7"/>
  <c r="C56" i="7"/>
  <c r="D56" i="7"/>
  <c r="E56" i="7"/>
  <c r="B57" i="7"/>
  <c r="C57" i="7"/>
  <c r="D57" i="7"/>
  <c r="E57" i="7"/>
  <c r="B58" i="7"/>
  <c r="C58" i="7"/>
  <c r="D58" i="7"/>
  <c r="E58" i="7"/>
  <c r="B59" i="7"/>
  <c r="C59" i="7"/>
  <c r="D59" i="7"/>
  <c r="E59" i="7"/>
  <c r="B60" i="7"/>
  <c r="C60" i="7"/>
  <c r="D60" i="7"/>
  <c r="E60" i="7"/>
  <c r="B61" i="7"/>
  <c r="C61" i="7"/>
  <c r="D61" i="7"/>
  <c r="E61" i="7"/>
  <c r="B62" i="7"/>
  <c r="C62" i="7"/>
  <c r="D62" i="7"/>
  <c r="E62" i="7"/>
  <c r="B63" i="7"/>
  <c r="C63" i="7"/>
  <c r="D63" i="7"/>
  <c r="E63" i="7"/>
  <c r="B64" i="7"/>
  <c r="C64" i="7"/>
  <c r="D64" i="7"/>
  <c r="E64" i="7"/>
  <c r="B65" i="7"/>
  <c r="C65" i="7"/>
  <c r="D65" i="7"/>
  <c r="E65" i="7"/>
  <c r="B66" i="7"/>
  <c r="C66" i="7"/>
  <c r="D66" i="7"/>
  <c r="E66" i="7"/>
  <c r="B67" i="7"/>
  <c r="C67" i="7"/>
  <c r="D67" i="7"/>
  <c r="E67" i="7"/>
  <c r="B68" i="7"/>
  <c r="C68" i="7"/>
  <c r="D68" i="7"/>
  <c r="E68" i="7"/>
  <c r="B69" i="7"/>
  <c r="C69" i="7"/>
  <c r="D69" i="7"/>
  <c r="E69" i="7"/>
  <c r="B70" i="7"/>
  <c r="C70" i="7"/>
  <c r="D70" i="7"/>
  <c r="E70" i="7"/>
  <c r="B71" i="7"/>
  <c r="C71" i="7"/>
  <c r="D71" i="7"/>
  <c r="E71" i="7"/>
  <c r="B72" i="7"/>
  <c r="C72" i="7"/>
  <c r="D72" i="7"/>
  <c r="E72" i="7"/>
  <c r="B73" i="7"/>
  <c r="C73" i="7"/>
  <c r="D73" i="7"/>
  <c r="E73" i="7"/>
  <c r="B74" i="7"/>
  <c r="C74" i="7"/>
  <c r="D74" i="7"/>
  <c r="E74" i="7"/>
  <c r="B75" i="7"/>
  <c r="C75" i="7"/>
  <c r="D75" i="7"/>
  <c r="E75" i="7"/>
  <c r="B76" i="7"/>
  <c r="C76" i="7"/>
  <c r="D76" i="7"/>
  <c r="E76" i="7"/>
  <c r="B77" i="7"/>
  <c r="C77" i="7"/>
  <c r="D77" i="7"/>
  <c r="E77" i="7"/>
  <c r="B78" i="7"/>
  <c r="C78" i="7"/>
  <c r="D78" i="7"/>
  <c r="E78" i="7"/>
  <c r="B79" i="7"/>
  <c r="C79" i="7"/>
  <c r="D79" i="7"/>
  <c r="E79" i="7"/>
  <c r="B80" i="7"/>
  <c r="C80" i="7"/>
  <c r="D80" i="7"/>
  <c r="E80" i="7"/>
  <c r="B81" i="7"/>
  <c r="C81" i="7"/>
  <c r="D81" i="7"/>
  <c r="E81" i="7"/>
  <c r="B82" i="7"/>
  <c r="C82" i="7"/>
  <c r="D82" i="7"/>
  <c r="E82" i="7"/>
  <c r="B83" i="7"/>
  <c r="C83" i="7"/>
  <c r="D83" i="7"/>
  <c r="E83" i="7"/>
  <c r="B84" i="7"/>
  <c r="C84" i="7"/>
  <c r="D84" i="7"/>
  <c r="E84" i="7"/>
  <c r="B85" i="7"/>
  <c r="C85" i="7"/>
  <c r="D85" i="7"/>
  <c r="E85" i="7"/>
  <c r="B86" i="7"/>
  <c r="C86" i="7"/>
  <c r="D86" i="7"/>
  <c r="E86" i="7"/>
  <c r="B87" i="7"/>
  <c r="C87" i="7"/>
  <c r="D87" i="7"/>
  <c r="E87" i="7"/>
  <c r="B88" i="7"/>
  <c r="C88" i="7"/>
  <c r="D88" i="7"/>
  <c r="E88" i="7"/>
  <c r="B89" i="7"/>
  <c r="C89" i="7"/>
  <c r="D89" i="7"/>
  <c r="E89" i="7"/>
  <c r="B90" i="7"/>
  <c r="C90" i="7"/>
  <c r="D90" i="7"/>
  <c r="E90" i="7"/>
  <c r="B91" i="7"/>
  <c r="C91" i="7"/>
  <c r="D91" i="7"/>
  <c r="E91" i="7"/>
  <c r="B92" i="7"/>
  <c r="C92" i="7"/>
  <c r="D92" i="7"/>
  <c r="E92" i="7"/>
  <c r="B93" i="7"/>
  <c r="C93" i="7"/>
  <c r="D93" i="7"/>
  <c r="E93" i="7"/>
  <c r="B94" i="7"/>
  <c r="C94" i="7"/>
  <c r="D94" i="7"/>
  <c r="E94" i="7"/>
  <c r="B95" i="7"/>
  <c r="C95" i="7"/>
  <c r="D95" i="7"/>
  <c r="E95" i="7"/>
  <c r="B96" i="7"/>
  <c r="C96" i="7"/>
  <c r="D96" i="7"/>
  <c r="E96" i="7"/>
  <c r="B97" i="7"/>
  <c r="C97" i="7"/>
  <c r="D97" i="7"/>
  <c r="E97" i="7"/>
  <c r="B98" i="7"/>
  <c r="C98" i="7"/>
  <c r="D98" i="7"/>
  <c r="E98" i="7"/>
  <c r="B99" i="7"/>
  <c r="C99" i="7"/>
  <c r="D99" i="7"/>
  <c r="E99" i="7"/>
  <c r="B100" i="7"/>
  <c r="C100" i="7"/>
  <c r="D100" i="7"/>
  <c r="E100" i="7"/>
  <c r="B101" i="7"/>
  <c r="C101" i="7"/>
  <c r="D101" i="7"/>
  <c r="E101" i="7"/>
  <c r="B102" i="7"/>
  <c r="C102" i="7"/>
  <c r="D102" i="7"/>
  <c r="E102" i="7"/>
  <c r="B103" i="7"/>
  <c r="C103" i="7"/>
  <c r="D103" i="7"/>
  <c r="E103" i="7"/>
  <c r="B104" i="7"/>
  <c r="C104" i="7"/>
  <c r="D104" i="7"/>
  <c r="E104" i="7"/>
  <c r="B105" i="7"/>
  <c r="C105" i="7"/>
  <c r="D105" i="7"/>
  <c r="E105" i="7"/>
  <c r="B106" i="7"/>
  <c r="C106" i="7"/>
  <c r="D106" i="7"/>
  <c r="E106" i="7"/>
  <c r="B107" i="7"/>
  <c r="C107" i="7"/>
  <c r="D107" i="7"/>
  <c r="E107" i="7"/>
  <c r="B108" i="7"/>
  <c r="C108" i="7"/>
  <c r="D108" i="7"/>
  <c r="E108" i="7"/>
  <c r="B109" i="7"/>
  <c r="C109" i="7"/>
  <c r="D109" i="7"/>
  <c r="E109" i="7"/>
  <c r="B110" i="7"/>
  <c r="C110" i="7"/>
  <c r="D110" i="7"/>
  <c r="E110" i="7"/>
  <c r="B111" i="7"/>
  <c r="C111" i="7"/>
  <c r="D111" i="7"/>
  <c r="E111" i="7"/>
  <c r="B112" i="7"/>
  <c r="C112" i="7"/>
  <c r="D112" i="7"/>
  <c r="E112" i="7"/>
  <c r="B113" i="7"/>
  <c r="C113" i="7"/>
  <c r="D113" i="7"/>
  <c r="E113" i="7"/>
  <c r="B114" i="7"/>
  <c r="C114" i="7"/>
  <c r="D114" i="7"/>
  <c r="E114" i="7"/>
  <c r="B115" i="7"/>
  <c r="C115" i="7"/>
  <c r="D115" i="7"/>
  <c r="E115" i="7"/>
  <c r="B116" i="7"/>
  <c r="C116" i="7"/>
  <c r="D116" i="7"/>
  <c r="E116" i="7"/>
  <c r="B117" i="7"/>
  <c r="C117" i="7"/>
  <c r="D117" i="7"/>
  <c r="E117" i="7"/>
  <c r="B118" i="7"/>
  <c r="C118" i="7"/>
  <c r="D118" i="7"/>
  <c r="E118" i="7"/>
  <c r="B119" i="7"/>
  <c r="C119" i="7"/>
  <c r="D119" i="7"/>
  <c r="E119" i="7"/>
  <c r="B120" i="7"/>
  <c r="C120" i="7"/>
  <c r="D120" i="7"/>
  <c r="E120" i="7"/>
  <c r="B121" i="7"/>
  <c r="C121" i="7"/>
  <c r="D121" i="7"/>
  <c r="E121" i="7"/>
  <c r="B122" i="7"/>
  <c r="C122" i="7"/>
  <c r="D122" i="7"/>
  <c r="E122" i="7"/>
  <c r="B123" i="7"/>
  <c r="C123" i="7"/>
  <c r="D123" i="7"/>
  <c r="E123" i="7"/>
  <c r="B124" i="7"/>
  <c r="C124" i="7"/>
  <c r="D124" i="7"/>
  <c r="E124" i="7"/>
  <c r="B125" i="7"/>
  <c r="C125" i="7"/>
  <c r="D125" i="7"/>
  <c r="E125" i="7"/>
  <c r="B126" i="7"/>
  <c r="C126" i="7"/>
  <c r="D126" i="7"/>
  <c r="E126" i="7"/>
  <c r="B127" i="7"/>
  <c r="C127" i="7"/>
  <c r="D127" i="7"/>
  <c r="E127" i="7"/>
  <c r="B128" i="7"/>
  <c r="C128" i="7"/>
  <c r="D128" i="7"/>
  <c r="E128" i="7"/>
  <c r="B129" i="7"/>
  <c r="C129" i="7"/>
  <c r="D129" i="7"/>
  <c r="E129" i="7"/>
  <c r="B130" i="7"/>
  <c r="C130" i="7"/>
  <c r="D130" i="7"/>
  <c r="E130" i="7"/>
  <c r="B131" i="7"/>
  <c r="C131" i="7"/>
  <c r="D131" i="7"/>
  <c r="E131" i="7"/>
  <c r="B132" i="7"/>
  <c r="C132" i="7"/>
  <c r="D132" i="7"/>
  <c r="E132" i="7"/>
  <c r="B133" i="7"/>
  <c r="C133" i="7"/>
  <c r="D133" i="7"/>
  <c r="E133" i="7"/>
  <c r="B134" i="7"/>
  <c r="C134" i="7"/>
  <c r="D134" i="7"/>
  <c r="E134" i="7"/>
  <c r="B135" i="7"/>
  <c r="C135" i="7"/>
  <c r="D135" i="7"/>
  <c r="E135" i="7"/>
  <c r="B136" i="7"/>
  <c r="C136" i="7"/>
  <c r="D136" i="7"/>
  <c r="E136" i="7"/>
  <c r="B137" i="7"/>
  <c r="C137" i="7"/>
  <c r="D137" i="7"/>
  <c r="E137" i="7"/>
  <c r="B138" i="7"/>
  <c r="C138" i="7"/>
  <c r="D138" i="7"/>
  <c r="E138" i="7"/>
  <c r="B139" i="7"/>
  <c r="C139" i="7"/>
  <c r="D139" i="7"/>
  <c r="E139" i="7"/>
  <c r="B140" i="7"/>
  <c r="C140" i="7"/>
  <c r="D140" i="7"/>
  <c r="E140" i="7"/>
  <c r="B141" i="7"/>
  <c r="C141" i="7"/>
  <c r="D141" i="7"/>
  <c r="E141" i="7"/>
  <c r="B142" i="7"/>
  <c r="C142" i="7"/>
  <c r="D142" i="7"/>
  <c r="E142" i="7"/>
  <c r="B143" i="7"/>
  <c r="C143" i="7"/>
  <c r="D143" i="7"/>
  <c r="E143" i="7"/>
  <c r="B144" i="7"/>
  <c r="C144" i="7"/>
  <c r="D144" i="7"/>
  <c r="E144" i="7"/>
  <c r="B145" i="7"/>
  <c r="C145" i="7"/>
  <c r="D145" i="7"/>
  <c r="E145" i="7"/>
  <c r="B146" i="7"/>
  <c r="C146" i="7"/>
  <c r="D146" i="7"/>
  <c r="E146" i="7"/>
  <c r="B147" i="7"/>
  <c r="C147" i="7"/>
  <c r="D147" i="7"/>
  <c r="E147" i="7"/>
  <c r="B148" i="7"/>
  <c r="C148" i="7"/>
  <c r="D148" i="7"/>
  <c r="E148" i="7"/>
  <c r="B149" i="7"/>
  <c r="C149" i="7"/>
  <c r="D149" i="7"/>
  <c r="E149" i="7"/>
  <c r="B150" i="7"/>
  <c r="C150" i="7"/>
  <c r="D150" i="7"/>
  <c r="E150" i="7"/>
  <c r="B151" i="7"/>
  <c r="C151" i="7"/>
  <c r="D151" i="7"/>
  <c r="E151" i="7"/>
  <c r="B152" i="7"/>
  <c r="C152" i="7"/>
  <c r="D152" i="7"/>
  <c r="E152" i="7"/>
  <c r="B153" i="7"/>
  <c r="C153" i="7"/>
  <c r="D153" i="7"/>
  <c r="E153" i="7"/>
  <c r="B154" i="7"/>
  <c r="C154" i="7"/>
  <c r="D154" i="7"/>
  <c r="E154" i="7"/>
  <c r="B155" i="7"/>
  <c r="C155" i="7"/>
  <c r="D155" i="7"/>
  <c r="E155" i="7"/>
  <c r="B156" i="7"/>
  <c r="C156" i="7"/>
  <c r="D156" i="7"/>
  <c r="E156" i="7"/>
  <c r="B157" i="7"/>
  <c r="C157" i="7"/>
  <c r="D157" i="7"/>
  <c r="E157" i="7"/>
  <c r="B158" i="7"/>
  <c r="C158" i="7"/>
  <c r="D158" i="7"/>
  <c r="E158" i="7"/>
  <c r="B159" i="7"/>
  <c r="C159" i="7"/>
  <c r="D159" i="7"/>
  <c r="E159" i="7"/>
  <c r="B160" i="7"/>
  <c r="C160" i="7"/>
  <c r="D160" i="7"/>
  <c r="E160" i="7"/>
  <c r="B161" i="7"/>
  <c r="C161" i="7"/>
  <c r="D161" i="7"/>
  <c r="E161" i="7"/>
  <c r="B162" i="7"/>
  <c r="C162" i="7"/>
  <c r="D162" i="7"/>
  <c r="E162" i="7"/>
  <c r="B163" i="7"/>
  <c r="C163" i="7"/>
  <c r="D163" i="7"/>
  <c r="E163" i="7"/>
  <c r="B164" i="7"/>
  <c r="C164" i="7"/>
  <c r="D164" i="7"/>
  <c r="E164" i="7"/>
  <c r="B165" i="7"/>
  <c r="C165" i="7"/>
  <c r="D165" i="7"/>
  <c r="E165" i="7"/>
  <c r="B166" i="7"/>
  <c r="C166" i="7"/>
  <c r="D166" i="7"/>
  <c r="E166" i="7"/>
  <c r="B167" i="7"/>
  <c r="C167" i="7"/>
  <c r="D167" i="7"/>
  <c r="E167" i="7"/>
  <c r="B168" i="7"/>
  <c r="C168" i="7"/>
  <c r="D168" i="7"/>
  <c r="E168" i="7"/>
  <c r="B169" i="7"/>
  <c r="C169" i="7"/>
  <c r="D169" i="7"/>
  <c r="E169" i="7"/>
  <c r="B170" i="7"/>
  <c r="C170" i="7"/>
  <c r="D170" i="7"/>
  <c r="E170" i="7"/>
  <c r="B171" i="7"/>
  <c r="C171" i="7"/>
  <c r="D171" i="7"/>
  <c r="E171" i="7"/>
  <c r="B172" i="7"/>
  <c r="C172" i="7"/>
  <c r="D172" i="7"/>
  <c r="E172" i="7"/>
  <c r="B173" i="7"/>
  <c r="C173" i="7"/>
  <c r="D173" i="7"/>
  <c r="E173" i="7"/>
  <c r="B174" i="7"/>
  <c r="C174" i="7"/>
  <c r="D174" i="7"/>
  <c r="E174" i="7"/>
  <c r="B175" i="7"/>
  <c r="C175" i="7"/>
  <c r="D175" i="7"/>
  <c r="E175" i="7"/>
  <c r="B176" i="7"/>
  <c r="C176" i="7"/>
  <c r="D176" i="7"/>
  <c r="E176" i="7"/>
  <c r="B177" i="7"/>
  <c r="C177" i="7"/>
  <c r="D177" i="7"/>
  <c r="E177" i="7"/>
  <c r="B178" i="7"/>
  <c r="C178" i="7"/>
  <c r="D178" i="7"/>
  <c r="E178" i="7"/>
  <c r="B179" i="7"/>
  <c r="C179" i="7"/>
  <c r="D179" i="7"/>
  <c r="E179" i="7"/>
  <c r="B180" i="7"/>
  <c r="C180" i="7"/>
  <c r="D180" i="7"/>
  <c r="E180" i="7"/>
  <c r="B181" i="7"/>
  <c r="C181" i="7"/>
  <c r="D181" i="7"/>
  <c r="E181" i="7"/>
  <c r="B182" i="7"/>
  <c r="C182" i="7"/>
  <c r="D182" i="7"/>
  <c r="E182" i="7"/>
  <c r="B183" i="7"/>
  <c r="C183" i="7"/>
  <c r="D183" i="7"/>
  <c r="E183" i="7"/>
  <c r="B184" i="7"/>
  <c r="C184" i="7"/>
  <c r="D184" i="7"/>
  <c r="E184" i="7"/>
  <c r="B185" i="7"/>
  <c r="C185" i="7"/>
  <c r="D185" i="7"/>
  <c r="E185" i="7"/>
  <c r="B186" i="7"/>
  <c r="C186" i="7"/>
  <c r="D186" i="7"/>
  <c r="E186" i="7"/>
  <c r="B187" i="7"/>
  <c r="C187" i="7"/>
  <c r="D187" i="7"/>
  <c r="E187" i="7"/>
  <c r="B188" i="7"/>
  <c r="C188" i="7"/>
  <c r="D188" i="7"/>
  <c r="E188" i="7"/>
  <c r="B189" i="7"/>
  <c r="C189" i="7"/>
  <c r="D189" i="7"/>
  <c r="E189" i="7"/>
  <c r="B190" i="7"/>
  <c r="C190" i="7"/>
  <c r="D190" i="7"/>
  <c r="E190" i="7"/>
  <c r="B191" i="7"/>
  <c r="C191" i="7"/>
  <c r="D191" i="7"/>
  <c r="E191" i="7"/>
  <c r="B192" i="7"/>
  <c r="C192" i="7"/>
  <c r="D192" i="7"/>
  <c r="E192" i="7"/>
  <c r="B193" i="7"/>
  <c r="C193" i="7"/>
  <c r="D193" i="7"/>
  <c r="E193" i="7"/>
  <c r="B194" i="7"/>
  <c r="C194" i="7"/>
  <c r="D194" i="7"/>
  <c r="E194" i="7"/>
  <c r="B195" i="7"/>
  <c r="C195" i="7"/>
  <c r="D195" i="7"/>
  <c r="E195" i="7"/>
  <c r="B196" i="7"/>
  <c r="C196" i="7"/>
  <c r="D196" i="7"/>
  <c r="E196" i="7"/>
  <c r="B197" i="7"/>
  <c r="C197" i="7"/>
  <c r="D197" i="7"/>
  <c r="E197" i="7"/>
  <c r="B198" i="7"/>
  <c r="C198" i="7"/>
  <c r="D198" i="7"/>
  <c r="E198" i="7"/>
  <c r="B199" i="7"/>
  <c r="C199" i="7"/>
  <c r="D199" i="7"/>
  <c r="E199" i="7"/>
  <c r="B200" i="7"/>
  <c r="C200" i="7"/>
  <c r="D200" i="7"/>
  <c r="E200" i="7"/>
  <c r="B201" i="7"/>
  <c r="C201" i="7"/>
  <c r="D201" i="7"/>
  <c r="E201" i="7"/>
  <c r="B202" i="7"/>
  <c r="C202" i="7"/>
  <c r="D202" i="7"/>
  <c r="E202" i="7"/>
  <c r="B203" i="7"/>
  <c r="C203" i="7"/>
  <c r="D203" i="7"/>
  <c r="E203" i="7"/>
  <c r="B204" i="7"/>
  <c r="C204" i="7"/>
  <c r="D204" i="7"/>
  <c r="E204" i="7"/>
  <c r="B205" i="7"/>
  <c r="C205" i="7"/>
  <c r="D205" i="7"/>
  <c r="E205" i="7"/>
  <c r="B206" i="7"/>
  <c r="C206" i="7"/>
  <c r="D206" i="7"/>
  <c r="E206" i="7"/>
  <c r="B207" i="7"/>
  <c r="C207" i="7"/>
  <c r="D207" i="7"/>
  <c r="E207" i="7"/>
  <c r="B208" i="7"/>
  <c r="C208" i="7"/>
  <c r="D208" i="7"/>
  <c r="E208" i="7"/>
  <c r="B209" i="7"/>
  <c r="C209" i="7"/>
  <c r="D209" i="7"/>
  <c r="E209" i="7"/>
  <c r="B210" i="7"/>
  <c r="C210" i="7"/>
  <c r="D210" i="7"/>
  <c r="E210" i="7"/>
  <c r="B211" i="7"/>
  <c r="C211" i="7"/>
  <c r="D211" i="7"/>
  <c r="E211" i="7"/>
  <c r="B212" i="7"/>
  <c r="C212" i="7"/>
  <c r="D212" i="7"/>
  <c r="E212" i="7"/>
  <c r="B213" i="7"/>
  <c r="C213" i="7"/>
  <c r="D213" i="7"/>
  <c r="E213" i="7"/>
  <c r="B214" i="7"/>
  <c r="C214" i="7"/>
  <c r="D214" i="7"/>
  <c r="E214" i="7"/>
  <c r="B215" i="7"/>
  <c r="C215" i="7"/>
  <c r="D215" i="7"/>
  <c r="E215" i="7"/>
  <c r="B216" i="7"/>
  <c r="C216" i="7"/>
  <c r="D216" i="7"/>
  <c r="E216" i="7"/>
  <c r="B217" i="7"/>
  <c r="C217" i="7"/>
  <c r="D217" i="7"/>
  <c r="E217" i="7"/>
  <c r="B218" i="7"/>
  <c r="C218" i="7"/>
  <c r="D218" i="7"/>
  <c r="E218" i="7"/>
  <c r="B219" i="7"/>
  <c r="C219" i="7"/>
  <c r="D219" i="7"/>
  <c r="E219" i="7"/>
  <c r="B220" i="7"/>
  <c r="C220" i="7"/>
  <c r="D220" i="7"/>
  <c r="E220" i="7"/>
  <c r="B221" i="7"/>
  <c r="C221" i="7"/>
  <c r="D221" i="7"/>
  <c r="E221" i="7"/>
  <c r="B222" i="7"/>
  <c r="C222" i="7"/>
  <c r="D222" i="7"/>
  <c r="E222" i="7"/>
  <c r="B223" i="7"/>
  <c r="C223" i="7"/>
  <c r="D223" i="7"/>
  <c r="E223" i="7"/>
  <c r="B224" i="7"/>
  <c r="C224" i="7"/>
  <c r="D224" i="7"/>
  <c r="E224" i="7"/>
  <c r="B225" i="7"/>
  <c r="C225" i="7"/>
  <c r="D225" i="7"/>
  <c r="E225" i="7"/>
  <c r="B226" i="7"/>
  <c r="C226" i="7"/>
  <c r="D226" i="7"/>
  <c r="E226" i="7"/>
  <c r="B227" i="7"/>
  <c r="C227" i="7"/>
  <c r="D227" i="7"/>
  <c r="E227" i="7"/>
  <c r="B228" i="7"/>
  <c r="C228" i="7"/>
  <c r="D228" i="7"/>
  <c r="E228" i="7"/>
  <c r="B229" i="7"/>
  <c r="C229" i="7"/>
  <c r="D229" i="7"/>
  <c r="E229" i="7"/>
  <c r="B230" i="7"/>
  <c r="C230" i="7"/>
  <c r="D230" i="7"/>
  <c r="E230" i="7"/>
  <c r="B231" i="7"/>
  <c r="C231" i="7"/>
  <c r="D231" i="7"/>
  <c r="E231" i="7"/>
  <c r="B232" i="7"/>
  <c r="C232" i="7"/>
  <c r="D232" i="7"/>
  <c r="E232" i="7"/>
  <c r="B233" i="7"/>
  <c r="C233" i="7"/>
  <c r="D233" i="7"/>
  <c r="E233" i="7"/>
  <c r="B234" i="7"/>
  <c r="C234" i="7"/>
  <c r="D234" i="7"/>
  <c r="E234" i="7"/>
  <c r="B235" i="7"/>
  <c r="C235" i="7"/>
  <c r="D235" i="7"/>
  <c r="E235" i="7"/>
  <c r="B236" i="7"/>
  <c r="C236" i="7"/>
  <c r="D236" i="7"/>
  <c r="E236" i="7"/>
  <c r="B237" i="7"/>
  <c r="C237" i="7"/>
  <c r="D237" i="7"/>
  <c r="E237" i="7"/>
  <c r="B238" i="7"/>
  <c r="C238" i="7"/>
  <c r="D238" i="7"/>
  <c r="E238" i="7"/>
  <c r="B239" i="7"/>
  <c r="C239" i="7"/>
  <c r="D239" i="7"/>
  <c r="E239" i="7"/>
  <c r="B240" i="7"/>
  <c r="C240" i="7"/>
  <c r="D240" i="7"/>
  <c r="E240" i="7"/>
  <c r="B241" i="7"/>
  <c r="C241" i="7"/>
  <c r="D241" i="7"/>
  <c r="E241" i="7"/>
  <c r="B242" i="7"/>
  <c r="C242" i="7"/>
  <c r="D242" i="7"/>
  <c r="E242" i="7"/>
  <c r="B243" i="7"/>
  <c r="C243" i="7"/>
  <c r="D243" i="7"/>
  <c r="E243" i="7"/>
  <c r="B244" i="7"/>
  <c r="C244" i="7"/>
  <c r="D244" i="7"/>
  <c r="E244" i="7"/>
  <c r="B245" i="7"/>
  <c r="C245" i="7"/>
  <c r="D245" i="7"/>
  <c r="E245" i="7"/>
  <c r="B246" i="7"/>
  <c r="C246" i="7"/>
  <c r="D246" i="7"/>
  <c r="E246" i="7"/>
  <c r="B247" i="7"/>
  <c r="C247" i="7"/>
  <c r="D247" i="7"/>
  <c r="E247" i="7"/>
  <c r="B248" i="7"/>
  <c r="C248" i="7"/>
  <c r="D248" i="7"/>
  <c r="E248" i="7"/>
  <c r="B249" i="7"/>
  <c r="C249" i="7"/>
  <c r="D249" i="7"/>
  <c r="E249" i="7"/>
  <c r="B250" i="7"/>
  <c r="C250" i="7"/>
  <c r="D250" i="7"/>
  <c r="E250" i="7"/>
  <c r="B251" i="7"/>
  <c r="C251" i="7"/>
  <c r="D251" i="7"/>
  <c r="E251" i="7"/>
  <c r="B252" i="7"/>
  <c r="C252" i="7"/>
  <c r="D252" i="7"/>
  <c r="E252" i="7"/>
  <c r="B253" i="7"/>
  <c r="C253" i="7"/>
  <c r="D253" i="7"/>
  <c r="E253" i="7"/>
  <c r="B254" i="7"/>
  <c r="C254" i="7"/>
  <c r="D254" i="7"/>
  <c r="E254" i="7"/>
  <c r="B255" i="7"/>
  <c r="C255" i="7"/>
  <c r="D255" i="7"/>
  <c r="E255" i="7"/>
  <c r="B256" i="7"/>
  <c r="C256" i="7"/>
  <c r="D256" i="7"/>
  <c r="E256" i="7"/>
  <c r="B257" i="7"/>
  <c r="C257" i="7"/>
  <c r="D257" i="7"/>
  <c r="E257" i="7"/>
  <c r="B258" i="7"/>
  <c r="C258" i="7"/>
  <c r="D258" i="7"/>
  <c r="E258" i="7"/>
  <c r="B259" i="7"/>
  <c r="C259" i="7"/>
  <c r="D259" i="7"/>
  <c r="E259" i="7"/>
  <c r="B260" i="7"/>
  <c r="C260" i="7"/>
  <c r="D260" i="7"/>
  <c r="E260" i="7"/>
  <c r="B261" i="7"/>
  <c r="C261" i="7"/>
  <c r="D261" i="7"/>
  <c r="E261" i="7"/>
  <c r="B262" i="7"/>
  <c r="C262" i="7"/>
  <c r="D262" i="7"/>
  <c r="E262" i="7"/>
  <c r="B263" i="7"/>
  <c r="C263" i="7"/>
  <c r="D263" i="7"/>
  <c r="E263" i="7"/>
  <c r="B264" i="7"/>
  <c r="C264" i="7"/>
  <c r="D264" i="7"/>
  <c r="E264" i="7"/>
  <c r="B265" i="7"/>
  <c r="C265" i="7"/>
  <c r="D265" i="7"/>
  <c r="E265" i="7"/>
  <c r="B266" i="7"/>
  <c r="C266" i="7"/>
  <c r="D266" i="7"/>
  <c r="E266" i="7"/>
  <c r="B267" i="7"/>
  <c r="C267" i="7"/>
  <c r="D267" i="7"/>
  <c r="E267" i="7"/>
  <c r="B268" i="7"/>
  <c r="C268" i="7"/>
  <c r="D268" i="7"/>
  <c r="E268" i="7"/>
  <c r="B269" i="7"/>
  <c r="C269" i="7"/>
  <c r="D269" i="7"/>
  <c r="E269" i="7"/>
  <c r="B270" i="7"/>
  <c r="C270" i="7"/>
  <c r="D270" i="7"/>
  <c r="E270" i="7"/>
  <c r="B271" i="7"/>
  <c r="C271" i="7"/>
  <c r="D271" i="7"/>
  <c r="E271" i="7"/>
  <c r="B272" i="7"/>
  <c r="C272" i="7"/>
  <c r="D272" i="7"/>
  <c r="E272" i="7"/>
  <c r="B273" i="7"/>
  <c r="C273" i="7"/>
  <c r="D273" i="7"/>
  <c r="E273" i="7"/>
  <c r="B274" i="7"/>
  <c r="C274" i="7"/>
  <c r="D274" i="7"/>
  <c r="E274" i="7"/>
  <c r="B275" i="7"/>
  <c r="C275" i="7"/>
  <c r="D275" i="7"/>
  <c r="E275" i="7"/>
  <c r="B276" i="7"/>
  <c r="C276" i="7"/>
  <c r="D276" i="7"/>
  <c r="E276" i="7"/>
  <c r="B277" i="7"/>
  <c r="C277" i="7"/>
  <c r="D277" i="7"/>
  <c r="E277" i="7"/>
  <c r="B278" i="7"/>
  <c r="C278" i="7"/>
  <c r="D278" i="7"/>
  <c r="E278" i="7"/>
  <c r="B279" i="7"/>
  <c r="C279" i="7"/>
  <c r="D279" i="7"/>
  <c r="E279" i="7"/>
  <c r="B280" i="7"/>
  <c r="C280" i="7"/>
  <c r="D280" i="7"/>
  <c r="E280" i="7"/>
  <c r="B281" i="7"/>
  <c r="C281" i="7"/>
  <c r="D281" i="7"/>
  <c r="E281" i="7"/>
  <c r="B282" i="7"/>
  <c r="C282" i="7"/>
  <c r="D282" i="7"/>
  <c r="E282" i="7"/>
  <c r="B283" i="7"/>
  <c r="C283" i="7"/>
  <c r="D283" i="7"/>
  <c r="E283" i="7"/>
  <c r="B284" i="7"/>
  <c r="C284" i="7"/>
  <c r="D284" i="7"/>
  <c r="E284" i="7"/>
  <c r="B285" i="7"/>
  <c r="C285" i="7"/>
  <c r="D285" i="7"/>
  <c r="E285" i="7"/>
  <c r="B286" i="7"/>
  <c r="C286" i="7"/>
  <c r="D286" i="7"/>
  <c r="E286" i="7"/>
  <c r="B287" i="7"/>
  <c r="C287" i="7"/>
  <c r="D287" i="7"/>
  <c r="E287" i="7"/>
  <c r="B288" i="7"/>
  <c r="C288" i="7"/>
  <c r="D288" i="7"/>
  <c r="E288" i="7"/>
  <c r="B289" i="7"/>
  <c r="C289" i="7"/>
  <c r="D289" i="7"/>
  <c r="E289" i="7"/>
  <c r="B290" i="7"/>
  <c r="C290" i="7"/>
  <c r="D290" i="7"/>
  <c r="E290" i="7"/>
  <c r="B291" i="7"/>
  <c r="C291" i="7"/>
  <c r="D291" i="7"/>
  <c r="E291" i="7"/>
  <c r="B292" i="7"/>
  <c r="C292" i="7"/>
  <c r="D292" i="7"/>
  <c r="E292" i="7"/>
  <c r="B293" i="7"/>
  <c r="C293" i="7"/>
  <c r="D293" i="7"/>
  <c r="E293" i="7"/>
  <c r="B294" i="7"/>
  <c r="C294" i="7"/>
  <c r="D294" i="7"/>
  <c r="E294" i="7"/>
  <c r="B295" i="7"/>
  <c r="C295" i="7"/>
  <c r="D295" i="7"/>
  <c r="E295" i="7"/>
  <c r="B296" i="7"/>
  <c r="C296" i="7"/>
  <c r="D296" i="7"/>
  <c r="E296" i="7"/>
  <c r="B297" i="7"/>
  <c r="C297" i="7"/>
  <c r="D297" i="7"/>
  <c r="E297" i="7"/>
  <c r="B298" i="7"/>
  <c r="C298" i="7"/>
  <c r="D298" i="7"/>
  <c r="E298" i="7"/>
  <c r="B299" i="7"/>
  <c r="C299" i="7"/>
  <c r="D299" i="7"/>
  <c r="E299" i="7"/>
  <c r="B300" i="7"/>
  <c r="C300" i="7"/>
  <c r="D300" i="7"/>
  <c r="E300" i="7"/>
  <c r="B301" i="7"/>
  <c r="C301" i="7"/>
  <c r="D301" i="7"/>
  <c r="E301" i="7"/>
  <c r="B302" i="7"/>
  <c r="C302" i="7"/>
  <c r="D302" i="7"/>
  <c r="E302" i="7"/>
  <c r="B303" i="7"/>
  <c r="C303" i="7"/>
  <c r="D303" i="7"/>
  <c r="E303" i="7"/>
  <c r="B304" i="7"/>
  <c r="C304" i="7"/>
  <c r="D304" i="7"/>
  <c r="E304" i="7"/>
  <c r="B305" i="7"/>
  <c r="C305" i="7"/>
  <c r="D305" i="7"/>
  <c r="E305" i="7"/>
  <c r="B306" i="7"/>
  <c r="C306" i="7"/>
  <c r="D306" i="7"/>
  <c r="E306" i="7"/>
  <c r="B307" i="7"/>
  <c r="C307" i="7"/>
  <c r="D307" i="7"/>
  <c r="E307" i="7"/>
  <c r="B308" i="7"/>
  <c r="C308" i="7"/>
  <c r="D308" i="7"/>
  <c r="E308" i="7"/>
  <c r="B309" i="7"/>
  <c r="C309" i="7"/>
  <c r="D309" i="7"/>
  <c r="E309" i="7"/>
  <c r="B310" i="7"/>
  <c r="C310" i="7"/>
  <c r="D310" i="7"/>
  <c r="E310" i="7"/>
  <c r="B311" i="7"/>
  <c r="C311" i="7"/>
  <c r="D311" i="7"/>
  <c r="E311" i="7"/>
  <c r="B312" i="7"/>
  <c r="C312" i="7"/>
  <c r="D312" i="7"/>
  <c r="E312" i="7"/>
  <c r="B313" i="7"/>
  <c r="C313" i="7"/>
  <c r="D313" i="7"/>
  <c r="E313" i="7"/>
  <c r="B314" i="7"/>
  <c r="C314" i="7"/>
  <c r="D314" i="7"/>
  <c r="E314" i="7"/>
  <c r="B315" i="7"/>
  <c r="C315" i="7"/>
  <c r="D315" i="7"/>
  <c r="E315" i="7"/>
  <c r="B316" i="7"/>
  <c r="C316" i="7"/>
  <c r="D316" i="7"/>
  <c r="E316" i="7"/>
  <c r="B317" i="7"/>
  <c r="C317" i="7"/>
  <c r="D317" i="7"/>
  <c r="E317" i="7"/>
  <c r="B318" i="7"/>
  <c r="C318" i="7"/>
  <c r="D318" i="7"/>
  <c r="E318" i="7"/>
  <c r="B319" i="7"/>
  <c r="C319" i="7"/>
  <c r="D319" i="7"/>
  <c r="E319" i="7"/>
  <c r="B320" i="7"/>
  <c r="C320" i="7"/>
  <c r="D320" i="7"/>
  <c r="E320" i="7"/>
  <c r="B321" i="7"/>
  <c r="C321" i="7"/>
  <c r="D321" i="7"/>
  <c r="E321" i="7"/>
  <c r="B322" i="7"/>
  <c r="C322" i="7"/>
  <c r="D322" i="7"/>
  <c r="E322" i="7"/>
  <c r="B323" i="7"/>
  <c r="C323" i="7"/>
  <c r="D323" i="7"/>
  <c r="E323" i="7"/>
  <c r="B324" i="7"/>
  <c r="C324" i="7"/>
  <c r="D324" i="7"/>
  <c r="E324" i="7"/>
  <c r="B325" i="7"/>
  <c r="C325" i="7"/>
  <c r="D325" i="7"/>
  <c r="E325" i="7"/>
  <c r="B326" i="7"/>
  <c r="C326" i="7"/>
  <c r="D326" i="7"/>
  <c r="E326" i="7"/>
  <c r="B327" i="7"/>
  <c r="C327" i="7"/>
  <c r="D327" i="7"/>
  <c r="E327" i="7"/>
  <c r="B328" i="7"/>
  <c r="C328" i="7"/>
  <c r="D328" i="7"/>
  <c r="E328" i="7"/>
  <c r="B329" i="7"/>
  <c r="C329" i="7"/>
  <c r="D329" i="7"/>
  <c r="E329" i="7"/>
  <c r="B330" i="7"/>
  <c r="C330" i="7"/>
  <c r="D330" i="7"/>
  <c r="E330" i="7"/>
  <c r="B331" i="7"/>
  <c r="C331" i="7"/>
  <c r="D331" i="7"/>
  <c r="E331" i="7"/>
  <c r="B332" i="7"/>
  <c r="C332" i="7"/>
  <c r="D332" i="7"/>
  <c r="E332" i="7"/>
  <c r="B333" i="7"/>
  <c r="C333" i="7"/>
  <c r="D333" i="7"/>
  <c r="E333" i="7"/>
  <c r="B334" i="7"/>
  <c r="C334" i="7"/>
  <c r="D334" i="7"/>
  <c r="E334" i="7"/>
  <c r="B335" i="7"/>
  <c r="C335" i="7"/>
  <c r="D335" i="7"/>
  <c r="E335" i="7"/>
  <c r="B336" i="7"/>
  <c r="C336" i="7"/>
  <c r="D336" i="7"/>
  <c r="E336" i="7"/>
  <c r="B337" i="7"/>
  <c r="C337" i="7"/>
  <c r="D337" i="7"/>
  <c r="E337" i="7"/>
  <c r="B338" i="7"/>
  <c r="C338" i="7"/>
  <c r="D338" i="7"/>
  <c r="E338" i="7"/>
  <c r="B339" i="7"/>
  <c r="C339" i="7"/>
  <c r="D339" i="7"/>
  <c r="E339" i="7"/>
  <c r="B340" i="7"/>
  <c r="C340" i="7"/>
  <c r="D340" i="7"/>
  <c r="E340" i="7"/>
  <c r="B341" i="7"/>
  <c r="C341" i="7"/>
  <c r="D341" i="7"/>
  <c r="E341" i="7"/>
  <c r="B342" i="7"/>
  <c r="C342" i="7"/>
  <c r="D342" i="7"/>
  <c r="E342" i="7"/>
  <c r="B343" i="7"/>
  <c r="C343" i="7"/>
  <c r="D343" i="7"/>
  <c r="E343" i="7"/>
  <c r="B344" i="7"/>
  <c r="C344" i="7"/>
  <c r="D344" i="7"/>
  <c r="E344" i="7"/>
  <c r="B345" i="7"/>
  <c r="C345" i="7"/>
  <c r="D345" i="7"/>
  <c r="E345" i="7"/>
  <c r="B346" i="7"/>
  <c r="C346" i="7"/>
  <c r="D346" i="7"/>
  <c r="E346" i="7"/>
  <c r="B347" i="7"/>
  <c r="C347" i="7"/>
  <c r="D347" i="7"/>
  <c r="E347" i="7"/>
  <c r="B348" i="7"/>
  <c r="C348" i="7"/>
  <c r="D348" i="7"/>
  <c r="E348" i="7"/>
  <c r="B349" i="7"/>
  <c r="C349" i="7"/>
  <c r="D349" i="7"/>
  <c r="E349" i="7"/>
  <c r="B350" i="7"/>
  <c r="C350" i="7"/>
  <c r="D350" i="7"/>
  <c r="E350" i="7"/>
  <c r="B351" i="7"/>
  <c r="C351" i="7"/>
  <c r="D351" i="7"/>
  <c r="E351" i="7"/>
  <c r="B352" i="7"/>
  <c r="C352" i="7"/>
  <c r="D352" i="7"/>
  <c r="E352" i="7"/>
  <c r="B353" i="7"/>
  <c r="C353" i="7"/>
  <c r="D353" i="7"/>
  <c r="E353" i="7"/>
  <c r="B354" i="7"/>
  <c r="C354" i="7"/>
  <c r="D354" i="7"/>
  <c r="E354" i="7"/>
  <c r="B355" i="7"/>
  <c r="C355" i="7"/>
  <c r="D355" i="7"/>
  <c r="E355" i="7"/>
  <c r="B356" i="7"/>
  <c r="C356" i="7"/>
  <c r="D356" i="7"/>
  <c r="E356" i="7"/>
  <c r="B357" i="7"/>
  <c r="C357" i="7"/>
  <c r="D357" i="7"/>
  <c r="E357" i="7"/>
  <c r="B358" i="7"/>
  <c r="C358" i="7"/>
  <c r="D358" i="7"/>
  <c r="E358" i="7"/>
  <c r="B359" i="7"/>
  <c r="C359" i="7"/>
  <c r="D359" i="7"/>
  <c r="E359" i="7"/>
  <c r="B360" i="7"/>
  <c r="C360" i="7"/>
  <c r="D360" i="7"/>
  <c r="E360" i="7"/>
  <c r="B361" i="7"/>
  <c r="C361" i="7"/>
  <c r="D361" i="7"/>
  <c r="E361" i="7"/>
  <c r="B362" i="7"/>
  <c r="C362" i="7"/>
  <c r="D362" i="7"/>
  <c r="E362" i="7"/>
  <c r="B363" i="7"/>
  <c r="C363" i="7"/>
  <c r="D363" i="7"/>
  <c r="E363" i="7"/>
  <c r="B364" i="7"/>
  <c r="C364" i="7"/>
  <c r="D364" i="7"/>
  <c r="E364" i="7"/>
  <c r="B365" i="7"/>
  <c r="C365" i="7"/>
  <c r="D365" i="7"/>
  <c r="E365" i="7"/>
  <c r="B366" i="7"/>
  <c r="C366" i="7"/>
  <c r="D366" i="7"/>
  <c r="E366" i="7"/>
  <c r="B367" i="7"/>
  <c r="C367" i="7"/>
  <c r="D367" i="7"/>
  <c r="E367" i="7"/>
  <c r="B368" i="7"/>
  <c r="C368" i="7"/>
  <c r="D368" i="7"/>
  <c r="E368" i="7"/>
  <c r="B369" i="7"/>
  <c r="C369" i="7"/>
  <c r="D369" i="7"/>
  <c r="E369" i="7"/>
  <c r="B370" i="7"/>
  <c r="C370" i="7"/>
  <c r="D370" i="7"/>
  <c r="E370" i="7"/>
  <c r="B371" i="7"/>
  <c r="C371" i="7"/>
  <c r="D371" i="7"/>
  <c r="E371" i="7"/>
  <c r="B372" i="7"/>
  <c r="C372" i="7"/>
  <c r="D372" i="7"/>
  <c r="E372" i="7"/>
  <c r="B373" i="7"/>
  <c r="C373" i="7"/>
  <c r="D373" i="7"/>
  <c r="E373" i="7"/>
  <c r="B374" i="7"/>
  <c r="C374" i="7"/>
  <c r="D374" i="7"/>
  <c r="E374" i="7"/>
  <c r="B375" i="7"/>
  <c r="C375" i="7"/>
  <c r="D375" i="7"/>
  <c r="E375" i="7"/>
  <c r="B376" i="7"/>
  <c r="C376" i="7"/>
  <c r="D376" i="7"/>
  <c r="E376" i="7"/>
  <c r="B377" i="7"/>
  <c r="C377" i="7"/>
  <c r="D377" i="7"/>
  <c r="E377" i="7"/>
  <c r="B378" i="7"/>
  <c r="C378" i="7"/>
  <c r="D378" i="7"/>
  <c r="E378" i="7"/>
  <c r="B379" i="7"/>
  <c r="C379" i="7"/>
  <c r="D379" i="7"/>
  <c r="E379" i="7"/>
  <c r="B380" i="7"/>
  <c r="C380" i="7"/>
  <c r="D380" i="7"/>
  <c r="E380" i="7"/>
  <c r="B381" i="7"/>
  <c r="C381" i="7"/>
  <c r="D381" i="7"/>
  <c r="E381" i="7"/>
  <c r="B382" i="7"/>
  <c r="C382" i="7"/>
  <c r="D382" i="7"/>
  <c r="E382" i="7"/>
  <c r="B383" i="7"/>
  <c r="C383" i="7"/>
  <c r="D383" i="7"/>
  <c r="E383" i="7"/>
  <c r="B384" i="7"/>
  <c r="C384" i="7"/>
  <c r="D384" i="7"/>
  <c r="E384" i="7"/>
  <c r="B385" i="7"/>
  <c r="C385" i="7"/>
  <c r="D385" i="7"/>
  <c r="E385" i="7"/>
  <c r="B386" i="7"/>
  <c r="C386" i="7"/>
  <c r="D386" i="7"/>
  <c r="E386" i="7"/>
  <c r="B387" i="7"/>
  <c r="C387" i="7"/>
  <c r="D387" i="7"/>
  <c r="E387" i="7"/>
  <c r="B388" i="7"/>
  <c r="C388" i="7"/>
  <c r="D388" i="7"/>
  <c r="E388" i="7"/>
  <c r="B389" i="7"/>
  <c r="C389" i="7"/>
  <c r="D389" i="7"/>
  <c r="E389" i="7"/>
  <c r="B390" i="7"/>
  <c r="C390" i="7"/>
  <c r="D390" i="7"/>
  <c r="E390" i="7"/>
  <c r="B391" i="7"/>
  <c r="C391" i="7"/>
  <c r="D391" i="7"/>
  <c r="E391" i="7"/>
  <c r="B392" i="7"/>
  <c r="C392" i="7"/>
  <c r="D392" i="7"/>
  <c r="E392" i="7"/>
  <c r="B393" i="7"/>
  <c r="C393" i="7"/>
  <c r="D393" i="7"/>
  <c r="E393" i="7"/>
  <c r="B394" i="7"/>
  <c r="C394" i="7"/>
  <c r="D394" i="7"/>
  <c r="E394" i="7"/>
  <c r="B395" i="7"/>
  <c r="C395" i="7"/>
  <c r="D395" i="7"/>
  <c r="E395" i="7"/>
  <c r="B396" i="7"/>
  <c r="C396" i="7"/>
  <c r="D396" i="7"/>
  <c r="E396" i="7"/>
  <c r="B397" i="7"/>
  <c r="C397" i="7"/>
  <c r="D397" i="7"/>
  <c r="E397" i="7"/>
  <c r="B398" i="7"/>
  <c r="C398" i="7"/>
  <c r="D398" i="7"/>
  <c r="E398" i="7"/>
  <c r="B399" i="7"/>
  <c r="C399" i="7"/>
  <c r="D399" i="7"/>
  <c r="E399" i="7"/>
  <c r="B400" i="7"/>
  <c r="C400" i="7"/>
  <c r="D400" i="7"/>
  <c r="E400" i="7"/>
  <c r="B401" i="7"/>
  <c r="C401" i="7"/>
  <c r="D401" i="7"/>
  <c r="E401" i="7"/>
  <c r="B402" i="7"/>
  <c r="C402" i="7"/>
  <c r="D402" i="7"/>
  <c r="E402" i="7"/>
  <c r="B403" i="7"/>
  <c r="C403" i="7"/>
  <c r="D403" i="7"/>
  <c r="E403" i="7"/>
  <c r="B404" i="7"/>
  <c r="C404" i="7"/>
  <c r="D404" i="7"/>
  <c r="E404" i="7"/>
  <c r="B405" i="7"/>
  <c r="C405" i="7"/>
  <c r="D405" i="7"/>
  <c r="E405" i="7"/>
  <c r="B406" i="7"/>
  <c r="C406" i="7"/>
  <c r="D406" i="7"/>
  <c r="E406" i="7"/>
  <c r="B407" i="7"/>
  <c r="C407" i="7"/>
  <c r="D407" i="7"/>
  <c r="E407" i="7"/>
  <c r="B408" i="7"/>
  <c r="C408" i="7"/>
  <c r="D408" i="7"/>
  <c r="E408" i="7"/>
  <c r="B409" i="7"/>
  <c r="C409" i="7"/>
  <c r="D409" i="7"/>
  <c r="E409" i="7"/>
  <c r="B410" i="7"/>
  <c r="C410" i="7"/>
  <c r="D410" i="7"/>
  <c r="E410" i="7"/>
  <c r="B411" i="7"/>
  <c r="C411" i="7"/>
  <c r="D411" i="7"/>
  <c r="E411" i="7"/>
  <c r="B412" i="7"/>
  <c r="C412" i="7"/>
  <c r="D412" i="7"/>
  <c r="E412" i="7"/>
  <c r="B413" i="7"/>
  <c r="C413" i="7"/>
  <c r="D413" i="7"/>
  <c r="E413" i="7"/>
  <c r="B414" i="7"/>
  <c r="C414" i="7"/>
  <c r="D414" i="7"/>
  <c r="E414" i="7"/>
  <c r="B415" i="7"/>
  <c r="C415" i="7"/>
  <c r="D415" i="7"/>
  <c r="E415" i="7"/>
  <c r="B416" i="7"/>
  <c r="C416" i="7"/>
  <c r="D416" i="7"/>
  <c r="E416" i="7"/>
  <c r="B417" i="7"/>
  <c r="C417" i="7"/>
  <c r="D417" i="7"/>
  <c r="E417" i="7"/>
  <c r="B418" i="7"/>
  <c r="C418" i="7"/>
  <c r="D418" i="7"/>
  <c r="E418" i="7"/>
  <c r="B419" i="7"/>
  <c r="C419" i="7"/>
  <c r="D419" i="7"/>
  <c r="E419" i="7"/>
  <c r="B420" i="7"/>
  <c r="C420" i="7"/>
  <c r="D420" i="7"/>
  <c r="E420" i="7"/>
  <c r="B421" i="7"/>
  <c r="C421" i="7"/>
  <c r="D421" i="7"/>
  <c r="E421" i="7"/>
  <c r="B422" i="7"/>
  <c r="C422" i="7"/>
  <c r="D422" i="7"/>
  <c r="E422" i="7"/>
  <c r="B423" i="7"/>
  <c r="C423" i="7"/>
  <c r="D423" i="7"/>
  <c r="E423" i="7"/>
  <c r="B424" i="7"/>
  <c r="C424" i="7"/>
  <c r="D424" i="7"/>
  <c r="E424" i="7"/>
  <c r="B425" i="7"/>
  <c r="C425" i="7"/>
  <c r="D425" i="7"/>
  <c r="E425" i="7"/>
  <c r="B426" i="7"/>
  <c r="C426" i="7"/>
  <c r="D426" i="7"/>
  <c r="E426" i="7"/>
  <c r="B427" i="7"/>
  <c r="C427" i="7"/>
  <c r="D427" i="7"/>
  <c r="E427" i="7"/>
  <c r="B428" i="7"/>
  <c r="C428" i="7"/>
  <c r="D428" i="7"/>
  <c r="E428" i="7"/>
  <c r="B429" i="7"/>
  <c r="C429" i="7"/>
  <c r="D429" i="7"/>
  <c r="E429" i="7"/>
  <c r="B430" i="7"/>
  <c r="C430" i="7"/>
  <c r="D430" i="7"/>
  <c r="E430" i="7"/>
  <c r="B431" i="7"/>
  <c r="C431" i="7"/>
  <c r="D431" i="7"/>
  <c r="E431" i="7"/>
  <c r="B432" i="7"/>
  <c r="C432" i="7"/>
  <c r="D432" i="7"/>
  <c r="E432" i="7"/>
  <c r="B433" i="7"/>
  <c r="C433" i="7"/>
  <c r="D433" i="7"/>
  <c r="E433" i="7"/>
  <c r="B434" i="7"/>
  <c r="C434" i="7"/>
  <c r="D434" i="7"/>
  <c r="E434" i="7"/>
  <c r="B435" i="7"/>
  <c r="C435" i="7"/>
  <c r="D435" i="7"/>
  <c r="E435" i="7"/>
  <c r="B436" i="7"/>
  <c r="C436" i="7"/>
  <c r="D436" i="7"/>
  <c r="E436" i="7"/>
  <c r="B437" i="7"/>
  <c r="C437" i="7"/>
  <c r="D437" i="7"/>
  <c r="E437" i="7"/>
  <c r="B438" i="7"/>
  <c r="C438" i="7"/>
  <c r="D438" i="7"/>
  <c r="E438" i="7"/>
  <c r="B439" i="7"/>
  <c r="C439" i="7"/>
  <c r="D439" i="7"/>
  <c r="E439" i="7"/>
  <c r="B440" i="7"/>
  <c r="C440" i="7"/>
  <c r="D440" i="7"/>
  <c r="E440" i="7"/>
  <c r="B441" i="7"/>
  <c r="C441" i="7"/>
  <c r="D441" i="7"/>
  <c r="E441" i="7"/>
  <c r="B442" i="7"/>
  <c r="C442" i="7"/>
  <c r="D442" i="7"/>
  <c r="E442" i="7"/>
  <c r="B443" i="7"/>
  <c r="C443" i="7"/>
  <c r="D443" i="7"/>
  <c r="E443" i="7"/>
  <c r="B444" i="7"/>
  <c r="C444" i="7"/>
  <c r="D444" i="7"/>
  <c r="E444" i="7"/>
  <c r="B445" i="7"/>
  <c r="C445" i="7"/>
  <c r="D445" i="7"/>
  <c r="E445" i="7"/>
  <c r="B446" i="7"/>
  <c r="C446" i="7"/>
  <c r="D446" i="7"/>
  <c r="E446" i="7"/>
  <c r="B447" i="7"/>
  <c r="C447" i="7"/>
  <c r="D447" i="7"/>
  <c r="E447" i="7"/>
  <c r="B448" i="7"/>
  <c r="C448" i="7"/>
  <c r="D448" i="7"/>
  <c r="E448" i="7"/>
  <c r="B449" i="7"/>
  <c r="C449" i="7"/>
  <c r="D449" i="7"/>
  <c r="E449" i="7"/>
  <c r="B450" i="7"/>
  <c r="C450" i="7"/>
  <c r="D450" i="7"/>
  <c r="E450" i="7"/>
  <c r="B451" i="7"/>
  <c r="C451" i="7"/>
  <c r="D451" i="7"/>
  <c r="E451" i="7"/>
  <c r="B452" i="7"/>
  <c r="C452" i="7"/>
  <c r="D452" i="7"/>
  <c r="E452" i="7"/>
  <c r="B453" i="7"/>
  <c r="C453" i="7"/>
  <c r="D453" i="7"/>
  <c r="E453" i="7"/>
  <c r="B454" i="7"/>
  <c r="C454" i="7"/>
  <c r="D454" i="7"/>
  <c r="E454" i="7"/>
  <c r="B455" i="7"/>
  <c r="C455" i="7"/>
  <c r="D455" i="7"/>
  <c r="E455" i="7"/>
  <c r="B456" i="7"/>
  <c r="C456" i="7"/>
  <c r="D456" i="7"/>
  <c r="E456" i="7"/>
  <c r="B457" i="7"/>
  <c r="C457" i="7"/>
  <c r="D457" i="7"/>
  <c r="E457" i="7"/>
  <c r="B458" i="7"/>
  <c r="C458" i="7"/>
  <c r="D458" i="7"/>
  <c r="E458" i="7"/>
  <c r="B459" i="7"/>
  <c r="C459" i="7"/>
  <c r="D459" i="7"/>
  <c r="E459" i="7"/>
  <c r="B460" i="7"/>
  <c r="C460" i="7"/>
  <c r="D460" i="7"/>
  <c r="E460" i="7"/>
  <c r="B461" i="7"/>
  <c r="C461" i="7"/>
  <c r="D461" i="7"/>
  <c r="E461" i="7"/>
  <c r="B462" i="7"/>
  <c r="C462" i="7"/>
  <c r="D462" i="7"/>
  <c r="E462" i="7"/>
  <c r="B463" i="7"/>
  <c r="C463" i="7"/>
  <c r="D463" i="7"/>
  <c r="E463" i="7"/>
  <c r="B464" i="7"/>
  <c r="C464" i="7"/>
  <c r="D464" i="7"/>
  <c r="E464" i="7"/>
  <c r="B465" i="7"/>
  <c r="C465" i="7"/>
  <c r="D465" i="7"/>
  <c r="E465" i="7"/>
  <c r="B466" i="7"/>
  <c r="C466" i="7"/>
  <c r="D466" i="7"/>
  <c r="E466" i="7"/>
  <c r="B467" i="7"/>
  <c r="C467" i="7"/>
  <c r="D467" i="7"/>
  <c r="E467" i="7"/>
  <c r="B468" i="7"/>
  <c r="C468" i="7"/>
  <c r="D468" i="7"/>
  <c r="E468" i="7"/>
  <c r="B469" i="7"/>
  <c r="C469" i="7"/>
  <c r="D469" i="7"/>
  <c r="E469" i="7"/>
  <c r="B470" i="7"/>
  <c r="C470" i="7"/>
  <c r="D470" i="7"/>
  <c r="E470" i="7"/>
  <c r="B471" i="7"/>
  <c r="C471" i="7"/>
  <c r="D471" i="7"/>
  <c r="E471" i="7"/>
  <c r="B472" i="7"/>
  <c r="C472" i="7"/>
  <c r="D472" i="7"/>
  <c r="E472" i="7"/>
  <c r="B473" i="7"/>
  <c r="C473" i="7"/>
  <c r="D473" i="7"/>
  <c r="E473" i="7"/>
  <c r="B474" i="7"/>
  <c r="C474" i="7"/>
  <c r="D474" i="7"/>
  <c r="E474" i="7"/>
  <c r="B475" i="7"/>
  <c r="C475" i="7"/>
  <c r="D475" i="7"/>
  <c r="E475" i="7"/>
  <c r="B476" i="7"/>
  <c r="C476" i="7"/>
  <c r="D476" i="7"/>
  <c r="E476" i="7"/>
  <c r="B477" i="7"/>
  <c r="C477" i="7"/>
  <c r="D477" i="7"/>
  <c r="E477" i="7"/>
  <c r="B478" i="7"/>
  <c r="C478" i="7"/>
  <c r="D478" i="7"/>
  <c r="E478" i="7"/>
  <c r="B479" i="7"/>
  <c r="C479" i="7"/>
  <c r="D479" i="7"/>
  <c r="E479" i="7"/>
  <c r="B480" i="7"/>
  <c r="C480" i="7"/>
  <c r="D480" i="7"/>
  <c r="E480" i="7"/>
  <c r="B481" i="7"/>
  <c r="C481" i="7"/>
  <c r="D481" i="7"/>
  <c r="E481" i="7"/>
  <c r="B482" i="7"/>
  <c r="C482" i="7"/>
  <c r="D482" i="7"/>
  <c r="E482" i="7"/>
  <c r="B483" i="7"/>
  <c r="C483" i="7"/>
  <c r="D483" i="7"/>
  <c r="E483" i="7"/>
  <c r="B484" i="7"/>
  <c r="C484" i="7"/>
  <c r="D484" i="7"/>
  <c r="E484" i="7"/>
  <c r="B485" i="7"/>
  <c r="C485" i="7"/>
  <c r="D485" i="7"/>
  <c r="E485" i="7"/>
  <c r="B486" i="7"/>
  <c r="C486" i="7"/>
  <c r="D486" i="7"/>
  <c r="E486" i="7"/>
  <c r="B487" i="7"/>
  <c r="C487" i="7"/>
  <c r="D487" i="7"/>
  <c r="E487" i="7"/>
  <c r="B488" i="7"/>
  <c r="C488" i="7"/>
  <c r="D488" i="7"/>
  <c r="E488" i="7"/>
  <c r="B489" i="7"/>
  <c r="C489" i="7"/>
  <c r="D489" i="7"/>
  <c r="E489" i="7"/>
  <c r="B490" i="7"/>
  <c r="C490" i="7"/>
  <c r="D490" i="7"/>
  <c r="E490" i="7"/>
  <c r="B491" i="7"/>
  <c r="C491" i="7"/>
  <c r="D491" i="7"/>
  <c r="E491" i="7"/>
  <c r="B492" i="7"/>
  <c r="C492" i="7"/>
  <c r="D492" i="7"/>
  <c r="E492" i="7"/>
  <c r="B493" i="7"/>
  <c r="C493" i="7"/>
  <c r="D493" i="7"/>
  <c r="E493" i="7"/>
  <c r="B494" i="7"/>
  <c r="C494" i="7"/>
  <c r="D494" i="7"/>
  <c r="E494" i="7"/>
  <c r="B495" i="7"/>
  <c r="C495" i="7"/>
  <c r="D495" i="7"/>
  <c r="E495" i="7"/>
  <c r="B496" i="7"/>
  <c r="C496" i="7"/>
  <c r="D496" i="7"/>
  <c r="E496" i="7"/>
  <c r="B497" i="7"/>
  <c r="C497" i="7"/>
  <c r="D497" i="7"/>
  <c r="E497" i="7"/>
  <c r="B498" i="7"/>
  <c r="C498" i="7"/>
  <c r="D498" i="7"/>
  <c r="E498" i="7"/>
  <c r="B499" i="7"/>
  <c r="C499" i="7"/>
  <c r="D499" i="7"/>
  <c r="E499" i="7"/>
  <c r="B500" i="7"/>
  <c r="C500" i="7"/>
  <c r="D500" i="7"/>
  <c r="E500" i="7"/>
  <c r="B501" i="7"/>
  <c r="C501" i="7"/>
  <c r="D501" i="7"/>
  <c r="E501" i="7"/>
  <c r="B502" i="7"/>
  <c r="C502" i="7"/>
  <c r="D502" i="7"/>
  <c r="E502" i="7"/>
  <c r="B503" i="7"/>
  <c r="C503" i="7"/>
  <c r="D503" i="7"/>
  <c r="E503" i="7"/>
  <c r="B504" i="7"/>
  <c r="C504" i="7"/>
  <c r="D504" i="7"/>
  <c r="E504" i="7"/>
  <c r="B505" i="7"/>
  <c r="C505" i="7"/>
  <c r="D505" i="7"/>
  <c r="E505" i="7"/>
  <c r="B506" i="7"/>
  <c r="C506" i="7"/>
  <c r="D506" i="7"/>
  <c r="E506" i="7"/>
  <c r="B507" i="7"/>
  <c r="C507" i="7"/>
  <c r="D507" i="7"/>
  <c r="E507" i="7"/>
  <c r="B508" i="7"/>
  <c r="C508" i="7"/>
  <c r="D508" i="7"/>
  <c r="E508" i="7"/>
  <c r="B509" i="7"/>
  <c r="C509" i="7"/>
  <c r="D509" i="7"/>
  <c r="E509" i="7"/>
  <c r="B510" i="7"/>
  <c r="C510" i="7"/>
  <c r="D510" i="7"/>
  <c r="E510" i="7"/>
  <c r="B511" i="7"/>
  <c r="C511" i="7"/>
  <c r="D511" i="7"/>
  <c r="E511" i="7"/>
  <c r="B512" i="7"/>
  <c r="C512" i="7"/>
  <c r="D512" i="7"/>
  <c r="E512" i="7"/>
  <c r="B513" i="7"/>
  <c r="C513" i="7"/>
  <c r="D513" i="7"/>
  <c r="E513" i="7"/>
  <c r="B514" i="7"/>
  <c r="C514" i="7"/>
  <c r="D514" i="7"/>
  <c r="E514" i="7"/>
  <c r="B515" i="7"/>
  <c r="C515" i="7"/>
  <c r="D515" i="7"/>
  <c r="E515" i="7"/>
  <c r="B516" i="7"/>
  <c r="C516" i="7"/>
  <c r="D516" i="7"/>
  <c r="E516" i="7"/>
  <c r="B517" i="7"/>
  <c r="C517" i="7"/>
  <c r="D517" i="7"/>
  <c r="E517" i="7"/>
  <c r="B518" i="7"/>
  <c r="C518" i="7"/>
  <c r="D518" i="7"/>
  <c r="E518" i="7"/>
  <c r="B519" i="7"/>
  <c r="C519" i="7"/>
  <c r="D519" i="7"/>
  <c r="E519" i="7"/>
  <c r="B520" i="7"/>
  <c r="C520" i="7"/>
  <c r="D520" i="7"/>
  <c r="E520" i="7"/>
  <c r="B521" i="7"/>
  <c r="C521" i="7"/>
  <c r="D521" i="7"/>
  <c r="E521" i="7"/>
  <c r="B522" i="7"/>
  <c r="C522" i="7"/>
  <c r="D522" i="7"/>
  <c r="E522" i="7"/>
  <c r="B523" i="7"/>
  <c r="C523" i="7"/>
  <c r="D523" i="7"/>
  <c r="E523" i="7"/>
  <c r="B524" i="7"/>
  <c r="C524" i="7"/>
  <c r="D524" i="7"/>
  <c r="E524" i="7"/>
  <c r="B525" i="7"/>
  <c r="C525" i="7"/>
  <c r="D525" i="7"/>
  <c r="E525" i="7"/>
  <c r="B526" i="7"/>
  <c r="C526" i="7"/>
  <c r="D526" i="7"/>
  <c r="E526" i="7"/>
  <c r="B527" i="7"/>
  <c r="C527" i="7"/>
  <c r="D527" i="7"/>
  <c r="E527" i="7"/>
  <c r="B528" i="7"/>
  <c r="C528" i="7"/>
  <c r="D528" i="7"/>
  <c r="E528" i="7"/>
  <c r="B529" i="7"/>
  <c r="C529" i="7"/>
  <c r="D529" i="7"/>
  <c r="E529" i="7"/>
  <c r="B530" i="7"/>
  <c r="C530" i="7"/>
  <c r="D530" i="7"/>
  <c r="E530" i="7"/>
  <c r="B531" i="7"/>
  <c r="C531" i="7"/>
  <c r="D531" i="7"/>
  <c r="E531" i="7"/>
  <c r="B532" i="7"/>
  <c r="C532" i="7"/>
  <c r="D532" i="7"/>
  <c r="E532" i="7"/>
  <c r="B533" i="7"/>
  <c r="C533" i="7"/>
  <c r="D533" i="7"/>
  <c r="E533" i="7"/>
  <c r="B534" i="7"/>
  <c r="C534" i="7"/>
  <c r="D534" i="7"/>
  <c r="E534" i="7"/>
  <c r="B535" i="7"/>
  <c r="C535" i="7"/>
  <c r="D535" i="7"/>
  <c r="E535" i="7"/>
  <c r="B536" i="7"/>
  <c r="C536" i="7"/>
  <c r="D536" i="7"/>
  <c r="E536" i="7"/>
  <c r="B537" i="7"/>
  <c r="C537" i="7"/>
  <c r="D537" i="7"/>
  <c r="E537" i="7"/>
  <c r="B538" i="7"/>
  <c r="C538" i="7"/>
  <c r="D538" i="7"/>
  <c r="E538" i="7"/>
  <c r="B539" i="7"/>
  <c r="C539" i="7"/>
  <c r="D539" i="7"/>
  <c r="E539" i="7"/>
  <c r="B540" i="7"/>
  <c r="C540" i="7"/>
  <c r="D540" i="7"/>
  <c r="E540" i="7"/>
  <c r="B541" i="7"/>
  <c r="C541" i="7"/>
  <c r="D541" i="7"/>
  <c r="E541" i="7"/>
  <c r="B542" i="7"/>
  <c r="C542" i="7"/>
  <c r="D542" i="7"/>
  <c r="E542" i="7"/>
  <c r="B543" i="7"/>
  <c r="C543" i="7"/>
  <c r="D543" i="7"/>
  <c r="E543" i="7"/>
  <c r="B544" i="7"/>
  <c r="C544" i="7"/>
  <c r="D544" i="7"/>
  <c r="E544" i="7"/>
  <c r="B545" i="7"/>
  <c r="C545" i="7"/>
  <c r="D545" i="7"/>
  <c r="E545" i="7"/>
  <c r="B546" i="7"/>
  <c r="C546" i="7"/>
  <c r="D546" i="7"/>
  <c r="E546" i="7"/>
  <c r="B547" i="7"/>
  <c r="C547" i="7"/>
  <c r="D547" i="7"/>
  <c r="E547" i="7"/>
  <c r="B548" i="7"/>
  <c r="C548" i="7"/>
  <c r="D548" i="7"/>
  <c r="E548" i="7"/>
  <c r="B549" i="7"/>
  <c r="C549" i="7"/>
  <c r="D549" i="7"/>
  <c r="E549" i="7"/>
  <c r="B550" i="7"/>
  <c r="C550" i="7"/>
  <c r="D550" i="7"/>
  <c r="E550" i="7"/>
  <c r="B551" i="7"/>
  <c r="C551" i="7"/>
  <c r="D551" i="7"/>
  <c r="E551" i="7"/>
  <c r="B552" i="7"/>
  <c r="C552" i="7"/>
  <c r="D552" i="7"/>
  <c r="E552" i="7"/>
  <c r="B553" i="7"/>
  <c r="C553" i="7"/>
  <c r="D553" i="7"/>
  <c r="E553" i="7"/>
  <c r="B554" i="7"/>
  <c r="C554" i="7"/>
  <c r="D554" i="7"/>
  <c r="E554" i="7"/>
  <c r="B555" i="7"/>
  <c r="C555" i="7"/>
  <c r="D555" i="7"/>
  <c r="E555" i="7"/>
  <c r="B556" i="7"/>
  <c r="C556" i="7"/>
  <c r="D556" i="7"/>
  <c r="E556" i="7"/>
  <c r="B557" i="7"/>
  <c r="C557" i="7"/>
  <c r="D557" i="7"/>
  <c r="E557" i="7"/>
  <c r="B558" i="7"/>
  <c r="C558" i="7"/>
  <c r="D558" i="7"/>
  <c r="E558" i="7"/>
  <c r="B559" i="7"/>
  <c r="C559" i="7"/>
  <c r="D559" i="7"/>
  <c r="E559" i="7"/>
  <c r="B560" i="7"/>
  <c r="C560" i="7"/>
  <c r="D560" i="7"/>
  <c r="E560" i="7"/>
  <c r="B561" i="7"/>
  <c r="C561" i="7"/>
  <c r="D561" i="7"/>
  <c r="E561" i="7"/>
  <c r="B562" i="7"/>
  <c r="C562" i="7"/>
  <c r="D562" i="7"/>
  <c r="E562" i="7"/>
  <c r="B563" i="7"/>
  <c r="C563" i="7"/>
  <c r="D563" i="7"/>
  <c r="E563" i="7"/>
  <c r="B564" i="7"/>
  <c r="C564" i="7"/>
  <c r="D564" i="7"/>
  <c r="E564" i="7"/>
  <c r="B565" i="7"/>
  <c r="C565" i="7"/>
  <c r="D565" i="7"/>
  <c r="E565" i="7"/>
  <c r="B566" i="7"/>
  <c r="C566" i="7"/>
  <c r="D566" i="7"/>
  <c r="E566" i="7"/>
  <c r="B567" i="7"/>
  <c r="C567" i="7"/>
  <c r="D567" i="7"/>
  <c r="E567" i="7"/>
  <c r="B568" i="7"/>
  <c r="C568" i="7"/>
  <c r="D568" i="7"/>
  <c r="E568" i="7"/>
  <c r="B569" i="7"/>
  <c r="C569" i="7"/>
  <c r="D569" i="7"/>
  <c r="E569" i="7"/>
  <c r="B570" i="7"/>
  <c r="C570" i="7"/>
  <c r="D570" i="7"/>
  <c r="E570" i="7"/>
  <c r="B571" i="7"/>
  <c r="C571" i="7"/>
  <c r="D571" i="7"/>
  <c r="E571" i="7"/>
  <c r="B572" i="7"/>
  <c r="C572" i="7"/>
  <c r="D572" i="7"/>
  <c r="E572" i="7"/>
  <c r="B573" i="7"/>
  <c r="C573" i="7"/>
  <c r="D573" i="7"/>
  <c r="E573" i="7"/>
  <c r="B574" i="7"/>
  <c r="C574" i="7"/>
  <c r="D574" i="7"/>
  <c r="E574" i="7"/>
  <c r="B575" i="7"/>
  <c r="C575" i="7"/>
  <c r="D575" i="7"/>
  <c r="E575" i="7"/>
  <c r="B576" i="7"/>
  <c r="C576" i="7"/>
  <c r="D576" i="7"/>
  <c r="E576" i="7"/>
  <c r="B577" i="7"/>
  <c r="C577" i="7"/>
  <c r="D577" i="7"/>
  <c r="E577" i="7"/>
  <c r="B578" i="7"/>
  <c r="C578" i="7"/>
  <c r="D578" i="7"/>
  <c r="E578" i="7"/>
  <c r="B579" i="7"/>
  <c r="C579" i="7"/>
  <c r="D579" i="7"/>
  <c r="E579" i="7"/>
  <c r="B580" i="7"/>
  <c r="C580" i="7"/>
  <c r="D580" i="7"/>
  <c r="E580" i="7"/>
  <c r="B581" i="7"/>
  <c r="C581" i="7"/>
  <c r="D581" i="7"/>
  <c r="E581" i="7"/>
  <c r="B582" i="7"/>
  <c r="C582" i="7"/>
  <c r="D582" i="7"/>
  <c r="E582" i="7"/>
  <c r="B583" i="7"/>
  <c r="C583" i="7"/>
  <c r="D583" i="7"/>
  <c r="E583" i="7"/>
  <c r="B584" i="7"/>
  <c r="C584" i="7"/>
  <c r="D584" i="7"/>
  <c r="E584" i="7"/>
  <c r="B585" i="7"/>
  <c r="C585" i="7"/>
  <c r="D585" i="7"/>
  <c r="E585" i="7"/>
  <c r="B586" i="7"/>
  <c r="C586" i="7"/>
  <c r="D586" i="7"/>
  <c r="E586" i="7"/>
  <c r="B587" i="7"/>
  <c r="C587" i="7"/>
  <c r="D587" i="7"/>
  <c r="E587" i="7"/>
  <c r="B588" i="7"/>
  <c r="C588" i="7"/>
  <c r="D588" i="7"/>
  <c r="E588" i="7"/>
  <c r="B589" i="7"/>
  <c r="C589" i="7"/>
  <c r="D589" i="7"/>
  <c r="E589" i="7"/>
  <c r="B590" i="7"/>
  <c r="C590" i="7"/>
  <c r="D590" i="7"/>
  <c r="E590" i="7"/>
  <c r="B591" i="7"/>
  <c r="C591" i="7"/>
  <c r="D591" i="7"/>
  <c r="E591" i="7"/>
  <c r="B592" i="7"/>
  <c r="C592" i="7"/>
  <c r="D592" i="7"/>
  <c r="E592" i="7"/>
  <c r="B593" i="7"/>
  <c r="C593" i="7"/>
  <c r="D593" i="7"/>
  <c r="E593" i="7"/>
  <c r="B594" i="7"/>
  <c r="C594" i="7"/>
  <c r="D594" i="7"/>
  <c r="E594" i="7"/>
  <c r="B595" i="7"/>
  <c r="C595" i="7"/>
  <c r="D595" i="7"/>
  <c r="E595" i="7"/>
  <c r="B596" i="7"/>
  <c r="C596" i="7"/>
  <c r="D596" i="7"/>
  <c r="E596" i="7"/>
  <c r="B597" i="7"/>
  <c r="C597" i="7"/>
  <c r="D597" i="7"/>
  <c r="E597" i="7"/>
  <c r="B598" i="7"/>
  <c r="C598" i="7"/>
  <c r="D598" i="7"/>
  <c r="E598" i="7"/>
  <c r="B599" i="7"/>
  <c r="C599" i="7"/>
  <c r="D599" i="7"/>
  <c r="E599" i="7"/>
  <c r="B600" i="7"/>
  <c r="C600" i="7"/>
  <c r="D600" i="7"/>
  <c r="E600" i="7"/>
  <c r="B601" i="7"/>
  <c r="C601" i="7"/>
  <c r="D601" i="7"/>
  <c r="E601" i="7"/>
  <c r="B602" i="7"/>
  <c r="C602" i="7"/>
  <c r="D602" i="7"/>
  <c r="E602" i="7"/>
  <c r="B603" i="7"/>
  <c r="C603" i="7"/>
  <c r="D603" i="7"/>
  <c r="E603" i="7"/>
  <c r="B604" i="7"/>
  <c r="C604" i="7"/>
  <c r="D604" i="7"/>
  <c r="E604" i="7"/>
  <c r="B605" i="7"/>
  <c r="C605" i="7"/>
  <c r="D605" i="7"/>
  <c r="E605" i="7"/>
  <c r="B606" i="7"/>
  <c r="C606" i="7"/>
  <c r="D606" i="7"/>
  <c r="E606" i="7"/>
  <c r="B607" i="7"/>
  <c r="C607" i="7"/>
  <c r="D607" i="7"/>
  <c r="E607" i="7"/>
  <c r="B608" i="7"/>
  <c r="C608" i="7"/>
  <c r="D608" i="7"/>
  <c r="E608" i="7"/>
  <c r="B609" i="7"/>
  <c r="C609" i="7"/>
  <c r="D609" i="7"/>
  <c r="E609" i="7"/>
  <c r="B610" i="7"/>
  <c r="C610" i="7"/>
  <c r="D610" i="7"/>
  <c r="E610" i="7"/>
  <c r="B611" i="7"/>
  <c r="C611" i="7"/>
  <c r="D611" i="7"/>
  <c r="E611" i="7"/>
  <c r="B612" i="7"/>
  <c r="C612" i="7"/>
  <c r="D612" i="7"/>
  <c r="E612" i="7"/>
  <c r="B613" i="7"/>
  <c r="C613" i="7"/>
  <c r="D613" i="7"/>
  <c r="E613" i="7"/>
  <c r="B614" i="7"/>
  <c r="C614" i="7"/>
  <c r="D614" i="7"/>
  <c r="E614" i="7"/>
  <c r="B615" i="7"/>
  <c r="C615" i="7"/>
  <c r="D615" i="7"/>
  <c r="E615" i="7"/>
  <c r="B616" i="7"/>
  <c r="C616" i="7"/>
  <c r="D616" i="7"/>
  <c r="E616" i="7"/>
  <c r="B617" i="7"/>
  <c r="C617" i="7"/>
  <c r="D617" i="7"/>
  <c r="E617" i="7"/>
  <c r="B618" i="7"/>
  <c r="C618" i="7"/>
  <c r="D618" i="7"/>
  <c r="E618" i="7"/>
  <c r="B619" i="7"/>
  <c r="C619" i="7"/>
  <c r="D619" i="7"/>
  <c r="E619" i="7"/>
  <c r="B620" i="7"/>
  <c r="C620" i="7"/>
  <c r="D620" i="7"/>
  <c r="E620" i="7"/>
  <c r="B621" i="7"/>
  <c r="C621" i="7"/>
  <c r="D621" i="7"/>
  <c r="E621" i="7"/>
  <c r="B622" i="7"/>
  <c r="C622" i="7"/>
  <c r="D622" i="7"/>
  <c r="E622" i="7"/>
  <c r="B623" i="7"/>
  <c r="C623" i="7"/>
  <c r="D623" i="7"/>
  <c r="E623" i="7"/>
  <c r="B624" i="7"/>
  <c r="C624" i="7"/>
  <c r="D624" i="7"/>
  <c r="E624" i="7"/>
  <c r="B625" i="7"/>
  <c r="C625" i="7"/>
  <c r="D625" i="7"/>
  <c r="E625" i="7"/>
  <c r="B626" i="7"/>
  <c r="C626" i="7"/>
  <c r="D626" i="7"/>
  <c r="E626" i="7"/>
  <c r="B627" i="7"/>
  <c r="C627" i="7"/>
  <c r="D627" i="7"/>
  <c r="E627" i="7"/>
  <c r="B628" i="7"/>
  <c r="C628" i="7"/>
  <c r="D628" i="7"/>
  <c r="E628" i="7"/>
  <c r="B629" i="7"/>
  <c r="C629" i="7"/>
  <c r="D629" i="7"/>
  <c r="E629" i="7"/>
  <c r="B630" i="7"/>
  <c r="C630" i="7"/>
  <c r="D630" i="7"/>
  <c r="E630" i="7"/>
  <c r="B631" i="7"/>
  <c r="C631" i="7"/>
  <c r="D631" i="7"/>
  <c r="E631" i="7"/>
  <c r="B632" i="7"/>
  <c r="C632" i="7"/>
  <c r="D632" i="7"/>
  <c r="E632" i="7"/>
  <c r="B633" i="7"/>
  <c r="C633" i="7"/>
  <c r="D633" i="7"/>
  <c r="E633" i="7"/>
  <c r="B634" i="7"/>
  <c r="C634" i="7"/>
  <c r="D634" i="7"/>
  <c r="E634" i="7"/>
  <c r="B635" i="7"/>
  <c r="C635" i="7"/>
  <c r="D635" i="7"/>
  <c r="E635" i="7"/>
  <c r="B636" i="7"/>
  <c r="C636" i="7"/>
  <c r="D636" i="7"/>
  <c r="E636" i="7"/>
  <c r="B637" i="7"/>
  <c r="C637" i="7"/>
  <c r="D637" i="7"/>
  <c r="E637" i="7"/>
  <c r="B638" i="7"/>
  <c r="C638" i="7"/>
  <c r="D638" i="7"/>
  <c r="E638" i="7"/>
  <c r="B639" i="7"/>
  <c r="C639" i="7"/>
  <c r="D639" i="7"/>
  <c r="E639" i="7"/>
  <c r="B640" i="7"/>
  <c r="C640" i="7"/>
  <c r="D640" i="7"/>
  <c r="E640" i="7"/>
  <c r="B641" i="7"/>
  <c r="C641" i="7"/>
  <c r="D641" i="7"/>
  <c r="E641" i="7"/>
  <c r="B642" i="7"/>
  <c r="C642" i="7"/>
  <c r="D642" i="7"/>
  <c r="E642" i="7"/>
  <c r="B643" i="7"/>
  <c r="C643" i="7"/>
  <c r="D643" i="7"/>
  <c r="E643" i="7"/>
  <c r="B644" i="7"/>
  <c r="C644" i="7"/>
  <c r="D644" i="7"/>
  <c r="E644" i="7"/>
  <c r="B645" i="7"/>
  <c r="C645" i="7"/>
  <c r="D645" i="7"/>
  <c r="E645" i="7"/>
  <c r="B646" i="7"/>
  <c r="C646" i="7"/>
  <c r="D646" i="7"/>
  <c r="E646" i="7"/>
  <c r="B647" i="7"/>
  <c r="C647" i="7"/>
  <c r="D647" i="7"/>
  <c r="E647" i="7"/>
  <c r="B648" i="7"/>
  <c r="C648" i="7"/>
  <c r="D648" i="7"/>
  <c r="E648" i="7"/>
  <c r="B649" i="7"/>
  <c r="C649" i="7"/>
  <c r="D649" i="7"/>
  <c r="E649" i="7"/>
  <c r="B650" i="7"/>
  <c r="C650" i="7"/>
  <c r="D650" i="7"/>
  <c r="E650" i="7"/>
  <c r="B651" i="7"/>
  <c r="C651" i="7"/>
  <c r="D651" i="7"/>
  <c r="E651" i="7"/>
  <c r="B652" i="7"/>
  <c r="C652" i="7"/>
  <c r="D652" i="7"/>
  <c r="E652" i="7"/>
  <c r="B653" i="7"/>
  <c r="C653" i="7"/>
  <c r="D653" i="7"/>
  <c r="E653" i="7"/>
  <c r="B654" i="7"/>
  <c r="C654" i="7"/>
  <c r="D654" i="7"/>
  <c r="E654" i="7"/>
  <c r="B655" i="7"/>
  <c r="C655" i="7"/>
  <c r="D655" i="7"/>
  <c r="E655" i="7"/>
  <c r="B656" i="7"/>
  <c r="C656" i="7"/>
  <c r="D656" i="7"/>
  <c r="E656" i="7"/>
  <c r="B657" i="7"/>
  <c r="C657" i="7"/>
  <c r="D657" i="7"/>
  <c r="E657" i="7"/>
  <c r="B658" i="7"/>
  <c r="C658" i="7"/>
  <c r="D658" i="7"/>
  <c r="E658" i="7"/>
  <c r="B659" i="7"/>
  <c r="C659" i="7"/>
  <c r="D659" i="7"/>
  <c r="E659" i="7"/>
  <c r="B660" i="7"/>
  <c r="C660" i="7"/>
  <c r="D660" i="7"/>
  <c r="E660" i="7"/>
  <c r="B661" i="7"/>
  <c r="C661" i="7"/>
  <c r="D661" i="7"/>
  <c r="E661" i="7"/>
  <c r="B662" i="7"/>
  <c r="C662" i="7"/>
  <c r="D662" i="7"/>
  <c r="E662" i="7"/>
  <c r="B663" i="7"/>
  <c r="C663" i="7"/>
  <c r="D663" i="7"/>
  <c r="E663" i="7"/>
  <c r="B664" i="7"/>
  <c r="C664" i="7"/>
  <c r="D664" i="7"/>
  <c r="E664" i="7"/>
  <c r="B665" i="7"/>
  <c r="C665" i="7"/>
  <c r="D665" i="7"/>
  <c r="E665" i="7"/>
  <c r="B666" i="7"/>
  <c r="C666" i="7"/>
  <c r="D666" i="7"/>
  <c r="E666" i="7"/>
  <c r="B667" i="7"/>
  <c r="C667" i="7"/>
  <c r="D667" i="7"/>
  <c r="E667" i="7"/>
  <c r="B668" i="7"/>
  <c r="C668" i="7"/>
  <c r="D668" i="7"/>
  <c r="E668" i="7"/>
  <c r="B669" i="7"/>
  <c r="C669" i="7"/>
  <c r="D669" i="7"/>
  <c r="E669" i="7"/>
  <c r="B670" i="7"/>
  <c r="C670" i="7"/>
  <c r="D670" i="7"/>
  <c r="E670" i="7"/>
  <c r="B671" i="7"/>
  <c r="C671" i="7"/>
  <c r="D671" i="7"/>
  <c r="E671" i="7"/>
  <c r="B672" i="7"/>
  <c r="C672" i="7"/>
  <c r="D672" i="7"/>
  <c r="E672" i="7"/>
  <c r="B673" i="7"/>
  <c r="C673" i="7"/>
  <c r="D673" i="7"/>
  <c r="E673" i="7"/>
  <c r="B674" i="7"/>
  <c r="C674" i="7"/>
  <c r="D674" i="7"/>
  <c r="E674" i="7"/>
  <c r="B675" i="7"/>
  <c r="C675" i="7"/>
  <c r="D675" i="7"/>
  <c r="E675" i="7"/>
  <c r="B676" i="7"/>
  <c r="C676" i="7"/>
  <c r="D676" i="7"/>
  <c r="E676" i="7"/>
  <c r="B677" i="7"/>
  <c r="C677" i="7"/>
  <c r="D677" i="7"/>
  <c r="E677" i="7"/>
  <c r="B678" i="7"/>
  <c r="C678" i="7"/>
  <c r="D678" i="7"/>
  <c r="E678" i="7"/>
  <c r="B679" i="7"/>
  <c r="C679" i="7"/>
  <c r="D679" i="7"/>
  <c r="E679" i="7"/>
  <c r="B680" i="7"/>
  <c r="C680" i="7"/>
  <c r="D680" i="7"/>
  <c r="E680" i="7"/>
  <c r="B681" i="7"/>
  <c r="C681" i="7"/>
  <c r="D681" i="7"/>
  <c r="E681" i="7"/>
  <c r="B682" i="7"/>
  <c r="C682" i="7"/>
  <c r="D682" i="7"/>
  <c r="E682" i="7"/>
  <c r="B683" i="7"/>
  <c r="C683" i="7"/>
  <c r="D683" i="7"/>
  <c r="E683" i="7"/>
  <c r="B684" i="7"/>
  <c r="C684" i="7"/>
  <c r="D684" i="7"/>
  <c r="E684" i="7"/>
  <c r="B685" i="7"/>
  <c r="C685" i="7"/>
  <c r="D685" i="7"/>
  <c r="E685" i="7"/>
  <c r="B686" i="7"/>
  <c r="C686" i="7"/>
  <c r="D686" i="7"/>
  <c r="E686" i="7"/>
  <c r="B687" i="7"/>
  <c r="C687" i="7"/>
  <c r="D687" i="7"/>
  <c r="E687" i="7"/>
  <c r="B688" i="7"/>
  <c r="C688" i="7"/>
  <c r="D688" i="7"/>
  <c r="E688" i="7"/>
  <c r="B689" i="7"/>
  <c r="C689" i="7"/>
  <c r="D689" i="7"/>
  <c r="E689" i="7"/>
  <c r="B690" i="7"/>
  <c r="C690" i="7"/>
  <c r="D690" i="7"/>
  <c r="E690" i="7"/>
  <c r="B691" i="7"/>
  <c r="C691" i="7"/>
  <c r="D691" i="7"/>
  <c r="E691" i="7"/>
  <c r="B692" i="7"/>
  <c r="C692" i="7"/>
  <c r="D692" i="7"/>
  <c r="E692" i="7"/>
  <c r="B693" i="7"/>
  <c r="C693" i="7"/>
  <c r="D693" i="7"/>
  <c r="E693" i="7"/>
  <c r="B694" i="7"/>
  <c r="C694" i="7"/>
  <c r="D694" i="7"/>
  <c r="E694" i="7"/>
  <c r="B695" i="7"/>
  <c r="C695" i="7"/>
  <c r="D695" i="7"/>
  <c r="E695" i="7"/>
  <c r="B696" i="7"/>
  <c r="C696" i="7"/>
  <c r="D696" i="7"/>
  <c r="E696" i="7"/>
  <c r="B697" i="7"/>
  <c r="C697" i="7"/>
  <c r="D697" i="7"/>
  <c r="E697" i="7"/>
  <c r="B698" i="7"/>
  <c r="C698" i="7"/>
  <c r="D698" i="7"/>
  <c r="E698" i="7"/>
  <c r="B699" i="7"/>
  <c r="C699" i="7"/>
  <c r="D699" i="7"/>
  <c r="E699" i="7"/>
  <c r="B700" i="7"/>
  <c r="C700" i="7"/>
  <c r="D700" i="7"/>
  <c r="E700" i="7"/>
  <c r="B701" i="7"/>
  <c r="C701" i="7"/>
  <c r="D701" i="7"/>
  <c r="E701" i="7"/>
  <c r="B702" i="7"/>
  <c r="C702" i="7"/>
  <c r="D702" i="7"/>
  <c r="E702" i="7"/>
  <c r="B703" i="7"/>
  <c r="C703" i="7"/>
  <c r="D703" i="7"/>
  <c r="E703" i="7"/>
  <c r="B704" i="7"/>
  <c r="C704" i="7"/>
  <c r="D704" i="7"/>
  <c r="E704" i="7"/>
  <c r="B705" i="7"/>
  <c r="C705" i="7"/>
  <c r="D705" i="7"/>
  <c r="E705" i="7"/>
  <c r="B706" i="7"/>
  <c r="C706" i="7"/>
  <c r="D706" i="7"/>
  <c r="E706" i="7"/>
  <c r="B707" i="7"/>
  <c r="C707" i="7"/>
  <c r="D707" i="7"/>
  <c r="E707" i="7"/>
  <c r="B708" i="7"/>
  <c r="C708" i="7"/>
  <c r="D708" i="7"/>
  <c r="E708" i="7"/>
  <c r="B709" i="7"/>
  <c r="C709" i="7"/>
  <c r="D709" i="7"/>
  <c r="E709" i="7"/>
  <c r="B710" i="7"/>
  <c r="C710" i="7"/>
  <c r="D710" i="7"/>
  <c r="E710" i="7"/>
  <c r="B711" i="7"/>
  <c r="C711" i="7"/>
  <c r="D711" i="7"/>
  <c r="E711" i="7"/>
  <c r="B712" i="7"/>
  <c r="C712" i="7"/>
  <c r="D712" i="7"/>
  <c r="E712" i="7"/>
  <c r="B713" i="7"/>
  <c r="C713" i="7"/>
  <c r="D713" i="7"/>
  <c r="E713" i="7"/>
  <c r="B714" i="7"/>
  <c r="C714" i="7"/>
  <c r="D714" i="7"/>
  <c r="E714" i="7"/>
  <c r="B715" i="7"/>
  <c r="C715" i="7"/>
  <c r="D715" i="7"/>
  <c r="E715" i="7"/>
  <c r="B716" i="7"/>
  <c r="C716" i="7"/>
  <c r="D716" i="7"/>
  <c r="E716" i="7"/>
  <c r="B717" i="7"/>
  <c r="C717" i="7"/>
  <c r="D717" i="7"/>
  <c r="E717" i="7"/>
  <c r="B718" i="7"/>
  <c r="C718" i="7"/>
  <c r="D718" i="7"/>
  <c r="E718" i="7"/>
  <c r="B719" i="7"/>
  <c r="C719" i="7"/>
  <c r="D719" i="7"/>
  <c r="E719" i="7"/>
  <c r="B720" i="7"/>
  <c r="C720" i="7"/>
  <c r="D720" i="7"/>
  <c r="E720" i="7"/>
  <c r="B721" i="7"/>
  <c r="C721" i="7"/>
  <c r="D721" i="7"/>
  <c r="E721" i="7"/>
  <c r="B722" i="7"/>
  <c r="C722" i="7"/>
  <c r="D722" i="7"/>
  <c r="E722" i="7"/>
  <c r="B723" i="7"/>
  <c r="C723" i="7"/>
  <c r="D723" i="7"/>
  <c r="E723" i="7"/>
  <c r="B724" i="7"/>
  <c r="C724" i="7"/>
  <c r="D724" i="7"/>
  <c r="E724" i="7"/>
  <c r="B725" i="7"/>
  <c r="C725" i="7"/>
  <c r="D725" i="7"/>
  <c r="E725" i="7"/>
  <c r="B726" i="7"/>
  <c r="C726" i="7"/>
  <c r="D726" i="7"/>
  <c r="E726" i="7"/>
  <c r="B727" i="7"/>
  <c r="C727" i="7"/>
  <c r="D727" i="7"/>
  <c r="E727" i="7"/>
  <c r="B728" i="7"/>
  <c r="C728" i="7"/>
  <c r="D728" i="7"/>
  <c r="E728" i="7"/>
  <c r="B729" i="7"/>
  <c r="C729" i="7"/>
  <c r="D729" i="7"/>
  <c r="E729" i="7"/>
  <c r="B730" i="7"/>
  <c r="C730" i="7"/>
  <c r="D730" i="7"/>
  <c r="E730" i="7"/>
  <c r="B731" i="7"/>
  <c r="C731" i="7"/>
  <c r="D731" i="7"/>
  <c r="E731" i="7"/>
  <c r="B732" i="7"/>
  <c r="C732" i="7"/>
  <c r="D732" i="7"/>
  <c r="E732" i="7"/>
  <c r="B733" i="7"/>
  <c r="C733" i="7"/>
  <c r="D733" i="7"/>
  <c r="E733" i="7"/>
  <c r="B734" i="7"/>
  <c r="C734" i="7"/>
  <c r="D734" i="7"/>
  <c r="E734" i="7"/>
  <c r="B735" i="7"/>
  <c r="C735" i="7"/>
  <c r="D735" i="7"/>
  <c r="E735" i="7"/>
  <c r="B736" i="7"/>
  <c r="C736" i="7"/>
  <c r="D736" i="7"/>
  <c r="E736" i="7"/>
  <c r="B737" i="7"/>
  <c r="C737" i="7"/>
  <c r="D737" i="7"/>
  <c r="E737" i="7"/>
  <c r="B738" i="7"/>
  <c r="C738" i="7"/>
  <c r="D738" i="7"/>
  <c r="E738" i="7"/>
  <c r="B739" i="7"/>
  <c r="C739" i="7"/>
  <c r="D739" i="7"/>
  <c r="E739" i="7"/>
  <c r="B740" i="7"/>
  <c r="C740" i="7"/>
  <c r="D740" i="7"/>
  <c r="E740" i="7"/>
  <c r="B741" i="7"/>
  <c r="C741" i="7"/>
  <c r="D741" i="7"/>
  <c r="E741" i="7"/>
  <c r="B742" i="7"/>
  <c r="C742" i="7"/>
  <c r="D742" i="7"/>
  <c r="E742" i="7"/>
  <c r="B743" i="7"/>
  <c r="C743" i="7"/>
  <c r="D743" i="7"/>
  <c r="E743" i="7"/>
  <c r="B744" i="7"/>
  <c r="C744" i="7"/>
  <c r="D744" i="7"/>
  <c r="E744" i="7"/>
  <c r="B745" i="7"/>
  <c r="C745" i="7"/>
  <c r="D745" i="7"/>
  <c r="E745" i="7"/>
  <c r="B746" i="7"/>
  <c r="C746" i="7"/>
  <c r="D746" i="7"/>
  <c r="E746" i="7"/>
  <c r="B747" i="7"/>
  <c r="C747" i="7"/>
  <c r="D747" i="7"/>
  <c r="E747" i="7"/>
  <c r="B748" i="7"/>
  <c r="C748" i="7"/>
  <c r="D748" i="7"/>
  <c r="E748" i="7"/>
  <c r="B749" i="7"/>
  <c r="C749" i="7"/>
  <c r="D749" i="7"/>
  <c r="E749" i="7"/>
  <c r="B750" i="7"/>
  <c r="C750" i="7"/>
  <c r="D750" i="7"/>
  <c r="E750" i="7"/>
  <c r="B751" i="7"/>
  <c r="C751" i="7"/>
  <c r="D751" i="7"/>
  <c r="E751" i="7"/>
  <c r="C3" i="7"/>
  <c r="D3" i="7"/>
  <c r="E3" i="7"/>
  <c r="B3" i="7"/>
  <c r="K4" i="9" l="1"/>
  <c r="J3" i="9"/>
  <c r="H4" i="9"/>
  <c r="J2" i="9"/>
  <c r="J4" i="9"/>
  <c r="I4" i="9"/>
  <c r="I2" i="9"/>
  <c r="H3" i="9"/>
  <c r="K3" i="9"/>
  <c r="I3" i="9"/>
  <c r="H2" i="9"/>
  <c r="K2" i="9"/>
  <c r="Z10" i="9"/>
  <c r="F12" i="12" s="1"/>
  <c r="E12" i="12"/>
  <c r="Y11" i="9"/>
  <c r="E9" i="12"/>
  <c r="Z7" i="9"/>
  <c r="F9" i="12" s="1"/>
  <c r="Z8" i="9"/>
  <c r="F10" i="12" s="1"/>
  <c r="E9" i="8"/>
  <c r="C12" i="12" s="1"/>
  <c r="E13" i="8"/>
  <c r="C13" i="12" s="1"/>
  <c r="M745" i="9" l="1"/>
  <c r="M15" i="9"/>
  <c r="M23" i="9"/>
  <c r="M31" i="9"/>
  <c r="M39" i="9"/>
  <c r="M47" i="9"/>
  <c r="M55" i="9"/>
  <c r="M63" i="9"/>
  <c r="M71" i="9"/>
  <c r="M79" i="9"/>
  <c r="M87" i="9"/>
  <c r="M95" i="9"/>
  <c r="M103" i="9"/>
  <c r="M111" i="9"/>
  <c r="M119" i="9"/>
  <c r="M127" i="9"/>
  <c r="M135" i="9"/>
  <c r="M143" i="9"/>
  <c r="M151" i="9"/>
  <c r="M159" i="9"/>
  <c r="M167" i="9"/>
  <c r="M175" i="9"/>
  <c r="M183" i="9"/>
  <c r="M191" i="9"/>
  <c r="M199" i="9"/>
  <c r="M207" i="9"/>
  <c r="M215" i="9"/>
  <c r="M223" i="9"/>
  <c r="M231" i="9"/>
  <c r="M239" i="9"/>
  <c r="M247" i="9"/>
  <c r="M255" i="9"/>
  <c r="M263" i="9"/>
  <c r="M271" i="9"/>
  <c r="M279" i="9"/>
  <c r="M287" i="9"/>
  <c r="M295" i="9"/>
  <c r="M303" i="9"/>
  <c r="M311" i="9"/>
  <c r="M319" i="9"/>
  <c r="M327" i="9"/>
  <c r="M335" i="9"/>
  <c r="M343" i="9"/>
  <c r="M351" i="9"/>
  <c r="M359" i="9"/>
  <c r="M367" i="9"/>
  <c r="M375" i="9"/>
  <c r="M383" i="9"/>
  <c r="M391" i="9"/>
  <c r="M399" i="9"/>
  <c r="M407" i="9"/>
  <c r="M415" i="9"/>
  <c r="M423" i="9"/>
  <c r="M431" i="9"/>
  <c r="M439" i="9"/>
  <c r="M447" i="9"/>
  <c r="M455" i="9"/>
  <c r="M463" i="9"/>
  <c r="M471" i="9"/>
  <c r="M479" i="9"/>
  <c r="M487" i="9"/>
  <c r="M495" i="9"/>
  <c r="M503" i="9"/>
  <c r="M511" i="9"/>
  <c r="M519" i="9"/>
  <c r="M527" i="9"/>
  <c r="M535" i="9"/>
  <c r="M543" i="9"/>
  <c r="M551" i="9"/>
  <c r="M559" i="9"/>
  <c r="M567" i="9"/>
  <c r="M575" i="9"/>
  <c r="M583" i="9"/>
  <c r="M591" i="9"/>
  <c r="M599" i="9"/>
  <c r="M607" i="9"/>
  <c r="M615" i="9"/>
  <c r="M623" i="9"/>
  <c r="M631" i="9"/>
  <c r="M639" i="9"/>
  <c r="M647" i="9"/>
  <c r="M655" i="9"/>
  <c r="M663" i="9"/>
  <c r="M671" i="9"/>
  <c r="M679" i="9"/>
  <c r="M687" i="9"/>
  <c r="M751" i="9"/>
  <c r="M746" i="9"/>
  <c r="M16" i="9"/>
  <c r="M24" i="9"/>
  <c r="M32" i="9"/>
  <c r="M40" i="9"/>
  <c r="M48" i="9"/>
  <c r="M56" i="9"/>
  <c r="M64" i="9"/>
  <c r="M72" i="9"/>
  <c r="M80" i="9"/>
  <c r="M88" i="9"/>
  <c r="M96" i="9"/>
  <c r="M104" i="9"/>
  <c r="M112" i="9"/>
  <c r="M120" i="9"/>
  <c r="M128" i="9"/>
  <c r="M136" i="9"/>
  <c r="M144" i="9"/>
  <c r="M152" i="9"/>
  <c r="M160" i="9"/>
  <c r="M168" i="9"/>
  <c r="M176" i="9"/>
  <c r="M184" i="9"/>
  <c r="M192" i="9"/>
  <c r="M200" i="9"/>
  <c r="M208" i="9"/>
  <c r="M216" i="9"/>
  <c r="M224" i="9"/>
  <c r="M232" i="9"/>
  <c r="M240" i="9"/>
  <c r="M248" i="9"/>
  <c r="M256" i="9"/>
  <c r="M264" i="9"/>
  <c r="M272" i="9"/>
  <c r="M280" i="9"/>
  <c r="M288" i="9"/>
  <c r="M296" i="9"/>
  <c r="M304" i="9"/>
  <c r="M312" i="9"/>
  <c r="M320" i="9"/>
  <c r="M328" i="9"/>
  <c r="M336" i="9"/>
  <c r="M344" i="9"/>
  <c r="M352" i="9"/>
  <c r="M360" i="9"/>
  <c r="M368" i="9"/>
  <c r="M376" i="9"/>
  <c r="M384" i="9"/>
  <c r="M392" i="9"/>
  <c r="M400" i="9"/>
  <c r="M408" i="9"/>
  <c r="M416" i="9"/>
  <c r="M424" i="9"/>
  <c r="M432" i="9"/>
  <c r="M440" i="9"/>
  <c r="M448" i="9"/>
  <c r="M456" i="9"/>
  <c r="M464" i="9"/>
  <c r="M472" i="9"/>
  <c r="M480" i="9"/>
  <c r="M488" i="9"/>
  <c r="M496" i="9"/>
  <c r="M504" i="9"/>
  <c r="M512" i="9"/>
  <c r="M752" i="9"/>
  <c r="M747" i="9"/>
  <c r="M17" i="9"/>
  <c r="M25" i="9"/>
  <c r="M33" i="9"/>
  <c r="M41" i="9"/>
  <c r="M49" i="9"/>
  <c r="M57" i="9"/>
  <c r="M65" i="9"/>
  <c r="M73" i="9"/>
  <c r="M81" i="9"/>
  <c r="M89" i="9"/>
  <c r="M97" i="9"/>
  <c r="M105" i="9"/>
  <c r="M113" i="9"/>
  <c r="M121" i="9"/>
  <c r="M129" i="9"/>
  <c r="M137" i="9"/>
  <c r="M145" i="9"/>
  <c r="M153" i="9"/>
  <c r="M161" i="9"/>
  <c r="M169" i="9"/>
  <c r="M177" i="9"/>
  <c r="M185" i="9"/>
  <c r="M193" i="9"/>
  <c r="M201" i="9"/>
  <c r="M209" i="9"/>
  <c r="M217" i="9"/>
  <c r="M225" i="9"/>
  <c r="M233" i="9"/>
  <c r="M241" i="9"/>
  <c r="M249" i="9"/>
  <c r="M257" i="9"/>
  <c r="M265" i="9"/>
  <c r="M273" i="9"/>
  <c r="M281" i="9"/>
  <c r="M289" i="9"/>
  <c r="M297" i="9"/>
  <c r="M305" i="9"/>
  <c r="M313" i="9"/>
  <c r="M321" i="9"/>
  <c r="M329" i="9"/>
  <c r="M337" i="9"/>
  <c r="M345" i="9"/>
  <c r="M353" i="9"/>
  <c r="M361" i="9"/>
  <c r="M369" i="9"/>
  <c r="M377" i="9"/>
  <c r="M385" i="9"/>
  <c r="M393" i="9"/>
  <c r="M401" i="9"/>
  <c r="M409" i="9"/>
  <c r="M417" i="9"/>
  <c r="M425" i="9"/>
  <c r="M433" i="9"/>
  <c r="M441" i="9"/>
  <c r="M449" i="9"/>
  <c r="M457" i="9"/>
  <c r="M465" i="9"/>
  <c r="M473" i="9"/>
  <c r="M481" i="9"/>
  <c r="M489" i="9"/>
  <c r="M497" i="9"/>
  <c r="M505" i="9"/>
  <c r="M513" i="9"/>
  <c r="M521" i="9"/>
  <c r="M529" i="9"/>
  <c r="M537" i="9"/>
  <c r="M545" i="9"/>
  <c r="M753" i="9"/>
  <c r="M748" i="9"/>
  <c r="M18" i="9"/>
  <c r="M26" i="9"/>
  <c r="M34" i="9"/>
  <c r="M42" i="9"/>
  <c r="M50" i="9"/>
  <c r="M58" i="9"/>
  <c r="M66" i="9"/>
  <c r="M74" i="9"/>
  <c r="M82" i="9"/>
  <c r="M90" i="9"/>
  <c r="M98" i="9"/>
  <c r="M106" i="9"/>
  <c r="M114" i="9"/>
  <c r="M122" i="9"/>
  <c r="M130" i="9"/>
  <c r="M138" i="9"/>
  <c r="M146" i="9"/>
  <c r="M154" i="9"/>
  <c r="M162" i="9"/>
  <c r="M170" i="9"/>
  <c r="M178" i="9"/>
  <c r="M186" i="9"/>
  <c r="M194" i="9"/>
  <c r="M202" i="9"/>
  <c r="M210" i="9"/>
  <c r="M218" i="9"/>
  <c r="M226" i="9"/>
  <c r="M234" i="9"/>
  <c r="M242" i="9"/>
  <c r="M250" i="9"/>
  <c r="M258" i="9"/>
  <c r="M266" i="9"/>
  <c r="M14" i="9"/>
  <c r="M30" i="9"/>
  <c r="M46" i="9"/>
  <c r="M62" i="9"/>
  <c r="M78" i="9"/>
  <c r="M94" i="9"/>
  <c r="M110" i="9"/>
  <c r="M126" i="9"/>
  <c r="M142" i="9"/>
  <c r="M158" i="9"/>
  <c r="M174" i="9"/>
  <c r="M190" i="9"/>
  <c r="M206" i="9"/>
  <c r="M222" i="9"/>
  <c r="M238" i="9"/>
  <c r="M254" i="9"/>
  <c r="M270" i="9"/>
  <c r="M284" i="9"/>
  <c r="M298" i="9"/>
  <c r="M309" i="9"/>
  <c r="M323" i="9"/>
  <c r="M334" i="9"/>
  <c r="M348" i="9"/>
  <c r="M362" i="9"/>
  <c r="M373" i="9"/>
  <c r="M387" i="9"/>
  <c r="M398" i="9"/>
  <c r="M412" i="9"/>
  <c r="M426" i="9"/>
  <c r="M437" i="9"/>
  <c r="M451" i="9"/>
  <c r="M462" i="9"/>
  <c r="M476" i="9"/>
  <c r="M490" i="9"/>
  <c r="M501" i="9"/>
  <c r="M515" i="9"/>
  <c r="M525" i="9"/>
  <c r="M536" i="9"/>
  <c r="M547" i="9"/>
  <c r="M556" i="9"/>
  <c r="M565" i="9"/>
  <c r="M574" i="9"/>
  <c r="M584" i="9"/>
  <c r="M593" i="9"/>
  <c r="M602" i="9"/>
  <c r="M611" i="9"/>
  <c r="M620" i="9"/>
  <c r="M629" i="9"/>
  <c r="M638" i="9"/>
  <c r="M648" i="9"/>
  <c r="M657" i="9"/>
  <c r="M666" i="9"/>
  <c r="M675" i="9"/>
  <c r="M684" i="9"/>
  <c r="M693" i="9"/>
  <c r="M701" i="9"/>
  <c r="M709" i="9"/>
  <c r="M717" i="9"/>
  <c r="M725" i="9"/>
  <c r="M733" i="9"/>
  <c r="M5" i="9"/>
  <c r="M741" i="9"/>
  <c r="M19" i="9"/>
  <c r="M35" i="9"/>
  <c r="M51" i="9"/>
  <c r="M67" i="9"/>
  <c r="M83" i="9"/>
  <c r="M99" i="9"/>
  <c r="M115" i="9"/>
  <c r="M131" i="9"/>
  <c r="M147" i="9"/>
  <c r="M163" i="9"/>
  <c r="M179" i="9"/>
  <c r="M195" i="9"/>
  <c r="M211" i="9"/>
  <c r="M227" i="9"/>
  <c r="M243" i="9"/>
  <c r="M259" i="9"/>
  <c r="M274" i="9"/>
  <c r="M285" i="9"/>
  <c r="M299" i="9"/>
  <c r="M310" i="9"/>
  <c r="M324" i="9"/>
  <c r="M338" i="9"/>
  <c r="M349" i="9"/>
  <c r="M363" i="9"/>
  <c r="M374" i="9"/>
  <c r="M388" i="9"/>
  <c r="M402" i="9"/>
  <c r="M413" i="9"/>
  <c r="M427" i="9"/>
  <c r="M438" i="9"/>
  <c r="M452" i="9"/>
  <c r="M466" i="9"/>
  <c r="M477" i="9"/>
  <c r="M491" i="9"/>
  <c r="M502" i="9"/>
  <c r="M516" i="9"/>
  <c r="M526" i="9"/>
  <c r="M538" i="9"/>
  <c r="M548" i="9"/>
  <c r="M557" i="9"/>
  <c r="M566" i="9"/>
  <c r="M576" i="9"/>
  <c r="M585" i="9"/>
  <c r="M594" i="9"/>
  <c r="M603" i="9"/>
  <c r="M612" i="9"/>
  <c r="M621" i="9"/>
  <c r="M630" i="9"/>
  <c r="M640" i="9"/>
  <c r="M649" i="9"/>
  <c r="M658" i="9"/>
  <c r="M667" i="9"/>
  <c r="M676" i="9"/>
  <c r="M685" i="9"/>
  <c r="M694" i="9"/>
  <c r="M702" i="9"/>
  <c r="M710" i="9"/>
  <c r="M718" i="9"/>
  <c r="M726" i="9"/>
  <c r="M734" i="9"/>
  <c r="M6" i="9"/>
  <c r="M742" i="9"/>
  <c r="M20" i="9"/>
  <c r="M36" i="9"/>
  <c r="M52" i="9"/>
  <c r="M68" i="9"/>
  <c r="M84" i="9"/>
  <c r="M100" i="9"/>
  <c r="M116" i="9"/>
  <c r="M132" i="9"/>
  <c r="M148" i="9"/>
  <c r="M164" i="9"/>
  <c r="M180" i="9"/>
  <c r="M196" i="9"/>
  <c r="M212" i="9"/>
  <c r="M228" i="9"/>
  <c r="M244" i="9"/>
  <c r="M260" i="9"/>
  <c r="M275" i="9"/>
  <c r="M286" i="9"/>
  <c r="M300" i="9"/>
  <c r="M314" i="9"/>
  <c r="M325" i="9"/>
  <c r="M339" i="9"/>
  <c r="M350" i="9"/>
  <c r="M364" i="9"/>
  <c r="M378" i="9"/>
  <c r="M389" i="9"/>
  <c r="M403" i="9"/>
  <c r="M414" i="9"/>
  <c r="M428" i="9"/>
  <c r="M442" i="9"/>
  <c r="M453" i="9"/>
  <c r="M467" i="9"/>
  <c r="M478" i="9"/>
  <c r="M492" i="9"/>
  <c r="M506" i="9"/>
  <c r="M517" i="9"/>
  <c r="M528" i="9"/>
  <c r="M539" i="9"/>
  <c r="M549" i="9"/>
  <c r="M558" i="9"/>
  <c r="M568" i="9"/>
  <c r="M577" i="9"/>
  <c r="M586" i="9"/>
  <c r="M595" i="9"/>
  <c r="M604" i="9"/>
  <c r="M613" i="9"/>
  <c r="M622" i="9"/>
  <c r="M632" i="9"/>
  <c r="M641" i="9"/>
  <c r="M650" i="9"/>
  <c r="M659" i="9"/>
  <c r="M668" i="9"/>
  <c r="M677" i="9"/>
  <c r="M686" i="9"/>
  <c r="M695" i="9"/>
  <c r="M703" i="9"/>
  <c r="M711" i="9"/>
  <c r="M719" i="9"/>
  <c r="M727" i="9"/>
  <c r="M735" i="9"/>
  <c r="M7" i="9"/>
  <c r="M749" i="9"/>
  <c r="M27" i="9"/>
  <c r="M43" i="9"/>
  <c r="M59" i="9"/>
  <c r="M75" i="9"/>
  <c r="M91" i="9"/>
  <c r="M107" i="9"/>
  <c r="M123" i="9"/>
  <c r="M139" i="9"/>
  <c r="M155" i="9"/>
  <c r="M171" i="9"/>
  <c r="M187" i="9"/>
  <c r="M203" i="9"/>
  <c r="M219" i="9"/>
  <c r="M235" i="9"/>
  <c r="M251" i="9"/>
  <c r="M267" i="9"/>
  <c r="M278" i="9"/>
  <c r="M292" i="9"/>
  <c r="M306" i="9"/>
  <c r="M317" i="9"/>
  <c r="M331" i="9"/>
  <c r="M342" i="9"/>
  <c r="M356" i="9"/>
  <c r="M370" i="9"/>
  <c r="M381" i="9"/>
  <c r="M395" i="9"/>
  <c r="M406" i="9"/>
  <c r="M420" i="9"/>
  <c r="M434" i="9"/>
  <c r="M445" i="9"/>
  <c r="M459" i="9"/>
  <c r="M470" i="9"/>
  <c r="M484" i="9"/>
  <c r="M498" i="9"/>
  <c r="M509" i="9"/>
  <c r="M522" i="9"/>
  <c r="M532" i="9"/>
  <c r="M542" i="9"/>
  <c r="M553" i="9"/>
  <c r="M562" i="9"/>
  <c r="M571" i="9"/>
  <c r="M580" i="9"/>
  <c r="M589" i="9"/>
  <c r="M598" i="9"/>
  <c r="M608" i="9"/>
  <c r="M617" i="9"/>
  <c r="M626" i="9"/>
  <c r="M744" i="9"/>
  <c r="M38" i="9"/>
  <c r="M70" i="9"/>
  <c r="M102" i="9"/>
  <c r="M134" i="9"/>
  <c r="M166" i="9"/>
  <c r="M198" i="9"/>
  <c r="M230" i="9"/>
  <c r="M262" i="9"/>
  <c r="M291" i="9"/>
  <c r="M316" i="9"/>
  <c r="M341" i="9"/>
  <c r="M366" i="9"/>
  <c r="M394" i="9"/>
  <c r="M419" i="9"/>
  <c r="M444" i="9"/>
  <c r="M469" i="9"/>
  <c r="M494" i="9"/>
  <c r="M520" i="9"/>
  <c r="M541" i="9"/>
  <c r="M561" i="9"/>
  <c r="M579" i="9"/>
  <c r="M597" i="9"/>
  <c r="M616" i="9"/>
  <c r="M634" i="9"/>
  <c r="M646" i="9"/>
  <c r="M662" i="9"/>
  <c r="M678" i="9"/>
  <c r="M691" i="9"/>
  <c r="M705" i="9"/>
  <c r="M716" i="9"/>
  <c r="M730" i="9"/>
  <c r="M8" i="9"/>
  <c r="M750" i="9"/>
  <c r="M44" i="9"/>
  <c r="M76" i="9"/>
  <c r="M108" i="9"/>
  <c r="M140" i="9"/>
  <c r="M172" i="9"/>
  <c r="M204" i="9"/>
  <c r="M236" i="9"/>
  <c r="M268" i="9"/>
  <c r="M293" i="9"/>
  <c r="M318" i="9"/>
  <c r="M346" i="9"/>
  <c r="M371" i="9"/>
  <c r="M396" i="9"/>
  <c r="M421" i="9"/>
  <c r="M446" i="9"/>
  <c r="M474" i="9"/>
  <c r="M499" i="9"/>
  <c r="M523" i="9"/>
  <c r="M544" i="9"/>
  <c r="M563" i="9"/>
  <c r="M581" i="9"/>
  <c r="M600" i="9"/>
  <c r="M618" i="9"/>
  <c r="M635" i="9"/>
  <c r="M651" i="9"/>
  <c r="M664" i="9"/>
  <c r="M680" i="9"/>
  <c r="M692" i="9"/>
  <c r="M706" i="9"/>
  <c r="M720" i="9"/>
  <c r="M731" i="9"/>
  <c r="M9" i="9"/>
  <c r="M13" i="9"/>
  <c r="M45" i="9"/>
  <c r="M77" i="9"/>
  <c r="M109" i="9"/>
  <c r="M141" i="9"/>
  <c r="M173" i="9"/>
  <c r="M205" i="9"/>
  <c r="M237" i="9"/>
  <c r="M269" i="9"/>
  <c r="M294" i="9"/>
  <c r="M322" i="9"/>
  <c r="M347" i="9"/>
  <c r="M372" i="9"/>
  <c r="M397" i="9"/>
  <c r="M422" i="9"/>
  <c r="M450" i="9"/>
  <c r="M475" i="9"/>
  <c r="M500" i="9"/>
  <c r="M524" i="9"/>
  <c r="M546" i="9"/>
  <c r="M564" i="9"/>
  <c r="M582" i="9"/>
  <c r="M601" i="9"/>
  <c r="M619" i="9"/>
  <c r="M636" i="9"/>
  <c r="M652" i="9"/>
  <c r="M665" i="9"/>
  <c r="M681" i="9"/>
  <c r="M696" i="9"/>
  <c r="M707" i="9"/>
  <c r="M721" i="9"/>
  <c r="M732" i="9"/>
  <c r="M10" i="9"/>
  <c r="M21" i="9"/>
  <c r="M53" i="9"/>
  <c r="M85" i="9"/>
  <c r="M117" i="9"/>
  <c r="M149" i="9"/>
  <c r="M181" i="9"/>
  <c r="M213" i="9"/>
  <c r="M245" i="9"/>
  <c r="M276" i="9"/>
  <c r="M301" i="9"/>
  <c r="M326" i="9"/>
  <c r="M354" i="9"/>
  <c r="M379" i="9"/>
  <c r="M404" i="9"/>
  <c r="M429" i="9"/>
  <c r="M454" i="9"/>
  <c r="M482" i="9"/>
  <c r="M507" i="9"/>
  <c r="M530" i="9"/>
  <c r="M550" i="9"/>
  <c r="M569" i="9"/>
  <c r="M587" i="9"/>
  <c r="M605" i="9"/>
  <c r="M624" i="9"/>
  <c r="M637" i="9"/>
  <c r="M653" i="9"/>
  <c r="M669" i="9"/>
  <c r="M682" i="9"/>
  <c r="M697" i="9"/>
  <c r="M708" i="9"/>
  <c r="M722" i="9"/>
  <c r="M736" i="9"/>
  <c r="M11" i="9"/>
  <c r="M22" i="9"/>
  <c r="M54" i="9"/>
  <c r="M86" i="9"/>
  <c r="M118" i="9"/>
  <c r="M150" i="9"/>
  <c r="M182" i="9"/>
  <c r="M214" i="9"/>
  <c r="M246" i="9"/>
  <c r="M277" i="9"/>
  <c r="M302" i="9"/>
  <c r="M330" i="9"/>
  <c r="M355" i="9"/>
  <c r="M380" i="9"/>
  <c r="M405" i="9"/>
  <c r="M430" i="9"/>
  <c r="M458" i="9"/>
  <c r="M483" i="9"/>
  <c r="M508" i="9"/>
  <c r="M531" i="9"/>
  <c r="M552" i="9"/>
  <c r="M570" i="9"/>
  <c r="M588" i="9"/>
  <c r="M606" i="9"/>
  <c r="M625" i="9"/>
  <c r="M642" i="9"/>
  <c r="M654" i="9"/>
  <c r="M670" i="9"/>
  <c r="M683" i="9"/>
  <c r="M698" i="9"/>
  <c r="M712" i="9"/>
  <c r="M723" i="9"/>
  <c r="M737" i="9"/>
  <c r="M12" i="9"/>
  <c r="M28" i="9"/>
  <c r="M60" i="9"/>
  <c r="M92" i="9"/>
  <c r="M124" i="9"/>
  <c r="M156" i="9"/>
  <c r="M188" i="9"/>
  <c r="M220" i="9"/>
  <c r="M252" i="9"/>
  <c r="M282" i="9"/>
  <c r="M307" i="9"/>
  <c r="M332" i="9"/>
  <c r="M357" i="9"/>
  <c r="M382" i="9"/>
  <c r="M410" i="9"/>
  <c r="M435" i="9"/>
  <c r="M460" i="9"/>
  <c r="M485" i="9"/>
  <c r="M510" i="9"/>
  <c r="M533" i="9"/>
  <c r="M554" i="9"/>
  <c r="M572" i="9"/>
  <c r="M590" i="9"/>
  <c r="M609" i="9"/>
  <c r="M627" i="9"/>
  <c r="M643" i="9"/>
  <c r="M656" i="9"/>
  <c r="M672" i="9"/>
  <c r="M688" i="9"/>
  <c r="M699" i="9"/>
  <c r="M713" i="9"/>
  <c r="M724" i="9"/>
  <c r="M738" i="9"/>
  <c r="M29" i="9"/>
  <c r="M61" i="9"/>
  <c r="M93" i="9"/>
  <c r="M125" i="9"/>
  <c r="M157" i="9"/>
  <c r="M189" i="9"/>
  <c r="M221" i="9"/>
  <c r="M253" i="9"/>
  <c r="M283" i="9"/>
  <c r="M308" i="9"/>
  <c r="M333" i="9"/>
  <c r="M358" i="9"/>
  <c r="M386" i="9"/>
  <c r="M411" i="9"/>
  <c r="M436" i="9"/>
  <c r="M461" i="9"/>
  <c r="M486" i="9"/>
  <c r="M514" i="9"/>
  <c r="M534" i="9"/>
  <c r="M555" i="9"/>
  <c r="M573" i="9"/>
  <c r="M592" i="9"/>
  <c r="M610" i="9"/>
  <c r="M628" i="9"/>
  <c r="M644" i="9"/>
  <c r="M660" i="9"/>
  <c r="M673" i="9"/>
  <c r="M689" i="9"/>
  <c r="M700" i="9"/>
  <c r="M714" i="9"/>
  <c r="M728" i="9"/>
  <c r="M739" i="9"/>
  <c r="M743" i="9"/>
  <c r="M37" i="9"/>
  <c r="M69" i="9"/>
  <c r="M101" i="9"/>
  <c r="M133" i="9"/>
  <c r="M165" i="9"/>
  <c r="M197" i="9"/>
  <c r="M229" i="9"/>
  <c r="M261" i="9"/>
  <c r="M290" i="9"/>
  <c r="M315" i="9"/>
  <c r="M340" i="9"/>
  <c r="M365" i="9"/>
  <c r="M390" i="9"/>
  <c r="M418" i="9"/>
  <c r="M443" i="9"/>
  <c r="M468" i="9"/>
  <c r="M493" i="9"/>
  <c r="M518" i="9"/>
  <c r="M540" i="9"/>
  <c r="M560" i="9"/>
  <c r="M578" i="9"/>
  <c r="M596" i="9"/>
  <c r="M614" i="9"/>
  <c r="M633" i="9"/>
  <c r="M645" i="9"/>
  <c r="M661" i="9"/>
  <c r="M674" i="9"/>
  <c r="M690" i="9"/>
  <c r="M704" i="9"/>
  <c r="M715" i="9"/>
  <c r="M729" i="9"/>
  <c r="M740" i="9"/>
  <c r="N7" i="9"/>
  <c r="N15" i="9"/>
  <c r="N23" i="9"/>
  <c r="N31" i="9"/>
  <c r="N39" i="9"/>
  <c r="N47" i="9"/>
  <c r="N55" i="9"/>
  <c r="N63" i="9"/>
  <c r="N71" i="9"/>
  <c r="N79" i="9"/>
  <c r="N87" i="9"/>
  <c r="N95" i="9"/>
  <c r="N103" i="9"/>
  <c r="N111" i="9"/>
  <c r="N119" i="9"/>
  <c r="N127" i="9"/>
  <c r="N135" i="9"/>
  <c r="N143" i="9"/>
  <c r="N8" i="9"/>
  <c r="N16" i="9"/>
  <c r="N24" i="9"/>
  <c r="N9" i="9"/>
  <c r="N17" i="9"/>
  <c r="N25" i="9"/>
  <c r="N19" i="9"/>
  <c r="N30" i="9"/>
  <c r="N40" i="9"/>
  <c r="N49" i="9"/>
  <c r="N58" i="9"/>
  <c r="N67" i="9"/>
  <c r="N76" i="9"/>
  <c r="N85" i="9"/>
  <c r="N94" i="9"/>
  <c r="N104" i="9"/>
  <c r="N113" i="9"/>
  <c r="N122" i="9"/>
  <c r="N131" i="9"/>
  <c r="N140" i="9"/>
  <c r="N149" i="9"/>
  <c r="N157" i="9"/>
  <c r="N165" i="9"/>
  <c r="N173" i="9"/>
  <c r="N181" i="9"/>
  <c r="N189" i="9"/>
  <c r="N197" i="9"/>
  <c r="N205" i="9"/>
  <c r="N213" i="9"/>
  <c r="N221" i="9"/>
  <c r="N229" i="9"/>
  <c r="N237" i="9"/>
  <c r="N245" i="9"/>
  <c r="N253" i="9"/>
  <c r="N261" i="9"/>
  <c r="N269" i="9"/>
  <c r="N277" i="9"/>
  <c r="N285" i="9"/>
  <c r="N293" i="9"/>
  <c r="N301" i="9"/>
  <c r="N309" i="9"/>
  <c r="N317" i="9"/>
  <c r="N325" i="9"/>
  <c r="N333" i="9"/>
  <c r="N341" i="9"/>
  <c r="N349" i="9"/>
  <c r="N357" i="9"/>
  <c r="N365" i="9"/>
  <c r="N373" i="9"/>
  <c r="N381" i="9"/>
  <c r="N389" i="9"/>
  <c r="N397" i="9"/>
  <c r="N405" i="9"/>
  <c r="N413" i="9"/>
  <c r="N421" i="9"/>
  <c r="N429" i="9"/>
  <c r="N437" i="9"/>
  <c r="N445" i="9"/>
  <c r="N453" i="9"/>
  <c r="N461" i="9"/>
  <c r="N469" i="9"/>
  <c r="N477" i="9"/>
  <c r="N485" i="9"/>
  <c r="N493" i="9"/>
  <c r="N501" i="9"/>
  <c r="N509" i="9"/>
  <c r="N6" i="9"/>
  <c r="N20" i="9"/>
  <c r="N32" i="9"/>
  <c r="N41" i="9"/>
  <c r="N50" i="9"/>
  <c r="N59" i="9"/>
  <c r="N68" i="9"/>
  <c r="N77" i="9"/>
  <c r="N86" i="9"/>
  <c r="N96" i="9"/>
  <c r="N105" i="9"/>
  <c r="N114" i="9"/>
  <c r="N123" i="9"/>
  <c r="N132" i="9"/>
  <c r="N141" i="9"/>
  <c r="N150" i="9"/>
  <c r="N158" i="9"/>
  <c r="N166" i="9"/>
  <c r="N174" i="9"/>
  <c r="N182" i="9"/>
  <c r="N190" i="9"/>
  <c r="N198" i="9"/>
  <c r="N206" i="9"/>
  <c r="N214" i="9"/>
  <c r="N222" i="9"/>
  <c r="N230" i="9"/>
  <c r="N238" i="9"/>
  <c r="N246" i="9"/>
  <c r="N254" i="9"/>
  <c r="N262" i="9"/>
  <c r="N270" i="9"/>
  <c r="N278" i="9"/>
  <c r="N286" i="9"/>
  <c r="N294" i="9"/>
  <c r="N302" i="9"/>
  <c r="N310" i="9"/>
  <c r="N318" i="9"/>
  <c r="N326" i="9"/>
  <c r="N334" i="9"/>
  <c r="N342" i="9"/>
  <c r="N350" i="9"/>
  <c r="N358" i="9"/>
  <c r="N366" i="9"/>
  <c r="N374" i="9"/>
  <c r="N382" i="9"/>
  <c r="N390" i="9"/>
  <c r="N398" i="9"/>
  <c r="N10" i="9"/>
  <c r="N21" i="9"/>
  <c r="N33" i="9"/>
  <c r="N42" i="9"/>
  <c r="N51" i="9"/>
  <c r="N60" i="9"/>
  <c r="N69" i="9"/>
  <c r="N78" i="9"/>
  <c r="N88" i="9"/>
  <c r="N97" i="9"/>
  <c r="N106" i="9"/>
  <c r="N115" i="9"/>
  <c r="N124" i="9"/>
  <c r="N133" i="9"/>
  <c r="N142" i="9"/>
  <c r="N151" i="9"/>
  <c r="N159" i="9"/>
  <c r="N167" i="9"/>
  <c r="N175" i="9"/>
  <c r="N183" i="9"/>
  <c r="N191" i="9"/>
  <c r="N199" i="9"/>
  <c r="N207" i="9"/>
  <c r="N215" i="9"/>
  <c r="N223" i="9"/>
  <c r="N231" i="9"/>
  <c r="N239" i="9"/>
  <c r="N247" i="9"/>
  <c r="N255" i="9"/>
  <c r="N263" i="9"/>
  <c r="N271" i="9"/>
  <c r="N279" i="9"/>
  <c r="N287" i="9"/>
  <c r="N295" i="9"/>
  <c r="N303" i="9"/>
  <c r="N311" i="9"/>
  <c r="N319" i="9"/>
  <c r="N327" i="9"/>
  <c r="N335" i="9"/>
  <c r="N343" i="9"/>
  <c r="N351" i="9"/>
  <c r="N359" i="9"/>
  <c r="N367" i="9"/>
  <c r="N375" i="9"/>
  <c r="N383" i="9"/>
  <c r="N391" i="9"/>
  <c r="N399" i="9"/>
  <c r="N407" i="9"/>
  <c r="N415" i="9"/>
  <c r="N12" i="9"/>
  <c r="N26" i="9"/>
  <c r="N35" i="9"/>
  <c r="N44" i="9"/>
  <c r="N53" i="9"/>
  <c r="N62" i="9"/>
  <c r="N72" i="9"/>
  <c r="N81" i="9"/>
  <c r="N90" i="9"/>
  <c r="N99" i="9"/>
  <c r="N108" i="9"/>
  <c r="N117" i="9"/>
  <c r="N126" i="9"/>
  <c r="N136" i="9"/>
  <c r="N145" i="9"/>
  <c r="N153" i="9"/>
  <c r="N161" i="9"/>
  <c r="N11" i="9"/>
  <c r="N34" i="9"/>
  <c r="N52" i="9"/>
  <c r="N70" i="9"/>
  <c r="N89" i="9"/>
  <c r="N107" i="9"/>
  <c r="N125" i="9"/>
  <c r="N144" i="9"/>
  <c r="N160" i="9"/>
  <c r="N172" i="9"/>
  <c r="N186" i="9"/>
  <c r="N200" i="9"/>
  <c r="N211" i="9"/>
  <c r="N225" i="9"/>
  <c r="N236" i="9"/>
  <c r="N250" i="9"/>
  <c r="N264" i="9"/>
  <c r="N275" i="9"/>
  <c r="N289" i="9"/>
  <c r="N300" i="9"/>
  <c r="N314" i="9"/>
  <c r="N328" i="9"/>
  <c r="N339" i="9"/>
  <c r="N353" i="9"/>
  <c r="N364" i="9"/>
  <c r="N378" i="9"/>
  <c r="N392" i="9"/>
  <c r="N403" i="9"/>
  <c r="N414" i="9"/>
  <c r="N424" i="9"/>
  <c r="N433" i="9"/>
  <c r="N442" i="9"/>
  <c r="N451" i="9"/>
  <c r="N460" i="9"/>
  <c r="N470" i="9"/>
  <c r="N479" i="9"/>
  <c r="N488" i="9"/>
  <c r="N497" i="9"/>
  <c r="N506" i="9"/>
  <c r="N515" i="9"/>
  <c r="N523" i="9"/>
  <c r="N531" i="9"/>
  <c r="N539" i="9"/>
  <c r="N547" i="9"/>
  <c r="N555" i="9"/>
  <c r="N563" i="9"/>
  <c r="N571" i="9"/>
  <c r="N579" i="9"/>
  <c r="N587" i="9"/>
  <c r="N595" i="9"/>
  <c r="N603" i="9"/>
  <c r="N611" i="9"/>
  <c r="N619" i="9"/>
  <c r="N627" i="9"/>
  <c r="N635" i="9"/>
  <c r="N643" i="9"/>
  <c r="N651" i="9"/>
  <c r="N659" i="9"/>
  <c r="N667" i="9"/>
  <c r="N675" i="9"/>
  <c r="N683" i="9"/>
  <c r="N691" i="9"/>
  <c r="N699" i="9"/>
  <c r="N707" i="9"/>
  <c r="N715" i="9"/>
  <c r="N723" i="9"/>
  <c r="N731" i="9"/>
  <c r="N739" i="9"/>
  <c r="N747" i="9"/>
  <c r="N13" i="9"/>
  <c r="N36" i="9"/>
  <c r="N54" i="9"/>
  <c r="N73" i="9"/>
  <c r="N91" i="9"/>
  <c r="N109" i="9"/>
  <c r="N128" i="9"/>
  <c r="N146" i="9"/>
  <c r="N162" i="9"/>
  <c r="N176" i="9"/>
  <c r="N187" i="9"/>
  <c r="N201" i="9"/>
  <c r="N212" i="9"/>
  <c r="N226" i="9"/>
  <c r="N240" i="9"/>
  <c r="N251" i="9"/>
  <c r="N265" i="9"/>
  <c r="N276" i="9"/>
  <c r="N290" i="9"/>
  <c r="N304" i="9"/>
  <c r="N315" i="9"/>
  <c r="N329" i="9"/>
  <c r="N340" i="9"/>
  <c r="N354" i="9"/>
  <c r="N368" i="9"/>
  <c r="N379" i="9"/>
  <c r="N393" i="9"/>
  <c r="N404" i="9"/>
  <c r="N416" i="9"/>
  <c r="N425" i="9"/>
  <c r="N434" i="9"/>
  <c r="N443" i="9"/>
  <c r="N452" i="9"/>
  <c r="N462" i="9"/>
  <c r="N471" i="9"/>
  <c r="N480" i="9"/>
  <c r="N489" i="9"/>
  <c r="N498" i="9"/>
  <c r="N507" i="9"/>
  <c r="N516" i="9"/>
  <c r="N524" i="9"/>
  <c r="N532" i="9"/>
  <c r="N540" i="9"/>
  <c r="N548" i="9"/>
  <c r="N556" i="9"/>
  <c r="N564" i="9"/>
  <c r="N572" i="9"/>
  <c r="N580" i="9"/>
  <c r="N588" i="9"/>
  <c r="N596" i="9"/>
  <c r="N604" i="9"/>
  <c r="N612" i="9"/>
  <c r="N620" i="9"/>
  <c r="N628" i="9"/>
  <c r="N636" i="9"/>
  <c r="N644" i="9"/>
  <c r="N652" i="9"/>
  <c r="N660" i="9"/>
  <c r="N668" i="9"/>
  <c r="N676" i="9"/>
  <c r="N684" i="9"/>
  <c r="N692" i="9"/>
  <c r="N700" i="9"/>
  <c r="N708" i="9"/>
  <c r="N716" i="9"/>
  <c r="N724" i="9"/>
  <c r="N732" i="9"/>
  <c r="N14" i="9"/>
  <c r="N37" i="9"/>
  <c r="N56" i="9"/>
  <c r="N74" i="9"/>
  <c r="N92" i="9"/>
  <c r="N110" i="9"/>
  <c r="N129" i="9"/>
  <c r="N147" i="9"/>
  <c r="N163" i="9"/>
  <c r="N177" i="9"/>
  <c r="N188" i="9"/>
  <c r="N202" i="9"/>
  <c r="N216" i="9"/>
  <c r="N227" i="9"/>
  <c r="N241" i="9"/>
  <c r="N252" i="9"/>
  <c r="N266" i="9"/>
  <c r="N280" i="9"/>
  <c r="N291" i="9"/>
  <c r="N305" i="9"/>
  <c r="N316" i="9"/>
  <c r="N330" i="9"/>
  <c r="N344" i="9"/>
  <c r="N355" i="9"/>
  <c r="N369" i="9"/>
  <c r="N380" i="9"/>
  <c r="N394" i="9"/>
  <c r="N406" i="9"/>
  <c r="N417" i="9"/>
  <c r="N426" i="9"/>
  <c r="N435" i="9"/>
  <c r="N444" i="9"/>
  <c r="N454" i="9"/>
  <c r="N463" i="9"/>
  <c r="N472" i="9"/>
  <c r="N481" i="9"/>
  <c r="N490" i="9"/>
  <c r="N499" i="9"/>
  <c r="N508" i="9"/>
  <c r="N517" i="9"/>
  <c r="N525" i="9"/>
  <c r="N533" i="9"/>
  <c r="N541" i="9"/>
  <c r="N549" i="9"/>
  <c r="N557" i="9"/>
  <c r="N565" i="9"/>
  <c r="N573" i="9"/>
  <c r="N581" i="9"/>
  <c r="N589" i="9"/>
  <c r="N597" i="9"/>
  <c r="N605" i="9"/>
  <c r="N613" i="9"/>
  <c r="N621" i="9"/>
  <c r="N629" i="9"/>
  <c r="N637" i="9"/>
  <c r="N645" i="9"/>
  <c r="N653" i="9"/>
  <c r="N661" i="9"/>
  <c r="N669" i="9"/>
  <c r="N677" i="9"/>
  <c r="N685" i="9"/>
  <c r="N693" i="9"/>
  <c r="N701" i="9"/>
  <c r="N709" i="9"/>
  <c r="N717" i="9"/>
  <c r="N725" i="9"/>
  <c r="N733" i="9"/>
  <c r="N741" i="9"/>
  <c r="N749" i="9"/>
  <c r="N22" i="9"/>
  <c r="N43" i="9"/>
  <c r="N61" i="9"/>
  <c r="N80" i="9"/>
  <c r="N98" i="9"/>
  <c r="N116" i="9"/>
  <c r="N134" i="9"/>
  <c r="N152" i="9"/>
  <c r="N168" i="9"/>
  <c r="N179" i="9"/>
  <c r="N193" i="9"/>
  <c r="N204" i="9"/>
  <c r="N218" i="9"/>
  <c r="N232" i="9"/>
  <c r="N243" i="9"/>
  <c r="N257" i="9"/>
  <c r="N268" i="9"/>
  <c r="N282" i="9"/>
  <c r="N296" i="9"/>
  <c r="N307" i="9"/>
  <c r="N321" i="9"/>
  <c r="N332" i="9"/>
  <c r="N346" i="9"/>
  <c r="N360" i="9"/>
  <c r="N371" i="9"/>
  <c r="N385" i="9"/>
  <c r="N396" i="9"/>
  <c r="N18" i="9"/>
  <c r="N57" i="9"/>
  <c r="N93" i="9"/>
  <c r="N130" i="9"/>
  <c r="N164" i="9"/>
  <c r="N192" i="9"/>
  <c r="N217" i="9"/>
  <c r="N242" i="9"/>
  <c r="N267" i="9"/>
  <c r="N292" i="9"/>
  <c r="N320" i="9"/>
  <c r="N345" i="9"/>
  <c r="N370" i="9"/>
  <c r="N395" i="9"/>
  <c r="N412" i="9"/>
  <c r="N430" i="9"/>
  <c r="N446" i="9"/>
  <c r="N458" i="9"/>
  <c r="N474" i="9"/>
  <c r="N487" i="9"/>
  <c r="N503" i="9"/>
  <c r="N518" i="9"/>
  <c r="N529" i="9"/>
  <c r="N543" i="9"/>
  <c r="N554" i="9"/>
  <c r="N568" i="9"/>
  <c r="N582" i="9"/>
  <c r="N593" i="9"/>
  <c r="N607" i="9"/>
  <c r="N618" i="9"/>
  <c r="N632" i="9"/>
  <c r="N646" i="9"/>
  <c r="N657" i="9"/>
  <c r="N671" i="9"/>
  <c r="N682" i="9"/>
  <c r="N696" i="9"/>
  <c r="N710" i="9"/>
  <c r="N721" i="9"/>
  <c r="N735" i="9"/>
  <c r="N745" i="9"/>
  <c r="N27" i="9"/>
  <c r="N64" i="9"/>
  <c r="N100" i="9"/>
  <c r="N137" i="9"/>
  <c r="N169" i="9"/>
  <c r="N194" i="9"/>
  <c r="N219" i="9"/>
  <c r="N244" i="9"/>
  <c r="N272" i="9"/>
  <c r="N297" i="9"/>
  <c r="N322" i="9"/>
  <c r="N347" i="9"/>
  <c r="N372" i="9"/>
  <c r="N400" i="9"/>
  <c r="N418" i="9"/>
  <c r="N431" i="9"/>
  <c r="N447" i="9"/>
  <c r="N459" i="9"/>
  <c r="N475" i="9"/>
  <c r="N491" i="9"/>
  <c r="N504" i="9"/>
  <c r="N519" i="9"/>
  <c r="N530" i="9"/>
  <c r="N544" i="9"/>
  <c r="N558" i="9"/>
  <c r="N569" i="9"/>
  <c r="N583" i="9"/>
  <c r="N594" i="9"/>
  <c r="N608" i="9"/>
  <c r="N622" i="9"/>
  <c r="N633" i="9"/>
  <c r="N647" i="9"/>
  <c r="N658" i="9"/>
  <c r="N672" i="9"/>
  <c r="N686" i="9"/>
  <c r="N697" i="9"/>
  <c r="N711" i="9"/>
  <c r="N722" i="9"/>
  <c r="N736" i="9"/>
  <c r="N746" i="9"/>
  <c r="N28" i="9"/>
  <c r="N65" i="9"/>
  <c r="N101" i="9"/>
  <c r="N138" i="9"/>
  <c r="N170" i="9"/>
  <c r="N195" i="9"/>
  <c r="N220" i="9"/>
  <c r="N248" i="9"/>
  <c r="N273" i="9"/>
  <c r="N298" i="9"/>
  <c r="N323" i="9"/>
  <c r="N348" i="9"/>
  <c r="N376" i="9"/>
  <c r="N401" i="9"/>
  <c r="N419" i="9"/>
  <c r="N432" i="9"/>
  <c r="N448" i="9"/>
  <c r="N464" i="9"/>
  <c r="N476" i="9"/>
  <c r="N492" i="9"/>
  <c r="N505" i="9"/>
  <c r="N520" i="9"/>
  <c r="N534" i="9"/>
  <c r="N545" i="9"/>
  <c r="N559" i="9"/>
  <c r="N570" i="9"/>
  <c r="N584" i="9"/>
  <c r="N598" i="9"/>
  <c r="N609" i="9"/>
  <c r="N623" i="9"/>
  <c r="N634" i="9"/>
  <c r="N648" i="9"/>
  <c r="N662" i="9"/>
  <c r="N673" i="9"/>
  <c r="N687" i="9"/>
  <c r="N698" i="9"/>
  <c r="N712" i="9"/>
  <c r="N726" i="9"/>
  <c r="N737" i="9"/>
  <c r="N748" i="9"/>
  <c r="N29" i="9"/>
  <c r="N66" i="9"/>
  <c r="N102" i="9"/>
  <c r="N139" i="9"/>
  <c r="N171" i="9"/>
  <c r="N196" i="9"/>
  <c r="N224" i="9"/>
  <c r="N249" i="9"/>
  <c r="N274" i="9"/>
  <c r="N299" i="9"/>
  <c r="N324" i="9"/>
  <c r="N352" i="9"/>
  <c r="N377" i="9"/>
  <c r="N402" i="9"/>
  <c r="N420" i="9"/>
  <c r="N436" i="9"/>
  <c r="N449" i="9"/>
  <c r="N465" i="9"/>
  <c r="N478" i="9"/>
  <c r="N494" i="9"/>
  <c r="N510" i="9"/>
  <c r="N521" i="9"/>
  <c r="N535" i="9"/>
  <c r="N546" i="9"/>
  <c r="N560" i="9"/>
  <c r="N574" i="9"/>
  <c r="N585" i="9"/>
  <c r="N599" i="9"/>
  <c r="N610" i="9"/>
  <c r="N624" i="9"/>
  <c r="N638" i="9"/>
  <c r="N649" i="9"/>
  <c r="N663" i="9"/>
  <c r="N674" i="9"/>
  <c r="N688" i="9"/>
  <c r="N702" i="9"/>
  <c r="N713" i="9"/>
  <c r="N727" i="9"/>
  <c r="N738" i="9"/>
  <c r="N750" i="9"/>
  <c r="N38" i="9"/>
  <c r="N75" i="9"/>
  <c r="N112" i="9"/>
  <c r="N148" i="9"/>
  <c r="N178" i="9"/>
  <c r="N203" i="9"/>
  <c r="N228" i="9"/>
  <c r="N256" i="9"/>
  <c r="N281" i="9"/>
  <c r="N306" i="9"/>
  <c r="N331" i="9"/>
  <c r="N356" i="9"/>
  <c r="N384" i="9"/>
  <c r="N45" i="9"/>
  <c r="N82" i="9"/>
  <c r="N118" i="9"/>
  <c r="N154" i="9"/>
  <c r="N180" i="9"/>
  <c r="N208" i="9"/>
  <c r="N233" i="9"/>
  <c r="N258" i="9"/>
  <c r="N283" i="9"/>
  <c r="N308" i="9"/>
  <c r="N336" i="9"/>
  <c r="N361" i="9"/>
  <c r="N386" i="9"/>
  <c r="N156" i="9"/>
  <c r="N260" i="9"/>
  <c r="N363" i="9"/>
  <c r="N423" i="9"/>
  <c r="N455" i="9"/>
  <c r="N483" i="9"/>
  <c r="N512" i="9"/>
  <c r="N537" i="9"/>
  <c r="N562" i="9"/>
  <c r="N590" i="9"/>
  <c r="N615" i="9"/>
  <c r="N640" i="9"/>
  <c r="N665" i="9"/>
  <c r="N690" i="9"/>
  <c r="N718" i="9"/>
  <c r="N742" i="9"/>
  <c r="N5" i="9"/>
  <c r="N46" i="9"/>
  <c r="N184" i="9"/>
  <c r="N284" i="9"/>
  <c r="N387" i="9"/>
  <c r="N427" i="9"/>
  <c r="N456" i="9"/>
  <c r="N484" i="9"/>
  <c r="N513" i="9"/>
  <c r="N538" i="9"/>
  <c r="N566" i="9"/>
  <c r="N591" i="9"/>
  <c r="N616" i="9"/>
  <c r="N641" i="9"/>
  <c r="N666" i="9"/>
  <c r="N694" i="9"/>
  <c r="N719" i="9"/>
  <c r="N743" i="9"/>
  <c r="N48" i="9"/>
  <c r="N185" i="9"/>
  <c r="N288" i="9"/>
  <c r="N388" i="9"/>
  <c r="N428" i="9"/>
  <c r="N457" i="9"/>
  <c r="N486" i="9"/>
  <c r="N514" i="9"/>
  <c r="N542" i="9"/>
  <c r="N567" i="9"/>
  <c r="N592" i="9"/>
  <c r="N617" i="9"/>
  <c r="N642" i="9"/>
  <c r="N670" i="9"/>
  <c r="N695" i="9"/>
  <c r="N720" i="9"/>
  <c r="N744" i="9"/>
  <c r="N83" i="9"/>
  <c r="N209" i="9"/>
  <c r="N312" i="9"/>
  <c r="N408" i="9"/>
  <c r="N438" i="9"/>
  <c r="N466" i="9"/>
  <c r="N495" i="9"/>
  <c r="N522" i="9"/>
  <c r="N550" i="9"/>
  <c r="N575" i="9"/>
  <c r="N600" i="9"/>
  <c r="N625" i="9"/>
  <c r="N650" i="9"/>
  <c r="N678" i="9"/>
  <c r="N703" i="9"/>
  <c r="N728" i="9"/>
  <c r="N751" i="9"/>
  <c r="N84" i="9"/>
  <c r="N210" i="9"/>
  <c r="N313" i="9"/>
  <c r="N409" i="9"/>
  <c r="N439" i="9"/>
  <c r="N467" i="9"/>
  <c r="N496" i="9"/>
  <c r="N526" i="9"/>
  <c r="N551" i="9"/>
  <c r="N576" i="9"/>
  <c r="N601" i="9"/>
  <c r="N626" i="9"/>
  <c r="N654" i="9"/>
  <c r="N679" i="9"/>
  <c r="N704" i="9"/>
  <c r="N729" i="9"/>
  <c r="N752" i="9"/>
  <c r="N155" i="9"/>
  <c r="N411" i="9"/>
  <c r="N500" i="9"/>
  <c r="N561" i="9"/>
  <c r="N631" i="9"/>
  <c r="N705" i="9"/>
  <c r="N234" i="9"/>
  <c r="N422" i="9"/>
  <c r="N502" i="9"/>
  <c r="N577" i="9"/>
  <c r="N639" i="9"/>
  <c r="N706" i="9"/>
  <c r="N235" i="9"/>
  <c r="N440" i="9"/>
  <c r="N511" i="9"/>
  <c r="N578" i="9"/>
  <c r="N655" i="9"/>
  <c r="N714" i="9"/>
  <c r="N259" i="9"/>
  <c r="N441" i="9"/>
  <c r="N527" i="9"/>
  <c r="N586" i="9"/>
  <c r="N656" i="9"/>
  <c r="N730" i="9"/>
  <c r="N338" i="9"/>
  <c r="N468" i="9"/>
  <c r="N536" i="9"/>
  <c r="N606" i="9"/>
  <c r="N680" i="9"/>
  <c r="N740" i="9"/>
  <c r="N120" i="9"/>
  <c r="N528" i="9"/>
  <c r="N689" i="9"/>
  <c r="N121" i="9"/>
  <c r="N552" i="9"/>
  <c r="N734" i="9"/>
  <c r="N337" i="9"/>
  <c r="N553" i="9"/>
  <c r="N753" i="9"/>
  <c r="N362" i="9"/>
  <c r="N602" i="9"/>
  <c r="N410" i="9"/>
  <c r="N614" i="9"/>
  <c r="N450" i="9"/>
  <c r="N630" i="9"/>
  <c r="N473" i="9"/>
  <c r="N664" i="9"/>
  <c r="N482" i="9"/>
  <c r="N681" i="9"/>
  <c r="E13" i="12"/>
  <c r="Z11" i="9"/>
  <c r="F13" i="12" s="1"/>
  <c r="P7" i="9"/>
  <c r="P15" i="9"/>
  <c r="P23" i="9"/>
  <c r="P31" i="9"/>
  <c r="P39" i="9"/>
  <c r="P47" i="9"/>
  <c r="P55" i="9"/>
  <c r="P63" i="9"/>
  <c r="P71" i="9"/>
  <c r="P8" i="9"/>
  <c r="P17" i="9"/>
  <c r="P26" i="9"/>
  <c r="P35" i="9"/>
  <c r="P44" i="9"/>
  <c r="P53" i="9"/>
  <c r="P62" i="9"/>
  <c r="P72" i="9"/>
  <c r="P80" i="9"/>
  <c r="P88" i="9"/>
  <c r="P96" i="9"/>
  <c r="P104" i="9"/>
  <c r="P112" i="9"/>
  <c r="P120" i="9"/>
  <c r="P128" i="9"/>
  <c r="P136" i="9"/>
  <c r="P144" i="9"/>
  <c r="P152" i="9"/>
  <c r="P160" i="9"/>
  <c r="P168" i="9"/>
  <c r="P176" i="9"/>
  <c r="P184" i="9"/>
  <c r="P192" i="9"/>
  <c r="P200" i="9"/>
  <c r="P208" i="9"/>
  <c r="P216" i="9"/>
  <c r="P224" i="9"/>
  <c r="P232" i="9"/>
  <c r="P240" i="9"/>
  <c r="P248" i="9"/>
  <c r="P256" i="9"/>
  <c r="P264" i="9"/>
  <c r="P272" i="9"/>
  <c r="P280" i="9"/>
  <c r="P288" i="9"/>
  <c r="P296" i="9"/>
  <c r="P304" i="9"/>
  <c r="P312" i="9"/>
  <c r="P320" i="9"/>
  <c r="P328" i="9"/>
  <c r="P336" i="9"/>
  <c r="P344" i="9"/>
  <c r="P352" i="9"/>
  <c r="P360" i="9"/>
  <c r="P368" i="9"/>
  <c r="P376" i="9"/>
  <c r="P384" i="9"/>
  <c r="P392" i="9"/>
  <c r="P400" i="9"/>
  <c r="P408" i="9"/>
  <c r="P416" i="9"/>
  <c r="P424" i="9"/>
  <c r="P432" i="9"/>
  <c r="P440" i="9"/>
  <c r="P448" i="9"/>
  <c r="P456" i="9"/>
  <c r="P464" i="9"/>
  <c r="P472" i="9"/>
  <c r="P480" i="9"/>
  <c r="P488" i="9"/>
  <c r="P496" i="9"/>
  <c r="P504" i="9"/>
  <c r="P512" i="9"/>
  <c r="P520" i="9"/>
  <c r="P528" i="9"/>
  <c r="P536" i="9"/>
  <c r="P544" i="9"/>
  <c r="P552" i="9"/>
  <c r="P560" i="9"/>
  <c r="P568" i="9"/>
  <c r="P576" i="9"/>
  <c r="P9" i="9"/>
  <c r="P18" i="9"/>
  <c r="P27" i="9"/>
  <c r="P36" i="9"/>
  <c r="P45" i="9"/>
  <c r="P54" i="9"/>
  <c r="P64" i="9"/>
  <c r="P73" i="9"/>
  <c r="P81" i="9"/>
  <c r="P89" i="9"/>
  <c r="P97" i="9"/>
  <c r="P105" i="9"/>
  <c r="P113" i="9"/>
  <c r="P121" i="9"/>
  <c r="P129" i="9"/>
  <c r="P137" i="9"/>
  <c r="P145" i="9"/>
  <c r="P153" i="9"/>
  <c r="P161" i="9"/>
  <c r="P169" i="9"/>
  <c r="P177" i="9"/>
  <c r="P185" i="9"/>
  <c r="P193" i="9"/>
  <c r="P201" i="9"/>
  <c r="P209" i="9"/>
  <c r="P217" i="9"/>
  <c r="P225" i="9"/>
  <c r="P233" i="9"/>
  <c r="P241" i="9"/>
  <c r="P249" i="9"/>
  <c r="P257" i="9"/>
  <c r="P265" i="9"/>
  <c r="P273" i="9"/>
  <c r="P281" i="9"/>
  <c r="P289" i="9"/>
  <c r="P297" i="9"/>
  <c r="P305" i="9"/>
  <c r="P313" i="9"/>
  <c r="P321" i="9"/>
  <c r="P329" i="9"/>
  <c r="P337" i="9"/>
  <c r="P345" i="9"/>
  <c r="P353" i="9"/>
  <c r="P361" i="9"/>
  <c r="P369" i="9"/>
  <c r="P377" i="9"/>
  <c r="P385" i="9"/>
  <c r="P393" i="9"/>
  <c r="P401" i="9"/>
  <c r="P409" i="9"/>
  <c r="P417" i="9"/>
  <c r="P425" i="9"/>
  <c r="P433" i="9"/>
  <c r="P441" i="9"/>
  <c r="P449" i="9"/>
  <c r="P457" i="9"/>
  <c r="P465" i="9"/>
  <c r="P473" i="9"/>
  <c r="P481" i="9"/>
  <c r="P489" i="9"/>
  <c r="P10" i="9"/>
  <c r="P19" i="9"/>
  <c r="P28" i="9"/>
  <c r="P37" i="9"/>
  <c r="P46" i="9"/>
  <c r="P56" i="9"/>
  <c r="P65" i="9"/>
  <c r="P74" i="9"/>
  <c r="P82" i="9"/>
  <c r="P90" i="9"/>
  <c r="P98" i="9"/>
  <c r="P106" i="9"/>
  <c r="P114" i="9"/>
  <c r="P122" i="9"/>
  <c r="P130" i="9"/>
  <c r="P138" i="9"/>
  <c r="P146" i="9"/>
  <c r="P154" i="9"/>
  <c r="P162" i="9"/>
  <c r="P170" i="9"/>
  <c r="P178" i="9"/>
  <c r="P186" i="9"/>
  <c r="P194" i="9"/>
  <c r="P202" i="9"/>
  <c r="P210" i="9"/>
  <c r="P218" i="9"/>
  <c r="P226" i="9"/>
  <c r="P234" i="9"/>
  <c r="P242" i="9"/>
  <c r="P250" i="9"/>
  <c r="P258" i="9"/>
  <c r="P266" i="9"/>
  <c r="P274" i="9"/>
  <c r="P282" i="9"/>
  <c r="P290" i="9"/>
  <c r="P298" i="9"/>
  <c r="P306" i="9"/>
  <c r="P314" i="9"/>
  <c r="P322" i="9"/>
  <c r="P330" i="9"/>
  <c r="P338" i="9"/>
  <c r="P346" i="9"/>
  <c r="P354" i="9"/>
  <c r="P362" i="9"/>
  <c r="P370" i="9"/>
  <c r="P378" i="9"/>
  <c r="P386" i="9"/>
  <c r="P394" i="9"/>
  <c r="P402" i="9"/>
  <c r="P410" i="9"/>
  <c r="P418" i="9"/>
  <c r="P426" i="9"/>
  <c r="P434" i="9"/>
  <c r="P442" i="9"/>
  <c r="P450" i="9"/>
  <c r="P458" i="9"/>
  <c r="P466" i="9"/>
  <c r="P474" i="9"/>
  <c r="P482" i="9"/>
  <c r="P490" i="9"/>
  <c r="P11" i="9"/>
  <c r="P20" i="9"/>
  <c r="P29" i="9"/>
  <c r="P38" i="9"/>
  <c r="P48" i="9"/>
  <c r="P57" i="9"/>
  <c r="P66" i="9"/>
  <c r="P75" i="9"/>
  <c r="P83" i="9"/>
  <c r="P91" i="9"/>
  <c r="P99" i="9"/>
  <c r="P107" i="9"/>
  <c r="P115" i="9"/>
  <c r="P123" i="9"/>
  <c r="P131" i="9"/>
  <c r="P139" i="9"/>
  <c r="P147" i="9"/>
  <c r="P155" i="9"/>
  <c r="P163" i="9"/>
  <c r="P171" i="9"/>
  <c r="P179" i="9"/>
  <c r="P187" i="9"/>
  <c r="P195" i="9"/>
  <c r="P203" i="9"/>
  <c r="P211" i="9"/>
  <c r="P219" i="9"/>
  <c r="P227" i="9"/>
  <c r="P235" i="9"/>
  <c r="P243" i="9"/>
  <c r="P251" i="9"/>
  <c r="P259" i="9"/>
  <c r="P267" i="9"/>
  <c r="P275" i="9"/>
  <c r="P283" i="9"/>
  <c r="P291" i="9"/>
  <c r="P299" i="9"/>
  <c r="P13" i="9"/>
  <c r="P32" i="9"/>
  <c r="P50" i="9"/>
  <c r="P68" i="9"/>
  <c r="P85" i="9"/>
  <c r="P101" i="9"/>
  <c r="P117" i="9"/>
  <c r="P133" i="9"/>
  <c r="P149" i="9"/>
  <c r="P165" i="9"/>
  <c r="P181" i="9"/>
  <c r="P197" i="9"/>
  <c r="P213" i="9"/>
  <c r="P229" i="9"/>
  <c r="P245" i="9"/>
  <c r="P261" i="9"/>
  <c r="P277" i="9"/>
  <c r="P293" i="9"/>
  <c r="P308" i="9"/>
  <c r="P319" i="9"/>
  <c r="P333" i="9"/>
  <c r="P347" i="9"/>
  <c r="P358" i="9"/>
  <c r="P372" i="9"/>
  <c r="P383" i="9"/>
  <c r="P397" i="9"/>
  <c r="P411" i="9"/>
  <c r="P422" i="9"/>
  <c r="P436" i="9"/>
  <c r="P447" i="9"/>
  <c r="P461" i="9"/>
  <c r="P475" i="9"/>
  <c r="P486" i="9"/>
  <c r="P498" i="9"/>
  <c r="P507" i="9"/>
  <c r="P516" i="9"/>
  <c r="P525" i="9"/>
  <c r="P534" i="9"/>
  <c r="P543" i="9"/>
  <c r="P553" i="9"/>
  <c r="P562" i="9"/>
  <c r="P571" i="9"/>
  <c r="P580" i="9"/>
  <c r="P588" i="9"/>
  <c r="P596" i="9"/>
  <c r="P604" i="9"/>
  <c r="P612" i="9"/>
  <c r="P620" i="9"/>
  <c r="P628" i="9"/>
  <c r="P636" i="9"/>
  <c r="P644" i="9"/>
  <c r="P652" i="9"/>
  <c r="P660" i="9"/>
  <c r="P668" i="9"/>
  <c r="P676" i="9"/>
  <c r="P684" i="9"/>
  <c r="P692" i="9"/>
  <c r="P700" i="9"/>
  <c r="P708" i="9"/>
  <c r="P716" i="9"/>
  <c r="P724" i="9"/>
  <c r="P732" i="9"/>
  <c r="P740" i="9"/>
  <c r="P748" i="9"/>
  <c r="P14" i="9"/>
  <c r="P33" i="9"/>
  <c r="P51" i="9"/>
  <c r="P69" i="9"/>
  <c r="P86" i="9"/>
  <c r="P102" i="9"/>
  <c r="P118" i="9"/>
  <c r="P134" i="9"/>
  <c r="P150" i="9"/>
  <c r="P166" i="9"/>
  <c r="P182" i="9"/>
  <c r="P198" i="9"/>
  <c r="P214" i="9"/>
  <c r="P230" i="9"/>
  <c r="P246" i="9"/>
  <c r="P262" i="9"/>
  <c r="P278" i="9"/>
  <c r="P294" i="9"/>
  <c r="P309" i="9"/>
  <c r="P323" i="9"/>
  <c r="P334" i="9"/>
  <c r="P348" i="9"/>
  <c r="P359" i="9"/>
  <c r="P373" i="9"/>
  <c r="P387" i="9"/>
  <c r="P398" i="9"/>
  <c r="P412" i="9"/>
  <c r="P423" i="9"/>
  <c r="P437" i="9"/>
  <c r="P451" i="9"/>
  <c r="P462" i="9"/>
  <c r="P476" i="9"/>
  <c r="P487" i="9"/>
  <c r="P499" i="9"/>
  <c r="P508" i="9"/>
  <c r="P517" i="9"/>
  <c r="P526" i="9"/>
  <c r="P535" i="9"/>
  <c r="P545" i="9"/>
  <c r="P554" i="9"/>
  <c r="P563" i="9"/>
  <c r="P572" i="9"/>
  <c r="P581" i="9"/>
  <c r="P589" i="9"/>
  <c r="P597" i="9"/>
  <c r="P605" i="9"/>
  <c r="P613" i="9"/>
  <c r="P621" i="9"/>
  <c r="P629" i="9"/>
  <c r="P637" i="9"/>
  <c r="P645" i="9"/>
  <c r="P653" i="9"/>
  <c r="P661" i="9"/>
  <c r="P669" i="9"/>
  <c r="P677" i="9"/>
  <c r="P685" i="9"/>
  <c r="P693" i="9"/>
  <c r="P701" i="9"/>
  <c r="P709" i="9"/>
  <c r="P717" i="9"/>
  <c r="P725" i="9"/>
  <c r="P733" i="9"/>
  <c r="P741" i="9"/>
  <c r="P749" i="9"/>
  <c r="P16" i="9"/>
  <c r="P34" i="9"/>
  <c r="P52" i="9"/>
  <c r="P70" i="9"/>
  <c r="P87" i="9"/>
  <c r="P103" i="9"/>
  <c r="P119" i="9"/>
  <c r="P135" i="9"/>
  <c r="P151" i="9"/>
  <c r="P167" i="9"/>
  <c r="P183" i="9"/>
  <c r="P199" i="9"/>
  <c r="P215" i="9"/>
  <c r="P231" i="9"/>
  <c r="P247" i="9"/>
  <c r="P263" i="9"/>
  <c r="P279" i="9"/>
  <c r="P295" i="9"/>
  <c r="P310" i="9"/>
  <c r="P324" i="9"/>
  <c r="P335" i="9"/>
  <c r="P349" i="9"/>
  <c r="P363" i="9"/>
  <c r="P374" i="9"/>
  <c r="P388" i="9"/>
  <c r="P399" i="9"/>
  <c r="P413" i="9"/>
  <c r="P427" i="9"/>
  <c r="P438" i="9"/>
  <c r="P452" i="9"/>
  <c r="P463" i="9"/>
  <c r="P477" i="9"/>
  <c r="P491" i="9"/>
  <c r="P500" i="9"/>
  <c r="P509" i="9"/>
  <c r="P518" i="9"/>
  <c r="P527" i="9"/>
  <c r="P537" i="9"/>
  <c r="P546" i="9"/>
  <c r="P555" i="9"/>
  <c r="P564" i="9"/>
  <c r="P573" i="9"/>
  <c r="P582" i="9"/>
  <c r="P590" i="9"/>
  <c r="P598" i="9"/>
  <c r="P606" i="9"/>
  <c r="P614" i="9"/>
  <c r="P622" i="9"/>
  <c r="P630" i="9"/>
  <c r="P638" i="9"/>
  <c r="P646" i="9"/>
  <c r="P654" i="9"/>
  <c r="P662" i="9"/>
  <c r="P670" i="9"/>
  <c r="P678" i="9"/>
  <c r="P686" i="9"/>
  <c r="P694" i="9"/>
  <c r="P702" i="9"/>
  <c r="P710" i="9"/>
  <c r="P718" i="9"/>
  <c r="P726" i="9"/>
  <c r="P734" i="9"/>
  <c r="P742" i="9"/>
  <c r="P750" i="9"/>
  <c r="P21" i="9"/>
  <c r="P40" i="9"/>
  <c r="P58" i="9"/>
  <c r="P76" i="9"/>
  <c r="P92" i="9"/>
  <c r="P108" i="9"/>
  <c r="P124" i="9"/>
  <c r="P140" i="9"/>
  <c r="P156" i="9"/>
  <c r="P172" i="9"/>
  <c r="P188" i="9"/>
  <c r="P204" i="9"/>
  <c r="P220" i="9"/>
  <c r="P236" i="9"/>
  <c r="P252" i="9"/>
  <c r="P268" i="9"/>
  <c r="P284" i="9"/>
  <c r="P300" i="9"/>
  <c r="P311" i="9"/>
  <c r="P325" i="9"/>
  <c r="P339" i="9"/>
  <c r="P350" i="9"/>
  <c r="P364" i="9"/>
  <c r="P375" i="9"/>
  <c r="P389" i="9"/>
  <c r="P403" i="9"/>
  <c r="P414" i="9"/>
  <c r="P428" i="9"/>
  <c r="P439" i="9"/>
  <c r="P453" i="9"/>
  <c r="P467" i="9"/>
  <c r="P478" i="9"/>
  <c r="P492" i="9"/>
  <c r="P501" i="9"/>
  <c r="P510" i="9"/>
  <c r="P519" i="9"/>
  <c r="P529" i="9"/>
  <c r="P538" i="9"/>
  <c r="P547" i="9"/>
  <c r="P556" i="9"/>
  <c r="P565" i="9"/>
  <c r="P574" i="9"/>
  <c r="P583" i="9"/>
  <c r="P591" i="9"/>
  <c r="P599" i="9"/>
  <c r="P607" i="9"/>
  <c r="P615" i="9"/>
  <c r="P623" i="9"/>
  <c r="P631" i="9"/>
  <c r="P639" i="9"/>
  <c r="P647" i="9"/>
  <c r="P655" i="9"/>
  <c r="P663" i="9"/>
  <c r="P671" i="9"/>
  <c r="P679" i="9"/>
  <c r="P687" i="9"/>
  <c r="P695" i="9"/>
  <c r="P703" i="9"/>
  <c r="P711" i="9"/>
  <c r="P719" i="9"/>
  <c r="P727" i="9"/>
  <c r="P735" i="9"/>
  <c r="P743" i="9"/>
  <c r="P751" i="9"/>
  <c r="P22" i="9"/>
  <c r="P41" i="9"/>
  <c r="P59" i="9"/>
  <c r="P77" i="9"/>
  <c r="P93" i="9"/>
  <c r="P109" i="9"/>
  <c r="P125" i="9"/>
  <c r="P141" i="9"/>
  <c r="P157" i="9"/>
  <c r="P173" i="9"/>
  <c r="P189" i="9"/>
  <c r="P205" i="9"/>
  <c r="P221" i="9"/>
  <c r="P237" i="9"/>
  <c r="P253" i="9"/>
  <c r="P269" i="9"/>
  <c r="P285" i="9"/>
  <c r="P301" i="9"/>
  <c r="P315" i="9"/>
  <c r="P326" i="9"/>
  <c r="P340" i="9"/>
  <c r="P351" i="9"/>
  <c r="P365" i="9"/>
  <c r="P379" i="9"/>
  <c r="P12" i="9"/>
  <c r="P61" i="9"/>
  <c r="P110" i="9"/>
  <c r="P148" i="9"/>
  <c r="P191" i="9"/>
  <c r="P238" i="9"/>
  <c r="P276" i="9"/>
  <c r="P317" i="9"/>
  <c r="P355" i="9"/>
  <c r="P382" i="9"/>
  <c r="P407" i="9"/>
  <c r="P435" i="9"/>
  <c r="P460" i="9"/>
  <c r="P485" i="9"/>
  <c r="P506" i="9"/>
  <c r="P524" i="9"/>
  <c r="P542" i="9"/>
  <c r="P561" i="9"/>
  <c r="P579" i="9"/>
  <c r="P595" i="9"/>
  <c r="P611" i="9"/>
  <c r="P627" i="9"/>
  <c r="P643" i="9"/>
  <c r="P659" i="9"/>
  <c r="P675" i="9"/>
  <c r="P691" i="9"/>
  <c r="P707" i="9"/>
  <c r="P723" i="9"/>
  <c r="P739" i="9"/>
  <c r="P24" i="9"/>
  <c r="P67" i="9"/>
  <c r="P111" i="9"/>
  <c r="P158" i="9"/>
  <c r="P196" i="9"/>
  <c r="P239" i="9"/>
  <c r="P286" i="9"/>
  <c r="P318" i="9"/>
  <c r="P356" i="9"/>
  <c r="P390" i="9"/>
  <c r="P415" i="9"/>
  <c r="P443" i="9"/>
  <c r="P468" i="9"/>
  <c r="P493" i="9"/>
  <c r="P511" i="9"/>
  <c r="P530" i="9"/>
  <c r="P548" i="9"/>
  <c r="P566" i="9"/>
  <c r="P584" i="9"/>
  <c r="P600" i="9"/>
  <c r="P616" i="9"/>
  <c r="P632" i="9"/>
  <c r="P648" i="9"/>
  <c r="P664" i="9"/>
  <c r="P680" i="9"/>
  <c r="P696" i="9"/>
  <c r="P712" i="9"/>
  <c r="P728" i="9"/>
  <c r="P744" i="9"/>
  <c r="P25" i="9"/>
  <c r="P78" i="9"/>
  <c r="P116" i="9"/>
  <c r="P159" i="9"/>
  <c r="P206" i="9"/>
  <c r="P244" i="9"/>
  <c r="P287" i="9"/>
  <c r="P327" i="9"/>
  <c r="P357" i="9"/>
  <c r="P391" i="9"/>
  <c r="P419" i="9"/>
  <c r="P444" i="9"/>
  <c r="P469" i="9"/>
  <c r="P494" i="9"/>
  <c r="P513" i="9"/>
  <c r="P531" i="9"/>
  <c r="P549" i="9"/>
  <c r="P567" i="9"/>
  <c r="P585" i="9"/>
  <c r="P601" i="9"/>
  <c r="P617" i="9"/>
  <c r="P633" i="9"/>
  <c r="P649" i="9"/>
  <c r="P665" i="9"/>
  <c r="P681" i="9"/>
  <c r="P697" i="9"/>
  <c r="P713" i="9"/>
  <c r="P729" i="9"/>
  <c r="P745" i="9"/>
  <c r="P30" i="9"/>
  <c r="P79" i="9"/>
  <c r="P126" i="9"/>
  <c r="P164" i="9"/>
  <c r="P207" i="9"/>
  <c r="P254" i="9"/>
  <c r="P292" i="9"/>
  <c r="P331" i="9"/>
  <c r="P366" i="9"/>
  <c r="P395" i="9"/>
  <c r="P420" i="9"/>
  <c r="P445" i="9"/>
  <c r="P470" i="9"/>
  <c r="P495" i="9"/>
  <c r="P514" i="9"/>
  <c r="P532" i="9"/>
  <c r="P550" i="9"/>
  <c r="P43" i="9"/>
  <c r="P94" i="9"/>
  <c r="P132" i="9"/>
  <c r="P175" i="9"/>
  <c r="P222" i="9"/>
  <c r="P260" i="9"/>
  <c r="P303" i="9"/>
  <c r="P341" i="9"/>
  <c r="P371" i="9"/>
  <c r="P404" i="9"/>
  <c r="P429" i="9"/>
  <c r="P454" i="9"/>
  <c r="P479" i="9"/>
  <c r="P502" i="9"/>
  <c r="P521" i="9"/>
  <c r="P539" i="9"/>
  <c r="P557" i="9"/>
  <c r="P575" i="9"/>
  <c r="P592" i="9"/>
  <c r="P608" i="9"/>
  <c r="P624" i="9"/>
  <c r="P640" i="9"/>
  <c r="P656" i="9"/>
  <c r="P672" i="9"/>
  <c r="P688" i="9"/>
  <c r="P704" i="9"/>
  <c r="P720" i="9"/>
  <c r="P736" i="9"/>
  <c r="P752" i="9"/>
  <c r="P95" i="9"/>
  <c r="P212" i="9"/>
  <c r="P316" i="9"/>
  <c r="P405" i="9"/>
  <c r="P471" i="9"/>
  <c r="P523" i="9"/>
  <c r="P570" i="9"/>
  <c r="P603" i="9"/>
  <c r="P635" i="9"/>
  <c r="P667" i="9"/>
  <c r="P699" i="9"/>
  <c r="P731" i="9"/>
  <c r="P100" i="9"/>
  <c r="P223" i="9"/>
  <c r="P332" i="9"/>
  <c r="P406" i="9"/>
  <c r="P483" i="9"/>
  <c r="P533" i="9"/>
  <c r="P577" i="9"/>
  <c r="P609" i="9"/>
  <c r="P641" i="9"/>
  <c r="P673" i="9"/>
  <c r="P705" i="9"/>
  <c r="P737" i="9"/>
  <c r="P127" i="9"/>
  <c r="P228" i="9"/>
  <c r="P342" i="9"/>
  <c r="P421" i="9"/>
  <c r="P484" i="9"/>
  <c r="P540" i="9"/>
  <c r="P578" i="9"/>
  <c r="P610" i="9"/>
  <c r="P642" i="9"/>
  <c r="P674" i="9"/>
  <c r="P706" i="9"/>
  <c r="P738" i="9"/>
  <c r="P6" i="9"/>
  <c r="P142" i="9"/>
  <c r="P255" i="9"/>
  <c r="P343" i="9"/>
  <c r="P430" i="9"/>
  <c r="P497" i="9"/>
  <c r="P541" i="9"/>
  <c r="P586" i="9"/>
  <c r="P618" i="9"/>
  <c r="P650" i="9"/>
  <c r="P682" i="9"/>
  <c r="P714" i="9"/>
  <c r="P746" i="9"/>
  <c r="P42" i="9"/>
  <c r="P143" i="9"/>
  <c r="P270" i="9"/>
  <c r="P367" i="9"/>
  <c r="P431" i="9"/>
  <c r="P503" i="9"/>
  <c r="P551" i="9"/>
  <c r="P587" i="9"/>
  <c r="P619" i="9"/>
  <c r="P651" i="9"/>
  <c r="P683" i="9"/>
  <c r="P715" i="9"/>
  <c r="P747" i="9"/>
  <c r="P49" i="9"/>
  <c r="P174" i="9"/>
  <c r="P271" i="9"/>
  <c r="P380" i="9"/>
  <c r="P446" i="9"/>
  <c r="P505" i="9"/>
  <c r="P558" i="9"/>
  <c r="P593" i="9"/>
  <c r="P625" i="9"/>
  <c r="P657" i="9"/>
  <c r="P689" i="9"/>
  <c r="P721" i="9"/>
  <c r="P753" i="9"/>
  <c r="P60" i="9"/>
  <c r="P180" i="9"/>
  <c r="P302" i="9"/>
  <c r="P381" i="9"/>
  <c r="P455" i="9"/>
  <c r="P515" i="9"/>
  <c r="P559" i="9"/>
  <c r="P594" i="9"/>
  <c r="P626" i="9"/>
  <c r="P658" i="9"/>
  <c r="P690" i="9"/>
  <c r="P722" i="9"/>
  <c r="P5" i="9"/>
  <c r="P84" i="9"/>
  <c r="P190" i="9"/>
  <c r="P307" i="9"/>
  <c r="P396" i="9"/>
  <c r="P459" i="9"/>
  <c r="P522" i="9"/>
  <c r="P569" i="9"/>
  <c r="P602" i="9"/>
  <c r="P634" i="9"/>
  <c r="P666" i="9"/>
  <c r="P698" i="9"/>
  <c r="P730" i="9"/>
  <c r="O11" i="9"/>
  <c r="O19" i="9"/>
  <c r="O27" i="9"/>
  <c r="O35" i="9"/>
  <c r="O43" i="9"/>
  <c r="O51" i="9"/>
  <c r="O59" i="9"/>
  <c r="O67" i="9"/>
  <c r="O75" i="9"/>
  <c r="O83" i="9"/>
  <c r="O91" i="9"/>
  <c r="O99" i="9"/>
  <c r="O107" i="9"/>
  <c r="O115" i="9"/>
  <c r="O123" i="9"/>
  <c r="O131" i="9"/>
  <c r="O139" i="9"/>
  <c r="O147" i="9"/>
  <c r="O155" i="9"/>
  <c r="O163" i="9"/>
  <c r="O171" i="9"/>
  <c r="O179" i="9"/>
  <c r="O187" i="9"/>
  <c r="O195" i="9"/>
  <c r="O203" i="9"/>
  <c r="O211" i="9"/>
  <c r="O219" i="9"/>
  <c r="O227" i="9"/>
  <c r="O235" i="9"/>
  <c r="O243" i="9"/>
  <c r="O251" i="9"/>
  <c r="O259" i="9"/>
  <c r="O267" i="9"/>
  <c r="O275" i="9"/>
  <c r="O283" i="9"/>
  <c r="O291" i="9"/>
  <c r="O299" i="9"/>
  <c r="O307" i="9"/>
  <c r="O315" i="9"/>
  <c r="O323" i="9"/>
  <c r="O331" i="9"/>
  <c r="O339" i="9"/>
  <c r="O347" i="9"/>
  <c r="O355" i="9"/>
  <c r="O363" i="9"/>
  <c r="O371" i="9"/>
  <c r="O6" i="9"/>
  <c r="O7" i="9"/>
  <c r="O15" i="9"/>
  <c r="O23" i="9"/>
  <c r="O31" i="9"/>
  <c r="O39" i="9"/>
  <c r="O47" i="9"/>
  <c r="O55" i="9"/>
  <c r="O63" i="9"/>
  <c r="O71" i="9"/>
  <c r="O79" i="9"/>
  <c r="O87" i="9"/>
  <c r="O95" i="9"/>
  <c r="O103" i="9"/>
  <c r="O111" i="9"/>
  <c r="O119" i="9"/>
  <c r="O127" i="9"/>
  <c r="O135" i="9"/>
  <c r="O143" i="9"/>
  <c r="O151" i="9"/>
  <c r="O159" i="9"/>
  <c r="O167" i="9"/>
  <c r="O175" i="9"/>
  <c r="O183" i="9"/>
  <c r="O191" i="9"/>
  <c r="O199" i="9"/>
  <c r="O207" i="9"/>
  <c r="O215" i="9"/>
  <c r="O223" i="9"/>
  <c r="O231" i="9"/>
  <c r="O239" i="9"/>
  <c r="O247" i="9"/>
  <c r="O255" i="9"/>
  <c r="O263" i="9"/>
  <c r="O271" i="9"/>
  <c r="O279" i="9"/>
  <c r="O287" i="9"/>
  <c r="O295" i="9"/>
  <c r="O303" i="9"/>
  <c r="O311" i="9"/>
  <c r="O319" i="9"/>
  <c r="O327" i="9"/>
  <c r="O335" i="9"/>
  <c r="O343" i="9"/>
  <c r="O351" i="9"/>
  <c r="O359" i="9"/>
  <c r="O367" i="9"/>
  <c r="O375" i="9"/>
  <c r="O383" i="9"/>
  <c r="O391" i="9"/>
  <c r="O399" i="9"/>
  <c r="O407" i="9"/>
  <c r="O415" i="9"/>
  <c r="O423" i="9"/>
  <c r="O431" i="9"/>
  <c r="O439" i="9"/>
  <c r="O447" i="9"/>
  <c r="O455" i="9"/>
  <c r="O463" i="9"/>
  <c r="O471" i="9"/>
  <c r="O479" i="9"/>
  <c r="O487" i="9"/>
  <c r="O495" i="9"/>
  <c r="O503" i="9"/>
  <c r="O511" i="9"/>
  <c r="O519" i="9"/>
  <c r="O527" i="9"/>
  <c r="O535" i="9"/>
  <c r="O543" i="9"/>
  <c r="O551" i="9"/>
  <c r="O559" i="9"/>
  <c r="O567" i="9"/>
  <c r="O575" i="9"/>
  <c r="O583" i="9"/>
  <c r="O591" i="9"/>
  <c r="O599" i="9"/>
  <c r="O607" i="9"/>
  <c r="O615" i="9"/>
  <c r="O623" i="9"/>
  <c r="O631" i="9"/>
  <c r="O639" i="9"/>
  <c r="O647" i="9"/>
  <c r="O655" i="9"/>
  <c r="O663" i="9"/>
  <c r="O671" i="9"/>
  <c r="O679" i="9"/>
  <c r="O8" i="9"/>
  <c r="O16" i="9"/>
  <c r="O24" i="9"/>
  <c r="O32" i="9"/>
  <c r="O40" i="9"/>
  <c r="O48" i="9"/>
  <c r="O56" i="9"/>
  <c r="O64" i="9"/>
  <c r="O72" i="9"/>
  <c r="O80" i="9"/>
  <c r="O88" i="9"/>
  <c r="O96" i="9"/>
  <c r="O104" i="9"/>
  <c r="O112" i="9"/>
  <c r="O120" i="9"/>
  <c r="O128" i="9"/>
  <c r="O136" i="9"/>
  <c r="O144" i="9"/>
  <c r="O152" i="9"/>
  <c r="O160" i="9"/>
  <c r="O168" i="9"/>
  <c r="O176" i="9"/>
  <c r="O184" i="9"/>
  <c r="O192" i="9"/>
  <c r="O200" i="9"/>
  <c r="O208" i="9"/>
  <c r="O216" i="9"/>
  <c r="O224" i="9"/>
  <c r="O232" i="9"/>
  <c r="O240" i="9"/>
  <c r="O248" i="9"/>
  <c r="O256" i="9"/>
  <c r="O264" i="9"/>
  <c r="O272" i="9"/>
  <c r="O280" i="9"/>
  <c r="O288" i="9"/>
  <c r="O296" i="9"/>
  <c r="O304" i="9"/>
  <c r="O312" i="9"/>
  <c r="O320" i="9"/>
  <c r="O328" i="9"/>
  <c r="O336" i="9"/>
  <c r="O344" i="9"/>
  <c r="O352" i="9"/>
  <c r="O360" i="9"/>
  <c r="O368" i="9"/>
  <c r="O376" i="9"/>
  <c r="O384" i="9"/>
  <c r="O392" i="9"/>
  <c r="O400" i="9"/>
  <c r="O408" i="9"/>
  <c r="O416" i="9"/>
  <c r="O424" i="9"/>
  <c r="O432" i="9"/>
  <c r="O440" i="9"/>
  <c r="O448" i="9"/>
  <c r="O456" i="9"/>
  <c r="O464" i="9"/>
  <c r="O472" i="9"/>
  <c r="O480" i="9"/>
  <c r="O488" i="9"/>
  <c r="O496" i="9"/>
  <c r="O504" i="9"/>
  <c r="O512" i="9"/>
  <c r="O520" i="9"/>
  <c r="O528" i="9"/>
  <c r="O536" i="9"/>
  <c r="O544" i="9"/>
  <c r="O552" i="9"/>
  <c r="O560" i="9"/>
  <c r="O568" i="9"/>
  <c r="O576" i="9"/>
  <c r="O584" i="9"/>
  <c r="O592" i="9"/>
  <c r="O600" i="9"/>
  <c r="O608" i="9"/>
  <c r="O616" i="9"/>
  <c r="O9" i="9"/>
  <c r="O14" i="9"/>
  <c r="O28" i="9"/>
  <c r="O41" i="9"/>
  <c r="O53" i="9"/>
  <c r="O66" i="9"/>
  <c r="O78" i="9"/>
  <c r="O92" i="9"/>
  <c r="O105" i="9"/>
  <c r="O117" i="9"/>
  <c r="O130" i="9"/>
  <c r="O142" i="9"/>
  <c r="O156" i="9"/>
  <c r="O169" i="9"/>
  <c r="O181" i="9"/>
  <c r="O194" i="9"/>
  <c r="O206" i="9"/>
  <c r="O220" i="9"/>
  <c r="O233" i="9"/>
  <c r="O245" i="9"/>
  <c r="O258" i="9"/>
  <c r="O270" i="9"/>
  <c r="O284" i="9"/>
  <c r="O297" i="9"/>
  <c r="O309" i="9"/>
  <c r="O322" i="9"/>
  <c r="O334" i="9"/>
  <c r="O348" i="9"/>
  <c r="O361" i="9"/>
  <c r="O373" i="9"/>
  <c r="O385" i="9"/>
  <c r="O395" i="9"/>
  <c r="O405" i="9"/>
  <c r="O417" i="9"/>
  <c r="O427" i="9"/>
  <c r="O437" i="9"/>
  <c r="O449" i="9"/>
  <c r="O459" i="9"/>
  <c r="O469" i="9"/>
  <c r="O481" i="9"/>
  <c r="O491" i="9"/>
  <c r="O501" i="9"/>
  <c r="O513" i="9"/>
  <c r="O523" i="9"/>
  <c r="O533" i="9"/>
  <c r="O545" i="9"/>
  <c r="O555" i="9"/>
  <c r="O565" i="9"/>
  <c r="O577" i="9"/>
  <c r="O587" i="9"/>
  <c r="O597" i="9"/>
  <c r="O609" i="9"/>
  <c r="O619" i="9"/>
  <c r="O628" i="9"/>
  <c r="O637" i="9"/>
  <c r="O646" i="9"/>
  <c r="O656" i="9"/>
  <c r="O665" i="9"/>
  <c r="O674" i="9"/>
  <c r="O683" i="9"/>
  <c r="O691" i="9"/>
  <c r="O699" i="9"/>
  <c r="O707" i="9"/>
  <c r="O715" i="9"/>
  <c r="O723" i="9"/>
  <c r="O731" i="9"/>
  <c r="O739" i="9"/>
  <c r="O747" i="9"/>
  <c r="O17" i="9"/>
  <c r="O29" i="9"/>
  <c r="O42" i="9"/>
  <c r="O54" i="9"/>
  <c r="O68" i="9"/>
  <c r="O81" i="9"/>
  <c r="O93" i="9"/>
  <c r="O106" i="9"/>
  <c r="O118" i="9"/>
  <c r="O132" i="9"/>
  <c r="O145" i="9"/>
  <c r="O157" i="9"/>
  <c r="O170" i="9"/>
  <c r="O182" i="9"/>
  <c r="O196" i="9"/>
  <c r="O209" i="9"/>
  <c r="O221" i="9"/>
  <c r="O234" i="9"/>
  <c r="O246" i="9"/>
  <c r="O260" i="9"/>
  <c r="O273" i="9"/>
  <c r="O285" i="9"/>
  <c r="O298" i="9"/>
  <c r="O310" i="9"/>
  <c r="O324" i="9"/>
  <c r="O337" i="9"/>
  <c r="O349" i="9"/>
  <c r="O362" i="9"/>
  <c r="O374" i="9"/>
  <c r="O386" i="9"/>
  <c r="O396" i="9"/>
  <c r="O406" i="9"/>
  <c r="O418" i="9"/>
  <c r="O428" i="9"/>
  <c r="O438" i="9"/>
  <c r="O450" i="9"/>
  <c r="O460" i="9"/>
  <c r="O470" i="9"/>
  <c r="O482" i="9"/>
  <c r="O492" i="9"/>
  <c r="O502" i="9"/>
  <c r="O514" i="9"/>
  <c r="O524" i="9"/>
  <c r="O534" i="9"/>
  <c r="O546" i="9"/>
  <c r="O556" i="9"/>
  <c r="O566" i="9"/>
  <c r="O578" i="9"/>
  <c r="O588" i="9"/>
  <c r="O598" i="9"/>
  <c r="O610" i="9"/>
  <c r="O620" i="9"/>
  <c r="O629" i="9"/>
  <c r="O638" i="9"/>
  <c r="O648" i="9"/>
  <c r="O657" i="9"/>
  <c r="O666" i="9"/>
  <c r="O675" i="9"/>
  <c r="O684" i="9"/>
  <c r="O692" i="9"/>
  <c r="O700" i="9"/>
  <c r="O708" i="9"/>
  <c r="O716" i="9"/>
  <c r="O724" i="9"/>
  <c r="O732" i="9"/>
  <c r="O740" i="9"/>
  <c r="O748" i="9"/>
  <c r="O18" i="9"/>
  <c r="O30" i="9"/>
  <c r="O44" i="9"/>
  <c r="O57" i="9"/>
  <c r="O69" i="9"/>
  <c r="O82" i="9"/>
  <c r="O94" i="9"/>
  <c r="O108" i="9"/>
  <c r="O121" i="9"/>
  <c r="O133" i="9"/>
  <c r="O146" i="9"/>
  <c r="O158" i="9"/>
  <c r="O172" i="9"/>
  <c r="O185" i="9"/>
  <c r="O197" i="9"/>
  <c r="O210" i="9"/>
  <c r="O222" i="9"/>
  <c r="O236" i="9"/>
  <c r="O249" i="9"/>
  <c r="O261" i="9"/>
  <c r="O274" i="9"/>
  <c r="O286" i="9"/>
  <c r="O300" i="9"/>
  <c r="O313" i="9"/>
  <c r="O325" i="9"/>
  <c r="O338" i="9"/>
  <c r="O350" i="9"/>
  <c r="O364" i="9"/>
  <c r="O377" i="9"/>
  <c r="O387" i="9"/>
  <c r="O397" i="9"/>
  <c r="O409" i="9"/>
  <c r="O419" i="9"/>
  <c r="O429" i="9"/>
  <c r="O441" i="9"/>
  <c r="O451" i="9"/>
  <c r="O461" i="9"/>
  <c r="O473" i="9"/>
  <c r="O483" i="9"/>
  <c r="O493" i="9"/>
  <c r="O505" i="9"/>
  <c r="O515" i="9"/>
  <c r="O525" i="9"/>
  <c r="O537" i="9"/>
  <c r="O547" i="9"/>
  <c r="O557" i="9"/>
  <c r="O569" i="9"/>
  <c r="O579" i="9"/>
  <c r="O589" i="9"/>
  <c r="O601" i="9"/>
  <c r="O611" i="9"/>
  <c r="O621" i="9"/>
  <c r="O630" i="9"/>
  <c r="O640" i="9"/>
  <c r="O649" i="9"/>
  <c r="O658" i="9"/>
  <c r="O667" i="9"/>
  <c r="O676" i="9"/>
  <c r="O685" i="9"/>
  <c r="O693" i="9"/>
  <c r="O701" i="9"/>
  <c r="O709" i="9"/>
  <c r="O717" i="9"/>
  <c r="O725" i="9"/>
  <c r="O733" i="9"/>
  <c r="O741" i="9"/>
  <c r="O749" i="9"/>
  <c r="O10" i="9"/>
  <c r="O22" i="9"/>
  <c r="O36" i="9"/>
  <c r="O49" i="9"/>
  <c r="O61" i="9"/>
  <c r="O74" i="9"/>
  <c r="O86" i="9"/>
  <c r="O100" i="9"/>
  <c r="O113" i="9"/>
  <c r="O125" i="9"/>
  <c r="O138" i="9"/>
  <c r="O150" i="9"/>
  <c r="O164" i="9"/>
  <c r="O177" i="9"/>
  <c r="O189" i="9"/>
  <c r="O202" i="9"/>
  <c r="O214" i="9"/>
  <c r="O228" i="9"/>
  <c r="O241" i="9"/>
  <c r="O253" i="9"/>
  <c r="O266" i="9"/>
  <c r="O278" i="9"/>
  <c r="O292" i="9"/>
  <c r="O305" i="9"/>
  <c r="O317" i="9"/>
  <c r="O330" i="9"/>
  <c r="O342" i="9"/>
  <c r="O356" i="9"/>
  <c r="O369" i="9"/>
  <c r="O380" i="9"/>
  <c r="O390" i="9"/>
  <c r="O402" i="9"/>
  <c r="O412" i="9"/>
  <c r="O422" i="9"/>
  <c r="O434" i="9"/>
  <c r="O444" i="9"/>
  <c r="O454" i="9"/>
  <c r="O466" i="9"/>
  <c r="O476" i="9"/>
  <c r="O486" i="9"/>
  <c r="O498" i="9"/>
  <c r="O508" i="9"/>
  <c r="O518" i="9"/>
  <c r="O530" i="9"/>
  <c r="O540" i="9"/>
  <c r="O21" i="9"/>
  <c r="O46" i="9"/>
  <c r="O73" i="9"/>
  <c r="O98" i="9"/>
  <c r="O124" i="9"/>
  <c r="O149" i="9"/>
  <c r="O174" i="9"/>
  <c r="O201" i="9"/>
  <c r="O226" i="9"/>
  <c r="O252" i="9"/>
  <c r="O277" i="9"/>
  <c r="O302" i="9"/>
  <c r="O329" i="9"/>
  <c r="O354" i="9"/>
  <c r="O379" i="9"/>
  <c r="O401" i="9"/>
  <c r="O421" i="9"/>
  <c r="O443" i="9"/>
  <c r="O465" i="9"/>
  <c r="O485" i="9"/>
  <c r="O507" i="9"/>
  <c r="O529" i="9"/>
  <c r="O549" i="9"/>
  <c r="O564" i="9"/>
  <c r="O582" i="9"/>
  <c r="O602" i="9"/>
  <c r="O617" i="9"/>
  <c r="O633" i="9"/>
  <c r="O645" i="9"/>
  <c r="O661" i="9"/>
  <c r="O677" i="9"/>
  <c r="O689" i="9"/>
  <c r="O703" i="9"/>
  <c r="O714" i="9"/>
  <c r="O728" i="9"/>
  <c r="O742" i="9"/>
  <c r="O753" i="9"/>
  <c r="O25" i="9"/>
  <c r="O50" i="9"/>
  <c r="O76" i="9"/>
  <c r="O101" i="9"/>
  <c r="O126" i="9"/>
  <c r="O153" i="9"/>
  <c r="O178" i="9"/>
  <c r="O204" i="9"/>
  <c r="O229" i="9"/>
  <c r="O254" i="9"/>
  <c r="O281" i="9"/>
  <c r="O306" i="9"/>
  <c r="O332" i="9"/>
  <c r="O357" i="9"/>
  <c r="O381" i="9"/>
  <c r="O403" i="9"/>
  <c r="O425" i="9"/>
  <c r="O445" i="9"/>
  <c r="O467" i="9"/>
  <c r="O489" i="9"/>
  <c r="O509" i="9"/>
  <c r="O531" i="9"/>
  <c r="O550" i="9"/>
  <c r="O570" i="9"/>
  <c r="O585" i="9"/>
  <c r="O603" i="9"/>
  <c r="O618" i="9"/>
  <c r="O634" i="9"/>
  <c r="O650" i="9"/>
  <c r="O662" i="9"/>
  <c r="O678" i="9"/>
  <c r="O690" i="9"/>
  <c r="O704" i="9"/>
  <c r="O718" i="9"/>
  <c r="O729" i="9"/>
  <c r="O743" i="9"/>
  <c r="O26" i="9"/>
  <c r="O52" i="9"/>
  <c r="O77" i="9"/>
  <c r="O102" i="9"/>
  <c r="O129" i="9"/>
  <c r="O154" i="9"/>
  <c r="O180" i="9"/>
  <c r="O205" i="9"/>
  <c r="O230" i="9"/>
  <c r="O257" i="9"/>
  <c r="O282" i="9"/>
  <c r="O308" i="9"/>
  <c r="O333" i="9"/>
  <c r="O358" i="9"/>
  <c r="O382" i="9"/>
  <c r="O404" i="9"/>
  <c r="O426" i="9"/>
  <c r="O446" i="9"/>
  <c r="O468" i="9"/>
  <c r="O490" i="9"/>
  <c r="O510" i="9"/>
  <c r="O532" i="9"/>
  <c r="O553" i="9"/>
  <c r="O571" i="9"/>
  <c r="O586" i="9"/>
  <c r="O604" i="9"/>
  <c r="O622" i="9"/>
  <c r="O635" i="9"/>
  <c r="O651" i="9"/>
  <c r="O664" i="9"/>
  <c r="O680" i="9"/>
  <c r="O694" i="9"/>
  <c r="O705" i="9"/>
  <c r="O719" i="9"/>
  <c r="O730" i="9"/>
  <c r="O744" i="9"/>
  <c r="O34" i="9"/>
  <c r="O60" i="9"/>
  <c r="O85" i="9"/>
  <c r="O110" i="9"/>
  <c r="O137" i="9"/>
  <c r="O162" i="9"/>
  <c r="O188" i="9"/>
  <c r="O213" i="9"/>
  <c r="O238" i="9"/>
  <c r="O265" i="9"/>
  <c r="O290" i="9"/>
  <c r="O316" i="9"/>
  <c r="O341" i="9"/>
  <c r="O366" i="9"/>
  <c r="O389" i="9"/>
  <c r="O411" i="9"/>
  <c r="O433" i="9"/>
  <c r="O453" i="9"/>
  <c r="O475" i="9"/>
  <c r="O497" i="9"/>
  <c r="O517" i="9"/>
  <c r="O539" i="9"/>
  <c r="O558" i="9"/>
  <c r="O573" i="9"/>
  <c r="O593" i="9"/>
  <c r="O606" i="9"/>
  <c r="O625" i="9"/>
  <c r="O641" i="9"/>
  <c r="O653" i="9"/>
  <c r="O669" i="9"/>
  <c r="O682" i="9"/>
  <c r="O696" i="9"/>
  <c r="O710" i="9"/>
  <c r="O721" i="9"/>
  <c r="O735" i="9"/>
  <c r="O746" i="9"/>
  <c r="O33" i="9"/>
  <c r="O84" i="9"/>
  <c r="O134" i="9"/>
  <c r="O186" i="9"/>
  <c r="O237" i="9"/>
  <c r="O289" i="9"/>
  <c r="O340" i="9"/>
  <c r="O388" i="9"/>
  <c r="O430" i="9"/>
  <c r="O474" i="9"/>
  <c r="O516" i="9"/>
  <c r="O554" i="9"/>
  <c r="O590" i="9"/>
  <c r="O624" i="9"/>
  <c r="O652" i="9"/>
  <c r="O681" i="9"/>
  <c r="O706" i="9"/>
  <c r="O734" i="9"/>
  <c r="O37" i="9"/>
  <c r="O89" i="9"/>
  <c r="O140" i="9"/>
  <c r="O190" i="9"/>
  <c r="O242" i="9"/>
  <c r="O293" i="9"/>
  <c r="O345" i="9"/>
  <c r="O393" i="9"/>
  <c r="O435" i="9"/>
  <c r="O477" i="9"/>
  <c r="O521" i="9"/>
  <c r="O561" i="9"/>
  <c r="O594" i="9"/>
  <c r="O626" i="9"/>
  <c r="O654" i="9"/>
  <c r="O686" i="9"/>
  <c r="O711" i="9"/>
  <c r="O736" i="9"/>
  <c r="O38" i="9"/>
  <c r="O90" i="9"/>
  <c r="O141" i="9"/>
  <c r="O193" i="9"/>
  <c r="O244" i="9"/>
  <c r="O294" i="9"/>
  <c r="O346" i="9"/>
  <c r="O394" i="9"/>
  <c r="O436" i="9"/>
  <c r="O478" i="9"/>
  <c r="O522" i="9"/>
  <c r="O562" i="9"/>
  <c r="O595" i="9"/>
  <c r="O627" i="9"/>
  <c r="O659" i="9"/>
  <c r="O687" i="9"/>
  <c r="O712" i="9"/>
  <c r="O737" i="9"/>
  <c r="O58" i="9"/>
  <c r="O109" i="9"/>
  <c r="O161" i="9"/>
  <c r="O212" i="9"/>
  <c r="O262" i="9"/>
  <c r="O314" i="9"/>
  <c r="O365" i="9"/>
  <c r="O410" i="9"/>
  <c r="O452" i="9"/>
  <c r="O494" i="9"/>
  <c r="O538" i="9"/>
  <c r="O572" i="9"/>
  <c r="O605" i="9"/>
  <c r="O636" i="9"/>
  <c r="O668" i="9"/>
  <c r="O695" i="9"/>
  <c r="O720" i="9"/>
  <c r="O745" i="9"/>
  <c r="O45" i="9"/>
  <c r="O148" i="9"/>
  <c r="O250" i="9"/>
  <c r="O353" i="9"/>
  <c r="O442" i="9"/>
  <c r="O526" i="9"/>
  <c r="O596" i="9"/>
  <c r="O660" i="9"/>
  <c r="O713" i="9"/>
  <c r="O62" i="9"/>
  <c r="O165" i="9"/>
  <c r="O268" i="9"/>
  <c r="O370" i="9"/>
  <c r="O457" i="9"/>
  <c r="O541" i="9"/>
  <c r="O612" i="9"/>
  <c r="O670" i="9"/>
  <c r="O722" i="9"/>
  <c r="O65" i="9"/>
  <c r="O166" i="9"/>
  <c r="O269" i="9"/>
  <c r="O372" i="9"/>
  <c r="O458" i="9"/>
  <c r="O542" i="9"/>
  <c r="O613" i="9"/>
  <c r="O672" i="9"/>
  <c r="O726" i="9"/>
  <c r="O70" i="9"/>
  <c r="O173" i="9"/>
  <c r="O276" i="9"/>
  <c r="O378" i="9"/>
  <c r="O462" i="9"/>
  <c r="O548" i="9"/>
  <c r="O614" i="9"/>
  <c r="O673" i="9"/>
  <c r="O727" i="9"/>
  <c r="O97" i="9"/>
  <c r="O198" i="9"/>
  <c r="O301" i="9"/>
  <c r="O398" i="9"/>
  <c r="O484" i="9"/>
  <c r="O563" i="9"/>
  <c r="O632" i="9"/>
  <c r="O688" i="9"/>
  <c r="O738" i="9"/>
  <c r="O12" i="9"/>
  <c r="O114" i="9"/>
  <c r="O217" i="9"/>
  <c r="O318" i="9"/>
  <c r="O413" i="9"/>
  <c r="O499" i="9"/>
  <c r="O574" i="9"/>
  <c r="O642" i="9"/>
  <c r="O697" i="9"/>
  <c r="O750" i="9"/>
  <c r="O122" i="9"/>
  <c r="O506" i="9"/>
  <c r="O752" i="9"/>
  <c r="O218" i="9"/>
  <c r="O580" i="9"/>
  <c r="O225" i="9"/>
  <c r="O581" i="9"/>
  <c r="O321" i="9"/>
  <c r="O643" i="9"/>
  <c r="O326" i="9"/>
  <c r="O644" i="9"/>
  <c r="O414" i="9"/>
  <c r="O5" i="9"/>
  <c r="O420" i="9"/>
  <c r="O500" i="9"/>
  <c r="O698" i="9"/>
  <c r="O13" i="9"/>
  <c r="O751" i="9"/>
  <c r="O20" i="9"/>
  <c r="O116" i="9"/>
  <c r="O702" i="9"/>
  <c r="R101" i="9" l="1"/>
  <c r="T101" i="9" s="1"/>
  <c r="R674" i="9"/>
  <c r="T674" i="9" s="1"/>
  <c r="R540" i="9"/>
  <c r="T540" i="9" s="1"/>
  <c r="R340" i="9"/>
  <c r="T340" i="9" s="1"/>
  <c r="R689" i="9"/>
  <c r="T689" i="9" s="1"/>
  <c r="R125" i="9"/>
  <c r="T125" i="9" s="1"/>
  <c r="R688" i="9"/>
  <c r="T688" i="9" s="1"/>
  <c r="R534" i="9"/>
  <c r="T534" i="9" s="1"/>
  <c r="R93" i="9"/>
  <c r="T93" i="9" s="1"/>
  <c r="R661" i="9"/>
  <c r="T661" i="9" s="1"/>
  <c r="R518" i="9"/>
  <c r="T518" i="9" s="1"/>
  <c r="R315" i="9"/>
  <c r="T315" i="9" s="1"/>
  <c r="R69" i="9"/>
  <c r="T69" i="9" s="1"/>
  <c r="R673" i="9"/>
  <c r="T673" i="9" s="1"/>
  <c r="R333" i="9"/>
  <c r="T333" i="9" s="1"/>
  <c r="R645" i="9"/>
  <c r="T645" i="9" s="1"/>
  <c r="R493" i="9"/>
  <c r="T493" i="9" s="1"/>
  <c r="R290" i="9"/>
  <c r="T290" i="9" s="1"/>
  <c r="R37" i="9"/>
  <c r="T37" i="9" s="1"/>
  <c r="R660" i="9"/>
  <c r="T660" i="9" s="1"/>
  <c r="R514" i="9"/>
  <c r="T514" i="9" s="1"/>
  <c r="R308" i="9"/>
  <c r="T308" i="9" s="1"/>
  <c r="R61" i="9"/>
  <c r="T61" i="9" s="1"/>
  <c r="R656" i="9"/>
  <c r="T656" i="9" s="1"/>
  <c r="R510" i="9"/>
  <c r="T510" i="9" s="1"/>
  <c r="R307" i="9"/>
  <c r="T307" i="9" s="1"/>
  <c r="R60" i="9"/>
  <c r="T60" i="9" s="1"/>
  <c r="R670" i="9"/>
  <c r="T670" i="9" s="1"/>
  <c r="R531" i="9"/>
  <c r="T531" i="9" s="1"/>
  <c r="R330" i="9"/>
  <c r="T330" i="9" s="1"/>
  <c r="R86" i="9"/>
  <c r="T86" i="9" s="1"/>
  <c r="R682" i="9"/>
  <c r="T682" i="9" s="1"/>
  <c r="R550" i="9"/>
  <c r="T550" i="9" s="1"/>
  <c r="R354" i="9"/>
  <c r="T354" i="9" s="1"/>
  <c r="R117" i="9"/>
  <c r="T117" i="9" s="1"/>
  <c r="R696" i="9"/>
  <c r="T696" i="9" s="1"/>
  <c r="R564" i="9"/>
  <c r="T564" i="9" s="1"/>
  <c r="R372" i="9"/>
  <c r="T372" i="9" s="1"/>
  <c r="R141" i="9"/>
  <c r="T141" i="9" s="1"/>
  <c r="R706" i="9"/>
  <c r="T706" i="9" s="1"/>
  <c r="R581" i="9"/>
  <c r="T581" i="9" s="1"/>
  <c r="R396" i="9"/>
  <c r="T396" i="9" s="1"/>
  <c r="R172" i="9"/>
  <c r="T172" i="9" s="1"/>
  <c r="R716" i="9"/>
  <c r="T716" i="9" s="1"/>
  <c r="R597" i="9"/>
  <c r="T597" i="9" s="1"/>
  <c r="R419" i="9"/>
  <c r="T419" i="9" s="1"/>
  <c r="R198" i="9"/>
  <c r="T198" i="9" s="1"/>
  <c r="R617" i="9"/>
  <c r="T617" i="9" s="1"/>
  <c r="R542" i="9"/>
  <c r="T542" i="9" s="1"/>
  <c r="R445" i="9"/>
  <c r="T445" i="9" s="1"/>
  <c r="R342" i="9"/>
  <c r="T342" i="9" s="1"/>
  <c r="R235" i="9"/>
  <c r="T235" i="9" s="1"/>
  <c r="R107" i="9"/>
  <c r="T107" i="9" s="1"/>
  <c r="R735" i="9"/>
  <c r="T735" i="9" s="1"/>
  <c r="R668" i="9"/>
  <c r="T668" i="9" s="1"/>
  <c r="R595" i="9"/>
  <c r="T595" i="9" s="1"/>
  <c r="R517" i="9"/>
  <c r="T517" i="9" s="1"/>
  <c r="R414" i="9"/>
  <c r="T414" i="9" s="1"/>
  <c r="R314" i="9"/>
  <c r="T314" i="9" s="1"/>
  <c r="R196" i="9"/>
  <c r="T196" i="9" s="1"/>
  <c r="R68" i="9"/>
  <c r="T68" i="9" s="1"/>
  <c r="R718" i="9"/>
  <c r="T718" i="9" s="1"/>
  <c r="R649" i="9"/>
  <c r="T649" i="9" s="1"/>
  <c r="R576" i="9"/>
  <c r="T576" i="9" s="1"/>
  <c r="R491" i="9"/>
  <c r="T491" i="9" s="1"/>
  <c r="R388" i="9"/>
  <c r="T388" i="9" s="1"/>
  <c r="R285" i="9"/>
  <c r="T285" i="9" s="1"/>
  <c r="R163" i="9"/>
  <c r="T163" i="9" s="1"/>
  <c r="R35" i="9"/>
  <c r="T35" i="9" s="1"/>
  <c r="R701" i="9"/>
  <c r="T701" i="9" s="1"/>
  <c r="R629" i="9"/>
  <c r="T629" i="9" s="1"/>
  <c r="R556" i="9"/>
  <c r="T556" i="9" s="1"/>
  <c r="R462" i="9"/>
  <c r="T462" i="9" s="1"/>
  <c r="R362" i="9"/>
  <c r="T362" i="9" s="1"/>
  <c r="R254" i="9"/>
  <c r="T254" i="9" s="1"/>
  <c r="R126" i="9"/>
  <c r="T126" i="9" s="1"/>
  <c r="R266" i="9"/>
  <c r="T266" i="9" s="1"/>
  <c r="R202" i="9"/>
  <c r="T202" i="9" s="1"/>
  <c r="R740" i="9"/>
  <c r="T740" i="9" s="1"/>
  <c r="R633" i="9"/>
  <c r="T633" i="9" s="1"/>
  <c r="R468" i="9"/>
  <c r="T468" i="9" s="1"/>
  <c r="R261" i="9"/>
  <c r="T261" i="9" s="1"/>
  <c r="R743" i="9"/>
  <c r="T743" i="9" s="1"/>
  <c r="R644" i="9"/>
  <c r="T644" i="9" s="1"/>
  <c r="R486" i="9"/>
  <c r="T486" i="9" s="1"/>
  <c r="R283" i="9"/>
  <c r="T283" i="9" s="1"/>
  <c r="R29" i="9"/>
  <c r="T29" i="9" s="1"/>
  <c r="R643" i="9"/>
  <c r="T643" i="9" s="1"/>
  <c r="R485" i="9"/>
  <c r="T485" i="9" s="1"/>
  <c r="R282" i="9"/>
  <c r="T282" i="9" s="1"/>
  <c r="R28" i="9"/>
  <c r="T28" i="9" s="1"/>
  <c r="R654" i="9"/>
  <c r="T654" i="9" s="1"/>
  <c r="R508" i="9"/>
  <c r="T508" i="9" s="1"/>
  <c r="R302" i="9"/>
  <c r="T302" i="9" s="1"/>
  <c r="R54" i="9"/>
  <c r="T54" i="9" s="1"/>
  <c r="R669" i="9"/>
  <c r="T669" i="9" s="1"/>
  <c r="R530" i="9"/>
  <c r="T530" i="9" s="1"/>
  <c r="R326" i="9"/>
  <c r="T326" i="9" s="1"/>
  <c r="R85" i="9"/>
  <c r="T85" i="9" s="1"/>
  <c r="R681" i="9"/>
  <c r="T681" i="9" s="1"/>
  <c r="R546" i="9"/>
  <c r="T546" i="9" s="1"/>
  <c r="R347" i="9"/>
  <c r="T347" i="9" s="1"/>
  <c r="R109" i="9"/>
  <c r="T109" i="9" s="1"/>
  <c r="R692" i="9"/>
  <c r="T692" i="9" s="1"/>
  <c r="R563" i="9"/>
  <c r="T563" i="9" s="1"/>
  <c r="R371" i="9"/>
  <c r="T371" i="9" s="1"/>
  <c r="R140" i="9"/>
  <c r="T140" i="9" s="1"/>
  <c r="R705" i="9"/>
  <c r="T705" i="9" s="1"/>
  <c r="R579" i="9"/>
  <c r="T579" i="9" s="1"/>
  <c r="R394" i="9"/>
  <c r="T394" i="9" s="1"/>
  <c r="R166" i="9"/>
  <c r="T166" i="9" s="1"/>
  <c r="R608" i="9"/>
  <c r="T608" i="9" s="1"/>
  <c r="R532" i="9"/>
  <c r="T532" i="9" s="1"/>
  <c r="R434" i="9"/>
  <c r="T434" i="9" s="1"/>
  <c r="R331" i="9"/>
  <c r="T331" i="9" s="1"/>
  <c r="R219" i="9"/>
  <c r="T219" i="9" s="1"/>
  <c r="R91" i="9"/>
  <c r="T91" i="9" s="1"/>
  <c r="R727" i="9"/>
  <c r="T727" i="9" s="1"/>
  <c r="R659" i="9"/>
  <c r="T659" i="9" s="1"/>
  <c r="R586" i="9"/>
  <c r="T586" i="9" s="1"/>
  <c r="R506" i="9"/>
  <c r="T506" i="9" s="1"/>
  <c r="R403" i="9"/>
  <c r="T403" i="9" s="1"/>
  <c r="R300" i="9"/>
  <c r="T300" i="9" s="1"/>
  <c r="R180" i="9"/>
  <c r="T180" i="9" s="1"/>
  <c r="R52" i="9"/>
  <c r="T52" i="9" s="1"/>
  <c r="R710" i="9"/>
  <c r="T710" i="9" s="1"/>
  <c r="R640" i="9"/>
  <c r="T640" i="9" s="1"/>
  <c r="R566" i="9"/>
  <c r="T566" i="9" s="1"/>
  <c r="R477" i="9"/>
  <c r="T477" i="9" s="1"/>
  <c r="R374" i="9"/>
  <c r="T374" i="9" s="1"/>
  <c r="R274" i="9"/>
  <c r="T274" i="9" s="1"/>
  <c r="R147" i="9"/>
  <c r="T147" i="9" s="1"/>
  <c r="R19" i="9"/>
  <c r="T19" i="9" s="1"/>
  <c r="R693" i="9"/>
  <c r="T693" i="9" s="1"/>
  <c r="R620" i="9"/>
  <c r="T620" i="9" s="1"/>
  <c r="R547" i="9"/>
  <c r="T547" i="9" s="1"/>
  <c r="R451" i="9"/>
  <c r="T451" i="9" s="1"/>
  <c r="R348" i="9"/>
  <c r="T348" i="9" s="1"/>
  <c r="R238" i="9"/>
  <c r="T238" i="9" s="1"/>
  <c r="R110" i="9"/>
  <c r="T110" i="9" s="1"/>
  <c r="R258" i="9"/>
  <c r="T258" i="9" s="1"/>
  <c r="R194" i="9"/>
  <c r="T194" i="9" s="1"/>
  <c r="R130" i="9"/>
  <c r="T130" i="9" s="1"/>
  <c r="R66" i="9"/>
  <c r="T66" i="9" s="1"/>
  <c r="R753" i="9"/>
  <c r="T753" i="9" s="1"/>
  <c r="R489" i="9"/>
  <c r="T489" i="9" s="1"/>
  <c r="R425" i="9"/>
  <c r="T425" i="9" s="1"/>
  <c r="R361" i="9"/>
  <c r="T361" i="9" s="1"/>
  <c r="R297" i="9"/>
  <c r="T297" i="9" s="1"/>
  <c r="R233" i="9"/>
  <c r="T233" i="9" s="1"/>
  <c r="R169" i="9"/>
  <c r="T169" i="9" s="1"/>
  <c r="R105" i="9"/>
  <c r="T105" i="9" s="1"/>
  <c r="R41" i="9"/>
  <c r="T41" i="9" s="1"/>
  <c r="R496" i="9"/>
  <c r="T496" i="9" s="1"/>
  <c r="R432" i="9"/>
  <c r="T432" i="9" s="1"/>
  <c r="R368" i="9"/>
  <c r="T368" i="9" s="1"/>
  <c r="R304" i="9"/>
  <c r="T304" i="9" s="1"/>
  <c r="R240" i="9"/>
  <c r="T240" i="9" s="1"/>
  <c r="R176" i="9"/>
  <c r="T176" i="9" s="1"/>
  <c r="R112" i="9"/>
  <c r="T112" i="9" s="1"/>
  <c r="R48" i="9"/>
  <c r="T48" i="9" s="1"/>
  <c r="R679" i="9"/>
  <c r="T679" i="9" s="1"/>
  <c r="R615" i="9"/>
  <c r="T615" i="9" s="1"/>
  <c r="R551" i="9"/>
  <c r="T551" i="9" s="1"/>
  <c r="R487" i="9"/>
  <c r="T487" i="9" s="1"/>
  <c r="R423" i="9"/>
  <c r="T423" i="9" s="1"/>
  <c r="R729" i="9"/>
  <c r="T729" i="9" s="1"/>
  <c r="R715" i="9"/>
  <c r="T715" i="9" s="1"/>
  <c r="R596" i="9"/>
  <c r="T596" i="9" s="1"/>
  <c r="R418" i="9"/>
  <c r="T418" i="9" s="1"/>
  <c r="R197" i="9"/>
  <c r="T197" i="9" s="1"/>
  <c r="R728" i="9"/>
  <c r="T728" i="9" s="1"/>
  <c r="R610" i="9"/>
  <c r="T610" i="9" s="1"/>
  <c r="R436" i="9"/>
  <c r="T436" i="9" s="1"/>
  <c r="R221" i="9"/>
  <c r="T221" i="9" s="1"/>
  <c r="R724" i="9"/>
  <c r="T724" i="9" s="1"/>
  <c r="R609" i="9"/>
  <c r="T609" i="9" s="1"/>
  <c r="R435" i="9"/>
  <c r="T435" i="9" s="1"/>
  <c r="R220" i="9"/>
  <c r="T220" i="9" s="1"/>
  <c r="R737" i="9"/>
  <c r="T737" i="9" s="1"/>
  <c r="R625" i="9"/>
  <c r="T625" i="9" s="1"/>
  <c r="R458" i="9"/>
  <c r="T458" i="9" s="1"/>
  <c r="R246" i="9"/>
  <c r="T246" i="9" s="1"/>
  <c r="R11" i="9"/>
  <c r="T11" i="9" s="1"/>
  <c r="R637" i="9"/>
  <c r="T637" i="9" s="1"/>
  <c r="R482" i="9"/>
  <c r="T482" i="9" s="1"/>
  <c r="R276" i="9"/>
  <c r="T276" i="9" s="1"/>
  <c r="R21" i="9"/>
  <c r="T21" i="9" s="1"/>
  <c r="R652" i="9"/>
  <c r="T652" i="9" s="1"/>
  <c r="R500" i="9"/>
  <c r="T500" i="9" s="1"/>
  <c r="R294" i="9"/>
  <c r="T294" i="9" s="1"/>
  <c r="R45" i="9"/>
  <c r="T45" i="9" s="1"/>
  <c r="R664" i="9"/>
  <c r="T664" i="9" s="1"/>
  <c r="R523" i="9"/>
  <c r="T523" i="9" s="1"/>
  <c r="R318" i="9"/>
  <c r="T318" i="9" s="1"/>
  <c r="R76" i="9"/>
  <c r="T76" i="9" s="1"/>
  <c r="R678" i="9"/>
  <c r="T678" i="9" s="1"/>
  <c r="R541" i="9"/>
  <c r="T541" i="9" s="1"/>
  <c r="R341" i="9"/>
  <c r="T341" i="9" s="1"/>
  <c r="R102" i="9"/>
  <c r="T102" i="9" s="1"/>
  <c r="R589" i="9"/>
  <c r="T589" i="9" s="1"/>
  <c r="R509" i="9"/>
  <c r="T509" i="9" s="1"/>
  <c r="R406" i="9"/>
  <c r="T406" i="9" s="1"/>
  <c r="R306" i="9"/>
  <c r="T306" i="9" s="1"/>
  <c r="R187" i="9"/>
  <c r="T187" i="9" s="1"/>
  <c r="R59" i="9"/>
  <c r="T59" i="9" s="1"/>
  <c r="R711" i="9"/>
  <c r="T711" i="9" s="1"/>
  <c r="R641" i="9"/>
  <c r="T641" i="9" s="1"/>
  <c r="R568" i="9"/>
  <c r="T568" i="9" s="1"/>
  <c r="R478" i="9"/>
  <c r="T478" i="9" s="1"/>
  <c r="R378" i="9"/>
  <c r="T378" i="9" s="1"/>
  <c r="R275" i="9"/>
  <c r="T275" i="9" s="1"/>
  <c r="R148" i="9"/>
  <c r="T148" i="9" s="1"/>
  <c r="R20" i="9"/>
  <c r="T20" i="9" s="1"/>
  <c r="R694" i="9"/>
  <c r="T694" i="9" s="1"/>
  <c r="R621" i="9"/>
  <c r="T621" i="9" s="1"/>
  <c r="R548" i="9"/>
  <c r="T548" i="9" s="1"/>
  <c r="R452" i="9"/>
  <c r="T452" i="9" s="1"/>
  <c r="R349" i="9"/>
  <c r="T349" i="9" s="1"/>
  <c r="R243" i="9"/>
  <c r="T243" i="9" s="1"/>
  <c r="R115" i="9"/>
  <c r="T115" i="9" s="1"/>
  <c r="R5" i="9"/>
  <c r="T5" i="9" s="1"/>
  <c r="R675" i="9"/>
  <c r="T675" i="9" s="1"/>
  <c r="R602" i="9"/>
  <c r="T602" i="9" s="1"/>
  <c r="R525" i="9"/>
  <c r="T525" i="9" s="1"/>
  <c r="R426" i="9"/>
  <c r="T426" i="9" s="1"/>
  <c r="R323" i="9"/>
  <c r="T323" i="9" s="1"/>
  <c r="R206" i="9"/>
  <c r="T206" i="9" s="1"/>
  <c r="R78" i="9"/>
  <c r="T78" i="9" s="1"/>
  <c r="R242" i="9"/>
  <c r="T242" i="9" s="1"/>
  <c r="R178" i="9"/>
  <c r="T178" i="9" s="1"/>
  <c r="R114" i="9"/>
  <c r="T114" i="9" s="1"/>
  <c r="R50" i="9"/>
  <c r="T50" i="9" s="1"/>
  <c r="R537" i="9"/>
  <c r="T537" i="9" s="1"/>
  <c r="R473" i="9"/>
  <c r="T473" i="9" s="1"/>
  <c r="R409" i="9"/>
  <c r="T409" i="9" s="1"/>
  <c r="R345" i="9"/>
  <c r="T345" i="9" s="1"/>
  <c r="R281" i="9"/>
  <c r="T281" i="9" s="1"/>
  <c r="R217" i="9"/>
  <c r="T217" i="9" s="1"/>
  <c r="R153" i="9"/>
  <c r="T153" i="9" s="1"/>
  <c r="R89" i="9"/>
  <c r="T89" i="9" s="1"/>
  <c r="R25" i="9"/>
  <c r="T25" i="9" s="1"/>
  <c r="R480" i="9"/>
  <c r="T480" i="9" s="1"/>
  <c r="R416" i="9"/>
  <c r="T416" i="9" s="1"/>
  <c r="R352" i="9"/>
  <c r="T352" i="9" s="1"/>
  <c r="R288" i="9"/>
  <c r="T288" i="9" s="1"/>
  <c r="R224" i="9"/>
  <c r="T224" i="9" s="1"/>
  <c r="R160" i="9"/>
  <c r="T160" i="9" s="1"/>
  <c r="R96" i="9"/>
  <c r="T96" i="9" s="1"/>
  <c r="R32" i="9"/>
  <c r="T32" i="9" s="1"/>
  <c r="R663" i="9"/>
  <c r="T663" i="9" s="1"/>
  <c r="R599" i="9"/>
  <c r="T599" i="9" s="1"/>
  <c r="R535" i="9"/>
  <c r="T535" i="9" s="1"/>
  <c r="R471" i="9"/>
  <c r="T471" i="9" s="1"/>
  <c r="R407" i="9"/>
  <c r="T407" i="9" s="1"/>
  <c r="R343" i="9"/>
  <c r="T343" i="9" s="1"/>
  <c r="R555" i="9"/>
  <c r="T555" i="9" s="1"/>
  <c r="R704" i="9"/>
  <c r="T704" i="9" s="1"/>
  <c r="R578" i="9"/>
  <c r="T578" i="9" s="1"/>
  <c r="R390" i="9"/>
  <c r="T390" i="9" s="1"/>
  <c r="R165" i="9"/>
  <c r="T165" i="9" s="1"/>
  <c r="R714" i="9"/>
  <c r="T714" i="9" s="1"/>
  <c r="R592" i="9"/>
  <c r="T592" i="9" s="1"/>
  <c r="R411" i="9"/>
  <c r="T411" i="9" s="1"/>
  <c r="R189" i="9"/>
  <c r="T189" i="9" s="1"/>
  <c r="R713" i="9"/>
  <c r="T713" i="9" s="1"/>
  <c r="R590" i="9"/>
  <c r="T590" i="9" s="1"/>
  <c r="R410" i="9"/>
  <c r="T410" i="9" s="1"/>
  <c r="R188" i="9"/>
  <c r="T188" i="9" s="1"/>
  <c r="R723" i="9"/>
  <c r="T723" i="9" s="1"/>
  <c r="R606" i="9"/>
  <c r="T606" i="9" s="1"/>
  <c r="R430" i="9"/>
  <c r="T430" i="9" s="1"/>
  <c r="R214" i="9"/>
  <c r="T214" i="9" s="1"/>
  <c r="R736" i="9"/>
  <c r="T736" i="9" s="1"/>
  <c r="R624" i="9"/>
  <c r="T624" i="9" s="1"/>
  <c r="R454" i="9"/>
  <c r="T454" i="9" s="1"/>
  <c r="R245" i="9"/>
  <c r="T245" i="9" s="1"/>
  <c r="R10" i="9"/>
  <c r="T10" i="9" s="1"/>
  <c r="R636" i="9"/>
  <c r="T636" i="9" s="1"/>
  <c r="R475" i="9"/>
  <c r="T475" i="9" s="1"/>
  <c r="R269" i="9"/>
  <c r="T269" i="9" s="1"/>
  <c r="R13" i="9"/>
  <c r="T13" i="9" s="1"/>
  <c r="R651" i="9"/>
  <c r="T651" i="9" s="1"/>
  <c r="R499" i="9"/>
  <c r="T499" i="9" s="1"/>
  <c r="R293" i="9"/>
  <c r="T293" i="9" s="1"/>
  <c r="R44" i="9"/>
  <c r="T44" i="9" s="1"/>
  <c r="R662" i="9"/>
  <c r="T662" i="9" s="1"/>
  <c r="R520" i="9"/>
  <c r="T520" i="9" s="1"/>
  <c r="R316" i="9"/>
  <c r="T316" i="9" s="1"/>
  <c r="R70" i="9"/>
  <c r="T70" i="9" s="1"/>
  <c r="R580" i="9"/>
  <c r="T580" i="9" s="1"/>
  <c r="R498" i="9"/>
  <c r="T498" i="9" s="1"/>
  <c r="R395" i="9"/>
  <c r="T395" i="9" s="1"/>
  <c r="R292" i="9"/>
  <c r="T292" i="9" s="1"/>
  <c r="R171" i="9"/>
  <c r="T171" i="9" s="1"/>
  <c r="R43" i="9"/>
  <c r="T43" i="9" s="1"/>
  <c r="R703" i="9"/>
  <c r="T703" i="9" s="1"/>
  <c r="R632" i="9"/>
  <c r="T632" i="9" s="1"/>
  <c r="R558" i="9"/>
  <c r="T558" i="9" s="1"/>
  <c r="R467" i="9"/>
  <c r="T467" i="9" s="1"/>
  <c r="R364" i="9"/>
  <c r="T364" i="9" s="1"/>
  <c r="R260" i="9"/>
  <c r="T260" i="9" s="1"/>
  <c r="R132" i="9"/>
  <c r="T132" i="9" s="1"/>
  <c r="R742" i="9"/>
  <c r="T742" i="9" s="1"/>
  <c r="R685" i="9"/>
  <c r="T685" i="9" s="1"/>
  <c r="R612" i="9"/>
  <c r="T612" i="9" s="1"/>
  <c r="R538" i="9"/>
  <c r="T538" i="9" s="1"/>
  <c r="R438" i="9"/>
  <c r="T438" i="9" s="1"/>
  <c r="R338" i="9"/>
  <c r="T338" i="9" s="1"/>
  <c r="R227" i="9"/>
  <c r="T227" i="9" s="1"/>
  <c r="R99" i="9"/>
  <c r="T99" i="9" s="1"/>
  <c r="R733" i="9"/>
  <c r="T733" i="9" s="1"/>
  <c r="R666" i="9"/>
  <c r="T666" i="9" s="1"/>
  <c r="R593" i="9"/>
  <c r="T593" i="9" s="1"/>
  <c r="R515" i="9"/>
  <c r="T515" i="9" s="1"/>
  <c r="R412" i="9"/>
  <c r="T412" i="9" s="1"/>
  <c r="R309" i="9"/>
  <c r="T309" i="9" s="1"/>
  <c r="R190" i="9"/>
  <c r="T190" i="9" s="1"/>
  <c r="R62" i="9"/>
  <c r="T62" i="9" s="1"/>
  <c r="R234" i="9"/>
  <c r="T234" i="9" s="1"/>
  <c r="R170" i="9"/>
  <c r="T170" i="9" s="1"/>
  <c r="R106" i="9"/>
  <c r="T106" i="9" s="1"/>
  <c r="R42" i="9"/>
  <c r="T42" i="9" s="1"/>
  <c r="R529" i="9"/>
  <c r="T529" i="9" s="1"/>
  <c r="R465" i="9"/>
  <c r="T465" i="9" s="1"/>
  <c r="R401" i="9"/>
  <c r="T401" i="9" s="1"/>
  <c r="R337" i="9"/>
  <c r="T337" i="9" s="1"/>
  <c r="R273" i="9"/>
  <c r="T273" i="9" s="1"/>
  <c r="R209" i="9"/>
  <c r="T209" i="9" s="1"/>
  <c r="R145" i="9"/>
  <c r="T145" i="9" s="1"/>
  <c r="R81" i="9"/>
  <c r="T81" i="9" s="1"/>
  <c r="R17" i="9"/>
  <c r="T17" i="9" s="1"/>
  <c r="R472" i="9"/>
  <c r="T472" i="9" s="1"/>
  <c r="R408" i="9"/>
  <c r="T408" i="9" s="1"/>
  <c r="R344" i="9"/>
  <c r="T344" i="9" s="1"/>
  <c r="R280" i="9"/>
  <c r="T280" i="9" s="1"/>
  <c r="R216" i="9"/>
  <c r="T216" i="9" s="1"/>
  <c r="R152" i="9"/>
  <c r="T152" i="9" s="1"/>
  <c r="R88" i="9"/>
  <c r="T88" i="9" s="1"/>
  <c r="R24" i="9"/>
  <c r="T24" i="9" s="1"/>
  <c r="R655" i="9"/>
  <c r="T655" i="9" s="1"/>
  <c r="R591" i="9"/>
  <c r="T591" i="9" s="1"/>
  <c r="R358" i="9"/>
  <c r="T358" i="9" s="1"/>
  <c r="R690" i="9"/>
  <c r="T690" i="9" s="1"/>
  <c r="R560" i="9"/>
  <c r="T560" i="9" s="1"/>
  <c r="R365" i="9"/>
  <c r="T365" i="9" s="1"/>
  <c r="R133" i="9"/>
  <c r="T133" i="9" s="1"/>
  <c r="R700" i="9"/>
  <c r="T700" i="9" s="1"/>
  <c r="R573" i="9"/>
  <c r="T573" i="9" s="1"/>
  <c r="R386" i="9"/>
  <c r="T386" i="9" s="1"/>
  <c r="R157" i="9"/>
  <c r="T157" i="9" s="1"/>
  <c r="R699" i="9"/>
  <c r="T699" i="9" s="1"/>
  <c r="R572" i="9"/>
  <c r="T572" i="9" s="1"/>
  <c r="R382" i="9"/>
  <c r="T382" i="9" s="1"/>
  <c r="R156" i="9"/>
  <c r="T156" i="9" s="1"/>
  <c r="R712" i="9"/>
  <c r="T712" i="9" s="1"/>
  <c r="R588" i="9"/>
  <c r="T588" i="9" s="1"/>
  <c r="R554" i="9"/>
  <c r="T554" i="9" s="1"/>
  <c r="R357" i="9"/>
  <c r="T357" i="9" s="1"/>
  <c r="R124" i="9"/>
  <c r="T124" i="9" s="1"/>
  <c r="R698" i="9"/>
  <c r="T698" i="9" s="1"/>
  <c r="R570" i="9"/>
  <c r="T570" i="9" s="1"/>
  <c r="R380" i="9"/>
  <c r="T380" i="9" s="1"/>
  <c r="R150" i="9"/>
  <c r="T150" i="9" s="1"/>
  <c r="R708" i="9"/>
  <c r="T708" i="9" s="1"/>
  <c r="R587" i="9"/>
  <c r="T587" i="9" s="1"/>
  <c r="R404" i="9"/>
  <c r="T404" i="9" s="1"/>
  <c r="R181" i="9"/>
  <c r="T181" i="9" s="1"/>
  <c r="R721" i="9"/>
  <c r="T721" i="9" s="1"/>
  <c r="R601" i="9"/>
  <c r="T601" i="9" s="1"/>
  <c r="R422" i="9"/>
  <c r="T422" i="9" s="1"/>
  <c r="R205" i="9"/>
  <c r="T205" i="9" s="1"/>
  <c r="R731" i="9"/>
  <c r="T731" i="9" s="1"/>
  <c r="R618" i="9"/>
  <c r="T618" i="9" s="1"/>
  <c r="R446" i="9"/>
  <c r="T446" i="9" s="1"/>
  <c r="R236" i="9"/>
  <c r="T236" i="9" s="1"/>
  <c r="R8" i="9"/>
  <c r="T8" i="9" s="1"/>
  <c r="R634" i="9"/>
  <c r="T634" i="9" s="1"/>
  <c r="R469" i="9"/>
  <c r="T469" i="9" s="1"/>
  <c r="R262" i="9"/>
  <c r="T262" i="9" s="1"/>
  <c r="R744" i="9"/>
  <c r="T744" i="9" s="1"/>
  <c r="R562" i="9"/>
  <c r="T562" i="9" s="1"/>
  <c r="R470" i="9"/>
  <c r="T470" i="9" s="1"/>
  <c r="R370" i="9"/>
  <c r="T370" i="9" s="1"/>
  <c r="R267" i="9"/>
  <c r="T267" i="9" s="1"/>
  <c r="R139" i="9"/>
  <c r="T139" i="9" s="1"/>
  <c r="R749" i="9"/>
  <c r="T749" i="9" s="1"/>
  <c r="R686" i="9"/>
  <c r="T686" i="9" s="1"/>
  <c r="R613" i="9"/>
  <c r="T613" i="9" s="1"/>
  <c r="R539" i="9"/>
  <c r="T539" i="9" s="1"/>
  <c r="R442" i="9"/>
  <c r="T442" i="9" s="1"/>
  <c r="R339" i="9"/>
  <c r="T339" i="9" s="1"/>
  <c r="R228" i="9"/>
  <c r="T228" i="9" s="1"/>
  <c r="R100" i="9"/>
  <c r="T100" i="9" s="1"/>
  <c r="R734" i="9"/>
  <c r="T734" i="9" s="1"/>
  <c r="R667" i="9"/>
  <c r="T667" i="9" s="1"/>
  <c r="R594" i="9"/>
  <c r="T594" i="9" s="1"/>
  <c r="R516" i="9"/>
  <c r="T516" i="9" s="1"/>
  <c r="R413" i="9"/>
  <c r="T413" i="9" s="1"/>
  <c r="R310" i="9"/>
  <c r="T310" i="9" s="1"/>
  <c r="R195" i="9"/>
  <c r="T195" i="9" s="1"/>
  <c r="R67" i="9"/>
  <c r="T67" i="9" s="1"/>
  <c r="R717" i="9"/>
  <c r="T717" i="9" s="1"/>
  <c r="R648" i="9"/>
  <c r="T648" i="9" s="1"/>
  <c r="R574" i="9"/>
  <c r="T574" i="9" s="1"/>
  <c r="R490" i="9"/>
  <c r="T490" i="9" s="1"/>
  <c r="R387" i="9"/>
  <c r="T387" i="9" s="1"/>
  <c r="R284" i="9"/>
  <c r="T284" i="9" s="1"/>
  <c r="R158" i="9"/>
  <c r="T158" i="9" s="1"/>
  <c r="R30" i="9"/>
  <c r="T30" i="9" s="1"/>
  <c r="R218" i="9"/>
  <c r="T218" i="9" s="1"/>
  <c r="R154" i="9"/>
  <c r="T154" i="9" s="1"/>
  <c r="R90" i="9"/>
  <c r="T90" i="9" s="1"/>
  <c r="R26" i="9"/>
  <c r="T26" i="9" s="1"/>
  <c r="R513" i="9"/>
  <c r="T513" i="9" s="1"/>
  <c r="R449" i="9"/>
  <c r="T449" i="9" s="1"/>
  <c r="R385" i="9"/>
  <c r="T385" i="9" s="1"/>
  <c r="R321" i="9"/>
  <c r="T321" i="9" s="1"/>
  <c r="R257" i="9"/>
  <c r="T257" i="9" s="1"/>
  <c r="R193" i="9"/>
  <c r="T193" i="9" s="1"/>
  <c r="R129" i="9"/>
  <c r="T129" i="9" s="1"/>
  <c r="R65" i="9"/>
  <c r="T65" i="9" s="1"/>
  <c r="R752" i="9"/>
  <c r="T752" i="9" s="1"/>
  <c r="R456" i="9"/>
  <c r="T456" i="9" s="1"/>
  <c r="R392" i="9"/>
  <c r="T392" i="9" s="1"/>
  <c r="R328" i="9"/>
  <c r="T328" i="9" s="1"/>
  <c r="R264" i="9"/>
  <c r="T264" i="9" s="1"/>
  <c r="R200" i="9"/>
  <c r="T200" i="9" s="1"/>
  <c r="R136" i="9"/>
  <c r="T136" i="9" s="1"/>
  <c r="R72" i="9"/>
  <c r="T72" i="9" s="1"/>
  <c r="R746" i="9"/>
  <c r="T746" i="9" s="1"/>
  <c r="R639" i="9"/>
  <c r="T639" i="9" s="1"/>
  <c r="R575" i="9"/>
  <c r="T575" i="9" s="1"/>
  <c r="R511" i="9"/>
  <c r="T511" i="9" s="1"/>
  <c r="R447" i="9"/>
  <c r="T447" i="9" s="1"/>
  <c r="R383" i="9"/>
  <c r="T383" i="9" s="1"/>
  <c r="R319" i="9"/>
  <c r="T319" i="9" s="1"/>
  <c r="R255" i="9"/>
  <c r="T255" i="9" s="1"/>
  <c r="R191" i="9"/>
  <c r="T191" i="9" s="1"/>
  <c r="R127" i="9"/>
  <c r="T127" i="9" s="1"/>
  <c r="R63" i="9"/>
  <c r="T63" i="9" s="1"/>
  <c r="R672" i="9"/>
  <c r="T672" i="9" s="1"/>
  <c r="R533" i="9"/>
  <c r="T533" i="9" s="1"/>
  <c r="R332" i="9"/>
  <c r="T332" i="9" s="1"/>
  <c r="R92" i="9"/>
  <c r="T92" i="9" s="1"/>
  <c r="R683" i="9"/>
  <c r="T683" i="9" s="1"/>
  <c r="R552" i="9"/>
  <c r="T552" i="9" s="1"/>
  <c r="R355" i="9"/>
  <c r="T355" i="9" s="1"/>
  <c r="R118" i="9"/>
  <c r="T118" i="9" s="1"/>
  <c r="R697" i="9"/>
  <c r="T697" i="9" s="1"/>
  <c r="R569" i="9"/>
  <c r="T569" i="9" s="1"/>
  <c r="R379" i="9"/>
  <c r="T379" i="9" s="1"/>
  <c r="R149" i="9"/>
  <c r="T149" i="9" s="1"/>
  <c r="R707" i="9"/>
  <c r="T707" i="9" s="1"/>
  <c r="R582" i="9"/>
  <c r="T582" i="9" s="1"/>
  <c r="R397" i="9"/>
  <c r="T397" i="9" s="1"/>
  <c r="R173" i="9"/>
  <c r="T173" i="9" s="1"/>
  <c r="R720" i="9"/>
  <c r="T720" i="9" s="1"/>
  <c r="R600" i="9"/>
  <c r="T600" i="9" s="1"/>
  <c r="R421" i="9"/>
  <c r="T421" i="9" s="1"/>
  <c r="R204" i="9"/>
  <c r="T204" i="9" s="1"/>
  <c r="R730" i="9"/>
  <c r="T730" i="9" s="1"/>
  <c r="R616" i="9"/>
  <c r="T616" i="9" s="1"/>
  <c r="R444" i="9"/>
  <c r="T444" i="9" s="1"/>
  <c r="R230" i="9"/>
  <c r="T230" i="9" s="1"/>
  <c r="R626" i="9"/>
  <c r="T626" i="9" s="1"/>
  <c r="R553" i="9"/>
  <c r="T553" i="9" s="1"/>
  <c r="R459" i="9"/>
  <c r="T459" i="9" s="1"/>
  <c r="R356" i="9"/>
  <c r="T356" i="9" s="1"/>
  <c r="R251" i="9"/>
  <c r="T251" i="9" s="1"/>
  <c r="R123" i="9"/>
  <c r="T123" i="9" s="1"/>
  <c r="R7" i="9"/>
  <c r="T7" i="9" s="1"/>
  <c r="R677" i="9"/>
  <c r="T677" i="9" s="1"/>
  <c r="R604" i="9"/>
  <c r="T604" i="9" s="1"/>
  <c r="R528" i="9"/>
  <c r="T528" i="9" s="1"/>
  <c r="R428" i="9"/>
  <c r="T428" i="9" s="1"/>
  <c r="R325" i="9"/>
  <c r="T325" i="9" s="1"/>
  <c r="R212" i="9"/>
  <c r="T212" i="9" s="1"/>
  <c r="R84" i="9"/>
  <c r="T84" i="9" s="1"/>
  <c r="R726" i="9"/>
  <c r="T726" i="9" s="1"/>
  <c r="R658" i="9"/>
  <c r="T658" i="9" s="1"/>
  <c r="R585" i="9"/>
  <c r="T585" i="9" s="1"/>
  <c r="R502" i="9"/>
  <c r="T502" i="9" s="1"/>
  <c r="R402" i="9"/>
  <c r="T402" i="9" s="1"/>
  <c r="R299" i="9"/>
  <c r="T299" i="9" s="1"/>
  <c r="R179" i="9"/>
  <c r="T179" i="9" s="1"/>
  <c r="R51" i="9"/>
  <c r="T51" i="9" s="1"/>
  <c r="R709" i="9"/>
  <c r="T709" i="9" s="1"/>
  <c r="R638" i="9"/>
  <c r="T638" i="9" s="1"/>
  <c r="R565" i="9"/>
  <c r="T565" i="9" s="1"/>
  <c r="R476" i="9"/>
  <c r="T476" i="9" s="1"/>
  <c r="R373" i="9"/>
  <c r="T373" i="9" s="1"/>
  <c r="R270" i="9"/>
  <c r="T270" i="9" s="1"/>
  <c r="R142" i="9"/>
  <c r="T142" i="9" s="1"/>
  <c r="R14" i="9"/>
  <c r="T14" i="9" s="1"/>
  <c r="R210" i="9"/>
  <c r="T210" i="9" s="1"/>
  <c r="R146" i="9"/>
  <c r="T146" i="9" s="1"/>
  <c r="R82" i="9"/>
  <c r="T82" i="9" s="1"/>
  <c r="R18" i="9"/>
  <c r="T18" i="9" s="1"/>
  <c r="R505" i="9"/>
  <c r="T505" i="9" s="1"/>
  <c r="R441" i="9"/>
  <c r="T441" i="9" s="1"/>
  <c r="R377" i="9"/>
  <c r="T377" i="9" s="1"/>
  <c r="R313" i="9"/>
  <c r="T313" i="9" s="1"/>
  <c r="R249" i="9"/>
  <c r="T249" i="9" s="1"/>
  <c r="R185" i="9"/>
  <c r="T185" i="9" s="1"/>
  <c r="R121" i="9"/>
  <c r="T121" i="9" s="1"/>
  <c r="R57" i="9"/>
  <c r="T57" i="9" s="1"/>
  <c r="R512" i="9"/>
  <c r="T512" i="9" s="1"/>
  <c r="R448" i="9"/>
  <c r="T448" i="9" s="1"/>
  <c r="R384" i="9"/>
  <c r="T384" i="9" s="1"/>
  <c r="R320" i="9"/>
  <c r="T320" i="9" s="1"/>
  <c r="R256" i="9"/>
  <c r="T256" i="9" s="1"/>
  <c r="R192" i="9"/>
  <c r="T192" i="9" s="1"/>
  <c r="R128" i="9"/>
  <c r="T128" i="9" s="1"/>
  <c r="R64" i="9"/>
  <c r="T64" i="9" s="1"/>
  <c r="R751" i="9"/>
  <c r="T751" i="9" s="1"/>
  <c r="R631" i="9"/>
  <c r="T631" i="9" s="1"/>
  <c r="R567" i="9"/>
  <c r="T567" i="9" s="1"/>
  <c r="R503" i="9"/>
  <c r="T503" i="9" s="1"/>
  <c r="R439" i="9"/>
  <c r="T439" i="9" s="1"/>
  <c r="R375" i="9"/>
  <c r="T375" i="9" s="1"/>
  <c r="R311" i="9"/>
  <c r="T311" i="9" s="1"/>
  <c r="R247" i="9"/>
  <c r="T247" i="9" s="1"/>
  <c r="R183" i="9"/>
  <c r="T183" i="9" s="1"/>
  <c r="R119" i="9"/>
  <c r="T119" i="9" s="1"/>
  <c r="R55" i="9"/>
  <c r="T55" i="9" s="1"/>
  <c r="R138" i="9"/>
  <c r="T138" i="9" s="1"/>
  <c r="R74" i="9"/>
  <c r="T74" i="9" s="1"/>
  <c r="R748" i="9"/>
  <c r="T748" i="9" s="1"/>
  <c r="R497" i="9"/>
  <c r="T497" i="9" s="1"/>
  <c r="R433" i="9"/>
  <c r="T433" i="9" s="1"/>
  <c r="R369" i="9"/>
  <c r="T369" i="9" s="1"/>
  <c r="R305" i="9"/>
  <c r="T305" i="9" s="1"/>
  <c r="R241" i="9"/>
  <c r="T241" i="9" s="1"/>
  <c r="R177" i="9"/>
  <c r="T177" i="9" s="1"/>
  <c r="R113" i="9"/>
  <c r="T113" i="9" s="1"/>
  <c r="R49" i="9"/>
  <c r="T49" i="9" s="1"/>
  <c r="R504" i="9"/>
  <c r="T504" i="9" s="1"/>
  <c r="R440" i="9"/>
  <c r="T440" i="9" s="1"/>
  <c r="R376" i="9"/>
  <c r="T376" i="9" s="1"/>
  <c r="R312" i="9"/>
  <c r="T312" i="9" s="1"/>
  <c r="R248" i="9"/>
  <c r="T248" i="9" s="1"/>
  <c r="R184" i="9"/>
  <c r="T184" i="9" s="1"/>
  <c r="R120" i="9"/>
  <c r="T120" i="9" s="1"/>
  <c r="R56" i="9"/>
  <c r="T56" i="9" s="1"/>
  <c r="R687" i="9"/>
  <c r="T687" i="9" s="1"/>
  <c r="R623" i="9"/>
  <c r="T623" i="9" s="1"/>
  <c r="R559" i="9"/>
  <c r="T559" i="9" s="1"/>
  <c r="R495" i="9"/>
  <c r="T495" i="9" s="1"/>
  <c r="R431" i="9"/>
  <c r="T431" i="9" s="1"/>
  <c r="R367" i="9"/>
  <c r="T367" i="9" s="1"/>
  <c r="R303" i="9"/>
  <c r="T303" i="9" s="1"/>
  <c r="R239" i="9"/>
  <c r="T239" i="9" s="1"/>
  <c r="R175" i="9"/>
  <c r="T175" i="9" s="1"/>
  <c r="R111" i="9"/>
  <c r="T111" i="9" s="1"/>
  <c r="R47" i="9"/>
  <c r="T47" i="9" s="1"/>
  <c r="R359" i="9"/>
  <c r="T359" i="9" s="1"/>
  <c r="R295" i="9"/>
  <c r="T295" i="9" s="1"/>
  <c r="R231" i="9"/>
  <c r="T231" i="9" s="1"/>
  <c r="R167" i="9"/>
  <c r="T167" i="9" s="1"/>
  <c r="R103" i="9"/>
  <c r="T103" i="9" s="1"/>
  <c r="R39" i="9"/>
  <c r="T39" i="9" s="1"/>
  <c r="R614" i="9"/>
  <c r="T614" i="9" s="1"/>
  <c r="R443" i="9"/>
  <c r="T443" i="9" s="1"/>
  <c r="R229" i="9"/>
  <c r="T229" i="9" s="1"/>
  <c r="R739" i="9"/>
  <c r="T739" i="9" s="1"/>
  <c r="R628" i="9"/>
  <c r="T628" i="9" s="1"/>
  <c r="R461" i="9"/>
  <c r="T461" i="9" s="1"/>
  <c r="R253" i="9"/>
  <c r="T253" i="9" s="1"/>
  <c r="R738" i="9"/>
  <c r="T738" i="9" s="1"/>
  <c r="R627" i="9"/>
  <c r="T627" i="9" s="1"/>
  <c r="R460" i="9"/>
  <c r="T460" i="9" s="1"/>
  <c r="R252" i="9"/>
  <c r="T252" i="9" s="1"/>
  <c r="R12" i="9"/>
  <c r="T12" i="9" s="1"/>
  <c r="R642" i="9"/>
  <c r="T642" i="9" s="1"/>
  <c r="R483" i="9"/>
  <c r="T483" i="9" s="1"/>
  <c r="R277" i="9"/>
  <c r="T277" i="9" s="1"/>
  <c r="R22" i="9"/>
  <c r="T22" i="9" s="1"/>
  <c r="R653" i="9"/>
  <c r="T653" i="9" s="1"/>
  <c r="R507" i="9"/>
  <c r="T507" i="9" s="1"/>
  <c r="R301" i="9"/>
  <c r="T301" i="9" s="1"/>
  <c r="R53" i="9"/>
  <c r="T53" i="9" s="1"/>
  <c r="R665" i="9"/>
  <c r="T665" i="9" s="1"/>
  <c r="R524" i="9"/>
  <c r="T524" i="9" s="1"/>
  <c r="R322" i="9"/>
  <c r="T322" i="9" s="1"/>
  <c r="R77" i="9"/>
  <c r="T77" i="9" s="1"/>
  <c r="R680" i="9"/>
  <c r="T680" i="9" s="1"/>
  <c r="R544" i="9"/>
  <c r="T544" i="9" s="1"/>
  <c r="R346" i="9"/>
  <c r="T346" i="9" s="1"/>
  <c r="R108" i="9"/>
  <c r="T108" i="9" s="1"/>
  <c r="R691" i="9"/>
  <c r="T691" i="9" s="1"/>
  <c r="R561" i="9"/>
  <c r="T561" i="9" s="1"/>
  <c r="R366" i="9"/>
  <c r="T366" i="9" s="1"/>
  <c r="R134" i="9"/>
  <c r="T134" i="9" s="1"/>
  <c r="R598" i="9"/>
  <c r="T598" i="9" s="1"/>
  <c r="R522" i="9"/>
  <c r="T522" i="9" s="1"/>
  <c r="R420" i="9"/>
  <c r="T420" i="9" s="1"/>
  <c r="R317" i="9"/>
  <c r="T317" i="9" s="1"/>
  <c r="R203" i="9"/>
  <c r="T203" i="9" s="1"/>
  <c r="R75" i="9"/>
  <c r="T75" i="9" s="1"/>
  <c r="R719" i="9"/>
  <c r="T719" i="9" s="1"/>
  <c r="R650" i="9"/>
  <c r="T650" i="9" s="1"/>
  <c r="R577" i="9"/>
  <c r="T577" i="9" s="1"/>
  <c r="R492" i="9"/>
  <c r="T492" i="9" s="1"/>
  <c r="R389" i="9"/>
  <c r="T389" i="9" s="1"/>
  <c r="R286" i="9"/>
  <c r="T286" i="9" s="1"/>
  <c r="R164" i="9"/>
  <c r="T164" i="9" s="1"/>
  <c r="R36" i="9"/>
  <c r="T36" i="9" s="1"/>
  <c r="R702" i="9"/>
  <c r="T702" i="9" s="1"/>
  <c r="R630" i="9"/>
  <c r="T630" i="9" s="1"/>
  <c r="R557" i="9"/>
  <c r="T557" i="9" s="1"/>
  <c r="R466" i="9"/>
  <c r="T466" i="9" s="1"/>
  <c r="R363" i="9"/>
  <c r="T363" i="9" s="1"/>
  <c r="R259" i="9"/>
  <c r="T259" i="9" s="1"/>
  <c r="R131" i="9"/>
  <c r="T131" i="9" s="1"/>
  <c r="R741" i="9"/>
  <c r="T741" i="9" s="1"/>
  <c r="R684" i="9"/>
  <c r="T684" i="9" s="1"/>
  <c r="R611" i="9"/>
  <c r="T611" i="9" s="1"/>
  <c r="R536" i="9"/>
  <c r="T536" i="9" s="1"/>
  <c r="R437" i="9"/>
  <c r="T437" i="9" s="1"/>
  <c r="R334" i="9"/>
  <c r="T334" i="9" s="1"/>
  <c r="R222" i="9"/>
  <c r="T222" i="9" s="1"/>
  <c r="R94" i="9"/>
  <c r="T94" i="9" s="1"/>
  <c r="R250" i="9"/>
  <c r="T250" i="9" s="1"/>
  <c r="R186" i="9"/>
  <c r="T186" i="9" s="1"/>
  <c r="R122" i="9"/>
  <c r="T122" i="9" s="1"/>
  <c r="R58" i="9"/>
  <c r="T58" i="9" s="1"/>
  <c r="R545" i="9"/>
  <c r="T545" i="9" s="1"/>
  <c r="R481" i="9"/>
  <c r="T481" i="9" s="1"/>
  <c r="R417" i="9"/>
  <c r="T417" i="9" s="1"/>
  <c r="R353" i="9"/>
  <c r="T353" i="9" s="1"/>
  <c r="R289" i="9"/>
  <c r="T289" i="9" s="1"/>
  <c r="R225" i="9"/>
  <c r="T225" i="9" s="1"/>
  <c r="R161" i="9"/>
  <c r="T161" i="9" s="1"/>
  <c r="R97" i="9"/>
  <c r="T97" i="9" s="1"/>
  <c r="R33" i="9"/>
  <c r="T33" i="9" s="1"/>
  <c r="R488" i="9"/>
  <c r="T488" i="9" s="1"/>
  <c r="R424" i="9"/>
  <c r="T424" i="9" s="1"/>
  <c r="R360" i="9"/>
  <c r="T360" i="9" s="1"/>
  <c r="R296" i="9"/>
  <c r="T296" i="9" s="1"/>
  <c r="R232" i="9"/>
  <c r="T232" i="9" s="1"/>
  <c r="R168" i="9"/>
  <c r="T168" i="9" s="1"/>
  <c r="R104" i="9"/>
  <c r="T104" i="9" s="1"/>
  <c r="R40" i="9"/>
  <c r="T40" i="9" s="1"/>
  <c r="R671" i="9"/>
  <c r="T671" i="9" s="1"/>
  <c r="R607" i="9"/>
  <c r="T607" i="9" s="1"/>
  <c r="R543" i="9"/>
  <c r="T543" i="9" s="1"/>
  <c r="R479" i="9"/>
  <c r="T479" i="9" s="1"/>
  <c r="R415" i="9"/>
  <c r="T415" i="9" s="1"/>
  <c r="R351" i="9"/>
  <c r="T351" i="9" s="1"/>
  <c r="R287" i="9"/>
  <c r="T287" i="9" s="1"/>
  <c r="R223" i="9"/>
  <c r="T223" i="9" s="1"/>
  <c r="R159" i="9"/>
  <c r="T159" i="9" s="1"/>
  <c r="R95" i="9"/>
  <c r="T95" i="9" s="1"/>
  <c r="R31" i="9"/>
  <c r="T31" i="9" s="1"/>
  <c r="R279" i="9"/>
  <c r="T279" i="9" s="1"/>
  <c r="R215" i="9"/>
  <c r="T215" i="9" s="1"/>
  <c r="R151" i="9"/>
  <c r="T151" i="9" s="1"/>
  <c r="R87" i="9"/>
  <c r="T87" i="9" s="1"/>
  <c r="R23" i="9"/>
  <c r="T23" i="9" s="1"/>
  <c r="R527" i="9"/>
  <c r="T527" i="9" s="1"/>
  <c r="R463" i="9"/>
  <c r="T463" i="9" s="1"/>
  <c r="R399" i="9"/>
  <c r="T399" i="9" s="1"/>
  <c r="R335" i="9"/>
  <c r="T335" i="9" s="1"/>
  <c r="R271" i="9"/>
  <c r="T271" i="9" s="1"/>
  <c r="R207" i="9"/>
  <c r="T207" i="9" s="1"/>
  <c r="R143" i="9"/>
  <c r="T143" i="9" s="1"/>
  <c r="R79" i="9"/>
  <c r="T79" i="9" s="1"/>
  <c r="R15" i="9"/>
  <c r="T15" i="9" s="1"/>
  <c r="R405" i="9"/>
  <c r="T405" i="9" s="1"/>
  <c r="R182" i="9"/>
  <c r="T182" i="9" s="1"/>
  <c r="R722" i="9"/>
  <c r="T722" i="9" s="1"/>
  <c r="R605" i="9"/>
  <c r="T605" i="9" s="1"/>
  <c r="R429" i="9"/>
  <c r="T429" i="9" s="1"/>
  <c r="R213" i="9"/>
  <c r="T213" i="9" s="1"/>
  <c r="R732" i="9"/>
  <c r="T732" i="9" s="1"/>
  <c r="R619" i="9"/>
  <c r="T619" i="9" s="1"/>
  <c r="R450" i="9"/>
  <c r="T450" i="9" s="1"/>
  <c r="R237" i="9"/>
  <c r="T237" i="9" s="1"/>
  <c r="R9" i="9"/>
  <c r="T9" i="9" s="1"/>
  <c r="R635" i="9"/>
  <c r="T635" i="9" s="1"/>
  <c r="R474" i="9"/>
  <c r="T474" i="9" s="1"/>
  <c r="R268" i="9"/>
  <c r="T268" i="9" s="1"/>
  <c r="R750" i="9"/>
  <c r="T750" i="9" s="1"/>
  <c r="R646" i="9"/>
  <c r="T646" i="9" s="1"/>
  <c r="R494" i="9"/>
  <c r="T494" i="9" s="1"/>
  <c r="R291" i="9"/>
  <c r="T291" i="9" s="1"/>
  <c r="R38" i="9"/>
  <c r="T38" i="9" s="1"/>
  <c r="R571" i="9"/>
  <c r="T571" i="9" s="1"/>
  <c r="R484" i="9"/>
  <c r="T484" i="9" s="1"/>
  <c r="R381" i="9"/>
  <c r="T381" i="9" s="1"/>
  <c r="R278" i="9"/>
  <c r="T278" i="9" s="1"/>
  <c r="R155" i="9"/>
  <c r="T155" i="9" s="1"/>
  <c r="R27" i="9"/>
  <c r="T27" i="9" s="1"/>
  <c r="R695" i="9"/>
  <c r="T695" i="9" s="1"/>
  <c r="R622" i="9"/>
  <c r="T622" i="9" s="1"/>
  <c r="R549" i="9"/>
  <c r="T549" i="9" s="1"/>
  <c r="R453" i="9"/>
  <c r="T453" i="9" s="1"/>
  <c r="R350" i="9"/>
  <c r="T350" i="9" s="1"/>
  <c r="R244" i="9"/>
  <c r="T244" i="9" s="1"/>
  <c r="R116" i="9"/>
  <c r="T116" i="9" s="1"/>
  <c r="R6" i="9"/>
  <c r="T6" i="9" s="1"/>
  <c r="R676" i="9"/>
  <c r="T676" i="9" s="1"/>
  <c r="R603" i="9"/>
  <c r="T603" i="9" s="1"/>
  <c r="R526" i="9"/>
  <c r="T526" i="9" s="1"/>
  <c r="R427" i="9"/>
  <c r="T427" i="9" s="1"/>
  <c r="R324" i="9"/>
  <c r="T324" i="9" s="1"/>
  <c r="R211" i="9"/>
  <c r="T211" i="9" s="1"/>
  <c r="R83" i="9"/>
  <c r="T83" i="9" s="1"/>
  <c r="R725" i="9"/>
  <c r="T725" i="9" s="1"/>
  <c r="R657" i="9"/>
  <c r="T657" i="9" s="1"/>
  <c r="R584" i="9"/>
  <c r="T584" i="9" s="1"/>
  <c r="R501" i="9"/>
  <c r="T501" i="9" s="1"/>
  <c r="R398" i="9"/>
  <c r="T398" i="9" s="1"/>
  <c r="R298" i="9"/>
  <c r="T298" i="9" s="1"/>
  <c r="R174" i="9"/>
  <c r="T174" i="9" s="1"/>
  <c r="R46" i="9"/>
  <c r="T46" i="9" s="1"/>
  <c r="R226" i="9"/>
  <c r="T226" i="9" s="1"/>
  <c r="R162" i="9"/>
  <c r="T162" i="9" s="1"/>
  <c r="R98" i="9"/>
  <c r="T98" i="9" s="1"/>
  <c r="R34" i="9"/>
  <c r="T34" i="9" s="1"/>
  <c r="R521" i="9"/>
  <c r="T521" i="9" s="1"/>
  <c r="R457" i="9"/>
  <c r="T457" i="9" s="1"/>
  <c r="R393" i="9"/>
  <c r="T393" i="9" s="1"/>
  <c r="R329" i="9"/>
  <c r="T329" i="9" s="1"/>
  <c r="R265" i="9"/>
  <c r="T265" i="9" s="1"/>
  <c r="R201" i="9"/>
  <c r="T201" i="9" s="1"/>
  <c r="R137" i="9"/>
  <c r="T137" i="9" s="1"/>
  <c r="R73" i="9"/>
  <c r="T73" i="9" s="1"/>
  <c r="R747" i="9"/>
  <c r="T747" i="9" s="1"/>
  <c r="R464" i="9"/>
  <c r="T464" i="9" s="1"/>
  <c r="R400" i="9"/>
  <c r="T400" i="9" s="1"/>
  <c r="R336" i="9"/>
  <c r="T336" i="9" s="1"/>
  <c r="R272" i="9"/>
  <c r="T272" i="9" s="1"/>
  <c r="R208" i="9"/>
  <c r="T208" i="9" s="1"/>
  <c r="R144" i="9"/>
  <c r="T144" i="9" s="1"/>
  <c r="R80" i="9"/>
  <c r="T80" i="9" s="1"/>
  <c r="R16" i="9"/>
  <c r="T16" i="9" s="1"/>
  <c r="R647" i="9"/>
  <c r="T647" i="9" s="1"/>
  <c r="R583" i="9"/>
  <c r="T583" i="9" s="1"/>
  <c r="R519" i="9"/>
  <c r="T519" i="9" s="1"/>
  <c r="R455" i="9"/>
  <c r="T455" i="9" s="1"/>
  <c r="R391" i="9"/>
  <c r="T391" i="9" s="1"/>
  <c r="R327" i="9"/>
  <c r="T327" i="9" s="1"/>
  <c r="R263" i="9"/>
  <c r="T263" i="9" s="1"/>
  <c r="R199" i="9"/>
  <c r="T199" i="9" s="1"/>
  <c r="R135" i="9"/>
  <c r="T135" i="9" s="1"/>
  <c r="R71" i="9"/>
  <c r="T71" i="9" s="1"/>
  <c r="R745" i="9"/>
  <c r="T745" i="9" s="1"/>
  <c r="J6" i="7" l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A1" i="7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2" i="2"/>
  <c r="D2" i="2"/>
  <c r="E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2" i="2"/>
  <c r="A1" i="2"/>
  <c r="H744" i="7" l="1"/>
  <c r="G744" i="7"/>
  <c r="G736" i="7"/>
  <c r="H736" i="7"/>
  <c r="H728" i="7"/>
  <c r="G728" i="7"/>
  <c r="H720" i="7"/>
  <c r="G720" i="7"/>
  <c r="H712" i="7"/>
  <c r="G712" i="7"/>
  <c r="H704" i="7"/>
  <c r="G704" i="7"/>
  <c r="H696" i="7"/>
  <c r="G696" i="7"/>
  <c r="H688" i="7"/>
  <c r="G688" i="7"/>
  <c r="H680" i="7"/>
  <c r="G680" i="7"/>
  <c r="H672" i="7"/>
  <c r="G672" i="7"/>
  <c r="G664" i="7"/>
  <c r="H664" i="7"/>
  <c r="H656" i="7"/>
  <c r="G656" i="7"/>
  <c r="H648" i="7"/>
  <c r="G648" i="7"/>
  <c r="H640" i="7"/>
  <c r="G640" i="7"/>
  <c r="G632" i="7"/>
  <c r="H632" i="7"/>
  <c r="G624" i="7"/>
  <c r="H624" i="7"/>
  <c r="H616" i="7"/>
  <c r="G616" i="7"/>
  <c r="H608" i="7"/>
  <c r="G608" i="7"/>
  <c r="H600" i="7"/>
  <c r="G600" i="7"/>
  <c r="G592" i="7"/>
  <c r="H592" i="7"/>
  <c r="H584" i="7"/>
  <c r="G584" i="7"/>
  <c r="H576" i="7"/>
  <c r="G576" i="7"/>
  <c r="G568" i="7"/>
  <c r="H568" i="7"/>
  <c r="G560" i="7"/>
  <c r="H560" i="7"/>
  <c r="G552" i="7"/>
  <c r="H552" i="7"/>
  <c r="H544" i="7"/>
  <c r="G544" i="7"/>
  <c r="H536" i="7"/>
  <c r="G536" i="7"/>
  <c r="H528" i="7"/>
  <c r="G528" i="7"/>
  <c r="H520" i="7"/>
  <c r="G520" i="7"/>
  <c r="H512" i="7"/>
  <c r="G512" i="7"/>
  <c r="G504" i="7"/>
  <c r="H504" i="7"/>
  <c r="G496" i="7"/>
  <c r="H496" i="7"/>
  <c r="H488" i="7"/>
  <c r="G488" i="7"/>
  <c r="H480" i="7"/>
  <c r="G480" i="7"/>
  <c r="H472" i="7"/>
  <c r="G472" i="7"/>
  <c r="H464" i="7"/>
  <c r="G464" i="7"/>
  <c r="G456" i="7"/>
  <c r="H456" i="7"/>
  <c r="H448" i="7"/>
  <c r="G448" i="7"/>
  <c r="H440" i="7"/>
  <c r="G440" i="7"/>
  <c r="H432" i="7"/>
  <c r="G432" i="7"/>
  <c r="G424" i="7"/>
  <c r="H424" i="7"/>
  <c r="H416" i="7"/>
  <c r="G416" i="7"/>
  <c r="H408" i="7"/>
  <c r="G408" i="7"/>
  <c r="G400" i="7"/>
  <c r="H400" i="7"/>
  <c r="H392" i="7"/>
  <c r="G392" i="7"/>
  <c r="H384" i="7"/>
  <c r="G384" i="7"/>
  <c r="H376" i="7"/>
  <c r="G376" i="7"/>
  <c r="G368" i="7"/>
  <c r="H368" i="7"/>
  <c r="G360" i="7"/>
  <c r="H360" i="7"/>
  <c r="G352" i="7"/>
  <c r="H352" i="7"/>
  <c r="H344" i="7"/>
  <c r="G344" i="7"/>
  <c r="H336" i="7"/>
  <c r="G336" i="7"/>
  <c r="H328" i="7"/>
  <c r="G328" i="7"/>
  <c r="H320" i="7"/>
  <c r="G320" i="7"/>
  <c r="G312" i="7"/>
  <c r="H312" i="7"/>
  <c r="H304" i="7"/>
  <c r="G304" i="7"/>
  <c r="G296" i="7"/>
  <c r="H296" i="7"/>
  <c r="H288" i="7"/>
  <c r="G288" i="7"/>
  <c r="H280" i="7"/>
  <c r="G280" i="7"/>
  <c r="H272" i="7"/>
  <c r="G272" i="7"/>
  <c r="H264" i="7"/>
  <c r="G264" i="7"/>
  <c r="H256" i="7"/>
  <c r="G256" i="7"/>
  <c r="G248" i="7"/>
  <c r="H248" i="7"/>
  <c r="H240" i="7"/>
  <c r="G240" i="7"/>
  <c r="G232" i="7"/>
  <c r="H232" i="7"/>
  <c r="H224" i="7"/>
  <c r="G224" i="7"/>
  <c r="G216" i="7"/>
  <c r="H216" i="7"/>
  <c r="H208" i="7"/>
  <c r="G208" i="7"/>
  <c r="G200" i="7"/>
  <c r="H200" i="7"/>
  <c r="H192" i="7"/>
  <c r="G192" i="7"/>
  <c r="G184" i="7"/>
  <c r="H184" i="7"/>
  <c r="G176" i="7"/>
  <c r="H176" i="7"/>
  <c r="H168" i="7"/>
  <c r="G168" i="7"/>
  <c r="H160" i="7"/>
  <c r="G160" i="7"/>
  <c r="H152" i="7"/>
  <c r="G152" i="7"/>
  <c r="H144" i="7"/>
  <c r="G144" i="7"/>
  <c r="H136" i="7"/>
  <c r="G136" i="7"/>
  <c r="H128" i="7"/>
  <c r="G128" i="7"/>
  <c r="G120" i="7"/>
  <c r="H120" i="7"/>
  <c r="H112" i="7"/>
  <c r="G112" i="7"/>
  <c r="H104" i="7"/>
  <c r="G104" i="7"/>
  <c r="H96" i="7"/>
  <c r="G96" i="7"/>
  <c r="G88" i="7"/>
  <c r="H88" i="7"/>
  <c r="H80" i="7"/>
  <c r="G80" i="7"/>
  <c r="H72" i="7"/>
  <c r="G72" i="7"/>
  <c r="H64" i="7"/>
  <c r="G64" i="7"/>
  <c r="H56" i="7"/>
  <c r="G56" i="7"/>
  <c r="H48" i="7"/>
  <c r="G48" i="7"/>
  <c r="H40" i="7"/>
  <c r="G40" i="7"/>
  <c r="H32" i="7"/>
  <c r="G32" i="7"/>
  <c r="H24" i="7"/>
  <c r="G24" i="7"/>
  <c r="H16" i="7"/>
  <c r="G16" i="7"/>
  <c r="G8" i="7"/>
  <c r="H8" i="7"/>
  <c r="H751" i="7"/>
  <c r="G751" i="7"/>
  <c r="H743" i="7"/>
  <c r="G743" i="7"/>
  <c r="G735" i="7"/>
  <c r="H735" i="7"/>
  <c r="G727" i="7"/>
  <c r="H727" i="7"/>
  <c r="H719" i="7"/>
  <c r="G719" i="7"/>
  <c r="H711" i="7"/>
  <c r="G711" i="7"/>
  <c r="H703" i="7"/>
  <c r="G703" i="7"/>
  <c r="H695" i="7"/>
  <c r="G695" i="7"/>
  <c r="H687" i="7"/>
  <c r="G687" i="7"/>
  <c r="H679" i="7"/>
  <c r="G679" i="7"/>
  <c r="H671" i="7"/>
  <c r="G671" i="7"/>
  <c r="G663" i="7"/>
  <c r="H663" i="7"/>
  <c r="H655" i="7"/>
  <c r="G655" i="7"/>
  <c r="H647" i="7"/>
  <c r="G647" i="7"/>
  <c r="G639" i="7"/>
  <c r="H639" i="7"/>
  <c r="H631" i="7"/>
  <c r="G631" i="7"/>
  <c r="G623" i="7"/>
  <c r="H623" i="7"/>
  <c r="H615" i="7"/>
  <c r="G615" i="7"/>
  <c r="H607" i="7"/>
  <c r="G607" i="7"/>
  <c r="H599" i="7"/>
  <c r="G599" i="7"/>
  <c r="G591" i="7"/>
  <c r="H591" i="7"/>
  <c r="H583" i="7"/>
  <c r="G583" i="7"/>
  <c r="H575" i="7"/>
  <c r="G575" i="7"/>
  <c r="H567" i="7"/>
  <c r="G567" i="7"/>
  <c r="G559" i="7"/>
  <c r="H559" i="7"/>
  <c r="G551" i="7"/>
  <c r="H551" i="7"/>
  <c r="H543" i="7"/>
  <c r="G543" i="7"/>
  <c r="H535" i="7"/>
  <c r="G535" i="7"/>
  <c r="G527" i="7"/>
  <c r="H527" i="7"/>
  <c r="H519" i="7"/>
  <c r="G519" i="7"/>
  <c r="H511" i="7"/>
  <c r="G511" i="7"/>
  <c r="H503" i="7"/>
  <c r="G503" i="7"/>
  <c r="G495" i="7"/>
  <c r="H495" i="7"/>
  <c r="H487" i="7"/>
  <c r="G487" i="7"/>
  <c r="G479" i="7"/>
  <c r="H479" i="7"/>
  <c r="H471" i="7"/>
  <c r="G471" i="7"/>
  <c r="H463" i="7"/>
  <c r="G463" i="7"/>
  <c r="G455" i="7"/>
  <c r="H455" i="7"/>
  <c r="H447" i="7"/>
  <c r="G447" i="7"/>
  <c r="H439" i="7"/>
  <c r="G439" i="7"/>
  <c r="G431" i="7"/>
  <c r="H431" i="7"/>
  <c r="G423" i="7"/>
  <c r="H423" i="7"/>
  <c r="G415" i="7"/>
  <c r="H415" i="7"/>
  <c r="H407" i="7"/>
  <c r="G407" i="7"/>
  <c r="G399" i="7"/>
  <c r="H399" i="7"/>
  <c r="H391" i="7"/>
  <c r="G391" i="7"/>
  <c r="H383" i="7"/>
  <c r="G383" i="7"/>
  <c r="H375" i="7"/>
  <c r="G375" i="7"/>
  <c r="H367" i="7"/>
  <c r="G367" i="7"/>
  <c r="G359" i="7"/>
  <c r="H359" i="7"/>
  <c r="H351" i="7"/>
  <c r="G351" i="7"/>
  <c r="G343" i="7"/>
  <c r="H343" i="7"/>
  <c r="H335" i="7"/>
  <c r="G335" i="7"/>
  <c r="G327" i="7"/>
  <c r="H327" i="7"/>
  <c r="H319" i="7"/>
  <c r="G319" i="7"/>
  <c r="H311" i="7"/>
  <c r="G311" i="7"/>
  <c r="H303" i="7"/>
  <c r="G303" i="7"/>
  <c r="H295" i="7"/>
  <c r="G295" i="7"/>
  <c r="G287" i="7"/>
  <c r="H287" i="7"/>
  <c r="H279" i="7"/>
  <c r="G279" i="7"/>
  <c r="H271" i="7"/>
  <c r="G271" i="7"/>
  <c r="G263" i="7"/>
  <c r="H263" i="7"/>
  <c r="H255" i="7"/>
  <c r="G255" i="7"/>
  <c r="H247" i="7"/>
  <c r="G247" i="7"/>
  <c r="G239" i="7"/>
  <c r="H239" i="7"/>
  <c r="H231" i="7"/>
  <c r="G231" i="7"/>
  <c r="H223" i="7"/>
  <c r="G223" i="7"/>
  <c r="H215" i="7"/>
  <c r="G215" i="7"/>
  <c r="H207" i="7"/>
  <c r="G207" i="7"/>
  <c r="H199" i="7"/>
  <c r="G199" i="7"/>
  <c r="G191" i="7"/>
  <c r="H191" i="7"/>
  <c r="H183" i="7"/>
  <c r="G183" i="7"/>
  <c r="G175" i="7"/>
  <c r="H175" i="7"/>
  <c r="H167" i="7"/>
  <c r="G167" i="7"/>
  <c r="G159" i="7"/>
  <c r="H159" i="7"/>
  <c r="G151" i="7"/>
  <c r="H151" i="7"/>
  <c r="H143" i="7"/>
  <c r="G143" i="7"/>
  <c r="H135" i="7"/>
  <c r="G135" i="7"/>
  <c r="H127" i="7"/>
  <c r="G127" i="7"/>
  <c r="H119" i="7"/>
  <c r="G119" i="7"/>
  <c r="H111" i="7"/>
  <c r="G111" i="7"/>
  <c r="G103" i="7"/>
  <c r="H103" i="7"/>
  <c r="H95" i="7"/>
  <c r="G95" i="7"/>
  <c r="H87" i="7"/>
  <c r="G87" i="7"/>
  <c r="H79" i="7"/>
  <c r="G79" i="7"/>
  <c r="G71" i="7"/>
  <c r="H71" i="7"/>
  <c r="H63" i="7"/>
  <c r="G63" i="7"/>
  <c r="H55" i="7"/>
  <c r="G55" i="7"/>
  <c r="G47" i="7"/>
  <c r="H47" i="7"/>
  <c r="G39" i="7"/>
  <c r="H39" i="7"/>
  <c r="H31" i="7"/>
  <c r="G31" i="7"/>
  <c r="G23" i="7"/>
  <c r="H23" i="7"/>
  <c r="G15" i="7"/>
  <c r="H15" i="7"/>
  <c r="G7" i="7"/>
  <c r="H7" i="7"/>
  <c r="G726" i="7"/>
  <c r="H726" i="7"/>
  <c r="H694" i="7"/>
  <c r="G694" i="7"/>
  <c r="H662" i="7"/>
  <c r="G662" i="7"/>
  <c r="H630" i="7"/>
  <c r="G630" i="7"/>
  <c r="H598" i="7"/>
  <c r="G598" i="7"/>
  <c r="H582" i="7"/>
  <c r="G582" i="7"/>
  <c r="H550" i="7"/>
  <c r="G550" i="7"/>
  <c r="H526" i="7"/>
  <c r="G526" i="7"/>
  <c r="H510" i="7"/>
  <c r="G510" i="7"/>
  <c r="H486" i="7"/>
  <c r="G486" i="7"/>
  <c r="H470" i="7"/>
  <c r="G470" i="7"/>
  <c r="H446" i="7"/>
  <c r="G446" i="7"/>
  <c r="H430" i="7"/>
  <c r="G430" i="7"/>
  <c r="H414" i="7"/>
  <c r="G414" i="7"/>
  <c r="H398" i="7"/>
  <c r="G398" i="7"/>
  <c r="H382" i="7"/>
  <c r="G382" i="7"/>
  <c r="H374" i="7"/>
  <c r="G374" i="7"/>
  <c r="H358" i="7"/>
  <c r="G358" i="7"/>
  <c r="H350" i="7"/>
  <c r="G350" i="7"/>
  <c r="H326" i="7"/>
  <c r="G326" i="7"/>
  <c r="H286" i="7"/>
  <c r="G286" i="7"/>
  <c r="H158" i="7"/>
  <c r="G158" i="7"/>
  <c r="H6" i="7"/>
  <c r="G6" i="7"/>
  <c r="H749" i="7"/>
  <c r="G749" i="7"/>
  <c r="H741" i="7"/>
  <c r="G741" i="7"/>
  <c r="H733" i="7"/>
  <c r="G733" i="7"/>
  <c r="H725" i="7"/>
  <c r="G725" i="7"/>
  <c r="H717" i="7"/>
  <c r="G717" i="7"/>
  <c r="H709" i="7"/>
  <c r="G709" i="7"/>
  <c r="G701" i="7"/>
  <c r="H701" i="7"/>
  <c r="H693" i="7"/>
  <c r="G693" i="7"/>
  <c r="G685" i="7"/>
  <c r="H685" i="7"/>
  <c r="H677" i="7"/>
  <c r="G677" i="7"/>
  <c r="H669" i="7"/>
  <c r="G669" i="7"/>
  <c r="G661" i="7"/>
  <c r="H661" i="7"/>
  <c r="H653" i="7"/>
  <c r="G653" i="7"/>
  <c r="H645" i="7"/>
  <c r="G645" i="7"/>
  <c r="H637" i="7"/>
  <c r="G637" i="7"/>
  <c r="H629" i="7"/>
  <c r="G629" i="7"/>
  <c r="H621" i="7"/>
  <c r="G621" i="7"/>
  <c r="H613" i="7"/>
  <c r="G613" i="7"/>
  <c r="H605" i="7"/>
  <c r="G605" i="7"/>
  <c r="G597" i="7"/>
  <c r="H597" i="7"/>
  <c r="G589" i="7"/>
  <c r="H589" i="7"/>
  <c r="H581" i="7"/>
  <c r="G581" i="7"/>
  <c r="H573" i="7"/>
  <c r="G573" i="7"/>
  <c r="G565" i="7"/>
  <c r="H565" i="7"/>
  <c r="H557" i="7"/>
  <c r="G557" i="7"/>
  <c r="G549" i="7"/>
  <c r="H549" i="7"/>
  <c r="H541" i="7"/>
  <c r="G541" i="7"/>
  <c r="H533" i="7"/>
  <c r="G533" i="7"/>
  <c r="H525" i="7"/>
  <c r="G525" i="7"/>
  <c r="H517" i="7"/>
  <c r="G517" i="7"/>
  <c r="G509" i="7"/>
  <c r="H509" i="7"/>
  <c r="H501" i="7"/>
  <c r="G501" i="7"/>
  <c r="H493" i="7"/>
  <c r="G493" i="7"/>
  <c r="H485" i="7"/>
  <c r="G485" i="7"/>
  <c r="G477" i="7"/>
  <c r="H477" i="7"/>
  <c r="H469" i="7"/>
  <c r="G469" i="7"/>
  <c r="H461" i="7"/>
  <c r="G461" i="7"/>
  <c r="H453" i="7"/>
  <c r="G453" i="7"/>
  <c r="H445" i="7"/>
  <c r="G445" i="7"/>
  <c r="H437" i="7"/>
  <c r="G437" i="7"/>
  <c r="H429" i="7"/>
  <c r="G429" i="7"/>
  <c r="H421" i="7"/>
  <c r="G421" i="7"/>
  <c r="G413" i="7"/>
  <c r="H413" i="7"/>
  <c r="H405" i="7"/>
  <c r="G405" i="7"/>
  <c r="H397" i="7"/>
  <c r="G397" i="7"/>
  <c r="H389" i="7"/>
  <c r="G389" i="7"/>
  <c r="H381" i="7"/>
  <c r="G381" i="7"/>
  <c r="H373" i="7"/>
  <c r="G373" i="7"/>
  <c r="H365" i="7"/>
  <c r="G365" i="7"/>
  <c r="G357" i="7"/>
  <c r="H357" i="7"/>
  <c r="G349" i="7"/>
  <c r="H349" i="7"/>
  <c r="G341" i="7"/>
  <c r="H341" i="7"/>
  <c r="H333" i="7"/>
  <c r="G333" i="7"/>
  <c r="G325" i="7"/>
  <c r="H325" i="7"/>
  <c r="H317" i="7"/>
  <c r="G317" i="7"/>
  <c r="G309" i="7"/>
  <c r="H309" i="7"/>
  <c r="H301" i="7"/>
  <c r="G301" i="7"/>
  <c r="H293" i="7"/>
  <c r="G293" i="7"/>
  <c r="G285" i="7"/>
  <c r="H285" i="7"/>
  <c r="H277" i="7"/>
  <c r="G277" i="7"/>
  <c r="G269" i="7"/>
  <c r="H269" i="7"/>
  <c r="H261" i="7"/>
  <c r="G261" i="7"/>
  <c r="H253" i="7"/>
  <c r="G253" i="7"/>
  <c r="H245" i="7"/>
  <c r="G245" i="7"/>
  <c r="H237" i="7"/>
  <c r="G237" i="7"/>
  <c r="H229" i="7"/>
  <c r="G229" i="7"/>
  <c r="G221" i="7"/>
  <c r="H221" i="7"/>
  <c r="G213" i="7"/>
  <c r="H213" i="7"/>
  <c r="G205" i="7"/>
  <c r="H205" i="7"/>
  <c r="H197" i="7"/>
  <c r="G197" i="7"/>
  <c r="H189" i="7"/>
  <c r="G189" i="7"/>
  <c r="H181" i="7"/>
  <c r="G181" i="7"/>
  <c r="H173" i="7"/>
  <c r="G173" i="7"/>
  <c r="H165" i="7"/>
  <c r="G165" i="7"/>
  <c r="H157" i="7"/>
  <c r="G157" i="7"/>
  <c r="G149" i="7"/>
  <c r="H149" i="7"/>
  <c r="G141" i="7"/>
  <c r="H141" i="7"/>
  <c r="H133" i="7"/>
  <c r="G133" i="7"/>
  <c r="H125" i="7"/>
  <c r="G125" i="7"/>
  <c r="H117" i="7"/>
  <c r="G117" i="7"/>
  <c r="H109" i="7"/>
  <c r="G109" i="7"/>
  <c r="G101" i="7"/>
  <c r="H101" i="7"/>
  <c r="H93" i="7"/>
  <c r="G93" i="7"/>
  <c r="G85" i="7"/>
  <c r="H85" i="7"/>
  <c r="G77" i="7"/>
  <c r="H77" i="7"/>
  <c r="G69" i="7"/>
  <c r="H69" i="7"/>
  <c r="H61" i="7"/>
  <c r="G61" i="7"/>
  <c r="G53" i="7"/>
  <c r="H53" i="7"/>
  <c r="H45" i="7"/>
  <c r="G45" i="7"/>
  <c r="G37" i="7"/>
  <c r="H37" i="7"/>
  <c r="G29" i="7"/>
  <c r="H29" i="7"/>
  <c r="H21" i="7"/>
  <c r="G21" i="7"/>
  <c r="H13" i="7"/>
  <c r="G13" i="7"/>
  <c r="G5" i="7"/>
  <c r="H5" i="7"/>
  <c r="H750" i="7"/>
  <c r="G750" i="7"/>
  <c r="H734" i="7"/>
  <c r="G734" i="7"/>
  <c r="H702" i="7"/>
  <c r="G702" i="7"/>
  <c r="H670" i="7"/>
  <c r="G670" i="7"/>
  <c r="H622" i="7"/>
  <c r="G622" i="7"/>
  <c r="H590" i="7"/>
  <c r="G590" i="7"/>
  <c r="H558" i="7"/>
  <c r="G558" i="7"/>
  <c r="H534" i="7"/>
  <c r="G534" i="7"/>
  <c r="H502" i="7"/>
  <c r="G502" i="7"/>
  <c r="H478" i="7"/>
  <c r="G478" i="7"/>
  <c r="H454" i="7"/>
  <c r="G454" i="7"/>
  <c r="H422" i="7"/>
  <c r="G422" i="7"/>
  <c r="H390" i="7"/>
  <c r="G390" i="7"/>
  <c r="H334" i="7"/>
  <c r="G334" i="7"/>
  <c r="H294" i="7"/>
  <c r="G294" i="7"/>
  <c r="H222" i="7"/>
  <c r="G222" i="7"/>
  <c r="H182" i="7"/>
  <c r="G182" i="7"/>
  <c r="H142" i="7"/>
  <c r="G142" i="7"/>
  <c r="H118" i="7"/>
  <c r="G118" i="7"/>
  <c r="H86" i="7"/>
  <c r="G86" i="7"/>
  <c r="H70" i="7"/>
  <c r="G70" i="7"/>
  <c r="H62" i="7"/>
  <c r="G62" i="7"/>
  <c r="H54" i="7"/>
  <c r="G54" i="7"/>
  <c r="H46" i="7"/>
  <c r="G46" i="7"/>
  <c r="H38" i="7"/>
  <c r="G38" i="7"/>
  <c r="H30" i="7"/>
  <c r="G30" i="7"/>
  <c r="H14" i="7"/>
  <c r="G14" i="7"/>
  <c r="H748" i="7"/>
  <c r="G748" i="7"/>
  <c r="H740" i="7"/>
  <c r="G740" i="7"/>
  <c r="H732" i="7"/>
  <c r="G732" i="7"/>
  <c r="H724" i="7"/>
  <c r="G724" i="7"/>
  <c r="H716" i="7"/>
  <c r="G716" i="7"/>
  <c r="H708" i="7"/>
  <c r="G708" i="7"/>
  <c r="H700" i="7"/>
  <c r="G700" i="7"/>
  <c r="H692" i="7"/>
  <c r="G692" i="7"/>
  <c r="H684" i="7"/>
  <c r="G684" i="7"/>
  <c r="H676" i="7"/>
  <c r="G676" i="7"/>
  <c r="H668" i="7"/>
  <c r="G668" i="7"/>
  <c r="G660" i="7"/>
  <c r="H660" i="7"/>
  <c r="G652" i="7"/>
  <c r="H652" i="7"/>
  <c r="G644" i="7"/>
  <c r="H644" i="7"/>
  <c r="H636" i="7"/>
  <c r="G636" i="7"/>
  <c r="G628" i="7"/>
  <c r="H628" i="7"/>
  <c r="G620" i="7"/>
  <c r="H620" i="7"/>
  <c r="H612" i="7"/>
  <c r="G612" i="7"/>
  <c r="G604" i="7"/>
  <c r="H604" i="7"/>
  <c r="G596" i="7"/>
  <c r="H596" i="7"/>
  <c r="G588" i="7"/>
  <c r="H588" i="7"/>
  <c r="G580" i="7"/>
  <c r="H580" i="7"/>
  <c r="G572" i="7"/>
  <c r="H572" i="7"/>
  <c r="G564" i="7"/>
  <c r="H564" i="7"/>
  <c r="G556" i="7"/>
  <c r="H556" i="7"/>
  <c r="H548" i="7"/>
  <c r="G548" i="7"/>
  <c r="G540" i="7"/>
  <c r="H540" i="7"/>
  <c r="H532" i="7"/>
  <c r="G532" i="7"/>
  <c r="G524" i="7"/>
  <c r="H524" i="7"/>
  <c r="G516" i="7"/>
  <c r="H516" i="7"/>
  <c r="G508" i="7"/>
  <c r="H508" i="7"/>
  <c r="H500" i="7"/>
  <c r="G500" i="7"/>
  <c r="G492" i="7"/>
  <c r="H492" i="7"/>
  <c r="H484" i="7"/>
  <c r="G484" i="7"/>
  <c r="G476" i="7"/>
  <c r="H476" i="7"/>
  <c r="G468" i="7"/>
  <c r="H468" i="7"/>
  <c r="G460" i="7"/>
  <c r="H460" i="7"/>
  <c r="G452" i="7"/>
  <c r="H452" i="7"/>
  <c r="G444" i="7"/>
  <c r="H444" i="7"/>
  <c r="G436" i="7"/>
  <c r="H436" i="7"/>
  <c r="G428" i="7"/>
  <c r="H428" i="7"/>
  <c r="H420" i="7"/>
  <c r="G420" i="7"/>
  <c r="G412" i="7"/>
  <c r="H412" i="7"/>
  <c r="G404" i="7"/>
  <c r="H404" i="7"/>
  <c r="H396" i="7"/>
  <c r="G396" i="7"/>
  <c r="G388" i="7"/>
  <c r="H388" i="7"/>
  <c r="G380" i="7"/>
  <c r="H380" i="7"/>
  <c r="G372" i="7"/>
  <c r="H372" i="7"/>
  <c r="H364" i="7"/>
  <c r="G364" i="7"/>
  <c r="H356" i="7"/>
  <c r="G356" i="7"/>
  <c r="G348" i="7"/>
  <c r="H348" i="7"/>
  <c r="G340" i="7"/>
  <c r="H340" i="7"/>
  <c r="G332" i="7"/>
  <c r="H332" i="7"/>
  <c r="G324" i="7"/>
  <c r="H324" i="7"/>
  <c r="G316" i="7"/>
  <c r="H316" i="7"/>
  <c r="G308" i="7"/>
  <c r="H308" i="7"/>
  <c r="G300" i="7"/>
  <c r="H300" i="7"/>
  <c r="H292" i="7"/>
  <c r="G292" i="7"/>
  <c r="G284" i="7"/>
  <c r="H284" i="7"/>
  <c r="G276" i="7"/>
  <c r="H276" i="7"/>
  <c r="G268" i="7"/>
  <c r="H268" i="7"/>
  <c r="H260" i="7"/>
  <c r="G260" i="7"/>
  <c r="G252" i="7"/>
  <c r="H252" i="7"/>
  <c r="G244" i="7"/>
  <c r="H244" i="7"/>
  <c r="G236" i="7"/>
  <c r="H236" i="7"/>
  <c r="H228" i="7"/>
  <c r="G228" i="7"/>
  <c r="G220" i="7"/>
  <c r="H220" i="7"/>
  <c r="G212" i="7"/>
  <c r="H212" i="7"/>
  <c r="G204" i="7"/>
  <c r="H204" i="7"/>
  <c r="G196" i="7"/>
  <c r="H196" i="7"/>
  <c r="G188" i="7"/>
  <c r="H188" i="7"/>
  <c r="G180" i="7"/>
  <c r="H180" i="7"/>
  <c r="G172" i="7"/>
  <c r="H172" i="7"/>
  <c r="H164" i="7"/>
  <c r="G164" i="7"/>
  <c r="H156" i="7"/>
  <c r="G156" i="7"/>
  <c r="G148" i="7"/>
  <c r="H148" i="7"/>
  <c r="G140" i="7"/>
  <c r="H140" i="7"/>
  <c r="G132" i="7"/>
  <c r="H132" i="7"/>
  <c r="H124" i="7"/>
  <c r="G124" i="7"/>
  <c r="G116" i="7"/>
  <c r="H116" i="7"/>
  <c r="G108" i="7"/>
  <c r="H108" i="7"/>
  <c r="H100" i="7"/>
  <c r="G100" i="7"/>
  <c r="G92" i="7"/>
  <c r="H92" i="7"/>
  <c r="G84" i="7"/>
  <c r="H84" i="7"/>
  <c r="G76" i="7"/>
  <c r="H76" i="7"/>
  <c r="G68" i="7"/>
  <c r="H68" i="7"/>
  <c r="G60" i="7"/>
  <c r="H60" i="7"/>
  <c r="G52" i="7"/>
  <c r="H52" i="7"/>
  <c r="G44" i="7"/>
  <c r="H44" i="7"/>
  <c r="H36" i="7"/>
  <c r="G36" i="7"/>
  <c r="G28" i="7"/>
  <c r="H28" i="7"/>
  <c r="H20" i="7"/>
  <c r="G20" i="7"/>
  <c r="G12" i="7"/>
  <c r="H12" i="7"/>
  <c r="G4" i="7"/>
  <c r="H4" i="7"/>
  <c r="H718" i="7"/>
  <c r="G718" i="7"/>
  <c r="G686" i="7"/>
  <c r="H686" i="7"/>
  <c r="H646" i="7"/>
  <c r="G646" i="7"/>
  <c r="H606" i="7"/>
  <c r="G606" i="7"/>
  <c r="H574" i="7"/>
  <c r="G574" i="7"/>
  <c r="H542" i="7"/>
  <c r="G542" i="7"/>
  <c r="H518" i="7"/>
  <c r="G518" i="7"/>
  <c r="H494" i="7"/>
  <c r="G494" i="7"/>
  <c r="H462" i="7"/>
  <c r="G462" i="7"/>
  <c r="H438" i="7"/>
  <c r="G438" i="7"/>
  <c r="H406" i="7"/>
  <c r="G406" i="7"/>
  <c r="H366" i="7"/>
  <c r="G366" i="7"/>
  <c r="H342" i="7"/>
  <c r="G342" i="7"/>
  <c r="H318" i="7"/>
  <c r="G318" i="7"/>
  <c r="H310" i="7"/>
  <c r="G310" i="7"/>
  <c r="H302" i="7"/>
  <c r="G302" i="7"/>
  <c r="H270" i="7"/>
  <c r="G270" i="7"/>
  <c r="H262" i="7"/>
  <c r="G262" i="7"/>
  <c r="H254" i="7"/>
  <c r="G254" i="7"/>
  <c r="H246" i="7"/>
  <c r="G246" i="7"/>
  <c r="H238" i="7"/>
  <c r="G238" i="7"/>
  <c r="H230" i="7"/>
  <c r="G230" i="7"/>
  <c r="H214" i="7"/>
  <c r="G214" i="7"/>
  <c r="H206" i="7"/>
  <c r="G206" i="7"/>
  <c r="H198" i="7"/>
  <c r="G198" i="7"/>
  <c r="H190" i="7"/>
  <c r="G190" i="7"/>
  <c r="H174" i="7"/>
  <c r="G174" i="7"/>
  <c r="H166" i="7"/>
  <c r="G166" i="7"/>
  <c r="H150" i="7"/>
  <c r="G150" i="7"/>
  <c r="H134" i="7"/>
  <c r="G134" i="7"/>
  <c r="H126" i="7"/>
  <c r="G126" i="7"/>
  <c r="H110" i="7"/>
  <c r="G110" i="7"/>
  <c r="H102" i="7"/>
  <c r="G102" i="7"/>
  <c r="H94" i="7"/>
  <c r="G94" i="7"/>
  <c r="H78" i="7"/>
  <c r="G78" i="7"/>
  <c r="H22" i="7"/>
  <c r="G22" i="7"/>
  <c r="G747" i="7"/>
  <c r="H747" i="7"/>
  <c r="H739" i="7"/>
  <c r="G739" i="7"/>
  <c r="H731" i="7"/>
  <c r="G731" i="7"/>
  <c r="H723" i="7"/>
  <c r="G723" i="7"/>
  <c r="H715" i="7"/>
  <c r="G715" i="7"/>
  <c r="H707" i="7"/>
  <c r="G707" i="7"/>
  <c r="G699" i="7"/>
  <c r="H699" i="7"/>
  <c r="H691" i="7"/>
  <c r="G691" i="7"/>
  <c r="H683" i="7"/>
  <c r="G683" i="7"/>
  <c r="H675" i="7"/>
  <c r="G675" i="7"/>
  <c r="H667" i="7"/>
  <c r="G667" i="7"/>
  <c r="H659" i="7"/>
  <c r="G659" i="7"/>
  <c r="G651" i="7"/>
  <c r="H651" i="7"/>
  <c r="H643" i="7"/>
  <c r="G643" i="7"/>
  <c r="H635" i="7"/>
  <c r="G635" i="7"/>
  <c r="H627" i="7"/>
  <c r="G627" i="7"/>
  <c r="H619" i="7"/>
  <c r="G619" i="7"/>
  <c r="H611" i="7"/>
  <c r="G611" i="7"/>
  <c r="H603" i="7"/>
  <c r="G603" i="7"/>
  <c r="H595" i="7"/>
  <c r="G595" i="7"/>
  <c r="H587" i="7"/>
  <c r="G587" i="7"/>
  <c r="G579" i="7"/>
  <c r="H579" i="7"/>
  <c r="H571" i="7"/>
  <c r="G571" i="7"/>
  <c r="H563" i="7"/>
  <c r="G563" i="7"/>
  <c r="G555" i="7"/>
  <c r="H555" i="7"/>
  <c r="H547" i="7"/>
  <c r="G547" i="7"/>
  <c r="H539" i="7"/>
  <c r="G539" i="7"/>
  <c r="G531" i="7"/>
  <c r="H531" i="7"/>
  <c r="H523" i="7"/>
  <c r="G523" i="7"/>
  <c r="H515" i="7"/>
  <c r="G515" i="7"/>
  <c r="H507" i="7"/>
  <c r="G507" i="7"/>
  <c r="H499" i="7"/>
  <c r="G499" i="7"/>
  <c r="H491" i="7"/>
  <c r="G491" i="7"/>
  <c r="G483" i="7"/>
  <c r="H483" i="7"/>
  <c r="H475" i="7"/>
  <c r="G475" i="7"/>
  <c r="G467" i="7"/>
  <c r="H467" i="7"/>
  <c r="H459" i="7"/>
  <c r="G459" i="7"/>
  <c r="H451" i="7"/>
  <c r="G451" i="7"/>
  <c r="G443" i="7"/>
  <c r="H443" i="7"/>
  <c r="H435" i="7"/>
  <c r="G435" i="7"/>
  <c r="H427" i="7"/>
  <c r="G427" i="7"/>
  <c r="H419" i="7"/>
  <c r="G419" i="7"/>
  <c r="H411" i="7"/>
  <c r="G411" i="7"/>
  <c r="H403" i="7"/>
  <c r="G403" i="7"/>
  <c r="G395" i="7"/>
  <c r="H395" i="7"/>
  <c r="H387" i="7"/>
  <c r="G387" i="7"/>
  <c r="H379" i="7"/>
  <c r="G379" i="7"/>
  <c r="G371" i="7"/>
  <c r="H371" i="7"/>
  <c r="H363" i="7"/>
  <c r="G363" i="7"/>
  <c r="H355" i="7"/>
  <c r="G355" i="7"/>
  <c r="H347" i="7"/>
  <c r="G347" i="7"/>
  <c r="G339" i="7"/>
  <c r="H339" i="7"/>
  <c r="G331" i="7"/>
  <c r="H331" i="7"/>
  <c r="H323" i="7"/>
  <c r="G323" i="7"/>
  <c r="H315" i="7"/>
  <c r="G315" i="7"/>
  <c r="H307" i="7"/>
  <c r="G307" i="7"/>
  <c r="H299" i="7"/>
  <c r="G299" i="7"/>
  <c r="H291" i="7"/>
  <c r="G291" i="7"/>
  <c r="H283" i="7"/>
  <c r="G283" i="7"/>
  <c r="G275" i="7"/>
  <c r="H275" i="7"/>
  <c r="G267" i="7"/>
  <c r="H267" i="7"/>
  <c r="G259" i="7"/>
  <c r="H259" i="7"/>
  <c r="H251" i="7"/>
  <c r="G251" i="7"/>
  <c r="G243" i="7"/>
  <c r="H243" i="7"/>
  <c r="H235" i="7"/>
  <c r="G235" i="7"/>
  <c r="H227" i="7"/>
  <c r="G227" i="7"/>
  <c r="H219" i="7"/>
  <c r="G219" i="7"/>
  <c r="G211" i="7"/>
  <c r="H211" i="7"/>
  <c r="G203" i="7"/>
  <c r="H203" i="7"/>
  <c r="H195" i="7"/>
  <c r="G195" i="7"/>
  <c r="H187" i="7"/>
  <c r="G187" i="7"/>
  <c r="H179" i="7"/>
  <c r="G179" i="7"/>
  <c r="G171" i="7"/>
  <c r="H171" i="7"/>
  <c r="G163" i="7"/>
  <c r="H163" i="7"/>
  <c r="H155" i="7"/>
  <c r="G155" i="7"/>
  <c r="H147" i="7"/>
  <c r="G147" i="7"/>
  <c r="H139" i="7"/>
  <c r="G139" i="7"/>
  <c r="G131" i="7"/>
  <c r="H131" i="7"/>
  <c r="H123" i="7"/>
  <c r="G123" i="7"/>
  <c r="H115" i="7"/>
  <c r="G115" i="7"/>
  <c r="G107" i="7"/>
  <c r="H107" i="7"/>
  <c r="H99" i="7"/>
  <c r="G99" i="7"/>
  <c r="H91" i="7"/>
  <c r="G91" i="7"/>
  <c r="H83" i="7"/>
  <c r="G83" i="7"/>
  <c r="H75" i="7"/>
  <c r="G75" i="7"/>
  <c r="H67" i="7"/>
  <c r="G67" i="7"/>
  <c r="G59" i="7"/>
  <c r="H59" i="7"/>
  <c r="H51" i="7"/>
  <c r="G51" i="7"/>
  <c r="H43" i="7"/>
  <c r="G43" i="7"/>
  <c r="G35" i="7"/>
  <c r="H35" i="7"/>
  <c r="H27" i="7"/>
  <c r="G27" i="7"/>
  <c r="G19" i="7"/>
  <c r="H19" i="7"/>
  <c r="G11" i="7"/>
  <c r="H11" i="7"/>
  <c r="H3" i="7"/>
  <c r="G3" i="7"/>
  <c r="E5" i="8"/>
  <c r="D9" i="12" s="1"/>
  <c r="F2" i="7"/>
  <c r="E7" i="8"/>
  <c r="E10" i="8"/>
  <c r="D12" i="12" s="1"/>
  <c r="E14" i="8"/>
  <c r="D13" i="12" s="1"/>
  <c r="H742" i="7"/>
  <c r="G742" i="7"/>
  <c r="G710" i="7"/>
  <c r="H710" i="7"/>
  <c r="H678" i="7"/>
  <c r="G678" i="7"/>
  <c r="H654" i="7"/>
  <c r="G654" i="7"/>
  <c r="H638" i="7"/>
  <c r="G638" i="7"/>
  <c r="H614" i="7"/>
  <c r="G614" i="7"/>
  <c r="H566" i="7"/>
  <c r="G566" i="7"/>
  <c r="H278" i="7"/>
  <c r="G278" i="7"/>
  <c r="G746" i="7"/>
  <c r="H746" i="7"/>
  <c r="H738" i="7"/>
  <c r="G738" i="7"/>
  <c r="H730" i="7"/>
  <c r="G730" i="7"/>
  <c r="G722" i="7"/>
  <c r="H722" i="7"/>
  <c r="H714" i="7"/>
  <c r="G714" i="7"/>
  <c r="H706" i="7"/>
  <c r="G706" i="7"/>
  <c r="G698" i="7"/>
  <c r="H698" i="7"/>
  <c r="H690" i="7"/>
  <c r="G690" i="7"/>
  <c r="H682" i="7"/>
  <c r="G682" i="7"/>
  <c r="H674" i="7"/>
  <c r="G674" i="7"/>
  <c r="H666" i="7"/>
  <c r="G666" i="7"/>
  <c r="H658" i="7"/>
  <c r="G658" i="7"/>
  <c r="G650" i="7"/>
  <c r="H650" i="7"/>
  <c r="H642" i="7"/>
  <c r="G642" i="7"/>
  <c r="H634" i="7"/>
  <c r="G634" i="7"/>
  <c r="H626" i="7"/>
  <c r="G626" i="7"/>
  <c r="H618" i="7"/>
  <c r="G618" i="7"/>
  <c r="H610" i="7"/>
  <c r="G610" i="7"/>
  <c r="G602" i="7"/>
  <c r="H602" i="7"/>
  <c r="H594" i="7"/>
  <c r="G594" i="7"/>
  <c r="H586" i="7"/>
  <c r="G586" i="7"/>
  <c r="G578" i="7"/>
  <c r="H578" i="7"/>
  <c r="H570" i="7"/>
  <c r="G570" i="7"/>
  <c r="H562" i="7"/>
  <c r="G562" i="7"/>
  <c r="H554" i="7"/>
  <c r="G554" i="7"/>
  <c r="H546" i="7"/>
  <c r="G546" i="7"/>
  <c r="G538" i="7"/>
  <c r="H538" i="7"/>
  <c r="H530" i="7"/>
  <c r="G530" i="7"/>
  <c r="H522" i="7"/>
  <c r="G522" i="7"/>
  <c r="G514" i="7"/>
  <c r="H514" i="7"/>
  <c r="G506" i="7"/>
  <c r="H506" i="7"/>
  <c r="H498" i="7"/>
  <c r="G498" i="7"/>
  <c r="H490" i="7"/>
  <c r="G490" i="7"/>
  <c r="H482" i="7"/>
  <c r="G482" i="7"/>
  <c r="H474" i="7"/>
  <c r="G474" i="7"/>
  <c r="H466" i="7"/>
  <c r="G466" i="7"/>
  <c r="H458" i="7"/>
  <c r="G458" i="7"/>
  <c r="H450" i="7"/>
  <c r="G450" i="7"/>
  <c r="G442" i="7"/>
  <c r="H442" i="7"/>
  <c r="H434" i="7"/>
  <c r="G434" i="7"/>
  <c r="G426" i="7"/>
  <c r="H426" i="7"/>
  <c r="H418" i="7"/>
  <c r="G418" i="7"/>
  <c r="G410" i="7"/>
  <c r="H410" i="7"/>
  <c r="H402" i="7"/>
  <c r="G402" i="7"/>
  <c r="G394" i="7"/>
  <c r="H394" i="7"/>
  <c r="H386" i="7"/>
  <c r="G386" i="7"/>
  <c r="H378" i="7"/>
  <c r="G378" i="7"/>
  <c r="G370" i="7"/>
  <c r="H370" i="7"/>
  <c r="H362" i="7"/>
  <c r="G362" i="7"/>
  <c r="H354" i="7"/>
  <c r="G354" i="7"/>
  <c r="H346" i="7"/>
  <c r="G346" i="7"/>
  <c r="H338" i="7"/>
  <c r="G338" i="7"/>
  <c r="G330" i="7"/>
  <c r="H330" i="7"/>
  <c r="G322" i="7"/>
  <c r="H322" i="7"/>
  <c r="H314" i="7"/>
  <c r="G314" i="7"/>
  <c r="H306" i="7"/>
  <c r="G306" i="7"/>
  <c r="H298" i="7"/>
  <c r="G298" i="7"/>
  <c r="H290" i="7"/>
  <c r="G290" i="7"/>
  <c r="H282" i="7"/>
  <c r="G282" i="7"/>
  <c r="H274" i="7"/>
  <c r="G274" i="7"/>
  <c r="G266" i="7"/>
  <c r="H266" i="7"/>
  <c r="G258" i="7"/>
  <c r="H258" i="7"/>
  <c r="H250" i="7"/>
  <c r="G250" i="7"/>
  <c r="G242" i="7"/>
  <c r="H242" i="7"/>
  <c r="G234" i="7"/>
  <c r="H234" i="7"/>
  <c r="H226" i="7"/>
  <c r="G226" i="7"/>
  <c r="H218" i="7"/>
  <c r="G218" i="7"/>
  <c r="H210" i="7"/>
  <c r="G210" i="7"/>
  <c r="G202" i="7"/>
  <c r="H202" i="7"/>
  <c r="H194" i="7"/>
  <c r="G194" i="7"/>
  <c r="G186" i="7"/>
  <c r="H186" i="7"/>
  <c r="H178" i="7"/>
  <c r="G178" i="7"/>
  <c r="H170" i="7"/>
  <c r="G170" i="7"/>
  <c r="G162" i="7"/>
  <c r="H162" i="7"/>
  <c r="H154" i="7"/>
  <c r="G154" i="7"/>
  <c r="H146" i="7"/>
  <c r="G146" i="7"/>
  <c r="G138" i="7"/>
  <c r="H138" i="7"/>
  <c r="G130" i="7"/>
  <c r="H130" i="7"/>
  <c r="G122" i="7"/>
  <c r="H122" i="7"/>
  <c r="H114" i="7"/>
  <c r="G114" i="7"/>
  <c r="G106" i="7"/>
  <c r="H106" i="7"/>
  <c r="H98" i="7"/>
  <c r="G98" i="7"/>
  <c r="H90" i="7"/>
  <c r="G90" i="7"/>
  <c r="H82" i="7"/>
  <c r="G82" i="7"/>
  <c r="H74" i="7"/>
  <c r="G74" i="7"/>
  <c r="H66" i="7"/>
  <c r="G66" i="7"/>
  <c r="H58" i="7"/>
  <c r="G58" i="7"/>
  <c r="G50" i="7"/>
  <c r="H50" i="7"/>
  <c r="H42" i="7"/>
  <c r="G42" i="7"/>
  <c r="G34" i="7"/>
  <c r="H34" i="7"/>
  <c r="H26" i="7"/>
  <c r="G26" i="7"/>
  <c r="H18" i="7"/>
  <c r="G18" i="7"/>
  <c r="H10" i="7"/>
  <c r="G10" i="7"/>
  <c r="H745" i="7"/>
  <c r="G745" i="7"/>
  <c r="H737" i="7"/>
  <c r="G737" i="7"/>
  <c r="H729" i="7"/>
  <c r="G729" i="7"/>
  <c r="G721" i="7"/>
  <c r="H721" i="7"/>
  <c r="H713" i="7"/>
  <c r="G713" i="7"/>
  <c r="H705" i="7"/>
  <c r="G705" i="7"/>
  <c r="H697" i="7"/>
  <c r="G697" i="7"/>
  <c r="G689" i="7"/>
  <c r="H689" i="7"/>
  <c r="H681" i="7"/>
  <c r="G681" i="7"/>
  <c r="H673" i="7"/>
  <c r="G673" i="7"/>
  <c r="G665" i="7"/>
  <c r="H665" i="7"/>
  <c r="H657" i="7"/>
  <c r="G657" i="7"/>
  <c r="H649" i="7"/>
  <c r="G649" i="7"/>
  <c r="H641" i="7"/>
  <c r="G641" i="7"/>
  <c r="G633" i="7"/>
  <c r="H633" i="7"/>
  <c r="H625" i="7"/>
  <c r="G625" i="7"/>
  <c r="H617" i="7"/>
  <c r="G617" i="7"/>
  <c r="H609" i="7"/>
  <c r="G609" i="7"/>
  <c r="H601" i="7"/>
  <c r="G601" i="7"/>
  <c r="G593" i="7"/>
  <c r="H593" i="7"/>
  <c r="H585" i="7"/>
  <c r="G585" i="7"/>
  <c r="G577" i="7"/>
  <c r="H577" i="7"/>
  <c r="G569" i="7"/>
  <c r="H569" i="7"/>
  <c r="H561" i="7"/>
  <c r="G561" i="7"/>
  <c r="H553" i="7"/>
  <c r="G553" i="7"/>
  <c r="H545" i="7"/>
  <c r="G545" i="7"/>
  <c r="H537" i="7"/>
  <c r="G537" i="7"/>
  <c r="H529" i="7"/>
  <c r="G529" i="7"/>
  <c r="H521" i="7"/>
  <c r="G521" i="7"/>
  <c r="H513" i="7"/>
  <c r="G513" i="7"/>
  <c r="G505" i="7"/>
  <c r="H505" i="7"/>
  <c r="H497" i="7"/>
  <c r="G497" i="7"/>
  <c r="H489" i="7"/>
  <c r="G489" i="7"/>
  <c r="H481" i="7"/>
  <c r="G481" i="7"/>
  <c r="H473" i="7"/>
  <c r="G473" i="7"/>
  <c r="G465" i="7"/>
  <c r="H465" i="7"/>
  <c r="H457" i="7"/>
  <c r="G457" i="7"/>
  <c r="H449" i="7"/>
  <c r="G449" i="7"/>
  <c r="G441" i="7"/>
  <c r="H441" i="7"/>
  <c r="G433" i="7"/>
  <c r="H433" i="7"/>
  <c r="H425" i="7"/>
  <c r="G425" i="7"/>
  <c r="H417" i="7"/>
  <c r="G417" i="7"/>
  <c r="H409" i="7"/>
  <c r="G409" i="7"/>
  <c r="H401" i="7"/>
  <c r="G401" i="7"/>
  <c r="H393" i="7"/>
  <c r="G393" i="7"/>
  <c r="G385" i="7"/>
  <c r="H385" i="7"/>
  <c r="H377" i="7"/>
  <c r="G377" i="7"/>
  <c r="G369" i="7"/>
  <c r="H369" i="7"/>
  <c r="H361" i="7"/>
  <c r="G361" i="7"/>
  <c r="G353" i="7"/>
  <c r="H353" i="7"/>
  <c r="H345" i="7"/>
  <c r="G345" i="7"/>
  <c r="H337" i="7"/>
  <c r="G337" i="7"/>
  <c r="H329" i="7"/>
  <c r="G329" i="7"/>
  <c r="G321" i="7"/>
  <c r="H321" i="7"/>
  <c r="H313" i="7"/>
  <c r="G313" i="7"/>
  <c r="G305" i="7"/>
  <c r="H305" i="7"/>
  <c r="H297" i="7"/>
  <c r="G297" i="7"/>
  <c r="H289" i="7"/>
  <c r="G289" i="7"/>
  <c r="H281" i="7"/>
  <c r="G281" i="7"/>
  <c r="H273" i="7"/>
  <c r="G273" i="7"/>
  <c r="H265" i="7"/>
  <c r="G265" i="7"/>
  <c r="G257" i="7"/>
  <c r="H257" i="7"/>
  <c r="H249" i="7"/>
  <c r="G249" i="7"/>
  <c r="H241" i="7"/>
  <c r="G241" i="7"/>
  <c r="G233" i="7"/>
  <c r="H233" i="7"/>
  <c r="H225" i="7"/>
  <c r="G225" i="7"/>
  <c r="H217" i="7"/>
  <c r="G217" i="7"/>
  <c r="H209" i="7"/>
  <c r="G209" i="7"/>
  <c r="H201" i="7"/>
  <c r="G201" i="7"/>
  <c r="G193" i="7"/>
  <c r="H193" i="7"/>
  <c r="G185" i="7"/>
  <c r="H185" i="7"/>
  <c r="H177" i="7"/>
  <c r="G177" i="7"/>
  <c r="H169" i="7"/>
  <c r="G169" i="7"/>
  <c r="H161" i="7"/>
  <c r="G161" i="7"/>
  <c r="H153" i="7"/>
  <c r="G153" i="7"/>
  <c r="H145" i="7"/>
  <c r="G145" i="7"/>
  <c r="H137" i="7"/>
  <c r="G137" i="7"/>
  <c r="G129" i="7"/>
  <c r="H129" i="7"/>
  <c r="G121" i="7"/>
  <c r="H121" i="7"/>
  <c r="H113" i="7"/>
  <c r="G113" i="7"/>
  <c r="H105" i="7"/>
  <c r="G105" i="7"/>
  <c r="H97" i="7"/>
  <c r="G97" i="7"/>
  <c r="G89" i="7"/>
  <c r="H89" i="7"/>
  <c r="H81" i="7"/>
  <c r="G81" i="7"/>
  <c r="H73" i="7"/>
  <c r="G73" i="7"/>
  <c r="G65" i="7"/>
  <c r="H65" i="7"/>
  <c r="H57" i="7"/>
  <c r="G57" i="7"/>
  <c r="G49" i="7"/>
  <c r="H49" i="7"/>
  <c r="H41" i="7"/>
  <c r="G41" i="7"/>
  <c r="H33" i="7"/>
  <c r="G33" i="7"/>
  <c r="H25" i="7"/>
  <c r="G25" i="7"/>
  <c r="G17" i="7"/>
  <c r="H17" i="7"/>
  <c r="H9" i="7"/>
  <c r="G9" i="7"/>
  <c r="H2" i="7" l="1"/>
  <c r="G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<sst xmlns="http://schemas.openxmlformats.org/spreadsheetml/2006/main" count="155" uniqueCount="82">
  <si>
    <t>AGUA.MX</t>
  </si>
  <si>
    <t>MARA.MX</t>
  </si>
  <si>
    <t>NKE.MX</t>
  </si>
  <si>
    <t>TEAKCPO.MX</t>
  </si>
  <si>
    <t>Fecha</t>
  </si>
  <si>
    <t>AGUAR</t>
  </si>
  <si>
    <r>
      <t>AGUA</t>
    </r>
    <r>
      <rPr>
        <vertAlign val="subscript"/>
        <sz val="12"/>
        <color theme="1"/>
        <rFont val="Aptos Narrow (Body)"/>
      </rPr>
      <t>R</t>
    </r>
  </si>
  <si>
    <t>MARAR</t>
  </si>
  <si>
    <r>
      <t>MARA</t>
    </r>
    <r>
      <rPr>
        <vertAlign val="subscript"/>
        <sz val="12"/>
        <color theme="1"/>
        <rFont val="Aptos Narrow (Body)"/>
      </rPr>
      <t>R</t>
    </r>
  </si>
  <si>
    <r>
      <t>NKE</t>
    </r>
    <r>
      <rPr>
        <vertAlign val="subscript"/>
        <sz val="12"/>
        <color theme="1"/>
        <rFont val="Aptos Narrow (Body)"/>
      </rPr>
      <t>R</t>
    </r>
  </si>
  <si>
    <r>
      <t>TEAKCPO</t>
    </r>
    <r>
      <rPr>
        <vertAlign val="subscript"/>
        <sz val="12"/>
        <color theme="1"/>
        <rFont val="Aptos Narrow (Body)"/>
      </rPr>
      <t>R</t>
    </r>
  </si>
  <si>
    <t>Confidence Level(95.0%)</t>
  </si>
  <si>
    <t>Rendimientos diarios AGUA</t>
  </si>
  <si>
    <t>Media</t>
  </si>
  <si>
    <t>Error típico</t>
  </si>
  <si>
    <t>Mediana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</si>
  <si>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</si>
  <si>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</si>
  <si>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</si>
  <si>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</si>
  <si>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</si>
  <si>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</si>
  <si>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</si>
  <si>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</si>
  <si>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</si>
  <si>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Rendimientos diarios MARA</t>
  </si>
  <si>
    <t>NKER</t>
  </si>
  <si>
    <t>Rendimientos diarios NKE</t>
  </si>
  <si>
    <t>TEAKCPOR</t>
  </si>
  <si>
    <t>Rendimientos diarios TEAKCPO</t>
  </si>
  <si>
    <t>Rendimiento Portafolio</t>
  </si>
  <si>
    <t>pesos</t>
  </si>
  <si>
    <t>Agua</t>
  </si>
  <si>
    <t>Mara</t>
  </si>
  <si>
    <t>Nke</t>
  </si>
  <si>
    <t>Teakcpo</t>
  </si>
  <si>
    <t>Diferencia Portafolio</t>
  </si>
  <si>
    <t>Diferencia % Portafolio</t>
  </si>
  <si>
    <t>Ganacias/ Perdidas</t>
  </si>
  <si>
    <t>Confianza =</t>
  </si>
  <si>
    <t>Cuantil =</t>
  </si>
  <si>
    <t>N =</t>
  </si>
  <si>
    <t>Aplicación regulatoria:</t>
  </si>
  <si>
    <r>
      <t>Capital</t>
    </r>
    <r>
      <rPr>
        <vertAlign val="subscript"/>
        <sz val="11"/>
        <color theme="1"/>
        <rFont val="Aptos Narrow"/>
        <family val="2"/>
        <scheme val="minor"/>
      </rPr>
      <t>Riesgo de mercado</t>
    </r>
    <r>
      <rPr>
        <sz val="12"/>
        <color theme="1"/>
        <rFont val="Aptos Narrow"/>
        <family val="2"/>
        <scheme val="minor"/>
      </rPr>
      <t xml:space="preserve"> (USD) =</t>
    </r>
  </si>
  <si>
    <r>
      <t>Capital</t>
    </r>
    <r>
      <rPr>
        <vertAlign val="subscript"/>
        <sz val="11"/>
        <color theme="1"/>
        <rFont val="Aptos Narrow"/>
        <family val="2"/>
        <scheme val="minor"/>
      </rPr>
      <t>Riesgo de mercado</t>
    </r>
    <r>
      <rPr>
        <sz val="12"/>
        <color theme="1"/>
        <rFont val="Aptos Narrow"/>
        <family val="2"/>
        <scheme val="minor"/>
      </rPr>
      <t xml:space="preserve"> (%</t>
    </r>
    <r>
      <rPr>
        <sz val="11"/>
        <color theme="1"/>
        <rFont val="Symbol"/>
        <family val="1"/>
        <charset val="2"/>
      </rPr>
      <t>P</t>
    </r>
    <r>
      <rPr>
        <sz val="12"/>
        <color theme="1"/>
        <rFont val="Aptos Narrow"/>
        <family val="2"/>
        <scheme val="minor"/>
      </rPr>
      <t>) =</t>
    </r>
  </si>
  <si>
    <t>m =</t>
  </si>
  <si>
    <r>
      <t>s</t>
    </r>
    <r>
      <rPr>
        <b/>
        <vertAlign val="superscript"/>
        <sz val="11"/>
        <color rgb="FF000000"/>
        <rFont val="Symbol"/>
        <family val="1"/>
        <charset val="2"/>
      </rPr>
      <t>2</t>
    </r>
    <r>
      <rPr>
        <b/>
        <sz val="11"/>
        <color rgb="FF000000"/>
        <rFont val="Symbol"/>
        <family val="1"/>
        <charset val="2"/>
      </rPr>
      <t xml:space="preserve"> =</t>
    </r>
  </si>
  <si>
    <t>s =</t>
  </si>
  <si>
    <t>Precios en t+1 simulados por MC</t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</si>
  <si>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Aptos Narrow"/>
        <family val="2"/>
        <scheme val="minor"/>
      </rPr>
      <t>t+1</t>
    </r>
  </si>
  <si>
    <r>
      <rPr>
        <sz val="11"/>
        <color rgb="FF000000"/>
        <rFont val="Symbol"/>
        <family val="1"/>
        <charset val="2"/>
      </rPr>
      <t>DP</t>
    </r>
    <r>
      <rPr>
        <vertAlign val="subscript"/>
        <sz val="11"/>
        <color rgb="FF000000"/>
        <rFont val="Aptos Narrow"/>
        <family val="2"/>
        <scheme val="minor"/>
      </rPr>
      <t>t+1</t>
    </r>
  </si>
  <si>
    <r>
      <rPr>
        <sz val="11"/>
        <color theme="1"/>
        <rFont val="Symbol"/>
        <family val="1"/>
        <charset val="2"/>
      </rPr>
      <t>DP</t>
    </r>
    <r>
      <rPr>
        <vertAlign val="subscript"/>
        <sz val="11"/>
        <color theme="1"/>
        <rFont val="Aptos Narrow"/>
        <family val="2"/>
        <scheme val="minor"/>
      </rPr>
      <t>t+1</t>
    </r>
    <r>
      <rPr>
        <sz val="11"/>
        <color theme="1"/>
        <rFont val="Aptos Narrow"/>
        <family val="1"/>
        <charset val="2"/>
        <scheme val="minor"/>
      </rPr>
      <t xml:space="preserve"> (Ordenado)</t>
    </r>
  </si>
  <si>
    <r>
      <t>Capital</t>
    </r>
    <r>
      <rPr>
        <vertAlign val="subscript"/>
        <sz val="11"/>
        <color theme="1"/>
        <rFont val="Aptos Narrow"/>
        <family val="2"/>
        <scheme val="minor"/>
      </rPr>
      <t>Riesgo de mercado</t>
    </r>
    <r>
      <rPr>
        <sz val="12"/>
        <color theme="1"/>
        <rFont val="Aptos Narrow"/>
        <family val="2"/>
        <scheme val="minor"/>
      </rPr>
      <t xml:space="preserve"> =</t>
    </r>
  </si>
  <si>
    <r>
      <rPr>
        <sz val="11"/>
        <color theme="1"/>
        <rFont val="Symbol"/>
        <family val="1"/>
        <charset val="2"/>
      </rPr>
      <t>a</t>
    </r>
    <r>
      <rPr>
        <vertAlign val="superscript"/>
        <sz val="11"/>
        <color theme="1"/>
        <rFont val="Aptos Narrow"/>
        <family val="2"/>
        <scheme val="minor"/>
      </rPr>
      <t>T</t>
    </r>
    <r>
      <rPr>
        <sz val="12"/>
        <color theme="1"/>
        <rFont val="Aptos Narrow"/>
        <family val="2"/>
        <scheme val="minor"/>
      </rPr>
      <t xml:space="preserve"> =</t>
    </r>
  </si>
  <si>
    <t xml:space="preserve">a </t>
  </si>
  <si>
    <r>
      <rPr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 xml:space="preserve"> =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</si>
  <si>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 xml:space="preserve"> =</t>
    </r>
  </si>
  <si>
    <t>a =</t>
  </si>
  <si>
    <r>
      <t>Z</t>
    </r>
    <r>
      <rPr>
        <vertAlign val="subscript"/>
        <sz val="11"/>
        <color theme="1"/>
        <rFont val="Aptos Narrow"/>
        <family val="2"/>
        <scheme val="minor"/>
      </rPr>
      <t>1-</t>
    </r>
    <r>
      <rPr>
        <vertAlign val="subscript"/>
        <sz val="11"/>
        <color theme="1"/>
        <rFont val="Symbol"/>
        <family val="1"/>
        <charset val="2"/>
      </rPr>
      <t>a</t>
    </r>
    <r>
      <rPr>
        <sz val="12"/>
        <color theme="1"/>
        <rFont val="Aptos Narrow"/>
        <family val="2"/>
        <scheme val="minor"/>
      </rPr>
      <t xml:space="preserve"> = </t>
    </r>
  </si>
  <si>
    <r>
      <t>VaR</t>
    </r>
    <r>
      <rPr>
        <vertAlign val="subscript"/>
        <sz val="11"/>
        <color theme="1"/>
        <rFont val="Aptos Narrow"/>
        <family val="2"/>
        <scheme val="minor"/>
      </rPr>
      <t>1 día</t>
    </r>
    <r>
      <rPr>
        <sz val="12"/>
        <color theme="1"/>
        <rFont val="Aptos Narrow"/>
        <family val="2"/>
        <scheme val="minor"/>
      </rPr>
      <t xml:space="preserve"> =</t>
    </r>
  </si>
  <si>
    <r>
      <t>VaR</t>
    </r>
    <r>
      <rPr>
        <vertAlign val="subscript"/>
        <sz val="11"/>
        <color theme="1"/>
        <rFont val="Aptos Narrow"/>
        <family val="2"/>
        <scheme val="minor"/>
      </rPr>
      <t>10 días</t>
    </r>
    <r>
      <rPr>
        <sz val="12"/>
        <color theme="1"/>
        <rFont val="Aptos Narrow"/>
        <family val="2"/>
        <scheme val="minor"/>
      </rPr>
      <t xml:space="preserve"> =</t>
    </r>
  </si>
  <si>
    <r>
      <rPr>
        <sz val="11"/>
        <color theme="1"/>
        <rFont val="Symbol"/>
        <family val="1"/>
        <charset val="2"/>
      </rPr>
      <t>f</t>
    </r>
    <r>
      <rPr>
        <sz val="12"/>
        <color theme="1"/>
        <rFont val="Aptos Narrow"/>
        <family val="2"/>
        <scheme val="minor"/>
      </rPr>
      <t>(z*) =</t>
    </r>
  </si>
  <si>
    <r>
      <rPr>
        <sz val="11"/>
        <color theme="1"/>
        <rFont val="Symbol"/>
        <family val="1"/>
        <charset val="2"/>
      </rPr>
      <t>F</t>
    </r>
    <r>
      <rPr>
        <sz val="12"/>
        <color theme="1"/>
        <rFont val="Aptos Narrow"/>
        <family val="2"/>
        <scheme val="minor"/>
      </rPr>
      <t>(z*) =</t>
    </r>
  </si>
  <si>
    <r>
      <t>CVaR</t>
    </r>
    <r>
      <rPr>
        <vertAlign val="subscript"/>
        <sz val="11"/>
        <color theme="1"/>
        <rFont val="Aptos Narrow"/>
        <family val="2"/>
        <scheme val="minor"/>
      </rPr>
      <t>1 día</t>
    </r>
    <r>
      <rPr>
        <sz val="12"/>
        <color theme="1"/>
        <rFont val="Aptos Narrow"/>
        <family val="2"/>
        <scheme val="minor"/>
      </rPr>
      <t xml:space="preserve"> =</t>
    </r>
  </si>
  <si>
    <t>Capital =</t>
  </si>
  <si>
    <t>P =</t>
  </si>
  <si>
    <t>Concepto</t>
  </si>
  <si>
    <r>
      <t>Simulación Histórica
%</t>
    </r>
    <r>
      <rPr>
        <sz val="11"/>
        <color theme="1"/>
        <rFont val="Symbol"/>
        <family val="1"/>
        <charset val="2"/>
      </rPr>
      <t>P</t>
    </r>
  </si>
  <si>
    <r>
      <t>Monte Carlo
%</t>
    </r>
    <r>
      <rPr>
        <sz val="11"/>
        <color theme="1"/>
        <rFont val="Symbol"/>
        <family val="1"/>
        <charset val="2"/>
      </rPr>
      <t>P</t>
    </r>
  </si>
  <si>
    <t>Valor en Riesgo</t>
  </si>
  <si>
    <r>
      <t>VaR</t>
    </r>
    <r>
      <rPr>
        <vertAlign val="subscript"/>
        <sz val="11"/>
        <color theme="1"/>
        <rFont val="Aptos Narrow"/>
        <family val="2"/>
        <scheme val="minor"/>
      </rPr>
      <t>97.5%, 1 día</t>
    </r>
    <r>
      <rPr>
        <sz val="12"/>
        <color theme="1"/>
        <rFont val="Aptos Narrow"/>
        <family val="2"/>
        <scheme val="minor"/>
      </rPr>
      <t xml:space="preserve"> =</t>
    </r>
  </si>
  <si>
    <r>
      <t>CVaR</t>
    </r>
    <r>
      <rPr>
        <vertAlign val="subscript"/>
        <sz val="11"/>
        <color theme="1"/>
        <rFont val="Aptos Narrow"/>
        <family val="2"/>
        <scheme val="minor"/>
      </rPr>
      <t>97.5%, 1 día</t>
    </r>
    <r>
      <rPr>
        <sz val="12"/>
        <color theme="1"/>
        <rFont val="Aptos Narrow"/>
        <family val="2"/>
        <scheme val="minor"/>
      </rPr>
      <t xml:space="preserve"> =</t>
    </r>
  </si>
  <si>
    <r>
      <t>VaR</t>
    </r>
    <r>
      <rPr>
        <vertAlign val="subscript"/>
        <sz val="11"/>
        <color theme="1"/>
        <rFont val="Aptos Narrow"/>
        <family val="2"/>
        <scheme val="minor"/>
      </rPr>
      <t>97.5%, 10 días</t>
    </r>
    <r>
      <rPr>
        <sz val="12"/>
        <color theme="1"/>
        <rFont val="Aptos Narrow"/>
        <family val="2"/>
        <scheme val="minor"/>
      </rPr>
      <t xml:space="preserve"> =</t>
    </r>
  </si>
  <si>
    <t>Simulación Histórica
MXN $</t>
  </si>
  <si>
    <t>Monte Carlo
MXN $</t>
  </si>
  <si>
    <t>Paramétrico
MXN $</t>
  </si>
  <si>
    <r>
      <t>VaR</t>
    </r>
    <r>
      <rPr>
        <vertAlign val="subscript"/>
        <sz val="11"/>
        <color theme="1"/>
        <rFont val="Aptos Narrow"/>
        <family val="2"/>
        <scheme val="minor"/>
      </rPr>
      <t>97.5%, 1 día</t>
    </r>
    <r>
      <rPr>
        <sz val="12"/>
        <color theme="1"/>
        <rFont val="Aptos Narrow"/>
        <family val="2"/>
        <scheme val="minor"/>
      </rPr>
      <t xml:space="preserve"> (MXN) =</t>
    </r>
  </si>
  <si>
    <r>
      <t>VaR</t>
    </r>
    <r>
      <rPr>
        <vertAlign val="subscript"/>
        <sz val="11"/>
        <color theme="1"/>
        <rFont val="Aptos Narrow"/>
        <family val="2"/>
        <scheme val="minor"/>
      </rPr>
      <t>97.5%, 1 día</t>
    </r>
    <r>
      <rPr>
        <sz val="12"/>
        <color theme="1"/>
        <rFont val="Aptos Narrow"/>
        <family val="2"/>
        <scheme val="minor"/>
      </rPr>
      <t xml:space="preserve"> (%</t>
    </r>
    <r>
      <rPr>
        <sz val="11"/>
        <color theme="1"/>
        <rFont val="Symbol"/>
        <family val="1"/>
        <charset val="2"/>
      </rPr>
      <t>P</t>
    </r>
    <r>
      <rPr>
        <sz val="12"/>
        <color theme="1"/>
        <rFont val="Aptos Narrow"/>
        <family val="2"/>
        <scheme val="minor"/>
      </rPr>
      <t>) =</t>
    </r>
  </si>
  <si>
    <r>
      <t>CVaR</t>
    </r>
    <r>
      <rPr>
        <vertAlign val="subscript"/>
        <sz val="11"/>
        <color theme="1"/>
        <rFont val="Aptos Narrow"/>
        <family val="2"/>
        <scheme val="minor"/>
      </rPr>
      <t>97.5%, 1 día</t>
    </r>
    <r>
      <rPr>
        <sz val="12"/>
        <color theme="1"/>
        <rFont val="Aptos Narrow"/>
        <family val="2"/>
        <scheme val="minor"/>
      </rPr>
      <t xml:space="preserve"> (MXN) =</t>
    </r>
  </si>
  <si>
    <r>
      <t>CVaR</t>
    </r>
    <r>
      <rPr>
        <vertAlign val="subscript"/>
        <sz val="11"/>
        <color theme="1"/>
        <rFont val="Aptos Narrow"/>
        <family val="2"/>
        <scheme val="minor"/>
      </rPr>
      <t>97.5%, 1 día</t>
    </r>
    <r>
      <rPr>
        <sz val="12"/>
        <color theme="1"/>
        <rFont val="Aptos Narrow"/>
        <family val="2"/>
        <scheme val="minor"/>
      </rPr>
      <t xml:space="preserve"> (%</t>
    </r>
    <r>
      <rPr>
        <sz val="11"/>
        <color theme="1"/>
        <rFont val="Symbol"/>
        <family val="1"/>
        <charset val="2"/>
      </rPr>
      <t>P</t>
    </r>
    <r>
      <rPr>
        <sz val="12"/>
        <color theme="1"/>
        <rFont val="Aptos Narrow"/>
        <family val="2"/>
        <scheme val="minor"/>
      </rPr>
      <t>) =</t>
    </r>
  </si>
  <si>
    <r>
      <t>VaR</t>
    </r>
    <r>
      <rPr>
        <vertAlign val="subscript"/>
        <sz val="11"/>
        <color theme="1"/>
        <rFont val="Aptos Narrow"/>
        <family val="2"/>
        <scheme val="minor"/>
      </rPr>
      <t>97.5%, 10 días</t>
    </r>
    <r>
      <rPr>
        <sz val="12"/>
        <color theme="1"/>
        <rFont val="Aptos Narrow"/>
        <family val="2"/>
        <scheme val="minor"/>
      </rPr>
      <t xml:space="preserve"> (%</t>
    </r>
    <r>
      <rPr>
        <sz val="11"/>
        <color theme="1"/>
        <rFont val="Symbol"/>
        <family val="1"/>
        <charset val="2"/>
      </rPr>
      <t>P</t>
    </r>
    <r>
      <rPr>
        <sz val="12"/>
        <color theme="1"/>
        <rFont val="Aptos Narrow"/>
        <family val="2"/>
        <scheme val="minor"/>
      </rPr>
      <t>) =</t>
    </r>
  </si>
  <si>
    <r>
      <t>Paramétrico
%</t>
    </r>
    <r>
      <rPr>
        <sz val="11"/>
        <color theme="1"/>
        <rFont val="Symbol"/>
        <family val="1"/>
        <charset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</si>
</sst>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0.0000%"/>
    <numFmt numFmtId="167" formatCode="0.000000"/>
    <numFmt numFmtId="169" formatCode="0.00000"/>
    <numFmt numFmtId="170" formatCode="0.0000"/>
    <numFmt numFmtId="172" formatCode="_-* #,##0.00_-;\-* #,##0.00_-;_-* &quot;-&quot;??_-;_-@_-"/>
    <numFmt numFmtId="174" formatCode="_-&quot;$&quot;* #,##0_-;\-&quot;$&quot;* #,##0_-;_-&quot;$&quot;* &quot;-&quot;??_-;_-@_-"/>
    <numFmt numFmtId="185" formatCode="_-* #,##0_-;\-* #,##0_-;_-* &quot;-&quot;??_-;_-@_-"/>
  </numFmts>
  <fonts count="3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vertAlign val="subscript"/>
      <sz val="12"/>
      <color theme="1"/>
      <name val="Aptos Narrow (Body)"/>
    </font>
    <font>
      <i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Symbol"/>
      <family val="1"/>
      <charset val="2"/>
    </font>
    <font>
      <b/>
      <sz val="11"/>
      <color rgb="FF000000"/>
      <name val="Symbol"/>
      <family val="1"/>
      <charset val="2"/>
    </font>
    <font>
      <b/>
      <vertAlign val="superscript"/>
      <sz val="11"/>
      <color rgb="FF000000"/>
      <name val="Symbol"/>
      <family val="1"/>
      <charset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1"/>
      <charset val="2"/>
      <scheme val="minor"/>
    </font>
    <font>
      <sz val="11"/>
      <color rgb="FF000000"/>
      <name val="Aptos Narrow"/>
      <family val="1"/>
      <charset val="2"/>
      <scheme val="minor"/>
    </font>
    <font>
      <sz val="11"/>
      <color rgb="FF000000"/>
      <name val="Symbol"/>
      <family val="1"/>
      <charset val="2"/>
    </font>
    <font>
      <vertAlign val="subscript"/>
      <sz val="11"/>
      <color rgb="FF00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Symbol"/>
      <family val="1"/>
      <charset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1">
    <xf numFmtId="0" fontId="0" fillId="0" borderId="0" xfId="0"/>
    <xf numFmtId="14" fontId="0" fillId="0" borderId="0" xfId="0" applyNumberFormat="1"/>
    <xf numFmtId="9" fontId="0" fillId="0" borderId="0" xfId="3" applyFont="1"/>
    <xf numFmtId="10" fontId="0" fillId="0" borderId="0" xfId="3" applyNumberFormat="1" applyFont="1"/>
    <xf numFmtId="166" fontId="0" fillId="0" borderId="0" xfId="3" applyNumberFormat="1" applyFont="1"/>
    <xf numFmtId="0" fontId="19" fillId="0" borderId="10" xfId="0" applyFont="1" applyBorder="1" applyAlignment="1">
      <alignment horizontal="centerContinuous"/>
    </xf>
    <xf numFmtId="0" fontId="0" fillId="0" borderId="11" xfId="0" applyBorder="1"/>
    <xf numFmtId="0" fontId="0" fillId="0" borderId="0" xfId="0" applyBorder="1"/>
    <xf numFmtId="0" fontId="0" fillId="0" borderId="0" xfId="0" applyFill="1" applyBorder="1" applyAlignment="1"/>
    <xf numFmtId="0" fontId="0" fillId="0" borderId="11" xfId="0" applyFill="1" applyBorder="1" applyAlignment="1"/>
    <xf numFmtId="0" fontId="19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Continuous"/>
    </xf>
    <xf numFmtId="0" fontId="0" fillId="0" borderId="0" xfId="0" applyAlignment="1">
      <alignment wrapText="1"/>
    </xf>
    <xf numFmtId="0" fontId="19" fillId="0" borderId="0" xfId="0" applyFont="1" applyAlignment="1">
      <alignment horizontal="center"/>
    </xf>
    <xf numFmtId="3" fontId="0" fillId="0" borderId="0" xfId="0" applyNumberFormat="1"/>
    <xf numFmtId="170" fontId="0" fillId="0" borderId="0" xfId="0" applyNumberFormat="1" applyAlignment="1">
      <alignment wrapText="1"/>
    </xf>
    <xf numFmtId="0" fontId="0" fillId="0" borderId="12" xfId="0" applyBorder="1" applyAlignment="1">
      <alignment horizontal="right"/>
    </xf>
    <xf numFmtId="10" fontId="0" fillId="0" borderId="13" xfId="3" applyNumberFormat="1" applyFont="1" applyBorder="1"/>
    <xf numFmtId="0" fontId="0" fillId="0" borderId="14" xfId="0" applyBorder="1" applyAlignment="1">
      <alignment horizontal="right"/>
    </xf>
    <xf numFmtId="172" fontId="0" fillId="0" borderId="15" xfId="0" applyNumberFormat="1" applyBorder="1"/>
    <xf numFmtId="0" fontId="0" fillId="33" borderId="14" xfId="0" applyFill="1" applyBorder="1" applyAlignment="1">
      <alignment horizontal="right"/>
    </xf>
    <xf numFmtId="174" fontId="0" fillId="33" borderId="15" xfId="2" applyNumberFormat="1" applyFont="1" applyFill="1" applyBorder="1"/>
    <xf numFmtId="10" fontId="0" fillId="0" borderId="15" xfId="3" applyNumberFormat="1" applyFont="1" applyBorder="1"/>
    <xf numFmtId="0" fontId="0" fillId="0" borderId="16" xfId="0" applyBorder="1" applyAlignment="1">
      <alignment horizontal="right"/>
    </xf>
    <xf numFmtId="10" fontId="0" fillId="0" borderId="17" xfId="3" applyNumberFormat="1" applyFont="1" applyBorder="1"/>
    <xf numFmtId="0" fontId="0" fillId="0" borderId="12" xfId="0" applyBorder="1" applyAlignment="1">
      <alignment horizontal="left"/>
    </xf>
    <xf numFmtId="0" fontId="0" fillId="0" borderId="13" xfId="0" applyBorder="1"/>
    <xf numFmtId="14" fontId="0" fillId="0" borderId="0" xfId="0" applyNumberFormat="1" applyBorder="1"/>
    <xf numFmtId="170" fontId="0" fillId="0" borderId="0" xfId="0" applyNumberFormat="1" applyBorder="1" applyAlignment="1">
      <alignment wrapText="1"/>
    </xf>
    <xf numFmtId="169" fontId="0" fillId="0" borderId="0" xfId="0" applyNumberFormat="1"/>
    <xf numFmtId="170" fontId="0" fillId="0" borderId="0" xfId="0" applyNumberFormat="1"/>
    <xf numFmtId="0" fontId="22" fillId="0" borderId="18" xfId="0" applyFon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2" fontId="23" fillId="0" borderId="21" xfId="0" applyNumberFormat="1" applyFont="1" applyBorder="1" applyAlignment="1">
      <alignment horizontal="center"/>
    </xf>
    <xf numFmtId="0" fontId="0" fillId="0" borderId="22" xfId="0" applyBorder="1"/>
    <xf numFmtId="0" fontId="22" fillId="0" borderId="23" xfId="0" applyFont="1" applyBorder="1" applyAlignment="1">
      <alignment horizontal="center"/>
    </xf>
    <xf numFmtId="0" fontId="0" fillId="0" borderId="24" xfId="0" applyBorder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right"/>
    </xf>
    <xf numFmtId="172" fontId="0" fillId="0" borderId="0" xfId="0" applyNumberFormat="1"/>
    <xf numFmtId="185" fontId="0" fillId="0" borderId="0" xfId="1" applyNumberFormat="1" applyFont="1"/>
    <xf numFmtId="185" fontId="0" fillId="0" borderId="0" xfId="0" applyNumberFormat="1"/>
    <xf numFmtId="167" fontId="0" fillId="0" borderId="0" xfId="0" applyNumberFormat="1" applyFill="1" applyBorder="1" applyAlignment="1"/>
    <xf numFmtId="167" fontId="0" fillId="0" borderId="11" xfId="0" applyNumberFormat="1" applyFill="1" applyBorder="1" applyAlignment="1"/>
    <xf numFmtId="0" fontId="26" fillId="33" borderId="0" xfId="0" applyFont="1" applyFill="1" applyAlignment="1">
      <alignment horizontal="right"/>
    </xf>
    <xf numFmtId="3" fontId="0" fillId="33" borderId="0" xfId="0" applyNumberFormat="1" applyFill="1"/>
    <xf numFmtId="0" fontId="0" fillId="33" borderId="0" xfId="0" applyFill="1"/>
    <xf numFmtId="0" fontId="21" fillId="33" borderId="0" xfId="0" applyFont="1" applyFill="1" applyAlignment="1">
      <alignment horizontal="right"/>
    </xf>
    <xf numFmtId="0" fontId="26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10" fontId="0" fillId="0" borderId="0" xfId="0" applyNumberFormat="1"/>
    <xf numFmtId="0" fontId="0" fillId="33" borderId="25" xfId="0" applyFill="1" applyBorder="1"/>
    <xf numFmtId="185" fontId="0" fillId="33" borderId="26" xfId="1" applyNumberFormat="1" applyFont="1" applyFill="1" applyBorder="1" applyAlignment="1">
      <alignment horizontal="right"/>
    </xf>
    <xf numFmtId="43" fontId="0" fillId="33" borderId="26" xfId="1" applyFont="1" applyFill="1" applyBorder="1" applyAlignment="1">
      <alignment horizontal="right"/>
    </xf>
    <xf numFmtId="0" fontId="0" fillId="0" borderId="0" xfId="0" applyFill="1" applyBorder="1"/>
    <xf numFmtId="43" fontId="0" fillId="0" borderId="0" xfId="1" applyFont="1" applyFill="1" applyBorder="1" applyAlignment="1">
      <alignment horizontal="right"/>
    </xf>
    <xf numFmtId="185" fontId="0" fillId="33" borderId="26" xfId="0" applyNumberFormat="1" applyFill="1" applyBorder="1"/>
    <xf numFmtId="172" fontId="0" fillId="33" borderId="26" xfId="0" applyNumberFormat="1" applyFill="1" applyBorder="1"/>
    <xf numFmtId="172" fontId="0" fillId="0" borderId="0" xfId="0" applyNumberFormat="1" applyFill="1" applyBorder="1"/>
    <xf numFmtId="0" fontId="0" fillId="34" borderId="0" xfId="0" applyFill="1" applyAlignment="1">
      <alignment horizontal="right"/>
    </xf>
    <xf numFmtId="10" fontId="0" fillId="34" borderId="0" xfId="0" applyNumberFormat="1" applyFill="1"/>
    <xf numFmtId="0" fontId="0" fillId="34" borderId="0" xfId="0" applyFill="1"/>
    <xf numFmtId="172" fontId="0" fillId="34" borderId="0" xfId="0" applyNumberFormat="1" applyFill="1"/>
    <xf numFmtId="0" fontId="21" fillId="34" borderId="0" xfId="0" applyFont="1" applyFill="1" applyAlignment="1">
      <alignment horizontal="right" vertical="center" wrapText="1"/>
    </xf>
    <xf numFmtId="3" fontId="0" fillId="34" borderId="0" xfId="0" applyNumberFormat="1" applyFill="1"/>
    <xf numFmtId="0" fontId="0" fillId="34" borderId="11" xfId="0" applyFill="1" applyBorder="1" applyAlignment="1">
      <alignment horizontal="center"/>
    </xf>
    <xf numFmtId="0" fontId="0" fillId="34" borderId="27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 wrapText="1"/>
    </xf>
    <xf numFmtId="0" fontId="0" fillId="34" borderId="28" xfId="0" applyFill="1" applyBorder="1" applyAlignment="1">
      <alignment horizontal="center" vertical="center" wrapText="1"/>
    </xf>
    <xf numFmtId="0" fontId="0" fillId="34" borderId="14" xfId="0" applyFill="1" applyBorder="1" applyAlignment="1">
      <alignment horizontal="right"/>
    </xf>
    <xf numFmtId="185" fontId="0" fillId="34" borderId="0" xfId="1" applyNumberFormat="1" applyFont="1" applyFill="1" applyBorder="1"/>
    <xf numFmtId="10" fontId="0" fillId="34" borderId="0" xfId="3" applyNumberFormat="1" applyFont="1" applyFill="1" applyBorder="1"/>
    <xf numFmtId="10" fontId="0" fillId="34" borderId="15" xfId="3" applyNumberFormat="1" applyFont="1" applyFill="1" applyBorder="1"/>
    <xf numFmtId="0" fontId="0" fillId="34" borderId="16" xfId="0" applyFill="1" applyBorder="1" applyAlignment="1">
      <alignment horizontal="right"/>
    </xf>
    <xf numFmtId="185" fontId="0" fillId="34" borderId="11" xfId="1" applyNumberFormat="1" applyFont="1" applyFill="1" applyBorder="1"/>
    <xf numFmtId="10" fontId="0" fillId="34" borderId="11" xfId="3" applyNumberFormat="1" applyFont="1" applyFill="1" applyBorder="1"/>
    <xf numFmtId="10" fontId="0" fillId="34" borderId="17" xfId="3" applyNumberFormat="1" applyFont="1" applyFill="1" applyBorder="1"/>
    <xf numFmtId="0" fontId="25" fillId="0" borderId="0" xfId="0" applyFont="1" applyAlignment="1">
      <alignment horizont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Acciones!$B$1</c:f>
              <c:strCache>
                <c:ptCount val="1"/>
                <c:pt idx="0">
                  <c:v>AGUA.MX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Acciones!$A$2:$A$751</c:f>
              <c:numCache>
                <c:formatCode>m/d/yy</c:formatCode>
                <c:ptCount val="750"/>
                <c:pt idx="0">
                  <c:v>44998</c:v>
                </c:pt>
                <c:pt idx="1">
                  <c:v>44999</c:v>
                </c:pt>
                <c:pt idx="2">
                  <c:v>45000</c:v>
                </c:pt>
                <c:pt idx="3">
                  <c:v>45001</c:v>
                </c:pt>
                <c:pt idx="4">
                  <c:v>45002</c:v>
                </c:pt>
                <c:pt idx="5">
                  <c:v>45006</c:v>
                </c:pt>
                <c:pt idx="6">
                  <c:v>45007</c:v>
                </c:pt>
                <c:pt idx="7">
                  <c:v>45008</c:v>
                </c:pt>
                <c:pt idx="8">
                  <c:v>45009</c:v>
                </c:pt>
                <c:pt idx="9">
                  <c:v>45012</c:v>
                </c:pt>
                <c:pt idx="10">
                  <c:v>45013</c:v>
                </c:pt>
                <c:pt idx="11">
                  <c:v>45014</c:v>
                </c:pt>
                <c:pt idx="12">
                  <c:v>45015</c:v>
                </c:pt>
                <c:pt idx="13">
                  <c:v>45016</c:v>
                </c:pt>
                <c:pt idx="14">
                  <c:v>45019</c:v>
                </c:pt>
                <c:pt idx="15">
                  <c:v>45020</c:v>
                </c:pt>
                <c:pt idx="16">
                  <c:v>45021</c:v>
                </c:pt>
                <c:pt idx="17">
                  <c:v>45026</c:v>
                </c:pt>
                <c:pt idx="18">
                  <c:v>45027</c:v>
                </c:pt>
                <c:pt idx="19">
                  <c:v>45028</c:v>
                </c:pt>
                <c:pt idx="20">
                  <c:v>45029</c:v>
                </c:pt>
                <c:pt idx="21">
                  <c:v>45030</c:v>
                </c:pt>
                <c:pt idx="22">
                  <c:v>45033</c:v>
                </c:pt>
                <c:pt idx="23">
                  <c:v>45034</c:v>
                </c:pt>
                <c:pt idx="24">
                  <c:v>45035</c:v>
                </c:pt>
                <c:pt idx="25">
                  <c:v>45036</c:v>
                </c:pt>
                <c:pt idx="26">
                  <c:v>45037</c:v>
                </c:pt>
                <c:pt idx="27">
                  <c:v>45040</c:v>
                </c:pt>
                <c:pt idx="28">
                  <c:v>45041</c:v>
                </c:pt>
                <c:pt idx="29">
                  <c:v>45042</c:v>
                </c:pt>
                <c:pt idx="30">
                  <c:v>45043</c:v>
                </c:pt>
                <c:pt idx="31">
                  <c:v>45044</c:v>
                </c:pt>
                <c:pt idx="32">
                  <c:v>45048</c:v>
                </c:pt>
                <c:pt idx="33">
                  <c:v>45049</c:v>
                </c:pt>
                <c:pt idx="34">
                  <c:v>45050</c:v>
                </c:pt>
                <c:pt idx="35">
                  <c:v>45051</c:v>
                </c:pt>
                <c:pt idx="36">
                  <c:v>45054</c:v>
                </c:pt>
                <c:pt idx="37">
                  <c:v>45055</c:v>
                </c:pt>
                <c:pt idx="38">
                  <c:v>45056</c:v>
                </c:pt>
                <c:pt idx="39">
                  <c:v>45057</c:v>
                </c:pt>
                <c:pt idx="40">
                  <c:v>45058</c:v>
                </c:pt>
                <c:pt idx="41">
                  <c:v>45061</c:v>
                </c:pt>
                <c:pt idx="42">
                  <c:v>45062</c:v>
                </c:pt>
                <c:pt idx="43">
                  <c:v>45063</c:v>
                </c:pt>
                <c:pt idx="44">
                  <c:v>45064</c:v>
                </c:pt>
                <c:pt idx="45">
                  <c:v>45065</c:v>
                </c:pt>
                <c:pt idx="46">
                  <c:v>45068</c:v>
                </c:pt>
                <c:pt idx="47">
                  <c:v>45069</c:v>
                </c:pt>
                <c:pt idx="48">
                  <c:v>45070</c:v>
                </c:pt>
                <c:pt idx="49">
                  <c:v>45071</c:v>
                </c:pt>
                <c:pt idx="50">
                  <c:v>45072</c:v>
                </c:pt>
                <c:pt idx="51">
                  <c:v>45075</c:v>
                </c:pt>
                <c:pt idx="52">
                  <c:v>45076</c:v>
                </c:pt>
                <c:pt idx="53">
                  <c:v>45077</c:v>
                </c:pt>
                <c:pt idx="54">
                  <c:v>45078</c:v>
                </c:pt>
                <c:pt idx="55">
                  <c:v>45079</c:v>
                </c:pt>
                <c:pt idx="56">
                  <c:v>45082</c:v>
                </c:pt>
                <c:pt idx="57">
                  <c:v>45083</c:v>
                </c:pt>
                <c:pt idx="58">
                  <c:v>45084</c:v>
                </c:pt>
                <c:pt idx="59">
                  <c:v>45085</c:v>
                </c:pt>
                <c:pt idx="60">
                  <c:v>45086</c:v>
                </c:pt>
                <c:pt idx="61">
                  <c:v>45089</c:v>
                </c:pt>
                <c:pt idx="62">
                  <c:v>45090</c:v>
                </c:pt>
                <c:pt idx="63">
                  <c:v>45091</c:v>
                </c:pt>
                <c:pt idx="64">
                  <c:v>45092</c:v>
                </c:pt>
                <c:pt idx="65">
                  <c:v>45093</c:v>
                </c:pt>
                <c:pt idx="66">
                  <c:v>45096</c:v>
                </c:pt>
                <c:pt idx="67">
                  <c:v>45097</c:v>
                </c:pt>
                <c:pt idx="68">
                  <c:v>45098</c:v>
                </c:pt>
                <c:pt idx="69">
                  <c:v>45099</c:v>
                </c:pt>
                <c:pt idx="70">
                  <c:v>45100</c:v>
                </c:pt>
                <c:pt idx="71">
                  <c:v>45103</c:v>
                </c:pt>
                <c:pt idx="72">
                  <c:v>45104</c:v>
                </c:pt>
                <c:pt idx="73">
                  <c:v>45105</c:v>
                </c:pt>
                <c:pt idx="74">
                  <c:v>45106</c:v>
                </c:pt>
                <c:pt idx="75">
                  <c:v>45107</c:v>
                </c:pt>
                <c:pt idx="76">
                  <c:v>45110</c:v>
                </c:pt>
                <c:pt idx="77">
                  <c:v>45111</c:v>
                </c:pt>
                <c:pt idx="78">
                  <c:v>45112</c:v>
                </c:pt>
                <c:pt idx="79">
                  <c:v>45113</c:v>
                </c:pt>
                <c:pt idx="80">
                  <c:v>45114</c:v>
                </c:pt>
                <c:pt idx="81">
                  <c:v>45117</c:v>
                </c:pt>
                <c:pt idx="82">
                  <c:v>45118</c:v>
                </c:pt>
                <c:pt idx="83">
                  <c:v>45119</c:v>
                </c:pt>
                <c:pt idx="84">
                  <c:v>45120</c:v>
                </c:pt>
                <c:pt idx="85">
                  <c:v>45121</c:v>
                </c:pt>
                <c:pt idx="86">
                  <c:v>45124</c:v>
                </c:pt>
                <c:pt idx="87">
                  <c:v>45125</c:v>
                </c:pt>
                <c:pt idx="88">
                  <c:v>45126</c:v>
                </c:pt>
                <c:pt idx="89">
                  <c:v>45127</c:v>
                </c:pt>
                <c:pt idx="90">
                  <c:v>45128</c:v>
                </c:pt>
                <c:pt idx="91">
                  <c:v>45131</c:v>
                </c:pt>
                <c:pt idx="92">
                  <c:v>45132</c:v>
                </c:pt>
                <c:pt idx="93">
                  <c:v>45133</c:v>
                </c:pt>
                <c:pt idx="94">
                  <c:v>45134</c:v>
                </c:pt>
                <c:pt idx="95">
                  <c:v>45135</c:v>
                </c:pt>
                <c:pt idx="96">
                  <c:v>45138</c:v>
                </c:pt>
                <c:pt idx="97">
                  <c:v>45139</c:v>
                </c:pt>
                <c:pt idx="98">
                  <c:v>45140</c:v>
                </c:pt>
                <c:pt idx="99">
                  <c:v>45141</c:v>
                </c:pt>
                <c:pt idx="100">
                  <c:v>45142</c:v>
                </c:pt>
                <c:pt idx="101">
                  <c:v>45145</c:v>
                </c:pt>
                <c:pt idx="102">
                  <c:v>45146</c:v>
                </c:pt>
                <c:pt idx="103">
                  <c:v>45147</c:v>
                </c:pt>
                <c:pt idx="104">
                  <c:v>45148</c:v>
                </c:pt>
                <c:pt idx="105">
                  <c:v>45149</c:v>
                </c:pt>
                <c:pt idx="106">
                  <c:v>45152</c:v>
                </c:pt>
                <c:pt idx="107">
                  <c:v>45153</c:v>
                </c:pt>
                <c:pt idx="108">
                  <c:v>45154</c:v>
                </c:pt>
                <c:pt idx="109">
                  <c:v>45155</c:v>
                </c:pt>
                <c:pt idx="110">
                  <c:v>45156</c:v>
                </c:pt>
                <c:pt idx="111">
                  <c:v>45159</c:v>
                </c:pt>
                <c:pt idx="112">
                  <c:v>45160</c:v>
                </c:pt>
                <c:pt idx="113">
                  <c:v>45161</c:v>
                </c:pt>
                <c:pt idx="114">
                  <c:v>45162</c:v>
                </c:pt>
                <c:pt idx="115">
                  <c:v>45163</c:v>
                </c:pt>
                <c:pt idx="116">
                  <c:v>45166</c:v>
                </c:pt>
                <c:pt idx="117">
                  <c:v>45167</c:v>
                </c:pt>
                <c:pt idx="118">
                  <c:v>45168</c:v>
                </c:pt>
                <c:pt idx="119">
                  <c:v>45169</c:v>
                </c:pt>
                <c:pt idx="120">
                  <c:v>45170</c:v>
                </c:pt>
                <c:pt idx="121">
                  <c:v>45173</c:v>
                </c:pt>
                <c:pt idx="122">
                  <c:v>45174</c:v>
                </c:pt>
                <c:pt idx="123">
                  <c:v>45175</c:v>
                </c:pt>
                <c:pt idx="124">
                  <c:v>45176</c:v>
                </c:pt>
                <c:pt idx="125">
                  <c:v>45177</c:v>
                </c:pt>
                <c:pt idx="126">
                  <c:v>45180</c:v>
                </c:pt>
                <c:pt idx="127">
                  <c:v>45181</c:v>
                </c:pt>
                <c:pt idx="128">
                  <c:v>45182</c:v>
                </c:pt>
                <c:pt idx="129">
                  <c:v>45183</c:v>
                </c:pt>
                <c:pt idx="130">
                  <c:v>45184</c:v>
                </c:pt>
                <c:pt idx="131">
                  <c:v>45187</c:v>
                </c:pt>
                <c:pt idx="132">
                  <c:v>45188</c:v>
                </c:pt>
                <c:pt idx="133">
                  <c:v>45189</c:v>
                </c:pt>
                <c:pt idx="134">
                  <c:v>45190</c:v>
                </c:pt>
                <c:pt idx="135">
                  <c:v>45191</c:v>
                </c:pt>
                <c:pt idx="136">
                  <c:v>45194</c:v>
                </c:pt>
                <c:pt idx="137">
                  <c:v>45195</c:v>
                </c:pt>
                <c:pt idx="138">
                  <c:v>45196</c:v>
                </c:pt>
                <c:pt idx="139">
                  <c:v>45197</c:v>
                </c:pt>
                <c:pt idx="140">
                  <c:v>45198</c:v>
                </c:pt>
                <c:pt idx="141">
                  <c:v>45201</c:v>
                </c:pt>
                <c:pt idx="142">
                  <c:v>45202</c:v>
                </c:pt>
                <c:pt idx="143">
                  <c:v>45203</c:v>
                </c:pt>
                <c:pt idx="144">
                  <c:v>45204</c:v>
                </c:pt>
                <c:pt idx="145">
                  <c:v>45205</c:v>
                </c:pt>
                <c:pt idx="146">
                  <c:v>45208</c:v>
                </c:pt>
                <c:pt idx="147">
                  <c:v>45209</c:v>
                </c:pt>
                <c:pt idx="148">
                  <c:v>45210</c:v>
                </c:pt>
                <c:pt idx="149">
                  <c:v>45211</c:v>
                </c:pt>
                <c:pt idx="150">
                  <c:v>45212</c:v>
                </c:pt>
                <c:pt idx="151">
                  <c:v>45215</c:v>
                </c:pt>
                <c:pt idx="152">
                  <c:v>45216</c:v>
                </c:pt>
                <c:pt idx="153">
                  <c:v>45217</c:v>
                </c:pt>
                <c:pt idx="154">
                  <c:v>45218</c:v>
                </c:pt>
                <c:pt idx="155">
                  <c:v>45219</c:v>
                </c:pt>
                <c:pt idx="156">
                  <c:v>45222</c:v>
                </c:pt>
                <c:pt idx="157">
                  <c:v>45223</c:v>
                </c:pt>
                <c:pt idx="158">
                  <c:v>45224</c:v>
                </c:pt>
                <c:pt idx="159">
                  <c:v>45225</c:v>
                </c:pt>
                <c:pt idx="160">
                  <c:v>45226</c:v>
                </c:pt>
                <c:pt idx="161">
                  <c:v>45229</c:v>
                </c:pt>
                <c:pt idx="162">
                  <c:v>45230</c:v>
                </c:pt>
                <c:pt idx="163">
                  <c:v>45231</c:v>
                </c:pt>
                <c:pt idx="164">
                  <c:v>45233</c:v>
                </c:pt>
                <c:pt idx="165">
                  <c:v>45236</c:v>
                </c:pt>
                <c:pt idx="166">
                  <c:v>45237</c:v>
                </c:pt>
                <c:pt idx="167">
                  <c:v>45238</c:v>
                </c:pt>
                <c:pt idx="168">
                  <c:v>45239</c:v>
                </c:pt>
                <c:pt idx="169">
                  <c:v>45240</c:v>
                </c:pt>
                <c:pt idx="170">
                  <c:v>45243</c:v>
                </c:pt>
                <c:pt idx="171">
                  <c:v>45244</c:v>
                </c:pt>
                <c:pt idx="172">
                  <c:v>45245</c:v>
                </c:pt>
                <c:pt idx="173">
                  <c:v>45246</c:v>
                </c:pt>
                <c:pt idx="174">
                  <c:v>45247</c:v>
                </c:pt>
                <c:pt idx="175">
                  <c:v>45251</c:v>
                </c:pt>
                <c:pt idx="176">
                  <c:v>45252</c:v>
                </c:pt>
                <c:pt idx="177">
                  <c:v>45253</c:v>
                </c:pt>
                <c:pt idx="178">
                  <c:v>45254</c:v>
                </c:pt>
                <c:pt idx="179">
                  <c:v>45257</c:v>
                </c:pt>
                <c:pt idx="180">
                  <c:v>45258</c:v>
                </c:pt>
                <c:pt idx="181">
                  <c:v>45259</c:v>
                </c:pt>
                <c:pt idx="182">
                  <c:v>45260</c:v>
                </c:pt>
                <c:pt idx="183">
                  <c:v>45261</c:v>
                </c:pt>
                <c:pt idx="184">
                  <c:v>45264</c:v>
                </c:pt>
                <c:pt idx="185">
                  <c:v>45265</c:v>
                </c:pt>
                <c:pt idx="186">
                  <c:v>45266</c:v>
                </c:pt>
                <c:pt idx="187">
                  <c:v>45267</c:v>
                </c:pt>
                <c:pt idx="188">
                  <c:v>45268</c:v>
                </c:pt>
                <c:pt idx="189">
                  <c:v>45271</c:v>
                </c:pt>
                <c:pt idx="190">
                  <c:v>45273</c:v>
                </c:pt>
                <c:pt idx="191">
                  <c:v>45274</c:v>
                </c:pt>
                <c:pt idx="192">
                  <c:v>45275</c:v>
                </c:pt>
                <c:pt idx="193">
                  <c:v>45278</c:v>
                </c:pt>
                <c:pt idx="194">
                  <c:v>45279</c:v>
                </c:pt>
                <c:pt idx="195">
                  <c:v>45280</c:v>
                </c:pt>
                <c:pt idx="196">
                  <c:v>45281</c:v>
                </c:pt>
                <c:pt idx="197">
                  <c:v>45282</c:v>
                </c:pt>
                <c:pt idx="198">
                  <c:v>45286</c:v>
                </c:pt>
                <c:pt idx="199">
                  <c:v>45287</c:v>
                </c:pt>
                <c:pt idx="200">
                  <c:v>45288</c:v>
                </c:pt>
                <c:pt idx="201">
                  <c:v>45289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45299</c:v>
                </c:pt>
                <c:pt idx="207">
                  <c:v>45300</c:v>
                </c:pt>
                <c:pt idx="208">
                  <c:v>45301</c:v>
                </c:pt>
                <c:pt idx="209">
                  <c:v>45302</c:v>
                </c:pt>
                <c:pt idx="210">
                  <c:v>45303</c:v>
                </c:pt>
                <c:pt idx="211">
                  <c:v>45306</c:v>
                </c:pt>
                <c:pt idx="212">
                  <c:v>45307</c:v>
                </c:pt>
                <c:pt idx="213">
                  <c:v>45308</c:v>
                </c:pt>
                <c:pt idx="214">
                  <c:v>45309</c:v>
                </c:pt>
                <c:pt idx="215">
                  <c:v>45310</c:v>
                </c:pt>
                <c:pt idx="216">
                  <c:v>45313</c:v>
                </c:pt>
                <c:pt idx="217">
                  <c:v>45314</c:v>
                </c:pt>
                <c:pt idx="218">
                  <c:v>45315</c:v>
                </c:pt>
                <c:pt idx="219">
                  <c:v>45316</c:v>
                </c:pt>
                <c:pt idx="220">
                  <c:v>45317</c:v>
                </c:pt>
                <c:pt idx="221">
                  <c:v>45320</c:v>
                </c:pt>
                <c:pt idx="222">
                  <c:v>45321</c:v>
                </c:pt>
                <c:pt idx="223">
                  <c:v>45322</c:v>
                </c:pt>
                <c:pt idx="224">
                  <c:v>45323</c:v>
                </c:pt>
                <c:pt idx="225">
                  <c:v>45324</c:v>
                </c:pt>
                <c:pt idx="226">
                  <c:v>45328</c:v>
                </c:pt>
                <c:pt idx="227">
                  <c:v>45329</c:v>
                </c:pt>
                <c:pt idx="228">
                  <c:v>45330</c:v>
                </c:pt>
                <c:pt idx="229">
                  <c:v>45331</c:v>
                </c:pt>
                <c:pt idx="230">
                  <c:v>45334</c:v>
                </c:pt>
                <c:pt idx="231">
                  <c:v>45335</c:v>
                </c:pt>
                <c:pt idx="232">
                  <c:v>45336</c:v>
                </c:pt>
                <c:pt idx="233">
                  <c:v>45337</c:v>
                </c:pt>
                <c:pt idx="234">
                  <c:v>45338</c:v>
                </c:pt>
                <c:pt idx="235">
                  <c:v>45341</c:v>
                </c:pt>
                <c:pt idx="236">
                  <c:v>45342</c:v>
                </c:pt>
                <c:pt idx="237">
                  <c:v>45343</c:v>
                </c:pt>
                <c:pt idx="238">
                  <c:v>45344</c:v>
                </c:pt>
                <c:pt idx="239">
                  <c:v>45345</c:v>
                </c:pt>
                <c:pt idx="240">
                  <c:v>45348</c:v>
                </c:pt>
                <c:pt idx="241">
                  <c:v>45349</c:v>
                </c:pt>
                <c:pt idx="242">
                  <c:v>45350</c:v>
                </c:pt>
                <c:pt idx="243">
                  <c:v>45351</c:v>
                </c:pt>
                <c:pt idx="244">
                  <c:v>45352</c:v>
                </c:pt>
                <c:pt idx="245">
                  <c:v>45355</c:v>
                </c:pt>
                <c:pt idx="246">
                  <c:v>45356</c:v>
                </c:pt>
                <c:pt idx="247">
                  <c:v>45357</c:v>
                </c:pt>
                <c:pt idx="248">
                  <c:v>45358</c:v>
                </c:pt>
                <c:pt idx="249">
                  <c:v>45359</c:v>
                </c:pt>
                <c:pt idx="250">
                  <c:v>45362</c:v>
                </c:pt>
                <c:pt idx="251">
                  <c:v>45363</c:v>
                </c:pt>
                <c:pt idx="252">
                  <c:v>45364</c:v>
                </c:pt>
                <c:pt idx="253">
                  <c:v>45365</c:v>
                </c:pt>
                <c:pt idx="254">
                  <c:v>45366</c:v>
                </c:pt>
                <c:pt idx="255">
                  <c:v>45370</c:v>
                </c:pt>
                <c:pt idx="256">
                  <c:v>45371</c:v>
                </c:pt>
                <c:pt idx="257">
                  <c:v>45372</c:v>
                </c:pt>
                <c:pt idx="258">
                  <c:v>45373</c:v>
                </c:pt>
                <c:pt idx="259">
                  <c:v>45376</c:v>
                </c:pt>
                <c:pt idx="260">
                  <c:v>45377</c:v>
                </c:pt>
                <c:pt idx="261">
                  <c:v>45378</c:v>
                </c:pt>
                <c:pt idx="262">
                  <c:v>45383</c:v>
                </c:pt>
                <c:pt idx="263">
                  <c:v>45384</c:v>
                </c:pt>
                <c:pt idx="264">
                  <c:v>45385</c:v>
                </c:pt>
                <c:pt idx="265">
                  <c:v>45386</c:v>
                </c:pt>
                <c:pt idx="266">
                  <c:v>45387</c:v>
                </c:pt>
                <c:pt idx="267">
                  <c:v>45390</c:v>
                </c:pt>
                <c:pt idx="268">
                  <c:v>45391</c:v>
                </c:pt>
                <c:pt idx="269">
                  <c:v>45392</c:v>
                </c:pt>
                <c:pt idx="270">
                  <c:v>45393</c:v>
                </c:pt>
                <c:pt idx="271">
                  <c:v>45394</c:v>
                </c:pt>
                <c:pt idx="272">
                  <c:v>45397</c:v>
                </c:pt>
                <c:pt idx="273">
                  <c:v>45398</c:v>
                </c:pt>
                <c:pt idx="274">
                  <c:v>45399</c:v>
                </c:pt>
                <c:pt idx="275">
                  <c:v>45400</c:v>
                </c:pt>
                <c:pt idx="276">
                  <c:v>45401</c:v>
                </c:pt>
                <c:pt idx="277">
                  <c:v>45404</c:v>
                </c:pt>
                <c:pt idx="278">
                  <c:v>45405</c:v>
                </c:pt>
                <c:pt idx="279">
                  <c:v>45406</c:v>
                </c:pt>
                <c:pt idx="280">
                  <c:v>45407</c:v>
                </c:pt>
                <c:pt idx="281">
                  <c:v>45408</c:v>
                </c:pt>
                <c:pt idx="282">
                  <c:v>45411</c:v>
                </c:pt>
                <c:pt idx="283">
                  <c:v>45412</c:v>
                </c:pt>
                <c:pt idx="284">
                  <c:v>45414</c:v>
                </c:pt>
                <c:pt idx="285">
                  <c:v>45415</c:v>
                </c:pt>
                <c:pt idx="286">
                  <c:v>45418</c:v>
                </c:pt>
                <c:pt idx="287">
                  <c:v>45419</c:v>
                </c:pt>
                <c:pt idx="288">
                  <c:v>45420</c:v>
                </c:pt>
                <c:pt idx="289">
                  <c:v>45421</c:v>
                </c:pt>
                <c:pt idx="290">
                  <c:v>45422</c:v>
                </c:pt>
                <c:pt idx="291">
                  <c:v>45425</c:v>
                </c:pt>
                <c:pt idx="292">
                  <c:v>45426</c:v>
                </c:pt>
                <c:pt idx="293">
                  <c:v>45427</c:v>
                </c:pt>
                <c:pt idx="294">
                  <c:v>45428</c:v>
                </c:pt>
                <c:pt idx="295">
                  <c:v>45429</c:v>
                </c:pt>
                <c:pt idx="296">
                  <c:v>45432</c:v>
                </c:pt>
                <c:pt idx="297">
                  <c:v>45433</c:v>
                </c:pt>
                <c:pt idx="298">
                  <c:v>45434</c:v>
                </c:pt>
                <c:pt idx="299">
                  <c:v>45435</c:v>
                </c:pt>
                <c:pt idx="300">
                  <c:v>45436</c:v>
                </c:pt>
                <c:pt idx="301">
                  <c:v>45439</c:v>
                </c:pt>
                <c:pt idx="302">
                  <c:v>45440</c:v>
                </c:pt>
                <c:pt idx="303">
                  <c:v>45441</c:v>
                </c:pt>
                <c:pt idx="304">
                  <c:v>45442</c:v>
                </c:pt>
                <c:pt idx="305">
                  <c:v>45443</c:v>
                </c:pt>
                <c:pt idx="306">
                  <c:v>45446</c:v>
                </c:pt>
                <c:pt idx="307">
                  <c:v>45447</c:v>
                </c:pt>
                <c:pt idx="308">
                  <c:v>45448</c:v>
                </c:pt>
                <c:pt idx="309">
                  <c:v>45449</c:v>
                </c:pt>
                <c:pt idx="310">
                  <c:v>45450</c:v>
                </c:pt>
                <c:pt idx="311">
                  <c:v>45453</c:v>
                </c:pt>
                <c:pt idx="312">
                  <c:v>45454</c:v>
                </c:pt>
                <c:pt idx="313">
                  <c:v>45455</c:v>
                </c:pt>
                <c:pt idx="314">
                  <c:v>45456</c:v>
                </c:pt>
                <c:pt idx="315">
                  <c:v>45457</c:v>
                </c:pt>
                <c:pt idx="316">
                  <c:v>45460</c:v>
                </c:pt>
                <c:pt idx="317">
                  <c:v>45461</c:v>
                </c:pt>
                <c:pt idx="318">
                  <c:v>45462</c:v>
                </c:pt>
                <c:pt idx="319">
                  <c:v>45463</c:v>
                </c:pt>
                <c:pt idx="320">
                  <c:v>45464</c:v>
                </c:pt>
                <c:pt idx="321">
                  <c:v>45467</c:v>
                </c:pt>
                <c:pt idx="322">
                  <c:v>45468</c:v>
                </c:pt>
                <c:pt idx="323">
                  <c:v>45469</c:v>
                </c:pt>
                <c:pt idx="324">
                  <c:v>45470</c:v>
                </c:pt>
                <c:pt idx="325">
                  <c:v>45471</c:v>
                </c:pt>
                <c:pt idx="326">
                  <c:v>45474</c:v>
                </c:pt>
                <c:pt idx="327">
                  <c:v>45475</c:v>
                </c:pt>
                <c:pt idx="328">
                  <c:v>45476</c:v>
                </c:pt>
                <c:pt idx="329">
                  <c:v>45477</c:v>
                </c:pt>
                <c:pt idx="330">
                  <c:v>45478</c:v>
                </c:pt>
                <c:pt idx="331">
                  <c:v>45481</c:v>
                </c:pt>
                <c:pt idx="332">
                  <c:v>45482</c:v>
                </c:pt>
                <c:pt idx="333">
                  <c:v>45483</c:v>
                </c:pt>
                <c:pt idx="334">
                  <c:v>45484</c:v>
                </c:pt>
                <c:pt idx="335">
                  <c:v>45485</c:v>
                </c:pt>
                <c:pt idx="336">
                  <c:v>45488</c:v>
                </c:pt>
                <c:pt idx="337">
                  <c:v>45489</c:v>
                </c:pt>
                <c:pt idx="338">
                  <c:v>45490</c:v>
                </c:pt>
                <c:pt idx="339">
                  <c:v>45491</c:v>
                </c:pt>
                <c:pt idx="340">
                  <c:v>45492</c:v>
                </c:pt>
                <c:pt idx="341">
                  <c:v>45495</c:v>
                </c:pt>
                <c:pt idx="342">
                  <c:v>45496</c:v>
                </c:pt>
                <c:pt idx="343">
                  <c:v>45497</c:v>
                </c:pt>
                <c:pt idx="344">
                  <c:v>45498</c:v>
                </c:pt>
                <c:pt idx="345">
                  <c:v>45499</c:v>
                </c:pt>
                <c:pt idx="346">
                  <c:v>45502</c:v>
                </c:pt>
                <c:pt idx="347">
                  <c:v>45503</c:v>
                </c:pt>
                <c:pt idx="348">
                  <c:v>45504</c:v>
                </c:pt>
                <c:pt idx="349">
                  <c:v>45505</c:v>
                </c:pt>
                <c:pt idx="350">
                  <c:v>45506</c:v>
                </c:pt>
                <c:pt idx="351">
                  <c:v>45509</c:v>
                </c:pt>
                <c:pt idx="352">
                  <c:v>45510</c:v>
                </c:pt>
                <c:pt idx="353">
                  <c:v>45511</c:v>
                </c:pt>
                <c:pt idx="354">
                  <c:v>45512</c:v>
                </c:pt>
                <c:pt idx="355">
                  <c:v>45513</c:v>
                </c:pt>
                <c:pt idx="356">
                  <c:v>45516</c:v>
                </c:pt>
                <c:pt idx="357">
                  <c:v>45517</c:v>
                </c:pt>
                <c:pt idx="358">
                  <c:v>45518</c:v>
                </c:pt>
                <c:pt idx="359">
                  <c:v>45519</c:v>
                </c:pt>
                <c:pt idx="360">
                  <c:v>45520</c:v>
                </c:pt>
                <c:pt idx="361">
                  <c:v>45523</c:v>
                </c:pt>
                <c:pt idx="362">
                  <c:v>45524</c:v>
                </c:pt>
                <c:pt idx="363">
                  <c:v>45525</c:v>
                </c:pt>
                <c:pt idx="364">
                  <c:v>45526</c:v>
                </c:pt>
                <c:pt idx="365">
                  <c:v>45527</c:v>
                </c:pt>
                <c:pt idx="366">
                  <c:v>45530</c:v>
                </c:pt>
                <c:pt idx="367">
                  <c:v>45531</c:v>
                </c:pt>
                <c:pt idx="368">
                  <c:v>45532</c:v>
                </c:pt>
                <c:pt idx="369">
                  <c:v>45533</c:v>
                </c:pt>
                <c:pt idx="370">
                  <c:v>45534</c:v>
                </c:pt>
                <c:pt idx="371">
                  <c:v>45537</c:v>
                </c:pt>
                <c:pt idx="372">
                  <c:v>45538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45552</c:v>
                </c:pt>
                <c:pt idx="382">
                  <c:v>45553</c:v>
                </c:pt>
                <c:pt idx="383">
                  <c:v>45554</c:v>
                </c:pt>
                <c:pt idx="384">
                  <c:v>45555</c:v>
                </c:pt>
                <c:pt idx="385">
                  <c:v>45558</c:v>
                </c:pt>
                <c:pt idx="386">
                  <c:v>45559</c:v>
                </c:pt>
                <c:pt idx="387">
                  <c:v>45560</c:v>
                </c:pt>
                <c:pt idx="388">
                  <c:v>45561</c:v>
                </c:pt>
                <c:pt idx="389">
                  <c:v>45562</c:v>
                </c:pt>
                <c:pt idx="390">
                  <c:v>45565</c:v>
                </c:pt>
                <c:pt idx="391">
                  <c:v>45567</c:v>
                </c:pt>
                <c:pt idx="392">
                  <c:v>45568</c:v>
                </c:pt>
                <c:pt idx="393">
                  <c:v>45569</c:v>
                </c:pt>
                <c:pt idx="394">
                  <c:v>45572</c:v>
                </c:pt>
                <c:pt idx="395">
                  <c:v>45573</c:v>
                </c:pt>
                <c:pt idx="396">
                  <c:v>45574</c:v>
                </c:pt>
                <c:pt idx="397">
                  <c:v>45575</c:v>
                </c:pt>
                <c:pt idx="398">
                  <c:v>45576</c:v>
                </c:pt>
                <c:pt idx="399">
                  <c:v>45579</c:v>
                </c:pt>
                <c:pt idx="400">
                  <c:v>45580</c:v>
                </c:pt>
                <c:pt idx="401">
                  <c:v>45581</c:v>
                </c:pt>
                <c:pt idx="402">
                  <c:v>45582</c:v>
                </c:pt>
                <c:pt idx="403">
                  <c:v>45583</c:v>
                </c:pt>
                <c:pt idx="404">
                  <c:v>45586</c:v>
                </c:pt>
                <c:pt idx="405">
                  <c:v>45587</c:v>
                </c:pt>
                <c:pt idx="406">
                  <c:v>45588</c:v>
                </c:pt>
                <c:pt idx="407">
                  <c:v>45589</c:v>
                </c:pt>
                <c:pt idx="408">
                  <c:v>45590</c:v>
                </c:pt>
                <c:pt idx="409">
                  <c:v>45593</c:v>
                </c:pt>
                <c:pt idx="410">
                  <c:v>45594</c:v>
                </c:pt>
                <c:pt idx="411">
                  <c:v>45595</c:v>
                </c:pt>
                <c:pt idx="412">
                  <c:v>45596</c:v>
                </c:pt>
                <c:pt idx="413">
                  <c:v>45597</c:v>
                </c:pt>
                <c:pt idx="414">
                  <c:v>45600</c:v>
                </c:pt>
                <c:pt idx="415">
                  <c:v>45601</c:v>
                </c:pt>
                <c:pt idx="416">
                  <c:v>45602</c:v>
                </c:pt>
                <c:pt idx="417">
                  <c:v>45603</c:v>
                </c:pt>
                <c:pt idx="418">
                  <c:v>45604</c:v>
                </c:pt>
                <c:pt idx="419">
                  <c:v>45607</c:v>
                </c:pt>
                <c:pt idx="420">
                  <c:v>45608</c:v>
                </c:pt>
                <c:pt idx="421">
                  <c:v>45609</c:v>
                </c:pt>
                <c:pt idx="422">
                  <c:v>45610</c:v>
                </c:pt>
                <c:pt idx="423">
                  <c:v>45611</c:v>
                </c:pt>
                <c:pt idx="424">
                  <c:v>45615</c:v>
                </c:pt>
                <c:pt idx="425">
                  <c:v>45616</c:v>
                </c:pt>
                <c:pt idx="426">
                  <c:v>45617</c:v>
                </c:pt>
                <c:pt idx="427">
                  <c:v>45618</c:v>
                </c:pt>
                <c:pt idx="428">
                  <c:v>45621</c:v>
                </c:pt>
                <c:pt idx="429">
                  <c:v>45622</c:v>
                </c:pt>
                <c:pt idx="430">
                  <c:v>45623</c:v>
                </c:pt>
                <c:pt idx="431">
                  <c:v>45624</c:v>
                </c:pt>
                <c:pt idx="432">
                  <c:v>45625</c:v>
                </c:pt>
                <c:pt idx="433">
                  <c:v>45628</c:v>
                </c:pt>
                <c:pt idx="434">
                  <c:v>45629</c:v>
                </c:pt>
                <c:pt idx="435">
                  <c:v>45630</c:v>
                </c:pt>
                <c:pt idx="436">
                  <c:v>45631</c:v>
                </c:pt>
                <c:pt idx="437">
                  <c:v>45632</c:v>
                </c:pt>
                <c:pt idx="438">
                  <c:v>45635</c:v>
                </c:pt>
                <c:pt idx="439">
                  <c:v>45636</c:v>
                </c:pt>
                <c:pt idx="440">
                  <c:v>45637</c:v>
                </c:pt>
                <c:pt idx="441">
                  <c:v>45639</c:v>
                </c:pt>
                <c:pt idx="442">
                  <c:v>45642</c:v>
                </c:pt>
                <c:pt idx="443">
                  <c:v>45643</c:v>
                </c:pt>
                <c:pt idx="444">
                  <c:v>45644</c:v>
                </c:pt>
                <c:pt idx="445">
                  <c:v>45645</c:v>
                </c:pt>
                <c:pt idx="446">
                  <c:v>45646</c:v>
                </c:pt>
                <c:pt idx="447">
                  <c:v>45649</c:v>
                </c:pt>
                <c:pt idx="448">
                  <c:v>45650</c:v>
                </c:pt>
                <c:pt idx="449">
                  <c:v>45652</c:v>
                </c:pt>
                <c:pt idx="450">
                  <c:v>45653</c:v>
                </c:pt>
                <c:pt idx="451">
                  <c:v>45656</c:v>
                </c:pt>
                <c:pt idx="452">
                  <c:v>45657</c:v>
                </c:pt>
                <c:pt idx="453">
                  <c:v>45659</c:v>
                </c:pt>
                <c:pt idx="454">
                  <c:v>45660</c:v>
                </c:pt>
                <c:pt idx="455">
                  <c:v>45663</c:v>
                </c:pt>
                <c:pt idx="456">
                  <c:v>45664</c:v>
                </c:pt>
                <c:pt idx="457">
                  <c:v>45665</c:v>
                </c:pt>
                <c:pt idx="458">
                  <c:v>45666</c:v>
                </c:pt>
                <c:pt idx="459">
                  <c:v>45667</c:v>
                </c:pt>
                <c:pt idx="460">
                  <c:v>45670</c:v>
                </c:pt>
                <c:pt idx="461">
                  <c:v>45671</c:v>
                </c:pt>
                <c:pt idx="462">
                  <c:v>45672</c:v>
                </c:pt>
                <c:pt idx="463">
                  <c:v>45673</c:v>
                </c:pt>
                <c:pt idx="464">
                  <c:v>45674</c:v>
                </c:pt>
                <c:pt idx="465">
                  <c:v>45677</c:v>
                </c:pt>
                <c:pt idx="466">
                  <c:v>45678</c:v>
                </c:pt>
                <c:pt idx="467">
                  <c:v>45679</c:v>
                </c:pt>
                <c:pt idx="468">
                  <c:v>45680</c:v>
                </c:pt>
                <c:pt idx="469">
                  <c:v>45681</c:v>
                </c:pt>
                <c:pt idx="470">
                  <c:v>45684</c:v>
                </c:pt>
                <c:pt idx="471">
                  <c:v>45685</c:v>
                </c:pt>
                <c:pt idx="472">
                  <c:v>45686</c:v>
                </c:pt>
                <c:pt idx="473">
                  <c:v>45687</c:v>
                </c:pt>
                <c:pt idx="474">
                  <c:v>45688</c:v>
                </c:pt>
                <c:pt idx="475">
                  <c:v>45692</c:v>
                </c:pt>
                <c:pt idx="476">
                  <c:v>45693</c:v>
                </c:pt>
                <c:pt idx="477">
                  <c:v>45694</c:v>
                </c:pt>
                <c:pt idx="478">
                  <c:v>45695</c:v>
                </c:pt>
                <c:pt idx="479">
                  <c:v>45698</c:v>
                </c:pt>
                <c:pt idx="480">
                  <c:v>45699</c:v>
                </c:pt>
                <c:pt idx="481">
                  <c:v>45700</c:v>
                </c:pt>
                <c:pt idx="482">
                  <c:v>45701</c:v>
                </c:pt>
                <c:pt idx="483">
                  <c:v>45702</c:v>
                </c:pt>
                <c:pt idx="484">
                  <c:v>45705</c:v>
                </c:pt>
                <c:pt idx="485">
                  <c:v>45706</c:v>
                </c:pt>
                <c:pt idx="486">
                  <c:v>45707</c:v>
                </c:pt>
                <c:pt idx="487">
                  <c:v>45708</c:v>
                </c:pt>
                <c:pt idx="488">
                  <c:v>45709</c:v>
                </c:pt>
                <c:pt idx="489">
                  <c:v>45712</c:v>
                </c:pt>
                <c:pt idx="490">
                  <c:v>45713</c:v>
                </c:pt>
                <c:pt idx="491">
                  <c:v>45714</c:v>
                </c:pt>
                <c:pt idx="492">
                  <c:v>45715</c:v>
                </c:pt>
                <c:pt idx="493">
                  <c:v>45716</c:v>
                </c:pt>
                <c:pt idx="494">
                  <c:v>45719</c:v>
                </c:pt>
                <c:pt idx="495">
                  <c:v>45720</c:v>
                </c:pt>
                <c:pt idx="496">
                  <c:v>45721</c:v>
                </c:pt>
                <c:pt idx="497">
                  <c:v>45722</c:v>
                </c:pt>
                <c:pt idx="498">
                  <c:v>45723</c:v>
                </c:pt>
                <c:pt idx="499">
                  <c:v>45726</c:v>
                </c:pt>
                <c:pt idx="500">
                  <c:v>45727</c:v>
                </c:pt>
                <c:pt idx="501">
                  <c:v>45728</c:v>
                </c:pt>
                <c:pt idx="502">
                  <c:v>45729</c:v>
                </c:pt>
                <c:pt idx="503">
                  <c:v>45730</c:v>
                </c:pt>
                <c:pt idx="504">
                  <c:v>45734</c:v>
                </c:pt>
                <c:pt idx="505">
                  <c:v>45735</c:v>
                </c:pt>
                <c:pt idx="506">
                  <c:v>45736</c:v>
                </c:pt>
                <c:pt idx="507">
                  <c:v>45737</c:v>
                </c:pt>
                <c:pt idx="508">
                  <c:v>45740</c:v>
                </c:pt>
                <c:pt idx="509">
                  <c:v>45741</c:v>
                </c:pt>
                <c:pt idx="510">
                  <c:v>45742</c:v>
                </c:pt>
                <c:pt idx="511">
                  <c:v>45743</c:v>
                </c:pt>
                <c:pt idx="512">
                  <c:v>45744</c:v>
                </c:pt>
                <c:pt idx="513">
                  <c:v>45747</c:v>
                </c:pt>
                <c:pt idx="514">
                  <c:v>45748</c:v>
                </c:pt>
                <c:pt idx="515">
                  <c:v>45749</c:v>
                </c:pt>
                <c:pt idx="516">
                  <c:v>45750</c:v>
                </c:pt>
                <c:pt idx="517">
                  <c:v>45751</c:v>
                </c:pt>
                <c:pt idx="518">
                  <c:v>45754</c:v>
                </c:pt>
                <c:pt idx="519">
                  <c:v>45755</c:v>
                </c:pt>
                <c:pt idx="520">
                  <c:v>45756</c:v>
                </c:pt>
                <c:pt idx="521">
                  <c:v>45757</c:v>
                </c:pt>
                <c:pt idx="522">
                  <c:v>45758</c:v>
                </c:pt>
                <c:pt idx="523">
                  <c:v>45761</c:v>
                </c:pt>
                <c:pt idx="524">
                  <c:v>45762</c:v>
                </c:pt>
                <c:pt idx="525">
                  <c:v>45763</c:v>
                </c:pt>
                <c:pt idx="526">
                  <c:v>45768</c:v>
                </c:pt>
                <c:pt idx="527">
                  <c:v>45769</c:v>
                </c:pt>
                <c:pt idx="528">
                  <c:v>45770</c:v>
                </c:pt>
                <c:pt idx="529">
                  <c:v>45771</c:v>
                </c:pt>
                <c:pt idx="530">
                  <c:v>45772</c:v>
                </c:pt>
                <c:pt idx="531">
                  <c:v>45775</c:v>
                </c:pt>
                <c:pt idx="532">
                  <c:v>45776</c:v>
                </c:pt>
                <c:pt idx="533">
                  <c:v>45777</c:v>
                </c:pt>
                <c:pt idx="534">
                  <c:v>45779</c:v>
                </c:pt>
                <c:pt idx="535">
                  <c:v>45782</c:v>
                </c:pt>
                <c:pt idx="536">
                  <c:v>45783</c:v>
                </c:pt>
                <c:pt idx="537">
                  <c:v>45784</c:v>
                </c:pt>
                <c:pt idx="538">
                  <c:v>45785</c:v>
                </c:pt>
                <c:pt idx="539">
                  <c:v>45786</c:v>
                </c:pt>
                <c:pt idx="540">
                  <c:v>45789</c:v>
                </c:pt>
                <c:pt idx="541">
                  <c:v>45790</c:v>
                </c:pt>
                <c:pt idx="542">
                  <c:v>45791</c:v>
                </c:pt>
                <c:pt idx="543">
                  <c:v>45792</c:v>
                </c:pt>
                <c:pt idx="544">
                  <c:v>45793</c:v>
                </c:pt>
                <c:pt idx="545">
                  <c:v>45796</c:v>
                </c:pt>
                <c:pt idx="546">
                  <c:v>45797</c:v>
                </c:pt>
                <c:pt idx="547">
                  <c:v>45798</c:v>
                </c:pt>
                <c:pt idx="548">
                  <c:v>45799</c:v>
                </c:pt>
                <c:pt idx="549">
                  <c:v>45800</c:v>
                </c:pt>
                <c:pt idx="550">
                  <c:v>45803</c:v>
                </c:pt>
                <c:pt idx="551">
                  <c:v>45804</c:v>
                </c:pt>
                <c:pt idx="552">
                  <c:v>45805</c:v>
                </c:pt>
                <c:pt idx="553">
                  <c:v>45806</c:v>
                </c:pt>
                <c:pt idx="554">
                  <c:v>45807</c:v>
                </c:pt>
                <c:pt idx="555">
                  <c:v>45810</c:v>
                </c:pt>
                <c:pt idx="556">
                  <c:v>45811</c:v>
                </c:pt>
                <c:pt idx="557">
                  <c:v>45812</c:v>
                </c:pt>
                <c:pt idx="558">
                  <c:v>45813</c:v>
                </c:pt>
                <c:pt idx="559">
                  <c:v>45814</c:v>
                </c:pt>
                <c:pt idx="560">
                  <c:v>45817</c:v>
                </c:pt>
                <c:pt idx="561">
                  <c:v>45818</c:v>
                </c:pt>
                <c:pt idx="562">
                  <c:v>45819</c:v>
                </c:pt>
                <c:pt idx="563">
                  <c:v>45820</c:v>
                </c:pt>
                <c:pt idx="564">
                  <c:v>45821</c:v>
                </c:pt>
                <c:pt idx="565">
                  <c:v>45824</c:v>
                </c:pt>
                <c:pt idx="566">
                  <c:v>45825</c:v>
                </c:pt>
                <c:pt idx="567">
                  <c:v>45826</c:v>
                </c:pt>
                <c:pt idx="568">
                  <c:v>45827</c:v>
                </c:pt>
                <c:pt idx="569">
                  <c:v>45828</c:v>
                </c:pt>
                <c:pt idx="570">
                  <c:v>45831</c:v>
                </c:pt>
                <c:pt idx="571">
                  <c:v>45832</c:v>
                </c:pt>
                <c:pt idx="572">
                  <c:v>45833</c:v>
                </c:pt>
                <c:pt idx="573">
                  <c:v>45834</c:v>
                </c:pt>
                <c:pt idx="574">
                  <c:v>45835</c:v>
                </c:pt>
                <c:pt idx="575">
                  <c:v>45838</c:v>
                </c:pt>
                <c:pt idx="576">
                  <c:v>45839</c:v>
                </c:pt>
                <c:pt idx="577">
                  <c:v>45840</c:v>
                </c:pt>
                <c:pt idx="578">
                  <c:v>45841</c:v>
                </c:pt>
                <c:pt idx="579">
                  <c:v>45842</c:v>
                </c:pt>
                <c:pt idx="580">
                  <c:v>45845</c:v>
                </c:pt>
                <c:pt idx="581">
                  <c:v>45846</c:v>
                </c:pt>
                <c:pt idx="582">
                  <c:v>45847</c:v>
                </c:pt>
                <c:pt idx="583">
                  <c:v>45848</c:v>
                </c:pt>
                <c:pt idx="584">
                  <c:v>45849</c:v>
                </c:pt>
                <c:pt idx="585">
                  <c:v>45852</c:v>
                </c:pt>
                <c:pt idx="586">
                  <c:v>45853</c:v>
                </c:pt>
                <c:pt idx="587">
                  <c:v>45854</c:v>
                </c:pt>
                <c:pt idx="588">
                  <c:v>45855</c:v>
                </c:pt>
                <c:pt idx="589">
                  <c:v>45856</c:v>
                </c:pt>
                <c:pt idx="590">
                  <c:v>45859</c:v>
                </c:pt>
                <c:pt idx="591">
                  <c:v>45860</c:v>
                </c:pt>
                <c:pt idx="592">
                  <c:v>45861</c:v>
                </c:pt>
                <c:pt idx="593">
                  <c:v>45862</c:v>
                </c:pt>
                <c:pt idx="594">
                  <c:v>45863</c:v>
                </c:pt>
                <c:pt idx="595">
                  <c:v>45866</c:v>
                </c:pt>
                <c:pt idx="596">
                  <c:v>45867</c:v>
                </c:pt>
                <c:pt idx="597">
                  <c:v>45868</c:v>
                </c:pt>
                <c:pt idx="598">
                  <c:v>45869</c:v>
                </c:pt>
                <c:pt idx="599">
                  <c:v>45870</c:v>
                </c:pt>
                <c:pt idx="600">
                  <c:v>45873</c:v>
                </c:pt>
                <c:pt idx="601">
                  <c:v>45874</c:v>
                </c:pt>
                <c:pt idx="602">
                  <c:v>45875</c:v>
                </c:pt>
                <c:pt idx="603">
                  <c:v>45876</c:v>
                </c:pt>
                <c:pt idx="604">
                  <c:v>45877</c:v>
                </c:pt>
                <c:pt idx="605">
                  <c:v>45880</c:v>
                </c:pt>
                <c:pt idx="606">
                  <c:v>45881</c:v>
                </c:pt>
                <c:pt idx="607">
                  <c:v>45882</c:v>
                </c:pt>
                <c:pt idx="608">
                  <c:v>45883</c:v>
                </c:pt>
                <c:pt idx="609">
                  <c:v>45884</c:v>
                </c:pt>
                <c:pt idx="610">
                  <c:v>45887</c:v>
                </c:pt>
                <c:pt idx="611">
                  <c:v>45888</c:v>
                </c:pt>
                <c:pt idx="612">
                  <c:v>45889</c:v>
                </c:pt>
                <c:pt idx="613">
                  <c:v>45890</c:v>
                </c:pt>
                <c:pt idx="614">
                  <c:v>45891</c:v>
                </c:pt>
                <c:pt idx="615">
                  <c:v>45894</c:v>
                </c:pt>
                <c:pt idx="616">
                  <c:v>45895</c:v>
                </c:pt>
                <c:pt idx="617">
                  <c:v>45896</c:v>
                </c:pt>
                <c:pt idx="618">
                  <c:v>45897</c:v>
                </c:pt>
                <c:pt idx="619">
                  <c:v>45898</c:v>
                </c:pt>
                <c:pt idx="620">
                  <c:v>45901</c:v>
                </c:pt>
                <c:pt idx="621">
                  <c:v>45902</c:v>
                </c:pt>
                <c:pt idx="622">
                  <c:v>45903</c:v>
                </c:pt>
                <c:pt idx="623">
                  <c:v>45904</c:v>
                </c:pt>
                <c:pt idx="624">
                  <c:v>45905</c:v>
                </c:pt>
                <c:pt idx="625">
                  <c:v>45908</c:v>
                </c:pt>
                <c:pt idx="626">
                  <c:v>45909</c:v>
                </c:pt>
                <c:pt idx="627">
                  <c:v>45910</c:v>
                </c:pt>
                <c:pt idx="628">
                  <c:v>45911</c:v>
                </c:pt>
                <c:pt idx="629">
                  <c:v>45912</c:v>
                </c:pt>
                <c:pt idx="630">
                  <c:v>45915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45979</c:v>
                </c:pt>
                <c:pt idx="675">
                  <c:v>45980</c:v>
                </c:pt>
                <c:pt idx="676">
                  <c:v>45981</c:v>
                </c:pt>
                <c:pt idx="677">
                  <c:v>45982</c:v>
                </c:pt>
                <c:pt idx="678">
                  <c:v>45985</c:v>
                </c:pt>
                <c:pt idx="679">
                  <c:v>45986</c:v>
                </c:pt>
                <c:pt idx="680">
                  <c:v>45987</c:v>
                </c:pt>
                <c:pt idx="681">
                  <c:v>45988</c:v>
                </c:pt>
                <c:pt idx="682">
                  <c:v>45989</c:v>
                </c:pt>
                <c:pt idx="683">
                  <c:v>45992</c:v>
                </c:pt>
                <c:pt idx="684">
                  <c:v>45993</c:v>
                </c:pt>
                <c:pt idx="685">
                  <c:v>45994</c:v>
                </c:pt>
                <c:pt idx="686">
                  <c:v>45995</c:v>
                </c:pt>
                <c:pt idx="687">
                  <c:v>45996</c:v>
                </c:pt>
                <c:pt idx="688">
                  <c:v>45999</c:v>
                </c:pt>
                <c:pt idx="689">
                  <c:v>46000</c:v>
                </c:pt>
                <c:pt idx="690">
                  <c:v>46001</c:v>
                </c:pt>
                <c:pt idx="691">
                  <c:v>46002</c:v>
                </c:pt>
                <c:pt idx="692">
                  <c:v>46006</c:v>
                </c:pt>
                <c:pt idx="693">
                  <c:v>46007</c:v>
                </c:pt>
                <c:pt idx="694">
                  <c:v>46008</c:v>
                </c:pt>
                <c:pt idx="695">
                  <c:v>46009</c:v>
                </c:pt>
                <c:pt idx="696">
                  <c:v>46010</c:v>
                </c:pt>
                <c:pt idx="697">
                  <c:v>46013</c:v>
                </c:pt>
                <c:pt idx="698">
                  <c:v>46014</c:v>
                </c:pt>
                <c:pt idx="699">
                  <c:v>46015</c:v>
                </c:pt>
                <c:pt idx="700">
                  <c:v>46017</c:v>
                </c:pt>
                <c:pt idx="701">
                  <c:v>46020</c:v>
                </c:pt>
                <c:pt idx="702">
                  <c:v>46021</c:v>
                </c:pt>
                <c:pt idx="703">
                  <c:v>46022</c:v>
                </c:pt>
                <c:pt idx="704">
                  <c:v>46024</c:v>
                </c:pt>
                <c:pt idx="705">
                  <c:v>46027</c:v>
                </c:pt>
                <c:pt idx="706">
                  <c:v>46028</c:v>
                </c:pt>
                <c:pt idx="707">
                  <c:v>46029</c:v>
                </c:pt>
                <c:pt idx="708">
                  <c:v>46030</c:v>
                </c:pt>
                <c:pt idx="709">
                  <c:v>46031</c:v>
                </c:pt>
                <c:pt idx="710">
                  <c:v>46034</c:v>
                </c:pt>
                <c:pt idx="711">
                  <c:v>46035</c:v>
                </c:pt>
                <c:pt idx="712">
                  <c:v>46036</c:v>
                </c:pt>
                <c:pt idx="713">
                  <c:v>46037</c:v>
                </c:pt>
                <c:pt idx="714">
                  <c:v>46038</c:v>
                </c:pt>
                <c:pt idx="715">
                  <c:v>46041</c:v>
                </c:pt>
                <c:pt idx="716">
                  <c:v>46042</c:v>
                </c:pt>
                <c:pt idx="717">
                  <c:v>46043</c:v>
                </c:pt>
                <c:pt idx="718">
                  <c:v>46044</c:v>
                </c:pt>
                <c:pt idx="719">
                  <c:v>46045</c:v>
                </c:pt>
                <c:pt idx="720">
                  <c:v>46048</c:v>
                </c:pt>
                <c:pt idx="721">
                  <c:v>46049</c:v>
                </c:pt>
                <c:pt idx="722">
                  <c:v>46050</c:v>
                </c:pt>
                <c:pt idx="723">
                  <c:v>46051</c:v>
                </c:pt>
                <c:pt idx="724">
                  <c:v>46052</c:v>
                </c:pt>
                <c:pt idx="725">
                  <c:v>46056</c:v>
                </c:pt>
                <c:pt idx="726">
                  <c:v>46057</c:v>
                </c:pt>
                <c:pt idx="727">
                  <c:v>46058</c:v>
                </c:pt>
                <c:pt idx="728">
                  <c:v>46059</c:v>
                </c:pt>
                <c:pt idx="729">
                  <c:v>46062</c:v>
                </c:pt>
                <c:pt idx="730">
                  <c:v>46063</c:v>
                </c:pt>
                <c:pt idx="731">
                  <c:v>46064</c:v>
                </c:pt>
                <c:pt idx="732">
                  <c:v>46065</c:v>
                </c:pt>
                <c:pt idx="733">
                  <c:v>46066</c:v>
                </c:pt>
                <c:pt idx="734">
                  <c:v>46069</c:v>
                </c:pt>
                <c:pt idx="735">
                  <c:v>46070</c:v>
                </c:pt>
                <c:pt idx="736">
                  <c:v>46071</c:v>
                </c:pt>
                <c:pt idx="737">
                  <c:v>46072</c:v>
                </c:pt>
                <c:pt idx="738">
                  <c:v>46073</c:v>
                </c:pt>
                <c:pt idx="739">
                  <c:v>46076</c:v>
                </c:pt>
                <c:pt idx="740">
                  <c:v>46077</c:v>
                </c:pt>
                <c:pt idx="741">
                  <c:v>46078</c:v>
                </c:pt>
                <c:pt idx="742">
                  <c:v>46079</c:v>
                </c:pt>
                <c:pt idx="743">
                  <c:v>46080</c:v>
                </c:pt>
                <c:pt idx="744">
                  <c:v>46083</c:v>
                </c:pt>
                <c:pt idx="745">
                  <c:v>46084</c:v>
                </c:pt>
                <c:pt idx="746">
                  <c:v>46085</c:v>
                </c:pt>
                <c:pt idx="747">
                  <c:v>46086</c:v>
                </c:pt>
                <c:pt idx="748">
                  <c:v>46087</c:v>
                </c:pt>
                <c:pt idx="749">
                  <c:v>46090</c:v>
                </c:pt>
              </c:numCache>
            </c:numRef>
          </c:cat>
          <c:val>
            <c:numRef>
              <c:f>Acciones!$B$2:$B$751</c:f>
              <c:numCache>
                <c:formatCode>General</c:formatCode>
                <c:ptCount val="750"/>
                <c:pt idx="0">
                  <c:v>26.3453979492187</c:v>
                </c:pt>
                <c:pt idx="1">
                  <c:v>26.770027160644499</c:v>
                </c:pt>
                <c:pt idx="2">
                  <c:v>25.8099975585937</c:v>
                </c:pt>
                <c:pt idx="3">
                  <c:v>25.708457946777301</c:v>
                </c:pt>
                <c:pt idx="4">
                  <c:v>25.569990158081001</c:v>
                </c:pt>
                <c:pt idx="5">
                  <c:v>24.9607429504394</c:v>
                </c:pt>
                <c:pt idx="6">
                  <c:v>25.2930583953857</c:v>
                </c:pt>
                <c:pt idx="7">
                  <c:v>24.517650604248001</c:v>
                </c:pt>
                <c:pt idx="8">
                  <c:v>24.9422798156738</c:v>
                </c:pt>
                <c:pt idx="9">
                  <c:v>25.182289123535099</c:v>
                </c:pt>
                <c:pt idx="10">
                  <c:v>25.6438388824462</c:v>
                </c:pt>
                <c:pt idx="11">
                  <c:v>25.080747604370099</c:v>
                </c:pt>
                <c:pt idx="12">
                  <c:v>25.477682113647401</c:v>
                </c:pt>
                <c:pt idx="13">
                  <c:v>25.523836135864201</c:v>
                </c:pt>
                <c:pt idx="14">
                  <c:v>24.342264175415</c:v>
                </c:pt>
                <c:pt idx="15">
                  <c:v>24.693040847778299</c:v>
                </c:pt>
                <c:pt idx="16">
                  <c:v>24.453035354614201</c:v>
                </c:pt>
                <c:pt idx="17">
                  <c:v>24.776123046875</c:v>
                </c:pt>
                <c:pt idx="18">
                  <c:v>25.8284606933593</c:v>
                </c:pt>
                <c:pt idx="19">
                  <c:v>25.016128540038999</c:v>
                </c:pt>
                <c:pt idx="20">
                  <c:v>25.394603729248001</c:v>
                </c:pt>
                <c:pt idx="21">
                  <c:v>25.708457946777301</c:v>
                </c:pt>
                <c:pt idx="22">
                  <c:v>25.219211578369102</c:v>
                </c:pt>
                <c:pt idx="23">
                  <c:v>24.693040847778299</c:v>
                </c:pt>
                <c:pt idx="24">
                  <c:v>24.129947662353501</c:v>
                </c:pt>
                <c:pt idx="25">
                  <c:v>24.148410797119102</c:v>
                </c:pt>
                <c:pt idx="26">
                  <c:v>24.7945842742919</c:v>
                </c:pt>
                <c:pt idx="27">
                  <c:v>24.877662658691399</c:v>
                </c:pt>
                <c:pt idx="28">
                  <c:v>24.425340652465799</c:v>
                </c:pt>
                <c:pt idx="29">
                  <c:v>23.7884006500244</c:v>
                </c:pt>
                <c:pt idx="30">
                  <c:v>23.493007659912099</c:v>
                </c:pt>
                <c:pt idx="31">
                  <c:v>23.1699199676513</c:v>
                </c:pt>
                <c:pt idx="32">
                  <c:v>22.754522323608398</c:v>
                </c:pt>
                <c:pt idx="33">
                  <c:v>23.7053203582763</c:v>
                </c:pt>
                <c:pt idx="34">
                  <c:v>22.6160583496093</c:v>
                </c:pt>
                <c:pt idx="35">
                  <c:v>23.530122756958001</c:v>
                </c:pt>
                <c:pt idx="36">
                  <c:v>23.1814575195312</c:v>
                </c:pt>
                <c:pt idx="37">
                  <c:v>23.8410930633544</c:v>
                </c:pt>
                <c:pt idx="38">
                  <c:v>24.500728607177699</c:v>
                </c:pt>
                <c:pt idx="39">
                  <c:v>24.953048706054599</c:v>
                </c:pt>
                <c:pt idx="40">
                  <c:v>24.953048706054599</c:v>
                </c:pt>
                <c:pt idx="41">
                  <c:v>26.253473281860298</c:v>
                </c:pt>
                <c:pt idx="42">
                  <c:v>26.404247283935501</c:v>
                </c:pt>
                <c:pt idx="43">
                  <c:v>26.875413894653299</c:v>
                </c:pt>
                <c:pt idx="44">
                  <c:v>27.808326721191399</c:v>
                </c:pt>
                <c:pt idx="45">
                  <c:v>27.233501434326101</c:v>
                </c:pt>
                <c:pt idx="46">
                  <c:v>27.403121948242099</c:v>
                </c:pt>
                <c:pt idx="47">
                  <c:v>27.233501434326101</c:v>
                </c:pt>
                <c:pt idx="48">
                  <c:v>27.648130416870099</c:v>
                </c:pt>
                <c:pt idx="49">
                  <c:v>27.563320159912099</c:v>
                </c:pt>
                <c:pt idx="50">
                  <c:v>27.082729339599599</c:v>
                </c:pt>
                <c:pt idx="51">
                  <c:v>27.186384201049801</c:v>
                </c:pt>
                <c:pt idx="52">
                  <c:v>26.1121215820312</c:v>
                </c:pt>
                <c:pt idx="53">
                  <c:v>26.375978469848601</c:v>
                </c:pt>
                <c:pt idx="54">
                  <c:v>26.272319793701101</c:v>
                </c:pt>
                <c:pt idx="55">
                  <c:v>25.678647994995099</c:v>
                </c:pt>
                <c:pt idx="56">
                  <c:v>26.385400772094702</c:v>
                </c:pt>
                <c:pt idx="57">
                  <c:v>26.262897491455</c:v>
                </c:pt>
                <c:pt idx="58">
                  <c:v>27.186384201049801</c:v>
                </c:pt>
                <c:pt idx="59">
                  <c:v>27.063880920410099</c:v>
                </c:pt>
                <c:pt idx="60">
                  <c:v>27.0733032226562</c:v>
                </c:pt>
                <c:pt idx="61">
                  <c:v>27.337160110473601</c:v>
                </c:pt>
                <c:pt idx="62">
                  <c:v>26.4796333312988</c:v>
                </c:pt>
                <c:pt idx="63">
                  <c:v>26.375978469848601</c:v>
                </c:pt>
                <c:pt idx="64">
                  <c:v>26.347703933715799</c:v>
                </c:pt>
                <c:pt idx="65">
                  <c:v>26.385400772094702</c:v>
                </c:pt>
                <c:pt idx="66">
                  <c:v>26.385400772094702</c:v>
                </c:pt>
                <c:pt idx="67">
                  <c:v>26.394823074340799</c:v>
                </c:pt>
                <c:pt idx="68">
                  <c:v>26.130968093871999</c:v>
                </c:pt>
                <c:pt idx="69">
                  <c:v>25.791728973388601</c:v>
                </c:pt>
                <c:pt idx="70">
                  <c:v>25.461910247802699</c:v>
                </c:pt>
                <c:pt idx="71">
                  <c:v>24.971895217895501</c:v>
                </c:pt>
                <c:pt idx="72">
                  <c:v>26.281742095947202</c:v>
                </c:pt>
                <c:pt idx="73">
                  <c:v>25.377099990844702</c:v>
                </c:pt>
                <c:pt idx="74">
                  <c:v>25.509025573730401</c:v>
                </c:pt>
                <c:pt idx="75">
                  <c:v>23.897634506225501</c:v>
                </c:pt>
                <c:pt idx="76">
                  <c:v>24.519577026367099</c:v>
                </c:pt>
                <c:pt idx="77">
                  <c:v>24.764583587646399</c:v>
                </c:pt>
                <c:pt idx="78">
                  <c:v>25.367677688598601</c:v>
                </c:pt>
                <c:pt idx="79">
                  <c:v>25.113246917724599</c:v>
                </c:pt>
                <c:pt idx="80">
                  <c:v>26.375978469848601</c:v>
                </c:pt>
                <c:pt idx="81">
                  <c:v>25.885961532592699</c:v>
                </c:pt>
                <c:pt idx="82">
                  <c:v>25.961349487304599</c:v>
                </c:pt>
                <c:pt idx="83">
                  <c:v>26.140392303466701</c:v>
                </c:pt>
                <c:pt idx="84">
                  <c:v>25.7823066711425</c:v>
                </c:pt>
                <c:pt idx="85">
                  <c:v>25.113246917724599</c:v>
                </c:pt>
                <c:pt idx="86">
                  <c:v>25.169786453246999</c:v>
                </c:pt>
                <c:pt idx="87">
                  <c:v>25.160364151000898</c:v>
                </c:pt>
                <c:pt idx="88">
                  <c:v>25.160364151000898</c:v>
                </c:pt>
                <c:pt idx="89">
                  <c:v>24.755159378051701</c:v>
                </c:pt>
                <c:pt idx="90">
                  <c:v>24.6420783996582</c:v>
                </c:pt>
                <c:pt idx="91">
                  <c:v>24.500728607177699</c:v>
                </c:pt>
                <c:pt idx="92">
                  <c:v>24.566692352294901</c:v>
                </c:pt>
                <c:pt idx="93">
                  <c:v>24.5289993286132</c:v>
                </c:pt>
                <c:pt idx="94">
                  <c:v>24.331106185913001</c:v>
                </c:pt>
                <c:pt idx="95">
                  <c:v>24.915357589721602</c:v>
                </c:pt>
                <c:pt idx="96">
                  <c:v>25.1792087554931</c:v>
                </c:pt>
                <c:pt idx="97">
                  <c:v>24.8022747039794</c:v>
                </c:pt>
                <c:pt idx="98">
                  <c:v>23.662050247192301</c:v>
                </c:pt>
                <c:pt idx="99">
                  <c:v>23.709165573120099</c:v>
                </c:pt>
                <c:pt idx="100">
                  <c:v>24.5855407714843</c:v>
                </c:pt>
                <c:pt idx="101">
                  <c:v>25.0190124511718</c:v>
                </c:pt>
                <c:pt idx="102">
                  <c:v>24.425340652465799</c:v>
                </c:pt>
                <c:pt idx="103">
                  <c:v>23.991867065429599</c:v>
                </c:pt>
                <c:pt idx="104">
                  <c:v>23.690319061279201</c:v>
                </c:pt>
                <c:pt idx="105">
                  <c:v>23.464159011840799</c:v>
                </c:pt>
                <c:pt idx="106">
                  <c:v>23.9259033203125</c:v>
                </c:pt>
                <c:pt idx="107">
                  <c:v>23.643203735351499</c:v>
                </c:pt>
                <c:pt idx="108">
                  <c:v>23.454734802246001</c:v>
                </c:pt>
                <c:pt idx="109">
                  <c:v>23.294538497924801</c:v>
                </c:pt>
                <c:pt idx="110">
                  <c:v>23.483005523681602</c:v>
                </c:pt>
                <c:pt idx="111">
                  <c:v>23.0777988433837</c:v>
                </c:pt>
                <c:pt idx="112">
                  <c:v>22.691444396972599</c:v>
                </c:pt>
                <c:pt idx="113">
                  <c:v>23.897634506225501</c:v>
                </c:pt>
                <c:pt idx="114">
                  <c:v>22.729139328002901</c:v>
                </c:pt>
                <c:pt idx="115">
                  <c:v>22.314510345458899</c:v>
                </c:pt>
                <c:pt idx="116">
                  <c:v>23.322811126708899</c:v>
                </c:pt>
                <c:pt idx="117">
                  <c:v>23.935327529907202</c:v>
                </c:pt>
                <c:pt idx="118">
                  <c:v>24.020135879516602</c:v>
                </c:pt>
                <c:pt idx="119">
                  <c:v>23.8128242492675</c:v>
                </c:pt>
                <c:pt idx="120">
                  <c:v>23.907056808471602</c:v>
                </c:pt>
                <c:pt idx="121">
                  <c:v>23.935327529907202</c:v>
                </c:pt>
                <c:pt idx="122">
                  <c:v>24.274570465087798</c:v>
                </c:pt>
                <c:pt idx="123">
                  <c:v>24.3216838836669</c:v>
                </c:pt>
                <c:pt idx="124">
                  <c:v>24.095523834228501</c:v>
                </c:pt>
                <c:pt idx="125">
                  <c:v>24.708042144775298</c:v>
                </c:pt>
                <c:pt idx="126">
                  <c:v>25.0661296844482</c:v>
                </c:pt>
                <c:pt idx="127">
                  <c:v>24.8022747039794</c:v>
                </c:pt>
                <c:pt idx="128">
                  <c:v>24.0484085083007</c:v>
                </c:pt>
                <c:pt idx="129">
                  <c:v>24.783430099487301</c:v>
                </c:pt>
                <c:pt idx="130">
                  <c:v>24.227449417114201</c:v>
                </c:pt>
                <c:pt idx="131">
                  <c:v>24.0012893676757</c:v>
                </c:pt>
                <c:pt idx="132">
                  <c:v>24.170911788940401</c:v>
                </c:pt>
                <c:pt idx="133">
                  <c:v>23.728013992309499</c:v>
                </c:pt>
                <c:pt idx="134">
                  <c:v>23.850515365600501</c:v>
                </c:pt>
                <c:pt idx="135">
                  <c:v>24.029558181762599</c:v>
                </c:pt>
                <c:pt idx="136">
                  <c:v>23.784551620483398</c:v>
                </c:pt>
                <c:pt idx="137">
                  <c:v>24.227449417114201</c:v>
                </c:pt>
                <c:pt idx="138">
                  <c:v>23.756282806396399</c:v>
                </c:pt>
                <c:pt idx="139">
                  <c:v>23.822246551513601</c:v>
                </c:pt>
                <c:pt idx="140">
                  <c:v>23.652626037597599</c:v>
                </c:pt>
                <c:pt idx="141">
                  <c:v>24.133216857910099</c:v>
                </c:pt>
                <c:pt idx="142">
                  <c:v>23.643203735351499</c:v>
                </c:pt>
                <c:pt idx="143">
                  <c:v>23.011837005615199</c:v>
                </c:pt>
                <c:pt idx="144">
                  <c:v>23.633781433105401</c:v>
                </c:pt>
                <c:pt idx="145">
                  <c:v>24.283992767333899</c:v>
                </c:pt>
                <c:pt idx="146">
                  <c:v>23.963596343994102</c:v>
                </c:pt>
                <c:pt idx="147">
                  <c:v>25.254596710205</c:v>
                </c:pt>
                <c:pt idx="148">
                  <c:v>26.602138519287099</c:v>
                </c:pt>
                <c:pt idx="149">
                  <c:v>23.907056808471602</c:v>
                </c:pt>
                <c:pt idx="150">
                  <c:v>23.728013992309499</c:v>
                </c:pt>
                <c:pt idx="151">
                  <c:v>24.0484085083007</c:v>
                </c:pt>
                <c:pt idx="152">
                  <c:v>23.746862411498999</c:v>
                </c:pt>
                <c:pt idx="153">
                  <c:v>23.2003078460693</c:v>
                </c:pt>
                <c:pt idx="154">
                  <c:v>23.266269683837798</c:v>
                </c:pt>
                <c:pt idx="155">
                  <c:v>22.8799114227294</c:v>
                </c:pt>
                <c:pt idx="156">
                  <c:v>23.0401096343994</c:v>
                </c:pt>
                <c:pt idx="157">
                  <c:v>22.719713211059499</c:v>
                </c:pt>
                <c:pt idx="158">
                  <c:v>22.729139328002901</c:v>
                </c:pt>
                <c:pt idx="159">
                  <c:v>23.247421264648398</c:v>
                </c:pt>
                <c:pt idx="160">
                  <c:v>22.945873260498001</c:v>
                </c:pt>
                <c:pt idx="161">
                  <c:v>22.992992401123001</c:v>
                </c:pt>
                <c:pt idx="162">
                  <c:v>22.870487213134702</c:v>
                </c:pt>
                <c:pt idx="163">
                  <c:v>23.464159011840799</c:v>
                </c:pt>
                <c:pt idx="164">
                  <c:v>24.745735168456999</c:v>
                </c:pt>
                <c:pt idx="165">
                  <c:v>25.5373001098632</c:v>
                </c:pt>
                <c:pt idx="166">
                  <c:v>24.5101509094238</c:v>
                </c:pt>
                <c:pt idx="167">
                  <c:v>24.868236541748001</c:v>
                </c:pt>
                <c:pt idx="168">
                  <c:v>24.868236541748001</c:v>
                </c:pt>
                <c:pt idx="169">
                  <c:v>25.169786453246999</c:v>
                </c:pt>
                <c:pt idx="170">
                  <c:v>25.772882461547798</c:v>
                </c:pt>
                <c:pt idx="171">
                  <c:v>26.4513626098632</c:v>
                </c:pt>
                <c:pt idx="172">
                  <c:v>26.347703933715799</c:v>
                </c:pt>
                <c:pt idx="173">
                  <c:v>25.395946502685501</c:v>
                </c:pt>
                <c:pt idx="174">
                  <c:v>25.5467224121093</c:v>
                </c:pt>
                <c:pt idx="175">
                  <c:v>26.0367336273193</c:v>
                </c:pt>
                <c:pt idx="176">
                  <c:v>25.628545761108398</c:v>
                </c:pt>
                <c:pt idx="177">
                  <c:v>26.240829467773398</c:v>
                </c:pt>
                <c:pt idx="178">
                  <c:v>25.531356811523398</c:v>
                </c:pt>
                <c:pt idx="179">
                  <c:v>25.609107971191399</c:v>
                </c:pt>
                <c:pt idx="180">
                  <c:v>26.522678375244102</c:v>
                </c:pt>
                <c:pt idx="181">
                  <c:v>25.6868572235107</c:v>
                </c:pt>
                <c:pt idx="182">
                  <c:v>25.754888534545898</c:v>
                </c:pt>
                <c:pt idx="183">
                  <c:v>25.774328231811499</c:v>
                </c:pt>
                <c:pt idx="184">
                  <c:v>25.6479797363281</c:v>
                </c:pt>
                <c:pt idx="185">
                  <c:v>25.5410766601562</c:v>
                </c:pt>
                <c:pt idx="186">
                  <c:v>25.3758544921875</c:v>
                </c:pt>
                <c:pt idx="187">
                  <c:v>24.948226928710898</c:v>
                </c:pt>
                <c:pt idx="188">
                  <c:v>24.889913558959901</c:v>
                </c:pt>
                <c:pt idx="189">
                  <c:v>25.025976181030199</c:v>
                </c:pt>
                <c:pt idx="190">
                  <c:v>26.2699890136718</c:v>
                </c:pt>
                <c:pt idx="191">
                  <c:v>26.590709686279201</c:v>
                </c:pt>
                <c:pt idx="192">
                  <c:v>26.425487518310501</c:v>
                </c:pt>
                <c:pt idx="193">
                  <c:v>26.406051635742099</c:v>
                </c:pt>
                <c:pt idx="194">
                  <c:v>25.852077484130799</c:v>
                </c:pt>
                <c:pt idx="195">
                  <c:v>25.793766021728501</c:v>
                </c:pt>
                <c:pt idx="196">
                  <c:v>27.455684661865199</c:v>
                </c:pt>
                <c:pt idx="197">
                  <c:v>28.6608161926269</c:v>
                </c:pt>
                <c:pt idx="198">
                  <c:v>28.612224578857401</c:v>
                </c:pt>
                <c:pt idx="199">
                  <c:v>28.903787612915</c:v>
                </c:pt>
                <c:pt idx="200">
                  <c:v>28.2720642089843</c:v>
                </c:pt>
                <c:pt idx="201">
                  <c:v>29.380010604858398</c:v>
                </c:pt>
                <c:pt idx="202">
                  <c:v>28.621944427490199</c:v>
                </c:pt>
                <c:pt idx="203">
                  <c:v>28.456724166870099</c:v>
                </c:pt>
                <c:pt idx="204">
                  <c:v>27.1446819305419</c:v>
                </c:pt>
                <c:pt idx="205">
                  <c:v>28.884349822998001</c:v>
                </c:pt>
                <c:pt idx="206">
                  <c:v>28.136001586913999</c:v>
                </c:pt>
                <c:pt idx="207">
                  <c:v>27.280744552612301</c:v>
                </c:pt>
                <c:pt idx="208">
                  <c:v>27.533433914184499</c:v>
                </c:pt>
                <c:pt idx="209">
                  <c:v>28.8066005706787</c:v>
                </c:pt>
                <c:pt idx="210">
                  <c:v>29.448041915893501</c:v>
                </c:pt>
                <c:pt idx="211">
                  <c:v>28.738569259643501</c:v>
                </c:pt>
                <c:pt idx="212">
                  <c:v>28.738569259643501</c:v>
                </c:pt>
                <c:pt idx="213">
                  <c:v>26.6587409973144</c:v>
                </c:pt>
                <c:pt idx="214">
                  <c:v>28.651098251342699</c:v>
                </c:pt>
                <c:pt idx="215">
                  <c:v>28.1457195281982</c:v>
                </c:pt>
                <c:pt idx="216">
                  <c:v>27.893032073974599</c:v>
                </c:pt>
                <c:pt idx="217">
                  <c:v>27.300182342529201</c:v>
                </c:pt>
                <c:pt idx="218">
                  <c:v>27.679214477538999</c:v>
                </c:pt>
                <c:pt idx="219">
                  <c:v>27.591747283935501</c:v>
                </c:pt>
                <c:pt idx="220">
                  <c:v>27.630622863769499</c:v>
                </c:pt>
                <c:pt idx="221">
                  <c:v>27.1446819305419</c:v>
                </c:pt>
                <c:pt idx="222">
                  <c:v>27.348775863647401</c:v>
                </c:pt>
                <c:pt idx="223">
                  <c:v>26.9794616699218</c:v>
                </c:pt>
                <c:pt idx="224">
                  <c:v>26.7850837707519</c:v>
                </c:pt>
                <c:pt idx="225">
                  <c:v>26.503238677978501</c:v>
                </c:pt>
                <c:pt idx="226">
                  <c:v>26.629581451416001</c:v>
                </c:pt>
                <c:pt idx="227">
                  <c:v>27.202995300292901</c:v>
                </c:pt>
                <c:pt idx="228">
                  <c:v>26.7559280395507</c:v>
                </c:pt>
                <c:pt idx="229">
                  <c:v>25.958984375</c:v>
                </c:pt>
                <c:pt idx="230">
                  <c:v>27.397371292114201</c:v>
                </c:pt>
                <c:pt idx="231">
                  <c:v>28.184597015380799</c:v>
                </c:pt>
                <c:pt idx="232">
                  <c:v>29.4091682434082</c:v>
                </c:pt>
                <c:pt idx="233">
                  <c:v>30.662895202636701</c:v>
                </c:pt>
                <c:pt idx="234">
                  <c:v>29.5063571929931</c:v>
                </c:pt>
                <c:pt idx="235">
                  <c:v>30.410207748413001</c:v>
                </c:pt>
                <c:pt idx="236">
                  <c:v>30.905866622924801</c:v>
                </c:pt>
                <c:pt idx="237">
                  <c:v>30.254703521728501</c:v>
                </c:pt>
                <c:pt idx="238">
                  <c:v>31.712530136108398</c:v>
                </c:pt>
                <c:pt idx="239">
                  <c:v>30.9641799926757</c:v>
                </c:pt>
                <c:pt idx="240">
                  <c:v>31.177995681762599</c:v>
                </c:pt>
                <c:pt idx="241">
                  <c:v>29.700731277465799</c:v>
                </c:pt>
                <c:pt idx="242">
                  <c:v>28.767724990844702</c:v>
                </c:pt>
                <c:pt idx="243">
                  <c:v>28.369255065917901</c:v>
                </c:pt>
                <c:pt idx="244">
                  <c:v>28.767724990844702</c:v>
                </c:pt>
                <c:pt idx="245">
                  <c:v>29.098165512084901</c:v>
                </c:pt>
                <c:pt idx="246">
                  <c:v>30.449081420898398</c:v>
                </c:pt>
                <c:pt idx="247">
                  <c:v>29.933982849121001</c:v>
                </c:pt>
                <c:pt idx="248">
                  <c:v>29.924266815185501</c:v>
                </c:pt>
                <c:pt idx="249">
                  <c:v>29.205070495605401</c:v>
                </c:pt>
                <c:pt idx="250">
                  <c:v>29.039852142333899</c:v>
                </c:pt>
                <c:pt idx="251">
                  <c:v>28.6316604614257</c:v>
                </c:pt>
                <c:pt idx="252">
                  <c:v>29.924266815185501</c:v>
                </c:pt>
                <c:pt idx="253">
                  <c:v>29.516075134277301</c:v>
                </c:pt>
                <c:pt idx="254">
                  <c:v>29.1467590332031</c:v>
                </c:pt>
                <c:pt idx="255">
                  <c:v>29.3119792938232</c:v>
                </c:pt>
                <c:pt idx="256">
                  <c:v>29.185634613037099</c:v>
                </c:pt>
                <c:pt idx="257">
                  <c:v>29.525791168212798</c:v>
                </c:pt>
                <c:pt idx="258">
                  <c:v>29.0009765625</c:v>
                </c:pt>
                <c:pt idx="259">
                  <c:v>30.1186408996582</c:v>
                </c:pt>
                <c:pt idx="260">
                  <c:v>29.156476974487301</c:v>
                </c:pt>
                <c:pt idx="261">
                  <c:v>29.253665924072202</c:v>
                </c:pt>
                <c:pt idx="262">
                  <c:v>28.981540679931602</c:v>
                </c:pt>
                <c:pt idx="263">
                  <c:v>28.9523830413818</c:v>
                </c:pt>
                <c:pt idx="264">
                  <c:v>28.913507461547798</c:v>
                </c:pt>
                <c:pt idx="265">
                  <c:v>28.427566528320298</c:v>
                </c:pt>
                <c:pt idx="266">
                  <c:v>28.748287200927699</c:v>
                </c:pt>
                <c:pt idx="267">
                  <c:v>28.427566528320298</c:v>
                </c:pt>
                <c:pt idx="268">
                  <c:v>28.136001586913999</c:v>
                </c:pt>
                <c:pt idx="269">
                  <c:v>27.2224311828613</c:v>
                </c:pt>
                <c:pt idx="270">
                  <c:v>27.319622039794901</c:v>
                </c:pt>
                <c:pt idx="271">
                  <c:v>26.639303207397401</c:v>
                </c:pt>
                <c:pt idx="272">
                  <c:v>26.901710510253899</c:v>
                </c:pt>
                <c:pt idx="273">
                  <c:v>26.474082946777301</c:v>
                </c:pt>
                <c:pt idx="274">
                  <c:v>26.367174148559499</c:v>
                </c:pt>
                <c:pt idx="275">
                  <c:v>26.969741821288999</c:v>
                </c:pt>
                <c:pt idx="276">
                  <c:v>27.066932678222599</c:v>
                </c:pt>
                <c:pt idx="277">
                  <c:v>27.212713241577099</c:v>
                </c:pt>
                <c:pt idx="278">
                  <c:v>27.115524291992099</c:v>
                </c:pt>
                <c:pt idx="279">
                  <c:v>27.02805519104</c:v>
                </c:pt>
                <c:pt idx="280">
                  <c:v>27.309900283813398</c:v>
                </c:pt>
                <c:pt idx="281">
                  <c:v>27.883312225341701</c:v>
                </c:pt>
                <c:pt idx="282">
                  <c:v>28.709413528442301</c:v>
                </c:pt>
                <c:pt idx="283">
                  <c:v>27.863874435424801</c:v>
                </c:pt>
                <c:pt idx="284">
                  <c:v>27.9513435363769</c:v>
                </c:pt>
                <c:pt idx="285">
                  <c:v>28.524755477905199</c:v>
                </c:pt>
                <c:pt idx="286">
                  <c:v>27.718091964721602</c:v>
                </c:pt>
                <c:pt idx="287">
                  <c:v>28.6802558898925</c:v>
                </c:pt>
                <c:pt idx="288">
                  <c:v>27.902748107910099</c:v>
                </c:pt>
                <c:pt idx="289">
                  <c:v>28.758007049560501</c:v>
                </c:pt>
                <c:pt idx="290">
                  <c:v>27.7569675445556</c:v>
                </c:pt>
                <c:pt idx="291">
                  <c:v>28.3886909484863</c:v>
                </c:pt>
                <c:pt idx="292">
                  <c:v>27.7278118133544</c:v>
                </c:pt>
                <c:pt idx="293">
                  <c:v>27.844436645507798</c:v>
                </c:pt>
                <c:pt idx="294">
                  <c:v>27.358493804931602</c:v>
                </c:pt>
                <c:pt idx="295">
                  <c:v>27.4654026031494</c:v>
                </c:pt>
                <c:pt idx="296">
                  <c:v>28.077688217163001</c:v>
                </c:pt>
                <c:pt idx="297">
                  <c:v>27.893032073974599</c:v>
                </c:pt>
                <c:pt idx="298">
                  <c:v>27.883312225341701</c:v>
                </c:pt>
                <c:pt idx="299">
                  <c:v>27.990219116210898</c:v>
                </c:pt>
                <c:pt idx="300">
                  <c:v>27.747247695922798</c:v>
                </c:pt>
                <c:pt idx="301">
                  <c:v>28.126283645629801</c:v>
                </c:pt>
                <c:pt idx="302">
                  <c:v>27.7083740234375</c:v>
                </c:pt>
                <c:pt idx="303">
                  <c:v>27.815280914306602</c:v>
                </c:pt>
                <c:pt idx="304">
                  <c:v>28.106843948364201</c:v>
                </c:pt>
                <c:pt idx="305">
                  <c:v>28.184597015380799</c:v>
                </c:pt>
                <c:pt idx="306">
                  <c:v>25.317541122436499</c:v>
                </c:pt>
                <c:pt idx="307">
                  <c:v>25.7646083831787</c:v>
                </c:pt>
                <c:pt idx="308">
                  <c:v>26.1047668457031</c:v>
                </c:pt>
                <c:pt idx="309">
                  <c:v>25.6674194335937</c:v>
                </c:pt>
                <c:pt idx="310">
                  <c:v>24.384534835815401</c:v>
                </c:pt>
                <c:pt idx="311">
                  <c:v>25.210634231567301</c:v>
                </c:pt>
                <c:pt idx="312">
                  <c:v>25.113447189331001</c:v>
                </c:pt>
                <c:pt idx="313">
                  <c:v>24.8801956176757</c:v>
                </c:pt>
                <c:pt idx="314">
                  <c:v>24.685817718505799</c:v>
                </c:pt>
                <c:pt idx="315">
                  <c:v>24.481723785400298</c:v>
                </c:pt>
                <c:pt idx="316">
                  <c:v>24.899633407592699</c:v>
                </c:pt>
                <c:pt idx="317">
                  <c:v>25.949266433715799</c:v>
                </c:pt>
                <c:pt idx="318">
                  <c:v>25.949266433715799</c:v>
                </c:pt>
                <c:pt idx="319">
                  <c:v>26.153362274169901</c:v>
                </c:pt>
                <c:pt idx="320">
                  <c:v>26.231111526489201</c:v>
                </c:pt>
                <c:pt idx="321">
                  <c:v>26.7559280395507</c:v>
                </c:pt>
                <c:pt idx="322">
                  <c:v>25.793766021728501</c:v>
                </c:pt>
                <c:pt idx="323">
                  <c:v>26.075609207153299</c:v>
                </c:pt>
                <c:pt idx="324">
                  <c:v>25.706295013427699</c:v>
                </c:pt>
                <c:pt idx="325">
                  <c:v>26.580989837646399</c:v>
                </c:pt>
                <c:pt idx="326">
                  <c:v>26.085330963134702</c:v>
                </c:pt>
                <c:pt idx="327">
                  <c:v>26.289424896240199</c:v>
                </c:pt>
                <c:pt idx="328">
                  <c:v>26.143642425537099</c:v>
                </c:pt>
                <c:pt idx="329">
                  <c:v>26.114486694335898</c:v>
                </c:pt>
                <c:pt idx="330">
                  <c:v>25.5216369628906</c:v>
                </c:pt>
                <c:pt idx="331">
                  <c:v>26.454645156860298</c:v>
                </c:pt>
                <c:pt idx="332">
                  <c:v>25.5702304840087</c:v>
                </c:pt>
                <c:pt idx="333">
                  <c:v>26.133922576904201</c:v>
                </c:pt>
                <c:pt idx="334">
                  <c:v>26.182518005371001</c:v>
                </c:pt>
                <c:pt idx="335">
                  <c:v>26.0561714172363</c:v>
                </c:pt>
                <c:pt idx="336">
                  <c:v>26.133922576904201</c:v>
                </c:pt>
                <c:pt idx="337">
                  <c:v>26.046453475952099</c:v>
                </c:pt>
                <c:pt idx="338">
                  <c:v>24.714973449706999</c:v>
                </c:pt>
                <c:pt idx="339">
                  <c:v>23.8111248016357</c:v>
                </c:pt>
                <c:pt idx="340">
                  <c:v>23.966625213623001</c:v>
                </c:pt>
                <c:pt idx="341">
                  <c:v>24.928789138793899</c:v>
                </c:pt>
                <c:pt idx="342">
                  <c:v>24.831600189208899</c:v>
                </c:pt>
                <c:pt idx="343">
                  <c:v>24.4914436340332</c:v>
                </c:pt>
                <c:pt idx="344">
                  <c:v>24.394252777099599</c:v>
                </c:pt>
                <c:pt idx="345">
                  <c:v>24.481723785400298</c:v>
                </c:pt>
                <c:pt idx="346">
                  <c:v>24.442848205566399</c:v>
                </c:pt>
                <c:pt idx="347">
                  <c:v>25.453605651855401</c:v>
                </c:pt>
                <c:pt idx="348">
                  <c:v>25.152320861816399</c:v>
                </c:pt>
                <c:pt idx="349">
                  <c:v>24.394252777099599</c:v>
                </c:pt>
                <c:pt idx="350">
                  <c:v>24.219314575195298</c:v>
                </c:pt>
                <c:pt idx="351">
                  <c:v>24.2095947265625</c:v>
                </c:pt>
                <c:pt idx="352">
                  <c:v>24.1804389953613</c:v>
                </c:pt>
                <c:pt idx="353">
                  <c:v>23.227993011474599</c:v>
                </c:pt>
                <c:pt idx="354">
                  <c:v>23.995782852172798</c:v>
                </c:pt>
                <c:pt idx="355">
                  <c:v>23.393215179443299</c:v>
                </c:pt>
                <c:pt idx="356">
                  <c:v>23.684780120849599</c:v>
                </c:pt>
                <c:pt idx="357">
                  <c:v>23.879156112670898</c:v>
                </c:pt>
                <c:pt idx="358">
                  <c:v>23.684780120849599</c:v>
                </c:pt>
                <c:pt idx="359">
                  <c:v>24.083251953125</c:v>
                </c:pt>
                <c:pt idx="360">
                  <c:v>24.092969894409102</c:v>
                </c:pt>
                <c:pt idx="361">
                  <c:v>24.442848205566399</c:v>
                </c:pt>
                <c:pt idx="362">
                  <c:v>24.4914436340332</c:v>
                </c:pt>
                <c:pt idx="363">
                  <c:v>24.851037979125898</c:v>
                </c:pt>
                <c:pt idx="364">
                  <c:v>25.210634231567301</c:v>
                </c:pt>
                <c:pt idx="365">
                  <c:v>24.957944869995099</c:v>
                </c:pt>
                <c:pt idx="366">
                  <c:v>24.112407684326101</c:v>
                </c:pt>
                <c:pt idx="367">
                  <c:v>24.1804389953613</c:v>
                </c:pt>
                <c:pt idx="368">
                  <c:v>24.510879516601499</c:v>
                </c:pt>
                <c:pt idx="369">
                  <c:v>24.0346565246582</c:v>
                </c:pt>
                <c:pt idx="370">
                  <c:v>24.277626037597599</c:v>
                </c:pt>
                <c:pt idx="371">
                  <c:v>24.248472213745099</c:v>
                </c:pt>
                <c:pt idx="372">
                  <c:v>23.869436264038001</c:v>
                </c:pt>
                <c:pt idx="373">
                  <c:v>23.8111248016357</c:v>
                </c:pt>
                <c:pt idx="374">
                  <c:v>23.6944980621337</c:v>
                </c:pt>
                <c:pt idx="375">
                  <c:v>24.1804389953613</c:v>
                </c:pt>
                <c:pt idx="376">
                  <c:v>23.752811431884702</c:v>
                </c:pt>
                <c:pt idx="377">
                  <c:v>23.4029331207275</c:v>
                </c:pt>
                <c:pt idx="378">
                  <c:v>22.742052078246999</c:v>
                </c:pt>
                <c:pt idx="379">
                  <c:v>22.703178405761701</c:v>
                </c:pt>
                <c:pt idx="380">
                  <c:v>22.810083389282202</c:v>
                </c:pt>
                <c:pt idx="381">
                  <c:v>23.315464019775298</c:v>
                </c:pt>
                <c:pt idx="382">
                  <c:v>23.383495330810501</c:v>
                </c:pt>
                <c:pt idx="383">
                  <c:v>23.286306381225501</c:v>
                </c:pt>
                <c:pt idx="384">
                  <c:v>23.247430801391602</c:v>
                </c:pt>
                <c:pt idx="385">
                  <c:v>23.140523910522401</c:v>
                </c:pt>
                <c:pt idx="386">
                  <c:v>23.548713684081999</c:v>
                </c:pt>
                <c:pt idx="387">
                  <c:v>22.9947414398193</c:v>
                </c:pt>
                <c:pt idx="388">
                  <c:v>23.1308059692382</c:v>
                </c:pt>
                <c:pt idx="389">
                  <c:v>23.364057540893501</c:v>
                </c:pt>
                <c:pt idx="390">
                  <c:v>22.887834548950099</c:v>
                </c:pt>
                <c:pt idx="391">
                  <c:v>22.839241027831999</c:v>
                </c:pt>
                <c:pt idx="392">
                  <c:v>22.7906475067138</c:v>
                </c:pt>
                <c:pt idx="393">
                  <c:v>23.4029331207275</c:v>
                </c:pt>
                <c:pt idx="394">
                  <c:v>22.907272338867099</c:v>
                </c:pt>
                <c:pt idx="395">
                  <c:v>22.703178405761701</c:v>
                </c:pt>
                <c:pt idx="396">
                  <c:v>22.926710128784102</c:v>
                </c:pt>
                <c:pt idx="397">
                  <c:v>22.878116607666001</c:v>
                </c:pt>
                <c:pt idx="398">
                  <c:v>23.383495330810501</c:v>
                </c:pt>
                <c:pt idx="399">
                  <c:v>22.780929565429599</c:v>
                </c:pt>
                <c:pt idx="400">
                  <c:v>22.1880798339843</c:v>
                </c:pt>
                <c:pt idx="401">
                  <c:v>22.508800506591701</c:v>
                </c:pt>
                <c:pt idx="402">
                  <c:v>22.256111145019499</c:v>
                </c:pt>
                <c:pt idx="403">
                  <c:v>22.6254272460937</c:v>
                </c:pt>
                <c:pt idx="404">
                  <c:v>21.8284816741943</c:v>
                </c:pt>
                <c:pt idx="405">
                  <c:v>22.032579421996999</c:v>
                </c:pt>
                <c:pt idx="406">
                  <c:v>21.0218200683593</c:v>
                </c:pt>
                <c:pt idx="407">
                  <c:v>20.487285614013601</c:v>
                </c:pt>
                <c:pt idx="408">
                  <c:v>20.030500411987301</c:v>
                </c:pt>
                <c:pt idx="409">
                  <c:v>20.011062622070298</c:v>
                </c:pt>
                <c:pt idx="410">
                  <c:v>19.593152999877901</c:v>
                </c:pt>
                <c:pt idx="411">
                  <c:v>19.8264045715332</c:v>
                </c:pt>
                <c:pt idx="412">
                  <c:v>19.8555603027343</c:v>
                </c:pt>
                <c:pt idx="413">
                  <c:v>19.884717941284102</c:v>
                </c:pt>
                <c:pt idx="414">
                  <c:v>19.8069667816162</c:v>
                </c:pt>
                <c:pt idx="415">
                  <c:v>19.359901428222599</c:v>
                </c:pt>
                <c:pt idx="416">
                  <c:v>19.845842361450099</c:v>
                </c:pt>
                <c:pt idx="417">
                  <c:v>21.352260589599599</c:v>
                </c:pt>
                <c:pt idx="418">
                  <c:v>19.8264045715332</c:v>
                </c:pt>
                <c:pt idx="419">
                  <c:v>19.544559478759702</c:v>
                </c:pt>
                <c:pt idx="420">
                  <c:v>19.3404636383056</c:v>
                </c:pt>
                <c:pt idx="421">
                  <c:v>19.1460876464843</c:v>
                </c:pt>
                <c:pt idx="422">
                  <c:v>19.1460876464843</c:v>
                </c:pt>
                <c:pt idx="423">
                  <c:v>18.932271957397401</c:v>
                </c:pt>
                <c:pt idx="424">
                  <c:v>18.7573337554931</c:v>
                </c:pt>
                <c:pt idx="425">
                  <c:v>17.814607620239201</c:v>
                </c:pt>
                <c:pt idx="426">
                  <c:v>17.406417846679599</c:v>
                </c:pt>
                <c:pt idx="427">
                  <c:v>17.911796569824201</c:v>
                </c:pt>
                <c:pt idx="428">
                  <c:v>17.309228897094702</c:v>
                </c:pt>
                <c:pt idx="429">
                  <c:v>17.2703533172607</c:v>
                </c:pt>
                <c:pt idx="430">
                  <c:v>17.309228897094702</c:v>
                </c:pt>
                <c:pt idx="431">
                  <c:v>17.163446426391602</c:v>
                </c:pt>
                <c:pt idx="432">
                  <c:v>17.54248046875</c:v>
                </c:pt>
                <c:pt idx="433">
                  <c:v>18.3199863433837</c:v>
                </c:pt>
                <c:pt idx="434">
                  <c:v>17.697980880737301</c:v>
                </c:pt>
                <c:pt idx="435">
                  <c:v>17.153728485107401</c:v>
                </c:pt>
                <c:pt idx="436">
                  <c:v>16.969070434570298</c:v>
                </c:pt>
                <c:pt idx="437">
                  <c:v>16.794132232666001</c:v>
                </c:pt>
                <c:pt idx="438">
                  <c:v>16.8038520812988</c:v>
                </c:pt>
                <c:pt idx="439">
                  <c:v>17.0759773254394</c:v>
                </c:pt>
                <c:pt idx="440">
                  <c:v>16.8038520812988</c:v>
                </c:pt>
                <c:pt idx="441">
                  <c:v>16.6872253417968</c:v>
                </c:pt>
                <c:pt idx="442">
                  <c:v>16.376222610473601</c:v>
                </c:pt>
                <c:pt idx="443">
                  <c:v>16.531723022460898</c:v>
                </c:pt>
                <c:pt idx="444">
                  <c:v>15.5695600509643</c:v>
                </c:pt>
                <c:pt idx="445">
                  <c:v>15.1710872650146</c:v>
                </c:pt>
                <c:pt idx="446">
                  <c:v>14.7920532226562</c:v>
                </c:pt>
                <c:pt idx="447">
                  <c:v>14.481050491333001</c:v>
                </c:pt>
                <c:pt idx="448">
                  <c:v>14.850365638732899</c:v>
                </c:pt>
                <c:pt idx="449">
                  <c:v>15.064180374145501</c:v>
                </c:pt>
                <c:pt idx="450">
                  <c:v>15.4432153701782</c:v>
                </c:pt>
                <c:pt idx="451">
                  <c:v>15.2002449035644</c:v>
                </c:pt>
                <c:pt idx="452">
                  <c:v>15.3363075256347</c:v>
                </c:pt>
                <c:pt idx="453">
                  <c:v>15.550121307373001</c:v>
                </c:pt>
                <c:pt idx="454">
                  <c:v>15.054461479186999</c:v>
                </c:pt>
                <c:pt idx="455">
                  <c:v>15.073900222778301</c:v>
                </c:pt>
                <c:pt idx="456">
                  <c:v>14.9864301681518</c:v>
                </c:pt>
                <c:pt idx="457">
                  <c:v>14.9475545883178</c:v>
                </c:pt>
                <c:pt idx="458">
                  <c:v>15.015586853027299</c:v>
                </c:pt>
                <c:pt idx="459">
                  <c:v>14.976710319519</c:v>
                </c:pt>
                <c:pt idx="460">
                  <c:v>16.3470649719238</c:v>
                </c:pt>
                <c:pt idx="461">
                  <c:v>15.8514041900634</c:v>
                </c:pt>
                <c:pt idx="462">
                  <c:v>16.4928474426269</c:v>
                </c:pt>
                <c:pt idx="463">
                  <c:v>17.600795745849599</c:v>
                </c:pt>
                <c:pt idx="464">
                  <c:v>16.9107570648193</c:v>
                </c:pt>
                <c:pt idx="465">
                  <c:v>17.2995090484619</c:v>
                </c:pt>
                <c:pt idx="466">
                  <c:v>17.056539535522401</c:v>
                </c:pt>
                <c:pt idx="467">
                  <c:v>17.1245727539062</c:v>
                </c:pt>
                <c:pt idx="468">
                  <c:v>17.6396675109863</c:v>
                </c:pt>
                <c:pt idx="469">
                  <c:v>16.9107570648193</c:v>
                </c:pt>
                <c:pt idx="470">
                  <c:v>17.007946014404201</c:v>
                </c:pt>
                <c:pt idx="471">
                  <c:v>17.027381896972599</c:v>
                </c:pt>
                <c:pt idx="472">
                  <c:v>17.105134963989201</c:v>
                </c:pt>
                <c:pt idx="473">
                  <c:v>17.318946838378899</c:v>
                </c:pt>
                <c:pt idx="474">
                  <c:v>17.309228897094702</c:v>
                </c:pt>
                <c:pt idx="475">
                  <c:v>17.484167098998999</c:v>
                </c:pt>
                <c:pt idx="476">
                  <c:v>17.4938869476318</c:v>
                </c:pt>
                <c:pt idx="477">
                  <c:v>16.706661224365199</c:v>
                </c:pt>
                <c:pt idx="478">
                  <c:v>16.094375610351499</c:v>
                </c:pt>
                <c:pt idx="479">
                  <c:v>16.191564559936499</c:v>
                </c:pt>
                <c:pt idx="480">
                  <c:v>16.036062240600501</c:v>
                </c:pt>
                <c:pt idx="481">
                  <c:v>15.462652206420801</c:v>
                </c:pt>
                <c:pt idx="482">
                  <c:v>15.0836191177368</c:v>
                </c:pt>
                <c:pt idx="483">
                  <c:v>14.50048828125</c:v>
                </c:pt>
                <c:pt idx="484">
                  <c:v>14.490770339965801</c:v>
                </c:pt>
                <c:pt idx="485">
                  <c:v>14.578238487243601</c:v>
                </c:pt>
                <c:pt idx="486">
                  <c:v>13.6743879318237</c:v>
                </c:pt>
                <c:pt idx="487">
                  <c:v>13.859045982360801</c:v>
                </c:pt>
                <c:pt idx="488">
                  <c:v>13.820171356201101</c:v>
                </c:pt>
                <c:pt idx="489">
                  <c:v>13.3342294692993</c:v>
                </c:pt>
                <c:pt idx="490">
                  <c:v>12.974633216857899</c:v>
                </c:pt>
                <c:pt idx="491">
                  <c:v>12.926038742065399</c:v>
                </c:pt>
                <c:pt idx="492">
                  <c:v>12.741380691528301</c:v>
                </c:pt>
                <c:pt idx="493">
                  <c:v>12.1485328674316</c:v>
                </c:pt>
                <c:pt idx="494">
                  <c:v>12.0513439178466</c:v>
                </c:pt>
                <c:pt idx="495">
                  <c:v>11.7111854553222</c:v>
                </c:pt>
                <c:pt idx="496">
                  <c:v>11.536246299743601</c:v>
                </c:pt>
                <c:pt idx="497">
                  <c:v>11.720905303955</c:v>
                </c:pt>
                <c:pt idx="498">
                  <c:v>11.7597799301147</c:v>
                </c:pt>
                <c:pt idx="499">
                  <c:v>11.439058303833001</c:v>
                </c:pt>
                <c:pt idx="500">
                  <c:v>11.108618736266999</c:v>
                </c:pt>
                <c:pt idx="501">
                  <c:v>11.0114297866821</c:v>
                </c:pt>
                <c:pt idx="502">
                  <c:v>10.855929374694799</c:v>
                </c:pt>
                <c:pt idx="503">
                  <c:v>11.244681358337401</c:v>
                </c:pt>
                <c:pt idx="504">
                  <c:v>11.584840774536101</c:v>
                </c:pt>
                <c:pt idx="505">
                  <c:v>11.536246299743601</c:v>
                </c:pt>
                <c:pt idx="506">
                  <c:v>11.341869354248001</c:v>
                </c:pt>
                <c:pt idx="507">
                  <c:v>11.45849609375</c:v>
                </c:pt>
                <c:pt idx="508">
                  <c:v>11.5556840896606</c:v>
                </c:pt>
                <c:pt idx="509">
                  <c:v>11.5654029846191</c:v>
                </c:pt>
                <c:pt idx="510">
                  <c:v>11.584840774536101</c:v>
                </c:pt>
                <c:pt idx="511">
                  <c:v>11.788936614990201</c:v>
                </c:pt>
                <c:pt idx="512">
                  <c:v>11.6528720855712</c:v>
                </c:pt>
                <c:pt idx="513">
                  <c:v>11.594560623168899</c:v>
                </c:pt>
                <c:pt idx="514">
                  <c:v>11.439058303833001</c:v>
                </c:pt>
                <c:pt idx="515">
                  <c:v>11.0697431564331</c:v>
                </c:pt>
                <c:pt idx="516">
                  <c:v>11.2738380432128</c:v>
                </c:pt>
                <c:pt idx="517">
                  <c:v>11.0308675765991</c:v>
                </c:pt>
                <c:pt idx="518">
                  <c:v>10.418581008911101</c:v>
                </c:pt>
                <c:pt idx="519">
                  <c:v>10.7878971099853</c:v>
                </c:pt>
                <c:pt idx="520">
                  <c:v>10.8850851058959</c:v>
                </c:pt>
                <c:pt idx="521">
                  <c:v>10.8850851058959</c:v>
                </c:pt>
                <c:pt idx="522">
                  <c:v>10.4574575424194</c:v>
                </c:pt>
                <c:pt idx="523">
                  <c:v>10.6032390594482</c:v>
                </c:pt>
                <c:pt idx="524">
                  <c:v>10.4866132736206</c:v>
                </c:pt>
                <c:pt idx="525">
                  <c:v>10.5449266433715</c:v>
                </c:pt>
                <c:pt idx="526">
                  <c:v>10.02011013031</c:v>
                </c:pt>
                <c:pt idx="527">
                  <c:v>10.0492658615112</c:v>
                </c:pt>
                <c:pt idx="528">
                  <c:v>10.3991441726684</c:v>
                </c:pt>
                <c:pt idx="529">
                  <c:v>10.9336795806884</c:v>
                </c:pt>
                <c:pt idx="530">
                  <c:v>10.953117370605399</c:v>
                </c:pt>
                <c:pt idx="531">
                  <c:v>10.9822740554809</c:v>
                </c:pt>
                <c:pt idx="532">
                  <c:v>11.6528720855712</c:v>
                </c:pt>
                <c:pt idx="533">
                  <c:v>11.779217720031699</c:v>
                </c:pt>
                <c:pt idx="534">
                  <c:v>12.158251762390099</c:v>
                </c:pt>
                <c:pt idx="535">
                  <c:v>12.0902194976806</c:v>
                </c:pt>
                <c:pt idx="536">
                  <c:v>12.294314384460399</c:v>
                </c:pt>
                <c:pt idx="537">
                  <c:v>12.2457218170166</c:v>
                </c:pt>
                <c:pt idx="538">
                  <c:v>12.2457218170166</c:v>
                </c:pt>
                <c:pt idx="539">
                  <c:v>12.197126388549799</c:v>
                </c:pt>
                <c:pt idx="540">
                  <c:v>12.1485328674316</c:v>
                </c:pt>
                <c:pt idx="541">
                  <c:v>12.1485328674316</c:v>
                </c:pt>
                <c:pt idx="542">
                  <c:v>12.391502380371</c:v>
                </c:pt>
                <c:pt idx="543">
                  <c:v>12.585880279541</c:v>
                </c:pt>
                <c:pt idx="544">
                  <c:v>12.692787170410099</c:v>
                </c:pt>
                <c:pt idx="545">
                  <c:v>13.1884460449218</c:v>
                </c:pt>
                <c:pt idx="546">
                  <c:v>13.314790725708001</c:v>
                </c:pt>
                <c:pt idx="547">
                  <c:v>13.2953548431396</c:v>
                </c:pt>
                <c:pt idx="548">
                  <c:v>13.023226737976</c:v>
                </c:pt>
                <c:pt idx="549">
                  <c:v>12.6733493804931</c:v>
                </c:pt>
                <c:pt idx="550">
                  <c:v>12.780256271362299</c:v>
                </c:pt>
                <c:pt idx="551">
                  <c:v>12.585880279541</c:v>
                </c:pt>
                <c:pt idx="552">
                  <c:v>12.692787170410099</c:v>
                </c:pt>
                <c:pt idx="553">
                  <c:v>12.9551954269409</c:v>
                </c:pt>
                <c:pt idx="554">
                  <c:v>12.8288507461547</c:v>
                </c:pt>
                <c:pt idx="555">
                  <c:v>13.0135087966918</c:v>
                </c:pt>
                <c:pt idx="556">
                  <c:v>13.4022607803344</c:v>
                </c:pt>
                <c:pt idx="557">
                  <c:v>12.9066009521484</c:v>
                </c:pt>
                <c:pt idx="558">
                  <c:v>12.9066009521484</c:v>
                </c:pt>
                <c:pt idx="559">
                  <c:v>13.003788948059</c:v>
                </c:pt>
                <c:pt idx="560">
                  <c:v>13.431417465209901</c:v>
                </c:pt>
                <c:pt idx="561">
                  <c:v>13.509167671203601</c:v>
                </c:pt>
                <c:pt idx="562">
                  <c:v>13.761857986450099</c:v>
                </c:pt>
                <c:pt idx="563">
                  <c:v>13.9853906631469</c:v>
                </c:pt>
                <c:pt idx="564">
                  <c:v>13.7812957763671</c:v>
                </c:pt>
                <c:pt idx="565">
                  <c:v>13.7035455703735</c:v>
                </c:pt>
                <c:pt idx="566">
                  <c:v>13.8882026672363</c:v>
                </c:pt>
                <c:pt idx="567">
                  <c:v>13.7812957763671</c:v>
                </c:pt>
                <c:pt idx="568">
                  <c:v>13.7715759277343</c:v>
                </c:pt>
                <c:pt idx="569">
                  <c:v>13.6063566207885</c:v>
                </c:pt>
                <c:pt idx="570">
                  <c:v>12.498410224914499</c:v>
                </c:pt>
                <c:pt idx="571">
                  <c:v>12.916318893432599</c:v>
                </c:pt>
                <c:pt idx="572">
                  <c:v>13.4897308349609</c:v>
                </c:pt>
                <c:pt idx="573">
                  <c:v>13.4897308349609</c:v>
                </c:pt>
                <c:pt idx="574">
                  <c:v>13.2856349945068</c:v>
                </c:pt>
                <c:pt idx="575">
                  <c:v>13.577199935913001</c:v>
                </c:pt>
                <c:pt idx="576">
                  <c:v>13.625794410705501</c:v>
                </c:pt>
                <c:pt idx="577">
                  <c:v>14.092298507690399</c:v>
                </c:pt>
                <c:pt idx="578">
                  <c:v>13.8882026672363</c:v>
                </c:pt>
                <c:pt idx="579">
                  <c:v>13.820171356201101</c:v>
                </c:pt>
                <c:pt idx="580">
                  <c:v>13.5480432510375</c:v>
                </c:pt>
                <c:pt idx="581">
                  <c:v>13.314790725708001</c:v>
                </c:pt>
                <c:pt idx="582">
                  <c:v>13.1690101623535</c:v>
                </c:pt>
                <c:pt idx="583">
                  <c:v>12.877444267272899</c:v>
                </c:pt>
                <c:pt idx="584">
                  <c:v>12.916318893432599</c:v>
                </c:pt>
                <c:pt idx="585">
                  <c:v>12.8288507461547</c:v>
                </c:pt>
                <c:pt idx="586">
                  <c:v>13.0621013641357</c:v>
                </c:pt>
                <c:pt idx="587">
                  <c:v>13.1690101623535</c:v>
                </c:pt>
                <c:pt idx="588">
                  <c:v>12.7510995864868</c:v>
                </c:pt>
                <c:pt idx="589">
                  <c:v>12.7705383300781</c:v>
                </c:pt>
                <c:pt idx="590">
                  <c:v>12.6247549057006</c:v>
                </c:pt>
                <c:pt idx="591">
                  <c:v>12.916318893432599</c:v>
                </c:pt>
                <c:pt idx="592">
                  <c:v>13.023226737976</c:v>
                </c:pt>
                <c:pt idx="593">
                  <c:v>13.120414733886699</c:v>
                </c:pt>
                <c:pt idx="594">
                  <c:v>13.130133628845201</c:v>
                </c:pt>
                <c:pt idx="595">
                  <c:v>13.266197204589799</c:v>
                </c:pt>
                <c:pt idx="596">
                  <c:v>13.1009769439697</c:v>
                </c:pt>
                <c:pt idx="597">
                  <c:v>13.2953548431396</c:v>
                </c:pt>
                <c:pt idx="598">
                  <c:v>13.324510574340801</c:v>
                </c:pt>
                <c:pt idx="599">
                  <c:v>13.567481994628899</c:v>
                </c:pt>
                <c:pt idx="600">
                  <c:v>13.3050727844238</c:v>
                </c:pt>
                <c:pt idx="601">
                  <c:v>13.3050727844238</c:v>
                </c:pt>
                <c:pt idx="602">
                  <c:v>13.2078847885131</c:v>
                </c:pt>
                <c:pt idx="603">
                  <c:v>13.091259002685501</c:v>
                </c:pt>
                <c:pt idx="604">
                  <c:v>13.1690101623535</c:v>
                </c:pt>
                <c:pt idx="605">
                  <c:v>13.2078847885131</c:v>
                </c:pt>
                <c:pt idx="606">
                  <c:v>13.1009769439697</c:v>
                </c:pt>
                <c:pt idx="607">
                  <c:v>13.120414733886699</c:v>
                </c:pt>
                <c:pt idx="608">
                  <c:v>13.4994497299194</c:v>
                </c:pt>
                <c:pt idx="609">
                  <c:v>13.431417465209901</c:v>
                </c:pt>
                <c:pt idx="610">
                  <c:v>13.4994497299194</c:v>
                </c:pt>
                <c:pt idx="611">
                  <c:v>13.431417465209901</c:v>
                </c:pt>
                <c:pt idx="612">
                  <c:v>13.579885482788001</c:v>
                </c:pt>
                <c:pt idx="613">
                  <c:v>13.500702857971101</c:v>
                </c:pt>
                <c:pt idx="614">
                  <c:v>13.6491708755493</c:v>
                </c:pt>
                <c:pt idx="615">
                  <c:v>13.6491708755493</c:v>
                </c:pt>
                <c:pt idx="616">
                  <c:v>13.500702857971101</c:v>
                </c:pt>
                <c:pt idx="617">
                  <c:v>13.500702857971101</c:v>
                </c:pt>
                <c:pt idx="618">
                  <c:v>13.4710083007812</c:v>
                </c:pt>
                <c:pt idx="619">
                  <c:v>13.4710083007812</c:v>
                </c:pt>
                <c:pt idx="620">
                  <c:v>13.461111068725501</c:v>
                </c:pt>
                <c:pt idx="621">
                  <c:v>13.708558082580501</c:v>
                </c:pt>
                <c:pt idx="622">
                  <c:v>13.6491708755493</c:v>
                </c:pt>
                <c:pt idx="623">
                  <c:v>13.708558082580501</c:v>
                </c:pt>
                <c:pt idx="624">
                  <c:v>13.5897827148437</c:v>
                </c:pt>
                <c:pt idx="625">
                  <c:v>13.560090065002401</c:v>
                </c:pt>
                <c:pt idx="626">
                  <c:v>13.500702857971101</c:v>
                </c:pt>
                <c:pt idx="627">
                  <c:v>13.550191879272401</c:v>
                </c:pt>
                <c:pt idx="628">
                  <c:v>13.5996809005737</c:v>
                </c:pt>
                <c:pt idx="629">
                  <c:v>13.550191879272401</c:v>
                </c:pt>
                <c:pt idx="630">
                  <c:v>13.4809064865112</c:v>
                </c:pt>
                <c:pt idx="631">
                  <c:v>13.5996809005737</c:v>
                </c:pt>
                <c:pt idx="632">
                  <c:v>13.6095790863037</c:v>
                </c:pt>
                <c:pt idx="633">
                  <c:v>13.0454006195068</c:v>
                </c:pt>
                <c:pt idx="634">
                  <c:v>13.550191879272401</c:v>
                </c:pt>
                <c:pt idx="635">
                  <c:v>13.3621320724487</c:v>
                </c:pt>
                <c:pt idx="636">
                  <c:v>13.4908046722412</c:v>
                </c:pt>
                <c:pt idx="637">
                  <c:v>13.659069061279199</c:v>
                </c:pt>
                <c:pt idx="638">
                  <c:v>13.5106000900268</c:v>
                </c:pt>
                <c:pt idx="639">
                  <c:v>13.3720302581787</c:v>
                </c:pt>
                <c:pt idx="640">
                  <c:v>13.6095790863037</c:v>
                </c:pt>
                <c:pt idx="641">
                  <c:v>13.6392726898193</c:v>
                </c:pt>
                <c:pt idx="642">
                  <c:v>13.421520233154199</c:v>
                </c:pt>
                <c:pt idx="643">
                  <c:v>13.4710083007812</c:v>
                </c:pt>
                <c:pt idx="644">
                  <c:v>13.3621320724487</c:v>
                </c:pt>
                <c:pt idx="645">
                  <c:v>13.560090065002401</c:v>
                </c:pt>
                <c:pt idx="646">
                  <c:v>13.4809064865112</c:v>
                </c:pt>
                <c:pt idx="647">
                  <c:v>13.3918256759643</c:v>
                </c:pt>
                <c:pt idx="648">
                  <c:v>13.3522338867187</c:v>
                </c:pt>
                <c:pt idx="649">
                  <c:v>13.4116220474243</c:v>
                </c:pt>
                <c:pt idx="650">
                  <c:v>13.560090065002401</c:v>
                </c:pt>
                <c:pt idx="651">
                  <c:v>13.5106000900268</c:v>
                </c:pt>
                <c:pt idx="652">
                  <c:v>13.560090065002401</c:v>
                </c:pt>
                <c:pt idx="653">
                  <c:v>13.3621320724487</c:v>
                </c:pt>
                <c:pt idx="654">
                  <c:v>13.4017238616943</c:v>
                </c:pt>
                <c:pt idx="655">
                  <c:v>13.5699872970581</c:v>
                </c:pt>
                <c:pt idx="656">
                  <c:v>13.550191879272401</c:v>
                </c:pt>
                <c:pt idx="657">
                  <c:v>13.4809064865112</c:v>
                </c:pt>
                <c:pt idx="658">
                  <c:v>13.550191879272401</c:v>
                </c:pt>
                <c:pt idx="659">
                  <c:v>13.4116220474243</c:v>
                </c:pt>
                <c:pt idx="660">
                  <c:v>13.461111068725501</c:v>
                </c:pt>
                <c:pt idx="661">
                  <c:v>13.3720302581787</c:v>
                </c:pt>
                <c:pt idx="662">
                  <c:v>13.4017238616943</c:v>
                </c:pt>
                <c:pt idx="663">
                  <c:v>13.2730512619018</c:v>
                </c:pt>
                <c:pt idx="664">
                  <c:v>13.3918256759643</c:v>
                </c:pt>
                <c:pt idx="665">
                  <c:v>13.2928476333618</c:v>
                </c:pt>
                <c:pt idx="666">
                  <c:v>13.302744865417401</c:v>
                </c:pt>
                <c:pt idx="667">
                  <c:v>13.3423357009887</c:v>
                </c:pt>
                <c:pt idx="668">
                  <c:v>13.2433576583862</c:v>
                </c:pt>
                <c:pt idx="669">
                  <c:v>13.2631530761718</c:v>
                </c:pt>
                <c:pt idx="670">
                  <c:v>13.312643051147401</c:v>
                </c:pt>
                <c:pt idx="671">
                  <c:v>13.075094223022401</c:v>
                </c:pt>
                <c:pt idx="672">
                  <c:v>13.183970451354901</c:v>
                </c:pt>
                <c:pt idx="673">
                  <c:v>13.075094223022401</c:v>
                </c:pt>
                <c:pt idx="674">
                  <c:v>13.0454006195068</c:v>
                </c:pt>
                <c:pt idx="675">
                  <c:v>13.0552978515625</c:v>
                </c:pt>
                <c:pt idx="676">
                  <c:v>13.1146850585937</c:v>
                </c:pt>
                <c:pt idx="677">
                  <c:v>12.748464584350501</c:v>
                </c:pt>
                <c:pt idx="678">
                  <c:v>13.084992408752401</c:v>
                </c:pt>
                <c:pt idx="679">
                  <c:v>12.8474426269531</c:v>
                </c:pt>
                <c:pt idx="680">
                  <c:v>12.7682590484619</c:v>
                </c:pt>
                <c:pt idx="681">
                  <c:v>12.8573408126831</c:v>
                </c:pt>
                <c:pt idx="682">
                  <c:v>12.7682590484619</c:v>
                </c:pt>
                <c:pt idx="683">
                  <c:v>12.7781572341918</c:v>
                </c:pt>
                <c:pt idx="684">
                  <c:v>12.8078508377075</c:v>
                </c:pt>
                <c:pt idx="685">
                  <c:v>12.6791791915893</c:v>
                </c:pt>
                <c:pt idx="686">
                  <c:v>12.8573408126831</c:v>
                </c:pt>
                <c:pt idx="687">
                  <c:v>12.827647209167401</c:v>
                </c:pt>
                <c:pt idx="688">
                  <c:v>12.4119358062744</c:v>
                </c:pt>
                <c:pt idx="689">
                  <c:v>12.1149997711181</c:v>
                </c:pt>
                <c:pt idx="690">
                  <c:v>12.4218339920043</c:v>
                </c:pt>
                <c:pt idx="691">
                  <c:v>12.1743869781494</c:v>
                </c:pt>
                <c:pt idx="692">
                  <c:v>12.223876953125</c:v>
                </c:pt>
                <c:pt idx="693">
                  <c:v>12.2832641601562</c:v>
                </c:pt>
                <c:pt idx="694">
                  <c:v>11.8873491287231</c:v>
                </c:pt>
                <c:pt idx="695">
                  <c:v>12.1149997711181</c:v>
                </c:pt>
                <c:pt idx="696">
                  <c:v>12.399999618530201</c:v>
                </c:pt>
                <c:pt idx="697">
                  <c:v>12.0100002288818</c:v>
                </c:pt>
                <c:pt idx="698">
                  <c:v>12.2100000381469</c:v>
                </c:pt>
                <c:pt idx="699">
                  <c:v>12.1800003051757</c:v>
                </c:pt>
                <c:pt idx="700">
                  <c:v>12.069999694824199</c:v>
                </c:pt>
                <c:pt idx="701">
                  <c:v>11.949999809265099</c:v>
                </c:pt>
                <c:pt idx="702">
                  <c:v>11.939999580383301</c:v>
                </c:pt>
                <c:pt idx="703">
                  <c:v>11.6599998474121</c:v>
                </c:pt>
                <c:pt idx="704">
                  <c:v>11.670000076293899</c:v>
                </c:pt>
                <c:pt idx="705">
                  <c:v>11.4300003051757</c:v>
                </c:pt>
                <c:pt idx="706">
                  <c:v>11.7299995422363</c:v>
                </c:pt>
                <c:pt idx="707">
                  <c:v>11.7299995422363</c:v>
                </c:pt>
                <c:pt idx="708">
                  <c:v>11.699999809265099</c:v>
                </c:pt>
                <c:pt idx="709">
                  <c:v>11.800000190734799</c:v>
                </c:pt>
                <c:pt idx="710">
                  <c:v>11.75</c:v>
                </c:pt>
                <c:pt idx="711">
                  <c:v>11.75</c:v>
                </c:pt>
                <c:pt idx="712">
                  <c:v>11.7200002670288</c:v>
                </c:pt>
                <c:pt idx="713">
                  <c:v>11.75</c:v>
                </c:pt>
                <c:pt idx="714">
                  <c:v>11.949999809265099</c:v>
                </c:pt>
                <c:pt idx="715">
                  <c:v>11.9600000381469</c:v>
                </c:pt>
                <c:pt idx="716">
                  <c:v>11.920000076293899</c:v>
                </c:pt>
                <c:pt idx="717">
                  <c:v>11.800000190734799</c:v>
                </c:pt>
                <c:pt idx="718">
                  <c:v>11.8500003814697</c:v>
                </c:pt>
                <c:pt idx="719">
                  <c:v>11.8400001525878</c:v>
                </c:pt>
                <c:pt idx="720">
                  <c:v>11.869999885559</c:v>
                </c:pt>
                <c:pt idx="721">
                  <c:v>11.8599996566772</c:v>
                </c:pt>
                <c:pt idx="722">
                  <c:v>11.8500003814697</c:v>
                </c:pt>
                <c:pt idx="723">
                  <c:v>11.75</c:v>
                </c:pt>
                <c:pt idx="724">
                  <c:v>11.789999961853001</c:v>
                </c:pt>
                <c:pt idx="725">
                  <c:v>11.869999885559</c:v>
                </c:pt>
                <c:pt idx="726">
                  <c:v>11.529999732971101</c:v>
                </c:pt>
                <c:pt idx="727">
                  <c:v>11.529999732971101</c:v>
                </c:pt>
                <c:pt idx="728">
                  <c:v>11.8500003814697</c:v>
                </c:pt>
                <c:pt idx="729">
                  <c:v>11.689999580383301</c:v>
                </c:pt>
                <c:pt idx="730">
                  <c:v>11.9899997711181</c:v>
                </c:pt>
                <c:pt idx="731">
                  <c:v>11.9799995422363</c:v>
                </c:pt>
                <c:pt idx="732">
                  <c:v>11.770000457763601</c:v>
                </c:pt>
                <c:pt idx="733">
                  <c:v>11.949999809265099</c:v>
                </c:pt>
                <c:pt idx="734">
                  <c:v>12.050000190734799</c:v>
                </c:pt>
                <c:pt idx="735">
                  <c:v>12</c:v>
                </c:pt>
                <c:pt idx="736">
                  <c:v>12.170000076293899</c:v>
                </c:pt>
                <c:pt idx="737">
                  <c:v>12.800000190734799</c:v>
                </c:pt>
                <c:pt idx="738">
                  <c:v>13.149999618530201</c:v>
                </c:pt>
                <c:pt idx="739">
                  <c:v>12.399999618530201</c:v>
                </c:pt>
                <c:pt idx="740">
                  <c:v>12.1599998474121</c:v>
                </c:pt>
                <c:pt idx="741">
                  <c:v>11.6599998474121</c:v>
                </c:pt>
                <c:pt idx="742">
                  <c:v>11.529999732971101</c:v>
                </c:pt>
                <c:pt idx="743">
                  <c:v>11.3599996566772</c:v>
                </c:pt>
                <c:pt idx="744">
                  <c:v>11.149999618530201</c:v>
                </c:pt>
                <c:pt idx="745">
                  <c:v>11.069999694824199</c:v>
                </c:pt>
                <c:pt idx="746">
                  <c:v>11.050000190734799</c:v>
                </c:pt>
                <c:pt idx="747">
                  <c:v>11</c:v>
                </c:pt>
                <c:pt idx="748">
                  <c:v>10.949999809265099</c:v>
                </c:pt>
                <c:pt idx="749">
                  <c:v>10.9099998474121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B-2E4D-9E93-58277ECB19C6}"/>
            </c:ext>
          </c:extLst>
        </c:ser>
        <c:ser>
          <c:idx val="1"/>
          <c:order val="1"/>
          <c:tx>
            <c:strRef>
              <c:f>Acciones!$C$1</c:f>
              <c:strCache>
                <c:ptCount val="1"/>
                <c:pt idx="0">
                  <c:v>MARA.MX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Acciones!$A$2:$A$751</c:f>
              <c:numCache>
                <c:formatCode>m/d/yy</c:formatCode>
                <c:ptCount val="750"/>
                <c:pt idx="0">
                  <c:v>44998</c:v>
                </c:pt>
                <c:pt idx="1">
                  <c:v>44999</c:v>
                </c:pt>
                <c:pt idx="2">
                  <c:v>45000</c:v>
                </c:pt>
                <c:pt idx="3">
                  <c:v>45001</c:v>
                </c:pt>
                <c:pt idx="4">
                  <c:v>45002</c:v>
                </c:pt>
                <c:pt idx="5">
                  <c:v>45006</c:v>
                </c:pt>
                <c:pt idx="6">
                  <c:v>45007</c:v>
                </c:pt>
                <c:pt idx="7">
                  <c:v>45008</c:v>
                </c:pt>
                <c:pt idx="8">
                  <c:v>45009</c:v>
                </c:pt>
                <c:pt idx="9">
                  <c:v>45012</c:v>
                </c:pt>
                <c:pt idx="10">
                  <c:v>45013</c:v>
                </c:pt>
                <c:pt idx="11">
                  <c:v>45014</c:v>
                </c:pt>
                <c:pt idx="12">
                  <c:v>45015</c:v>
                </c:pt>
                <c:pt idx="13">
                  <c:v>45016</c:v>
                </c:pt>
                <c:pt idx="14">
                  <c:v>45019</c:v>
                </c:pt>
                <c:pt idx="15">
                  <c:v>45020</c:v>
                </c:pt>
                <c:pt idx="16">
                  <c:v>45021</c:v>
                </c:pt>
                <c:pt idx="17">
                  <c:v>45026</c:v>
                </c:pt>
                <c:pt idx="18">
                  <c:v>45027</c:v>
                </c:pt>
                <c:pt idx="19">
                  <c:v>45028</c:v>
                </c:pt>
                <c:pt idx="20">
                  <c:v>45029</c:v>
                </c:pt>
                <c:pt idx="21">
                  <c:v>45030</c:v>
                </c:pt>
                <c:pt idx="22">
                  <c:v>45033</c:v>
                </c:pt>
                <c:pt idx="23">
                  <c:v>45034</c:v>
                </c:pt>
                <c:pt idx="24">
                  <c:v>45035</c:v>
                </c:pt>
                <c:pt idx="25">
                  <c:v>45036</c:v>
                </c:pt>
                <c:pt idx="26">
                  <c:v>45037</c:v>
                </c:pt>
                <c:pt idx="27">
                  <c:v>45040</c:v>
                </c:pt>
                <c:pt idx="28">
                  <c:v>45041</c:v>
                </c:pt>
                <c:pt idx="29">
                  <c:v>45042</c:v>
                </c:pt>
                <c:pt idx="30">
                  <c:v>45043</c:v>
                </c:pt>
                <c:pt idx="31">
                  <c:v>45044</c:v>
                </c:pt>
                <c:pt idx="32">
                  <c:v>45048</c:v>
                </c:pt>
                <c:pt idx="33">
                  <c:v>45049</c:v>
                </c:pt>
                <c:pt idx="34">
                  <c:v>45050</c:v>
                </c:pt>
                <c:pt idx="35">
                  <c:v>45051</c:v>
                </c:pt>
                <c:pt idx="36">
                  <c:v>45054</c:v>
                </c:pt>
                <c:pt idx="37">
                  <c:v>45055</c:v>
                </c:pt>
                <c:pt idx="38">
                  <c:v>45056</c:v>
                </c:pt>
                <c:pt idx="39">
                  <c:v>45057</c:v>
                </c:pt>
                <c:pt idx="40">
                  <c:v>45058</c:v>
                </c:pt>
                <c:pt idx="41">
                  <c:v>45061</c:v>
                </c:pt>
                <c:pt idx="42">
                  <c:v>45062</c:v>
                </c:pt>
                <c:pt idx="43">
                  <c:v>45063</c:v>
                </c:pt>
                <c:pt idx="44">
                  <c:v>45064</c:v>
                </c:pt>
                <c:pt idx="45">
                  <c:v>45065</c:v>
                </c:pt>
                <c:pt idx="46">
                  <c:v>45068</c:v>
                </c:pt>
                <c:pt idx="47">
                  <c:v>45069</c:v>
                </c:pt>
                <c:pt idx="48">
                  <c:v>45070</c:v>
                </c:pt>
                <c:pt idx="49">
                  <c:v>45071</c:v>
                </c:pt>
                <c:pt idx="50">
                  <c:v>45072</c:v>
                </c:pt>
                <c:pt idx="51">
                  <c:v>45075</c:v>
                </c:pt>
                <c:pt idx="52">
                  <c:v>45076</c:v>
                </c:pt>
                <c:pt idx="53">
                  <c:v>45077</c:v>
                </c:pt>
                <c:pt idx="54">
                  <c:v>45078</c:v>
                </c:pt>
                <c:pt idx="55">
                  <c:v>45079</c:v>
                </c:pt>
                <c:pt idx="56">
                  <c:v>45082</c:v>
                </c:pt>
                <c:pt idx="57">
                  <c:v>45083</c:v>
                </c:pt>
                <c:pt idx="58">
                  <c:v>45084</c:v>
                </c:pt>
                <c:pt idx="59">
                  <c:v>45085</c:v>
                </c:pt>
                <c:pt idx="60">
                  <c:v>45086</c:v>
                </c:pt>
                <c:pt idx="61">
                  <c:v>45089</c:v>
                </c:pt>
                <c:pt idx="62">
                  <c:v>45090</c:v>
                </c:pt>
                <c:pt idx="63">
                  <c:v>45091</c:v>
                </c:pt>
                <c:pt idx="64">
                  <c:v>45092</c:v>
                </c:pt>
                <c:pt idx="65">
                  <c:v>45093</c:v>
                </c:pt>
                <c:pt idx="66">
                  <c:v>45096</c:v>
                </c:pt>
                <c:pt idx="67">
                  <c:v>45097</c:v>
                </c:pt>
                <c:pt idx="68">
                  <c:v>45098</c:v>
                </c:pt>
                <c:pt idx="69">
                  <c:v>45099</c:v>
                </c:pt>
                <c:pt idx="70">
                  <c:v>45100</c:v>
                </c:pt>
                <c:pt idx="71">
                  <c:v>45103</c:v>
                </c:pt>
                <c:pt idx="72">
                  <c:v>45104</c:v>
                </c:pt>
                <c:pt idx="73">
                  <c:v>45105</c:v>
                </c:pt>
                <c:pt idx="74">
                  <c:v>45106</c:v>
                </c:pt>
                <c:pt idx="75">
                  <c:v>45107</c:v>
                </c:pt>
                <c:pt idx="76">
                  <c:v>45110</c:v>
                </c:pt>
                <c:pt idx="77">
                  <c:v>45111</c:v>
                </c:pt>
                <c:pt idx="78">
                  <c:v>45112</c:v>
                </c:pt>
                <c:pt idx="79">
                  <c:v>45113</c:v>
                </c:pt>
                <c:pt idx="80">
                  <c:v>45114</c:v>
                </c:pt>
                <c:pt idx="81">
                  <c:v>45117</c:v>
                </c:pt>
                <c:pt idx="82">
                  <c:v>45118</c:v>
                </c:pt>
                <c:pt idx="83">
                  <c:v>45119</c:v>
                </c:pt>
                <c:pt idx="84">
                  <c:v>45120</c:v>
                </c:pt>
                <c:pt idx="85">
                  <c:v>45121</c:v>
                </c:pt>
                <c:pt idx="86">
                  <c:v>45124</c:v>
                </c:pt>
                <c:pt idx="87">
                  <c:v>45125</c:v>
                </c:pt>
                <c:pt idx="88">
                  <c:v>45126</c:v>
                </c:pt>
                <c:pt idx="89">
                  <c:v>45127</c:v>
                </c:pt>
                <c:pt idx="90">
                  <c:v>45128</c:v>
                </c:pt>
                <c:pt idx="91">
                  <c:v>45131</c:v>
                </c:pt>
                <c:pt idx="92">
                  <c:v>45132</c:v>
                </c:pt>
                <c:pt idx="93">
                  <c:v>45133</c:v>
                </c:pt>
                <c:pt idx="94">
                  <c:v>45134</c:v>
                </c:pt>
                <c:pt idx="95">
                  <c:v>45135</c:v>
                </c:pt>
                <c:pt idx="96">
                  <c:v>45138</c:v>
                </c:pt>
                <c:pt idx="97">
                  <c:v>45139</c:v>
                </c:pt>
                <c:pt idx="98">
                  <c:v>45140</c:v>
                </c:pt>
                <c:pt idx="99">
                  <c:v>45141</c:v>
                </c:pt>
                <c:pt idx="100">
                  <c:v>45142</c:v>
                </c:pt>
                <c:pt idx="101">
                  <c:v>45145</c:v>
                </c:pt>
                <c:pt idx="102">
                  <c:v>45146</c:v>
                </c:pt>
                <c:pt idx="103">
                  <c:v>45147</c:v>
                </c:pt>
                <c:pt idx="104">
                  <c:v>45148</c:v>
                </c:pt>
                <c:pt idx="105">
                  <c:v>45149</c:v>
                </c:pt>
                <c:pt idx="106">
                  <c:v>45152</c:v>
                </c:pt>
                <c:pt idx="107">
                  <c:v>45153</c:v>
                </c:pt>
                <c:pt idx="108">
                  <c:v>45154</c:v>
                </c:pt>
                <c:pt idx="109">
                  <c:v>45155</c:v>
                </c:pt>
                <c:pt idx="110">
                  <c:v>45156</c:v>
                </c:pt>
                <c:pt idx="111">
                  <c:v>45159</c:v>
                </c:pt>
                <c:pt idx="112">
                  <c:v>45160</c:v>
                </c:pt>
                <c:pt idx="113">
                  <c:v>45161</c:v>
                </c:pt>
                <c:pt idx="114">
                  <c:v>45162</c:v>
                </c:pt>
                <c:pt idx="115">
                  <c:v>45163</c:v>
                </c:pt>
                <c:pt idx="116">
                  <c:v>45166</c:v>
                </c:pt>
                <c:pt idx="117">
                  <c:v>45167</c:v>
                </c:pt>
                <c:pt idx="118">
                  <c:v>45168</c:v>
                </c:pt>
                <c:pt idx="119">
                  <c:v>45169</c:v>
                </c:pt>
                <c:pt idx="120">
                  <c:v>45170</c:v>
                </c:pt>
                <c:pt idx="121">
                  <c:v>45173</c:v>
                </c:pt>
                <c:pt idx="122">
                  <c:v>45174</c:v>
                </c:pt>
                <c:pt idx="123">
                  <c:v>45175</c:v>
                </c:pt>
                <c:pt idx="124">
                  <c:v>45176</c:v>
                </c:pt>
                <c:pt idx="125">
                  <c:v>45177</c:v>
                </c:pt>
                <c:pt idx="126">
                  <c:v>45180</c:v>
                </c:pt>
                <c:pt idx="127">
                  <c:v>45181</c:v>
                </c:pt>
                <c:pt idx="128">
                  <c:v>45182</c:v>
                </c:pt>
                <c:pt idx="129">
                  <c:v>45183</c:v>
                </c:pt>
                <c:pt idx="130">
                  <c:v>45184</c:v>
                </c:pt>
                <c:pt idx="131">
                  <c:v>45187</c:v>
                </c:pt>
                <c:pt idx="132">
                  <c:v>45188</c:v>
                </c:pt>
                <c:pt idx="133">
                  <c:v>45189</c:v>
                </c:pt>
                <c:pt idx="134">
                  <c:v>45190</c:v>
                </c:pt>
                <c:pt idx="135">
                  <c:v>45191</c:v>
                </c:pt>
                <c:pt idx="136">
                  <c:v>45194</c:v>
                </c:pt>
                <c:pt idx="137">
                  <c:v>45195</c:v>
                </c:pt>
                <c:pt idx="138">
                  <c:v>45196</c:v>
                </c:pt>
                <c:pt idx="139">
                  <c:v>45197</c:v>
                </c:pt>
                <c:pt idx="140">
                  <c:v>45198</c:v>
                </c:pt>
                <c:pt idx="141">
                  <c:v>45201</c:v>
                </c:pt>
                <c:pt idx="142">
                  <c:v>45202</c:v>
                </c:pt>
                <c:pt idx="143">
                  <c:v>45203</c:v>
                </c:pt>
                <c:pt idx="144">
                  <c:v>45204</c:v>
                </c:pt>
                <c:pt idx="145">
                  <c:v>45205</c:v>
                </c:pt>
                <c:pt idx="146">
                  <c:v>45208</c:v>
                </c:pt>
                <c:pt idx="147">
                  <c:v>45209</c:v>
                </c:pt>
                <c:pt idx="148">
                  <c:v>45210</c:v>
                </c:pt>
                <c:pt idx="149">
                  <c:v>45211</c:v>
                </c:pt>
                <c:pt idx="150">
                  <c:v>45212</c:v>
                </c:pt>
                <c:pt idx="151">
                  <c:v>45215</c:v>
                </c:pt>
                <c:pt idx="152">
                  <c:v>45216</c:v>
                </c:pt>
                <c:pt idx="153">
                  <c:v>45217</c:v>
                </c:pt>
                <c:pt idx="154">
                  <c:v>45218</c:v>
                </c:pt>
                <c:pt idx="155">
                  <c:v>45219</c:v>
                </c:pt>
                <c:pt idx="156">
                  <c:v>45222</c:v>
                </c:pt>
                <c:pt idx="157">
                  <c:v>45223</c:v>
                </c:pt>
                <c:pt idx="158">
                  <c:v>45224</c:v>
                </c:pt>
                <c:pt idx="159">
                  <c:v>45225</c:v>
                </c:pt>
                <c:pt idx="160">
                  <c:v>45226</c:v>
                </c:pt>
                <c:pt idx="161">
                  <c:v>45229</c:v>
                </c:pt>
                <c:pt idx="162">
                  <c:v>45230</c:v>
                </c:pt>
                <c:pt idx="163">
                  <c:v>45231</c:v>
                </c:pt>
                <c:pt idx="164">
                  <c:v>45233</c:v>
                </c:pt>
                <c:pt idx="165">
                  <c:v>45236</c:v>
                </c:pt>
                <c:pt idx="166">
                  <c:v>45237</c:v>
                </c:pt>
                <c:pt idx="167">
                  <c:v>45238</c:v>
                </c:pt>
                <c:pt idx="168">
                  <c:v>45239</c:v>
                </c:pt>
                <c:pt idx="169">
                  <c:v>45240</c:v>
                </c:pt>
                <c:pt idx="170">
                  <c:v>45243</c:v>
                </c:pt>
                <c:pt idx="171">
                  <c:v>45244</c:v>
                </c:pt>
                <c:pt idx="172">
                  <c:v>45245</c:v>
                </c:pt>
                <c:pt idx="173">
                  <c:v>45246</c:v>
                </c:pt>
                <c:pt idx="174">
                  <c:v>45247</c:v>
                </c:pt>
                <c:pt idx="175">
                  <c:v>45251</c:v>
                </c:pt>
                <c:pt idx="176">
                  <c:v>45252</c:v>
                </c:pt>
                <c:pt idx="177">
                  <c:v>45253</c:v>
                </c:pt>
                <c:pt idx="178">
                  <c:v>45254</c:v>
                </c:pt>
                <c:pt idx="179">
                  <c:v>45257</c:v>
                </c:pt>
                <c:pt idx="180">
                  <c:v>45258</c:v>
                </c:pt>
                <c:pt idx="181">
                  <c:v>45259</c:v>
                </c:pt>
                <c:pt idx="182">
                  <c:v>45260</c:v>
                </c:pt>
                <c:pt idx="183">
                  <c:v>45261</c:v>
                </c:pt>
                <c:pt idx="184">
                  <c:v>45264</c:v>
                </c:pt>
                <c:pt idx="185">
                  <c:v>45265</c:v>
                </c:pt>
                <c:pt idx="186">
                  <c:v>45266</c:v>
                </c:pt>
                <c:pt idx="187">
                  <c:v>45267</c:v>
                </c:pt>
                <c:pt idx="188">
                  <c:v>45268</c:v>
                </c:pt>
                <c:pt idx="189">
                  <c:v>45271</c:v>
                </c:pt>
                <c:pt idx="190">
                  <c:v>45273</c:v>
                </c:pt>
                <c:pt idx="191">
                  <c:v>45274</c:v>
                </c:pt>
                <c:pt idx="192">
                  <c:v>45275</c:v>
                </c:pt>
                <c:pt idx="193">
                  <c:v>45278</c:v>
                </c:pt>
                <c:pt idx="194">
                  <c:v>45279</c:v>
                </c:pt>
                <c:pt idx="195">
                  <c:v>45280</c:v>
                </c:pt>
                <c:pt idx="196">
                  <c:v>45281</c:v>
                </c:pt>
                <c:pt idx="197">
                  <c:v>45282</c:v>
                </c:pt>
                <c:pt idx="198">
                  <c:v>45286</c:v>
                </c:pt>
                <c:pt idx="199">
                  <c:v>45287</c:v>
                </c:pt>
                <c:pt idx="200">
                  <c:v>45288</c:v>
                </c:pt>
                <c:pt idx="201">
                  <c:v>45289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45299</c:v>
                </c:pt>
                <c:pt idx="207">
                  <c:v>45300</c:v>
                </c:pt>
                <c:pt idx="208">
                  <c:v>45301</c:v>
                </c:pt>
                <c:pt idx="209">
                  <c:v>45302</c:v>
                </c:pt>
                <c:pt idx="210">
                  <c:v>45303</c:v>
                </c:pt>
                <c:pt idx="211">
                  <c:v>45306</c:v>
                </c:pt>
                <c:pt idx="212">
                  <c:v>45307</c:v>
                </c:pt>
                <c:pt idx="213">
                  <c:v>45308</c:v>
                </c:pt>
                <c:pt idx="214">
                  <c:v>45309</c:v>
                </c:pt>
                <c:pt idx="215">
                  <c:v>45310</c:v>
                </c:pt>
                <c:pt idx="216">
                  <c:v>45313</c:v>
                </c:pt>
                <c:pt idx="217">
                  <c:v>45314</c:v>
                </c:pt>
                <c:pt idx="218">
                  <c:v>45315</c:v>
                </c:pt>
                <c:pt idx="219">
                  <c:v>45316</c:v>
                </c:pt>
                <c:pt idx="220">
                  <c:v>45317</c:v>
                </c:pt>
                <c:pt idx="221">
                  <c:v>45320</c:v>
                </c:pt>
                <c:pt idx="222">
                  <c:v>45321</c:v>
                </c:pt>
                <c:pt idx="223">
                  <c:v>45322</c:v>
                </c:pt>
                <c:pt idx="224">
                  <c:v>45323</c:v>
                </c:pt>
                <c:pt idx="225">
                  <c:v>45324</c:v>
                </c:pt>
                <c:pt idx="226">
                  <c:v>45328</c:v>
                </c:pt>
                <c:pt idx="227">
                  <c:v>45329</c:v>
                </c:pt>
                <c:pt idx="228">
                  <c:v>45330</c:v>
                </c:pt>
                <c:pt idx="229">
                  <c:v>45331</c:v>
                </c:pt>
                <c:pt idx="230">
                  <c:v>45334</c:v>
                </c:pt>
                <c:pt idx="231">
                  <c:v>45335</c:v>
                </c:pt>
                <c:pt idx="232">
                  <c:v>45336</c:v>
                </c:pt>
                <c:pt idx="233">
                  <c:v>45337</c:v>
                </c:pt>
                <c:pt idx="234">
                  <c:v>45338</c:v>
                </c:pt>
                <c:pt idx="235">
                  <c:v>45341</c:v>
                </c:pt>
                <c:pt idx="236">
                  <c:v>45342</c:v>
                </c:pt>
                <c:pt idx="237">
                  <c:v>45343</c:v>
                </c:pt>
                <c:pt idx="238">
                  <c:v>45344</c:v>
                </c:pt>
                <c:pt idx="239">
                  <c:v>45345</c:v>
                </c:pt>
                <c:pt idx="240">
                  <c:v>45348</c:v>
                </c:pt>
                <c:pt idx="241">
                  <c:v>45349</c:v>
                </c:pt>
                <c:pt idx="242">
                  <c:v>45350</c:v>
                </c:pt>
                <c:pt idx="243">
                  <c:v>45351</c:v>
                </c:pt>
                <c:pt idx="244">
                  <c:v>45352</c:v>
                </c:pt>
                <c:pt idx="245">
                  <c:v>45355</c:v>
                </c:pt>
                <c:pt idx="246">
                  <c:v>45356</c:v>
                </c:pt>
                <c:pt idx="247">
                  <c:v>45357</c:v>
                </c:pt>
                <c:pt idx="248">
                  <c:v>45358</c:v>
                </c:pt>
                <c:pt idx="249">
                  <c:v>45359</c:v>
                </c:pt>
                <c:pt idx="250">
                  <c:v>45362</c:v>
                </c:pt>
                <c:pt idx="251">
                  <c:v>45363</c:v>
                </c:pt>
                <c:pt idx="252">
                  <c:v>45364</c:v>
                </c:pt>
                <c:pt idx="253">
                  <c:v>45365</c:v>
                </c:pt>
                <c:pt idx="254">
                  <c:v>45366</c:v>
                </c:pt>
                <c:pt idx="255">
                  <c:v>45370</c:v>
                </c:pt>
                <c:pt idx="256">
                  <c:v>45371</c:v>
                </c:pt>
                <c:pt idx="257">
                  <c:v>45372</c:v>
                </c:pt>
                <c:pt idx="258">
                  <c:v>45373</c:v>
                </c:pt>
                <c:pt idx="259">
                  <c:v>45376</c:v>
                </c:pt>
                <c:pt idx="260">
                  <c:v>45377</c:v>
                </c:pt>
                <c:pt idx="261">
                  <c:v>45378</c:v>
                </c:pt>
                <c:pt idx="262">
                  <c:v>45383</c:v>
                </c:pt>
                <c:pt idx="263">
                  <c:v>45384</c:v>
                </c:pt>
                <c:pt idx="264">
                  <c:v>45385</c:v>
                </c:pt>
                <c:pt idx="265">
                  <c:v>45386</c:v>
                </c:pt>
                <c:pt idx="266">
                  <c:v>45387</c:v>
                </c:pt>
                <c:pt idx="267">
                  <c:v>45390</c:v>
                </c:pt>
                <c:pt idx="268">
                  <c:v>45391</c:v>
                </c:pt>
                <c:pt idx="269">
                  <c:v>45392</c:v>
                </c:pt>
                <c:pt idx="270">
                  <c:v>45393</c:v>
                </c:pt>
                <c:pt idx="271">
                  <c:v>45394</c:v>
                </c:pt>
                <c:pt idx="272">
                  <c:v>45397</c:v>
                </c:pt>
                <c:pt idx="273">
                  <c:v>45398</c:v>
                </c:pt>
                <c:pt idx="274">
                  <c:v>45399</c:v>
                </c:pt>
                <c:pt idx="275">
                  <c:v>45400</c:v>
                </c:pt>
                <c:pt idx="276">
                  <c:v>45401</c:v>
                </c:pt>
                <c:pt idx="277">
                  <c:v>45404</c:v>
                </c:pt>
                <c:pt idx="278">
                  <c:v>45405</c:v>
                </c:pt>
                <c:pt idx="279">
                  <c:v>45406</c:v>
                </c:pt>
                <c:pt idx="280">
                  <c:v>45407</c:v>
                </c:pt>
                <c:pt idx="281">
                  <c:v>45408</c:v>
                </c:pt>
                <c:pt idx="282">
                  <c:v>45411</c:v>
                </c:pt>
                <c:pt idx="283">
                  <c:v>45412</c:v>
                </c:pt>
                <c:pt idx="284">
                  <c:v>45414</c:v>
                </c:pt>
                <c:pt idx="285">
                  <c:v>45415</c:v>
                </c:pt>
                <c:pt idx="286">
                  <c:v>45418</c:v>
                </c:pt>
                <c:pt idx="287">
                  <c:v>45419</c:v>
                </c:pt>
                <c:pt idx="288">
                  <c:v>45420</c:v>
                </c:pt>
                <c:pt idx="289">
                  <c:v>45421</c:v>
                </c:pt>
                <c:pt idx="290">
                  <c:v>45422</c:v>
                </c:pt>
                <c:pt idx="291">
                  <c:v>45425</c:v>
                </c:pt>
                <c:pt idx="292">
                  <c:v>45426</c:v>
                </c:pt>
                <c:pt idx="293">
                  <c:v>45427</c:v>
                </c:pt>
                <c:pt idx="294">
                  <c:v>45428</c:v>
                </c:pt>
                <c:pt idx="295">
                  <c:v>45429</c:v>
                </c:pt>
                <c:pt idx="296">
                  <c:v>45432</c:v>
                </c:pt>
                <c:pt idx="297">
                  <c:v>45433</c:v>
                </c:pt>
                <c:pt idx="298">
                  <c:v>45434</c:v>
                </c:pt>
                <c:pt idx="299">
                  <c:v>45435</c:v>
                </c:pt>
                <c:pt idx="300">
                  <c:v>45436</c:v>
                </c:pt>
                <c:pt idx="301">
                  <c:v>45439</c:v>
                </c:pt>
                <c:pt idx="302">
                  <c:v>45440</c:v>
                </c:pt>
                <c:pt idx="303">
                  <c:v>45441</c:v>
                </c:pt>
                <c:pt idx="304">
                  <c:v>45442</c:v>
                </c:pt>
                <c:pt idx="305">
                  <c:v>45443</c:v>
                </c:pt>
                <c:pt idx="306">
                  <c:v>45446</c:v>
                </c:pt>
                <c:pt idx="307">
                  <c:v>45447</c:v>
                </c:pt>
                <c:pt idx="308">
                  <c:v>45448</c:v>
                </c:pt>
                <c:pt idx="309">
                  <c:v>45449</c:v>
                </c:pt>
                <c:pt idx="310">
                  <c:v>45450</c:v>
                </c:pt>
                <c:pt idx="311">
                  <c:v>45453</c:v>
                </c:pt>
                <c:pt idx="312">
                  <c:v>45454</c:v>
                </c:pt>
                <c:pt idx="313">
                  <c:v>45455</c:v>
                </c:pt>
                <c:pt idx="314">
                  <c:v>45456</c:v>
                </c:pt>
                <c:pt idx="315">
                  <c:v>45457</c:v>
                </c:pt>
                <c:pt idx="316">
                  <c:v>45460</c:v>
                </c:pt>
                <c:pt idx="317">
                  <c:v>45461</c:v>
                </c:pt>
                <c:pt idx="318">
                  <c:v>45462</c:v>
                </c:pt>
                <c:pt idx="319">
                  <c:v>45463</c:v>
                </c:pt>
                <c:pt idx="320">
                  <c:v>45464</c:v>
                </c:pt>
                <c:pt idx="321">
                  <c:v>45467</c:v>
                </c:pt>
                <c:pt idx="322">
                  <c:v>45468</c:v>
                </c:pt>
                <c:pt idx="323">
                  <c:v>45469</c:v>
                </c:pt>
                <c:pt idx="324">
                  <c:v>45470</c:v>
                </c:pt>
                <c:pt idx="325">
                  <c:v>45471</c:v>
                </c:pt>
                <c:pt idx="326">
                  <c:v>45474</c:v>
                </c:pt>
                <c:pt idx="327">
                  <c:v>45475</c:v>
                </c:pt>
                <c:pt idx="328">
                  <c:v>45476</c:v>
                </c:pt>
                <c:pt idx="329">
                  <c:v>45477</c:v>
                </c:pt>
                <c:pt idx="330">
                  <c:v>45478</c:v>
                </c:pt>
                <c:pt idx="331">
                  <c:v>45481</c:v>
                </c:pt>
                <c:pt idx="332">
                  <c:v>45482</c:v>
                </c:pt>
                <c:pt idx="333">
                  <c:v>45483</c:v>
                </c:pt>
                <c:pt idx="334">
                  <c:v>45484</c:v>
                </c:pt>
                <c:pt idx="335">
                  <c:v>45485</c:v>
                </c:pt>
                <c:pt idx="336">
                  <c:v>45488</c:v>
                </c:pt>
                <c:pt idx="337">
                  <c:v>45489</c:v>
                </c:pt>
                <c:pt idx="338">
                  <c:v>45490</c:v>
                </c:pt>
                <c:pt idx="339">
                  <c:v>45491</c:v>
                </c:pt>
                <c:pt idx="340">
                  <c:v>45492</c:v>
                </c:pt>
                <c:pt idx="341">
                  <c:v>45495</c:v>
                </c:pt>
                <c:pt idx="342">
                  <c:v>45496</c:v>
                </c:pt>
                <c:pt idx="343">
                  <c:v>45497</c:v>
                </c:pt>
                <c:pt idx="344">
                  <c:v>45498</c:v>
                </c:pt>
                <c:pt idx="345">
                  <c:v>45499</c:v>
                </c:pt>
                <c:pt idx="346">
                  <c:v>45502</c:v>
                </c:pt>
                <c:pt idx="347">
                  <c:v>45503</c:v>
                </c:pt>
                <c:pt idx="348">
                  <c:v>45504</c:v>
                </c:pt>
                <c:pt idx="349">
                  <c:v>45505</c:v>
                </c:pt>
                <c:pt idx="350">
                  <c:v>45506</c:v>
                </c:pt>
                <c:pt idx="351">
                  <c:v>45509</c:v>
                </c:pt>
                <c:pt idx="352">
                  <c:v>45510</c:v>
                </c:pt>
                <c:pt idx="353">
                  <c:v>45511</c:v>
                </c:pt>
                <c:pt idx="354">
                  <c:v>45512</c:v>
                </c:pt>
                <c:pt idx="355">
                  <c:v>45513</c:v>
                </c:pt>
                <c:pt idx="356">
                  <c:v>45516</c:v>
                </c:pt>
                <c:pt idx="357">
                  <c:v>45517</c:v>
                </c:pt>
                <c:pt idx="358">
                  <c:v>45518</c:v>
                </c:pt>
                <c:pt idx="359">
                  <c:v>45519</c:v>
                </c:pt>
                <c:pt idx="360">
                  <c:v>45520</c:v>
                </c:pt>
                <c:pt idx="361">
                  <c:v>45523</c:v>
                </c:pt>
                <c:pt idx="362">
                  <c:v>45524</c:v>
                </c:pt>
                <c:pt idx="363">
                  <c:v>45525</c:v>
                </c:pt>
                <c:pt idx="364">
                  <c:v>45526</c:v>
                </c:pt>
                <c:pt idx="365">
                  <c:v>45527</c:v>
                </c:pt>
                <c:pt idx="366">
                  <c:v>45530</c:v>
                </c:pt>
                <c:pt idx="367">
                  <c:v>45531</c:v>
                </c:pt>
                <c:pt idx="368">
                  <c:v>45532</c:v>
                </c:pt>
                <c:pt idx="369">
                  <c:v>45533</c:v>
                </c:pt>
                <c:pt idx="370">
                  <c:v>45534</c:v>
                </c:pt>
                <c:pt idx="371">
                  <c:v>45537</c:v>
                </c:pt>
                <c:pt idx="372">
                  <c:v>45538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45552</c:v>
                </c:pt>
                <c:pt idx="382">
                  <c:v>45553</c:v>
                </c:pt>
                <c:pt idx="383">
                  <c:v>45554</c:v>
                </c:pt>
                <c:pt idx="384">
                  <c:v>45555</c:v>
                </c:pt>
                <c:pt idx="385">
                  <c:v>45558</c:v>
                </c:pt>
                <c:pt idx="386">
                  <c:v>45559</c:v>
                </c:pt>
                <c:pt idx="387">
                  <c:v>45560</c:v>
                </c:pt>
                <c:pt idx="388">
                  <c:v>45561</c:v>
                </c:pt>
                <c:pt idx="389">
                  <c:v>45562</c:v>
                </c:pt>
                <c:pt idx="390">
                  <c:v>45565</c:v>
                </c:pt>
                <c:pt idx="391">
                  <c:v>45567</c:v>
                </c:pt>
                <c:pt idx="392">
                  <c:v>45568</c:v>
                </c:pt>
                <c:pt idx="393">
                  <c:v>45569</c:v>
                </c:pt>
                <c:pt idx="394">
                  <c:v>45572</c:v>
                </c:pt>
                <c:pt idx="395">
                  <c:v>45573</c:v>
                </c:pt>
                <c:pt idx="396">
                  <c:v>45574</c:v>
                </c:pt>
                <c:pt idx="397">
                  <c:v>45575</c:v>
                </c:pt>
                <c:pt idx="398">
                  <c:v>45576</c:v>
                </c:pt>
                <c:pt idx="399">
                  <c:v>45579</c:v>
                </c:pt>
                <c:pt idx="400">
                  <c:v>45580</c:v>
                </c:pt>
                <c:pt idx="401">
                  <c:v>45581</c:v>
                </c:pt>
                <c:pt idx="402">
                  <c:v>45582</c:v>
                </c:pt>
                <c:pt idx="403">
                  <c:v>45583</c:v>
                </c:pt>
                <c:pt idx="404">
                  <c:v>45586</c:v>
                </c:pt>
                <c:pt idx="405">
                  <c:v>45587</c:v>
                </c:pt>
                <c:pt idx="406">
                  <c:v>45588</c:v>
                </c:pt>
                <c:pt idx="407">
                  <c:v>45589</c:v>
                </c:pt>
                <c:pt idx="408">
                  <c:v>45590</c:v>
                </c:pt>
                <c:pt idx="409">
                  <c:v>45593</c:v>
                </c:pt>
                <c:pt idx="410">
                  <c:v>45594</c:v>
                </c:pt>
                <c:pt idx="411">
                  <c:v>45595</c:v>
                </c:pt>
                <c:pt idx="412">
                  <c:v>45596</c:v>
                </c:pt>
                <c:pt idx="413">
                  <c:v>45597</c:v>
                </c:pt>
                <c:pt idx="414">
                  <c:v>45600</c:v>
                </c:pt>
                <c:pt idx="415">
                  <c:v>45601</c:v>
                </c:pt>
                <c:pt idx="416">
                  <c:v>45602</c:v>
                </c:pt>
                <c:pt idx="417">
                  <c:v>45603</c:v>
                </c:pt>
                <c:pt idx="418">
                  <c:v>45604</c:v>
                </c:pt>
                <c:pt idx="419">
                  <c:v>45607</c:v>
                </c:pt>
                <c:pt idx="420">
                  <c:v>45608</c:v>
                </c:pt>
                <c:pt idx="421">
                  <c:v>45609</c:v>
                </c:pt>
                <c:pt idx="422">
                  <c:v>45610</c:v>
                </c:pt>
                <c:pt idx="423">
                  <c:v>45611</c:v>
                </c:pt>
                <c:pt idx="424">
                  <c:v>45615</c:v>
                </c:pt>
                <c:pt idx="425">
                  <c:v>45616</c:v>
                </c:pt>
                <c:pt idx="426">
                  <c:v>45617</c:v>
                </c:pt>
                <c:pt idx="427">
                  <c:v>45618</c:v>
                </c:pt>
                <c:pt idx="428">
                  <c:v>45621</c:v>
                </c:pt>
                <c:pt idx="429">
                  <c:v>45622</c:v>
                </c:pt>
                <c:pt idx="430">
                  <c:v>45623</c:v>
                </c:pt>
                <c:pt idx="431">
                  <c:v>45624</c:v>
                </c:pt>
                <c:pt idx="432">
                  <c:v>45625</c:v>
                </c:pt>
                <c:pt idx="433">
                  <c:v>45628</c:v>
                </c:pt>
                <c:pt idx="434">
                  <c:v>45629</c:v>
                </c:pt>
                <c:pt idx="435">
                  <c:v>45630</c:v>
                </c:pt>
                <c:pt idx="436">
                  <c:v>45631</c:v>
                </c:pt>
                <c:pt idx="437">
                  <c:v>45632</c:v>
                </c:pt>
                <c:pt idx="438">
                  <c:v>45635</c:v>
                </c:pt>
                <c:pt idx="439">
                  <c:v>45636</c:v>
                </c:pt>
                <c:pt idx="440">
                  <c:v>45637</c:v>
                </c:pt>
                <c:pt idx="441">
                  <c:v>45639</c:v>
                </c:pt>
                <c:pt idx="442">
                  <c:v>45642</c:v>
                </c:pt>
                <c:pt idx="443">
                  <c:v>45643</c:v>
                </c:pt>
                <c:pt idx="444">
                  <c:v>45644</c:v>
                </c:pt>
                <c:pt idx="445">
                  <c:v>45645</c:v>
                </c:pt>
                <c:pt idx="446">
                  <c:v>45646</c:v>
                </c:pt>
                <c:pt idx="447">
                  <c:v>45649</c:v>
                </c:pt>
                <c:pt idx="448">
                  <c:v>45650</c:v>
                </c:pt>
                <c:pt idx="449">
                  <c:v>45652</c:v>
                </c:pt>
                <c:pt idx="450">
                  <c:v>45653</c:v>
                </c:pt>
                <c:pt idx="451">
                  <c:v>45656</c:v>
                </c:pt>
                <c:pt idx="452">
                  <c:v>45657</c:v>
                </c:pt>
                <c:pt idx="453">
                  <c:v>45659</c:v>
                </c:pt>
                <c:pt idx="454">
                  <c:v>45660</c:v>
                </c:pt>
                <c:pt idx="455">
                  <c:v>45663</c:v>
                </c:pt>
                <c:pt idx="456">
                  <c:v>45664</c:v>
                </c:pt>
                <c:pt idx="457">
                  <c:v>45665</c:v>
                </c:pt>
                <c:pt idx="458">
                  <c:v>45666</c:v>
                </c:pt>
                <c:pt idx="459">
                  <c:v>45667</c:v>
                </c:pt>
                <c:pt idx="460">
                  <c:v>45670</c:v>
                </c:pt>
                <c:pt idx="461">
                  <c:v>45671</c:v>
                </c:pt>
                <c:pt idx="462">
                  <c:v>45672</c:v>
                </c:pt>
                <c:pt idx="463">
                  <c:v>45673</c:v>
                </c:pt>
                <c:pt idx="464">
                  <c:v>45674</c:v>
                </c:pt>
                <c:pt idx="465">
                  <c:v>45677</c:v>
                </c:pt>
                <c:pt idx="466">
                  <c:v>45678</c:v>
                </c:pt>
                <c:pt idx="467">
                  <c:v>45679</c:v>
                </c:pt>
                <c:pt idx="468">
                  <c:v>45680</c:v>
                </c:pt>
                <c:pt idx="469">
                  <c:v>45681</c:v>
                </c:pt>
                <c:pt idx="470">
                  <c:v>45684</c:v>
                </c:pt>
                <c:pt idx="471">
                  <c:v>45685</c:v>
                </c:pt>
                <c:pt idx="472">
                  <c:v>45686</c:v>
                </c:pt>
                <c:pt idx="473">
                  <c:v>45687</c:v>
                </c:pt>
                <c:pt idx="474">
                  <c:v>45688</c:v>
                </c:pt>
                <c:pt idx="475">
                  <c:v>45692</c:v>
                </c:pt>
                <c:pt idx="476">
                  <c:v>45693</c:v>
                </c:pt>
                <c:pt idx="477">
                  <c:v>45694</c:v>
                </c:pt>
                <c:pt idx="478">
                  <c:v>45695</c:v>
                </c:pt>
                <c:pt idx="479">
                  <c:v>45698</c:v>
                </c:pt>
                <c:pt idx="480">
                  <c:v>45699</c:v>
                </c:pt>
                <c:pt idx="481">
                  <c:v>45700</c:v>
                </c:pt>
                <c:pt idx="482">
                  <c:v>45701</c:v>
                </c:pt>
                <c:pt idx="483">
                  <c:v>45702</c:v>
                </c:pt>
                <c:pt idx="484">
                  <c:v>45705</c:v>
                </c:pt>
                <c:pt idx="485">
                  <c:v>45706</c:v>
                </c:pt>
                <c:pt idx="486">
                  <c:v>45707</c:v>
                </c:pt>
                <c:pt idx="487">
                  <c:v>45708</c:v>
                </c:pt>
                <c:pt idx="488">
                  <c:v>45709</c:v>
                </c:pt>
                <c:pt idx="489">
                  <c:v>45712</c:v>
                </c:pt>
                <c:pt idx="490">
                  <c:v>45713</c:v>
                </c:pt>
                <c:pt idx="491">
                  <c:v>45714</c:v>
                </c:pt>
                <c:pt idx="492">
                  <c:v>45715</c:v>
                </c:pt>
                <c:pt idx="493">
                  <c:v>45716</c:v>
                </c:pt>
                <c:pt idx="494">
                  <c:v>45719</c:v>
                </c:pt>
                <c:pt idx="495">
                  <c:v>45720</c:v>
                </c:pt>
                <c:pt idx="496">
                  <c:v>45721</c:v>
                </c:pt>
                <c:pt idx="497">
                  <c:v>45722</c:v>
                </c:pt>
                <c:pt idx="498">
                  <c:v>45723</c:v>
                </c:pt>
                <c:pt idx="499">
                  <c:v>45726</c:v>
                </c:pt>
                <c:pt idx="500">
                  <c:v>45727</c:v>
                </c:pt>
                <c:pt idx="501">
                  <c:v>45728</c:v>
                </c:pt>
                <c:pt idx="502">
                  <c:v>45729</c:v>
                </c:pt>
                <c:pt idx="503">
                  <c:v>45730</c:v>
                </c:pt>
                <c:pt idx="504">
                  <c:v>45734</c:v>
                </c:pt>
                <c:pt idx="505">
                  <c:v>45735</c:v>
                </c:pt>
                <c:pt idx="506">
                  <c:v>45736</c:v>
                </c:pt>
                <c:pt idx="507">
                  <c:v>45737</c:v>
                </c:pt>
                <c:pt idx="508">
                  <c:v>45740</c:v>
                </c:pt>
                <c:pt idx="509">
                  <c:v>45741</c:v>
                </c:pt>
                <c:pt idx="510">
                  <c:v>45742</c:v>
                </c:pt>
                <c:pt idx="511">
                  <c:v>45743</c:v>
                </c:pt>
                <c:pt idx="512">
                  <c:v>45744</c:v>
                </c:pt>
                <c:pt idx="513">
                  <c:v>45747</c:v>
                </c:pt>
                <c:pt idx="514">
                  <c:v>45748</c:v>
                </c:pt>
                <c:pt idx="515">
                  <c:v>45749</c:v>
                </c:pt>
                <c:pt idx="516">
                  <c:v>45750</c:v>
                </c:pt>
                <c:pt idx="517">
                  <c:v>45751</c:v>
                </c:pt>
                <c:pt idx="518">
                  <c:v>45754</c:v>
                </c:pt>
                <c:pt idx="519">
                  <c:v>45755</c:v>
                </c:pt>
                <c:pt idx="520">
                  <c:v>45756</c:v>
                </c:pt>
                <c:pt idx="521">
                  <c:v>45757</c:v>
                </c:pt>
                <c:pt idx="522">
                  <c:v>45758</c:v>
                </c:pt>
                <c:pt idx="523">
                  <c:v>45761</c:v>
                </c:pt>
                <c:pt idx="524">
                  <c:v>45762</c:v>
                </c:pt>
                <c:pt idx="525">
                  <c:v>45763</c:v>
                </c:pt>
                <c:pt idx="526">
                  <c:v>45768</c:v>
                </c:pt>
                <c:pt idx="527">
                  <c:v>45769</c:v>
                </c:pt>
                <c:pt idx="528">
                  <c:v>45770</c:v>
                </c:pt>
                <c:pt idx="529">
                  <c:v>45771</c:v>
                </c:pt>
                <c:pt idx="530">
                  <c:v>45772</c:v>
                </c:pt>
                <c:pt idx="531">
                  <c:v>45775</c:v>
                </c:pt>
                <c:pt idx="532">
                  <c:v>45776</c:v>
                </c:pt>
                <c:pt idx="533">
                  <c:v>45777</c:v>
                </c:pt>
                <c:pt idx="534">
                  <c:v>45779</c:v>
                </c:pt>
                <c:pt idx="535">
                  <c:v>45782</c:v>
                </c:pt>
                <c:pt idx="536">
                  <c:v>45783</c:v>
                </c:pt>
                <c:pt idx="537">
                  <c:v>45784</c:v>
                </c:pt>
                <c:pt idx="538">
                  <c:v>45785</c:v>
                </c:pt>
                <c:pt idx="539">
                  <c:v>45786</c:v>
                </c:pt>
                <c:pt idx="540">
                  <c:v>45789</c:v>
                </c:pt>
                <c:pt idx="541">
                  <c:v>45790</c:v>
                </c:pt>
                <c:pt idx="542">
                  <c:v>45791</c:v>
                </c:pt>
                <c:pt idx="543">
                  <c:v>45792</c:v>
                </c:pt>
                <c:pt idx="544">
                  <c:v>45793</c:v>
                </c:pt>
                <c:pt idx="545">
                  <c:v>45796</c:v>
                </c:pt>
                <c:pt idx="546">
                  <c:v>45797</c:v>
                </c:pt>
                <c:pt idx="547">
                  <c:v>45798</c:v>
                </c:pt>
                <c:pt idx="548">
                  <c:v>45799</c:v>
                </c:pt>
                <c:pt idx="549">
                  <c:v>45800</c:v>
                </c:pt>
                <c:pt idx="550">
                  <c:v>45803</c:v>
                </c:pt>
                <c:pt idx="551">
                  <c:v>45804</c:v>
                </c:pt>
                <c:pt idx="552">
                  <c:v>45805</c:v>
                </c:pt>
                <c:pt idx="553">
                  <c:v>45806</c:v>
                </c:pt>
                <c:pt idx="554">
                  <c:v>45807</c:v>
                </c:pt>
                <c:pt idx="555">
                  <c:v>45810</c:v>
                </c:pt>
                <c:pt idx="556">
                  <c:v>45811</c:v>
                </c:pt>
                <c:pt idx="557">
                  <c:v>45812</c:v>
                </c:pt>
                <c:pt idx="558">
                  <c:v>45813</c:v>
                </c:pt>
                <c:pt idx="559">
                  <c:v>45814</c:v>
                </c:pt>
                <c:pt idx="560">
                  <c:v>45817</c:v>
                </c:pt>
                <c:pt idx="561">
                  <c:v>45818</c:v>
                </c:pt>
                <c:pt idx="562">
                  <c:v>45819</c:v>
                </c:pt>
                <c:pt idx="563">
                  <c:v>45820</c:v>
                </c:pt>
                <c:pt idx="564">
                  <c:v>45821</c:v>
                </c:pt>
                <c:pt idx="565">
                  <c:v>45824</c:v>
                </c:pt>
                <c:pt idx="566">
                  <c:v>45825</c:v>
                </c:pt>
                <c:pt idx="567">
                  <c:v>45826</c:v>
                </c:pt>
                <c:pt idx="568">
                  <c:v>45827</c:v>
                </c:pt>
                <c:pt idx="569">
                  <c:v>45828</c:v>
                </c:pt>
                <c:pt idx="570">
                  <c:v>45831</c:v>
                </c:pt>
                <c:pt idx="571">
                  <c:v>45832</c:v>
                </c:pt>
                <c:pt idx="572">
                  <c:v>45833</c:v>
                </c:pt>
                <c:pt idx="573">
                  <c:v>45834</c:v>
                </c:pt>
                <c:pt idx="574">
                  <c:v>45835</c:v>
                </c:pt>
                <c:pt idx="575">
                  <c:v>45838</c:v>
                </c:pt>
                <c:pt idx="576">
                  <c:v>45839</c:v>
                </c:pt>
                <c:pt idx="577">
                  <c:v>45840</c:v>
                </c:pt>
                <c:pt idx="578">
                  <c:v>45841</c:v>
                </c:pt>
                <c:pt idx="579">
                  <c:v>45842</c:v>
                </c:pt>
                <c:pt idx="580">
                  <c:v>45845</c:v>
                </c:pt>
                <c:pt idx="581">
                  <c:v>45846</c:v>
                </c:pt>
                <c:pt idx="582">
                  <c:v>45847</c:v>
                </c:pt>
                <c:pt idx="583">
                  <c:v>45848</c:v>
                </c:pt>
                <c:pt idx="584">
                  <c:v>45849</c:v>
                </c:pt>
                <c:pt idx="585">
                  <c:v>45852</c:v>
                </c:pt>
                <c:pt idx="586">
                  <c:v>45853</c:v>
                </c:pt>
                <c:pt idx="587">
                  <c:v>45854</c:v>
                </c:pt>
                <c:pt idx="588">
                  <c:v>45855</c:v>
                </c:pt>
                <c:pt idx="589">
                  <c:v>45856</c:v>
                </c:pt>
                <c:pt idx="590">
                  <c:v>45859</c:v>
                </c:pt>
                <c:pt idx="591">
                  <c:v>45860</c:v>
                </c:pt>
                <c:pt idx="592">
                  <c:v>45861</c:v>
                </c:pt>
                <c:pt idx="593">
                  <c:v>45862</c:v>
                </c:pt>
                <c:pt idx="594">
                  <c:v>45863</c:v>
                </c:pt>
                <c:pt idx="595">
                  <c:v>45866</c:v>
                </c:pt>
                <c:pt idx="596">
                  <c:v>45867</c:v>
                </c:pt>
                <c:pt idx="597">
                  <c:v>45868</c:v>
                </c:pt>
                <c:pt idx="598">
                  <c:v>45869</c:v>
                </c:pt>
                <c:pt idx="599">
                  <c:v>45870</c:v>
                </c:pt>
                <c:pt idx="600">
                  <c:v>45873</c:v>
                </c:pt>
                <c:pt idx="601">
                  <c:v>45874</c:v>
                </c:pt>
                <c:pt idx="602">
                  <c:v>45875</c:v>
                </c:pt>
                <c:pt idx="603">
                  <c:v>45876</c:v>
                </c:pt>
                <c:pt idx="604">
                  <c:v>45877</c:v>
                </c:pt>
                <c:pt idx="605">
                  <c:v>45880</c:v>
                </c:pt>
                <c:pt idx="606">
                  <c:v>45881</c:v>
                </c:pt>
                <c:pt idx="607">
                  <c:v>45882</c:v>
                </c:pt>
                <c:pt idx="608">
                  <c:v>45883</c:v>
                </c:pt>
                <c:pt idx="609">
                  <c:v>45884</c:v>
                </c:pt>
                <c:pt idx="610">
                  <c:v>45887</c:v>
                </c:pt>
                <c:pt idx="611">
                  <c:v>45888</c:v>
                </c:pt>
                <c:pt idx="612">
                  <c:v>45889</c:v>
                </c:pt>
                <c:pt idx="613">
                  <c:v>45890</c:v>
                </c:pt>
                <c:pt idx="614">
                  <c:v>45891</c:v>
                </c:pt>
                <c:pt idx="615">
                  <c:v>45894</c:v>
                </c:pt>
                <c:pt idx="616">
                  <c:v>45895</c:v>
                </c:pt>
                <c:pt idx="617">
                  <c:v>45896</c:v>
                </c:pt>
                <c:pt idx="618">
                  <c:v>45897</c:v>
                </c:pt>
                <c:pt idx="619">
                  <c:v>45898</c:v>
                </c:pt>
                <c:pt idx="620">
                  <c:v>45901</c:v>
                </c:pt>
                <c:pt idx="621">
                  <c:v>45902</c:v>
                </c:pt>
                <c:pt idx="622">
                  <c:v>45903</c:v>
                </c:pt>
                <c:pt idx="623">
                  <c:v>45904</c:v>
                </c:pt>
                <c:pt idx="624">
                  <c:v>45905</c:v>
                </c:pt>
                <c:pt idx="625">
                  <c:v>45908</c:v>
                </c:pt>
                <c:pt idx="626">
                  <c:v>45909</c:v>
                </c:pt>
                <c:pt idx="627">
                  <c:v>45910</c:v>
                </c:pt>
                <c:pt idx="628">
                  <c:v>45911</c:v>
                </c:pt>
                <c:pt idx="629">
                  <c:v>45912</c:v>
                </c:pt>
                <c:pt idx="630">
                  <c:v>45915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45979</c:v>
                </c:pt>
                <c:pt idx="675">
                  <c:v>45980</c:v>
                </c:pt>
                <c:pt idx="676">
                  <c:v>45981</c:v>
                </c:pt>
                <c:pt idx="677">
                  <c:v>45982</c:v>
                </c:pt>
                <c:pt idx="678">
                  <c:v>45985</c:v>
                </c:pt>
                <c:pt idx="679">
                  <c:v>45986</c:v>
                </c:pt>
                <c:pt idx="680">
                  <c:v>45987</c:v>
                </c:pt>
                <c:pt idx="681">
                  <c:v>45988</c:v>
                </c:pt>
                <c:pt idx="682">
                  <c:v>45989</c:v>
                </c:pt>
                <c:pt idx="683">
                  <c:v>45992</c:v>
                </c:pt>
                <c:pt idx="684">
                  <c:v>45993</c:v>
                </c:pt>
                <c:pt idx="685">
                  <c:v>45994</c:v>
                </c:pt>
                <c:pt idx="686">
                  <c:v>45995</c:v>
                </c:pt>
                <c:pt idx="687">
                  <c:v>45996</c:v>
                </c:pt>
                <c:pt idx="688">
                  <c:v>45999</c:v>
                </c:pt>
                <c:pt idx="689">
                  <c:v>46000</c:v>
                </c:pt>
                <c:pt idx="690">
                  <c:v>46001</c:v>
                </c:pt>
                <c:pt idx="691">
                  <c:v>46002</c:v>
                </c:pt>
                <c:pt idx="692">
                  <c:v>46006</c:v>
                </c:pt>
                <c:pt idx="693">
                  <c:v>46007</c:v>
                </c:pt>
                <c:pt idx="694">
                  <c:v>46008</c:v>
                </c:pt>
                <c:pt idx="695">
                  <c:v>46009</c:v>
                </c:pt>
                <c:pt idx="696">
                  <c:v>46010</c:v>
                </c:pt>
                <c:pt idx="697">
                  <c:v>46013</c:v>
                </c:pt>
                <c:pt idx="698">
                  <c:v>46014</c:v>
                </c:pt>
                <c:pt idx="699">
                  <c:v>46015</c:v>
                </c:pt>
                <c:pt idx="700">
                  <c:v>46017</c:v>
                </c:pt>
                <c:pt idx="701">
                  <c:v>46020</c:v>
                </c:pt>
                <c:pt idx="702">
                  <c:v>46021</c:v>
                </c:pt>
                <c:pt idx="703">
                  <c:v>46022</c:v>
                </c:pt>
                <c:pt idx="704">
                  <c:v>46024</c:v>
                </c:pt>
                <c:pt idx="705">
                  <c:v>46027</c:v>
                </c:pt>
                <c:pt idx="706">
                  <c:v>46028</c:v>
                </c:pt>
                <c:pt idx="707">
                  <c:v>46029</c:v>
                </c:pt>
                <c:pt idx="708">
                  <c:v>46030</c:v>
                </c:pt>
                <c:pt idx="709">
                  <c:v>46031</c:v>
                </c:pt>
                <c:pt idx="710">
                  <c:v>46034</c:v>
                </c:pt>
                <c:pt idx="711">
                  <c:v>46035</c:v>
                </c:pt>
                <c:pt idx="712">
                  <c:v>46036</c:v>
                </c:pt>
                <c:pt idx="713">
                  <c:v>46037</c:v>
                </c:pt>
                <c:pt idx="714">
                  <c:v>46038</c:v>
                </c:pt>
                <c:pt idx="715">
                  <c:v>46041</c:v>
                </c:pt>
                <c:pt idx="716">
                  <c:v>46042</c:v>
                </c:pt>
                <c:pt idx="717">
                  <c:v>46043</c:v>
                </c:pt>
                <c:pt idx="718">
                  <c:v>46044</c:v>
                </c:pt>
                <c:pt idx="719">
                  <c:v>46045</c:v>
                </c:pt>
                <c:pt idx="720">
                  <c:v>46048</c:v>
                </c:pt>
                <c:pt idx="721">
                  <c:v>46049</c:v>
                </c:pt>
                <c:pt idx="722">
                  <c:v>46050</c:v>
                </c:pt>
                <c:pt idx="723">
                  <c:v>46051</c:v>
                </c:pt>
                <c:pt idx="724">
                  <c:v>46052</c:v>
                </c:pt>
                <c:pt idx="725">
                  <c:v>46056</c:v>
                </c:pt>
                <c:pt idx="726">
                  <c:v>46057</c:v>
                </c:pt>
                <c:pt idx="727">
                  <c:v>46058</c:v>
                </c:pt>
                <c:pt idx="728">
                  <c:v>46059</c:v>
                </c:pt>
                <c:pt idx="729">
                  <c:v>46062</c:v>
                </c:pt>
                <c:pt idx="730">
                  <c:v>46063</c:v>
                </c:pt>
                <c:pt idx="731">
                  <c:v>46064</c:v>
                </c:pt>
                <c:pt idx="732">
                  <c:v>46065</c:v>
                </c:pt>
                <c:pt idx="733">
                  <c:v>46066</c:v>
                </c:pt>
                <c:pt idx="734">
                  <c:v>46069</c:v>
                </c:pt>
                <c:pt idx="735">
                  <c:v>46070</c:v>
                </c:pt>
                <c:pt idx="736">
                  <c:v>46071</c:v>
                </c:pt>
                <c:pt idx="737">
                  <c:v>46072</c:v>
                </c:pt>
                <c:pt idx="738">
                  <c:v>46073</c:v>
                </c:pt>
                <c:pt idx="739">
                  <c:v>46076</c:v>
                </c:pt>
                <c:pt idx="740">
                  <c:v>46077</c:v>
                </c:pt>
                <c:pt idx="741">
                  <c:v>46078</c:v>
                </c:pt>
                <c:pt idx="742">
                  <c:v>46079</c:v>
                </c:pt>
                <c:pt idx="743">
                  <c:v>46080</c:v>
                </c:pt>
                <c:pt idx="744">
                  <c:v>46083</c:v>
                </c:pt>
                <c:pt idx="745">
                  <c:v>46084</c:v>
                </c:pt>
                <c:pt idx="746">
                  <c:v>46085</c:v>
                </c:pt>
                <c:pt idx="747">
                  <c:v>46086</c:v>
                </c:pt>
                <c:pt idx="748">
                  <c:v>46087</c:v>
                </c:pt>
                <c:pt idx="749">
                  <c:v>46090</c:v>
                </c:pt>
              </c:numCache>
            </c:numRef>
          </c:cat>
          <c:val>
            <c:numRef>
              <c:f>Acciones!$C$2:$C$751</c:f>
              <c:numCache>
                <c:formatCode>General</c:formatCode>
                <c:ptCount val="750"/>
                <c:pt idx="0">
                  <c:v>127</c:v>
                </c:pt>
                <c:pt idx="1">
                  <c:v>131.97999572753901</c:v>
                </c:pt>
                <c:pt idx="2">
                  <c:v>133</c:v>
                </c:pt>
                <c:pt idx="3">
                  <c:v>143.69999694824199</c:v>
                </c:pt>
                <c:pt idx="4">
                  <c:v>155</c:v>
                </c:pt>
                <c:pt idx="5">
                  <c:v>165.05999755859301</c:v>
                </c:pt>
                <c:pt idx="6">
                  <c:v>144.58999633789</c:v>
                </c:pt>
                <c:pt idx="7">
                  <c:v>157.72000122070301</c:v>
                </c:pt>
                <c:pt idx="8">
                  <c:v>144.52000427246</c:v>
                </c:pt>
                <c:pt idx="9">
                  <c:v>132.58000183105401</c:v>
                </c:pt>
                <c:pt idx="10">
                  <c:v>132.75</c:v>
                </c:pt>
                <c:pt idx="11">
                  <c:v>144.30999755859301</c:v>
                </c:pt>
                <c:pt idx="12">
                  <c:v>139.5</c:v>
                </c:pt>
                <c:pt idx="13">
                  <c:v>156.169998168945</c:v>
                </c:pt>
                <c:pt idx="14">
                  <c:v>153.80000305175699</c:v>
                </c:pt>
                <c:pt idx="15">
                  <c:v>154.14999389648401</c:v>
                </c:pt>
                <c:pt idx="16">
                  <c:v>144.58000183105401</c:v>
                </c:pt>
                <c:pt idx="17">
                  <c:v>163.71000671386699</c:v>
                </c:pt>
                <c:pt idx="18">
                  <c:v>187.07000732421801</c:v>
                </c:pt>
                <c:pt idx="19">
                  <c:v>178.07000732421801</c:v>
                </c:pt>
                <c:pt idx="20">
                  <c:v>208.100006103515</c:v>
                </c:pt>
                <c:pt idx="21">
                  <c:v>213.47999572753901</c:v>
                </c:pt>
                <c:pt idx="22">
                  <c:v>207.009994506835</c:v>
                </c:pt>
                <c:pt idx="23">
                  <c:v>210.88999938964801</c:v>
                </c:pt>
                <c:pt idx="24">
                  <c:v>192.97000122070301</c:v>
                </c:pt>
                <c:pt idx="25">
                  <c:v>172.11000061035099</c:v>
                </c:pt>
                <c:pt idx="26">
                  <c:v>160.69999694824199</c:v>
                </c:pt>
                <c:pt idx="27">
                  <c:v>161.19999694824199</c:v>
                </c:pt>
                <c:pt idx="28">
                  <c:v>163</c:v>
                </c:pt>
                <c:pt idx="29">
                  <c:v>172.11000061035099</c:v>
                </c:pt>
                <c:pt idx="30">
                  <c:v>180.28999328613199</c:v>
                </c:pt>
                <c:pt idx="31">
                  <c:v>181.5</c:v>
                </c:pt>
                <c:pt idx="32">
                  <c:v>171.63999938964801</c:v>
                </c:pt>
                <c:pt idx="33">
                  <c:v>168.53999328613199</c:v>
                </c:pt>
                <c:pt idx="34">
                  <c:v>184</c:v>
                </c:pt>
                <c:pt idx="35">
                  <c:v>186</c:v>
                </c:pt>
                <c:pt idx="36">
                  <c:v>166.22999572753901</c:v>
                </c:pt>
                <c:pt idx="37">
                  <c:v>167.03999328613199</c:v>
                </c:pt>
                <c:pt idx="38">
                  <c:v>181.009994506835</c:v>
                </c:pt>
                <c:pt idx="39">
                  <c:v>152.53999328613199</c:v>
                </c:pt>
                <c:pt idx="40">
                  <c:v>156.21000671386699</c:v>
                </c:pt>
                <c:pt idx="41">
                  <c:v>164.419998168945</c:v>
                </c:pt>
                <c:pt idx="42">
                  <c:v>161.49000549316401</c:v>
                </c:pt>
                <c:pt idx="43">
                  <c:v>177.03999328613199</c:v>
                </c:pt>
                <c:pt idx="44">
                  <c:v>165.33000183105401</c:v>
                </c:pt>
                <c:pt idx="45">
                  <c:v>162.05999755859301</c:v>
                </c:pt>
                <c:pt idx="46">
                  <c:v>173.47000122070301</c:v>
                </c:pt>
                <c:pt idx="47">
                  <c:v>168.22000122070301</c:v>
                </c:pt>
                <c:pt idx="48">
                  <c:v>169</c:v>
                </c:pt>
                <c:pt idx="49">
                  <c:v>162.25</c:v>
                </c:pt>
                <c:pt idx="50">
                  <c:v>162.39999389648401</c:v>
                </c:pt>
                <c:pt idx="51">
                  <c:v>162</c:v>
                </c:pt>
                <c:pt idx="52">
                  <c:v>165.88000488281199</c:v>
                </c:pt>
                <c:pt idx="53">
                  <c:v>172.41000366210901</c:v>
                </c:pt>
                <c:pt idx="54">
                  <c:v>176.17999267578099</c:v>
                </c:pt>
                <c:pt idx="55">
                  <c:v>175.509994506835</c:v>
                </c:pt>
                <c:pt idx="56">
                  <c:v>160.19999694824199</c:v>
                </c:pt>
                <c:pt idx="57">
                  <c:v>175.169998168945</c:v>
                </c:pt>
                <c:pt idx="58">
                  <c:v>166.25</c:v>
                </c:pt>
                <c:pt idx="59">
                  <c:v>169.89999389648401</c:v>
                </c:pt>
                <c:pt idx="60">
                  <c:v>161.27999877929599</c:v>
                </c:pt>
                <c:pt idx="61">
                  <c:v>161.100006103515</c:v>
                </c:pt>
                <c:pt idx="62">
                  <c:v>166</c:v>
                </c:pt>
                <c:pt idx="63">
                  <c:v>165.19999694824199</c:v>
                </c:pt>
                <c:pt idx="64">
                  <c:v>160.5</c:v>
                </c:pt>
                <c:pt idx="65">
                  <c:v>169.5</c:v>
                </c:pt>
                <c:pt idx="66">
                  <c:v>172</c:v>
                </c:pt>
                <c:pt idx="67">
                  <c:v>199.38000488281199</c:v>
                </c:pt>
                <c:pt idx="68">
                  <c:v>208.82000732421801</c:v>
                </c:pt>
                <c:pt idx="69">
                  <c:v>202</c:v>
                </c:pt>
                <c:pt idx="70">
                  <c:v>218.07000732421801</c:v>
                </c:pt>
                <c:pt idx="71">
                  <c:v>202.27000427246</c:v>
                </c:pt>
                <c:pt idx="72">
                  <c:v>228.47000122070301</c:v>
                </c:pt>
                <c:pt idx="73">
                  <c:v>223.69000244140599</c:v>
                </c:pt>
                <c:pt idx="74">
                  <c:v>235.91000366210901</c:v>
                </c:pt>
                <c:pt idx="75">
                  <c:v>238</c:v>
                </c:pt>
                <c:pt idx="76">
                  <c:v>262.5</c:v>
                </c:pt>
                <c:pt idx="77">
                  <c:v>270.48001098632801</c:v>
                </c:pt>
                <c:pt idx="78">
                  <c:v>265.19000244140602</c:v>
                </c:pt>
                <c:pt idx="79">
                  <c:v>263.989990234375</c:v>
                </c:pt>
                <c:pt idx="80">
                  <c:v>267</c:v>
                </c:pt>
                <c:pt idx="81">
                  <c:v>288.100006103515</c:v>
                </c:pt>
                <c:pt idx="82">
                  <c:v>296.27999877929602</c:v>
                </c:pt>
                <c:pt idx="83">
                  <c:v>284.95001220703102</c:v>
                </c:pt>
                <c:pt idx="84">
                  <c:v>324.829986572265</c:v>
                </c:pt>
                <c:pt idx="85">
                  <c:v>304</c:v>
                </c:pt>
                <c:pt idx="86">
                  <c:v>289.52999877929602</c:v>
                </c:pt>
                <c:pt idx="87">
                  <c:v>281.760009765625</c:v>
                </c:pt>
                <c:pt idx="88">
                  <c:v>295.75</c:v>
                </c:pt>
                <c:pt idx="89">
                  <c:v>286.07000732421801</c:v>
                </c:pt>
                <c:pt idx="90">
                  <c:v>287.10998535156199</c:v>
                </c:pt>
                <c:pt idx="91">
                  <c:v>275.010009765625</c:v>
                </c:pt>
                <c:pt idx="92">
                  <c:v>274.91000366210898</c:v>
                </c:pt>
                <c:pt idx="93">
                  <c:v>283</c:v>
                </c:pt>
                <c:pt idx="94">
                  <c:v>269.5</c:v>
                </c:pt>
                <c:pt idx="95">
                  <c:v>279.48001098632801</c:v>
                </c:pt>
                <c:pt idx="96">
                  <c:v>290.91000366210898</c:v>
                </c:pt>
                <c:pt idx="97">
                  <c:v>284.27999877929602</c:v>
                </c:pt>
                <c:pt idx="98">
                  <c:v>280.54000854492102</c:v>
                </c:pt>
                <c:pt idx="99">
                  <c:v>287.010009765625</c:v>
                </c:pt>
                <c:pt idx="100">
                  <c:v>271.45001220703102</c:v>
                </c:pt>
                <c:pt idx="101">
                  <c:v>254.61999511718699</c:v>
                </c:pt>
                <c:pt idx="102">
                  <c:v>269.760009765625</c:v>
                </c:pt>
                <c:pt idx="103">
                  <c:v>266.100006103515</c:v>
                </c:pt>
                <c:pt idx="104">
                  <c:v>245.69999694824199</c:v>
                </c:pt>
                <c:pt idx="105">
                  <c:v>248.100006103515</c:v>
                </c:pt>
                <c:pt idx="106">
                  <c:v>252.64999389648401</c:v>
                </c:pt>
                <c:pt idx="107">
                  <c:v>240.07000732421801</c:v>
                </c:pt>
                <c:pt idx="108">
                  <c:v>232.11999511718699</c:v>
                </c:pt>
                <c:pt idx="109">
                  <c:v>210.419998168945</c:v>
                </c:pt>
                <c:pt idx="110">
                  <c:v>192</c:v>
                </c:pt>
                <c:pt idx="111">
                  <c:v>188</c:v>
                </c:pt>
                <c:pt idx="112">
                  <c:v>185.850006103515</c:v>
                </c:pt>
                <c:pt idx="113">
                  <c:v>198.61000061035099</c:v>
                </c:pt>
                <c:pt idx="114">
                  <c:v>176.5</c:v>
                </c:pt>
                <c:pt idx="115">
                  <c:v>177.03999328613199</c:v>
                </c:pt>
                <c:pt idx="116">
                  <c:v>177.009994506835</c:v>
                </c:pt>
                <c:pt idx="117">
                  <c:v>229.99000549316401</c:v>
                </c:pt>
                <c:pt idx="118">
                  <c:v>226</c:v>
                </c:pt>
                <c:pt idx="119">
                  <c:v>213.83999633789</c:v>
                </c:pt>
                <c:pt idx="120">
                  <c:v>205</c:v>
                </c:pt>
                <c:pt idx="121">
                  <c:v>215.19999694824199</c:v>
                </c:pt>
                <c:pt idx="122">
                  <c:v>209.78999328613199</c:v>
                </c:pt>
                <c:pt idx="123">
                  <c:v>213.63999938964801</c:v>
                </c:pt>
                <c:pt idx="124">
                  <c:v>217.69999694824199</c:v>
                </c:pt>
                <c:pt idx="125">
                  <c:v>191.21000671386699</c:v>
                </c:pt>
                <c:pt idx="126">
                  <c:v>173.91000366210901</c:v>
                </c:pt>
                <c:pt idx="127">
                  <c:v>175</c:v>
                </c:pt>
                <c:pt idx="128">
                  <c:v>172</c:v>
                </c:pt>
                <c:pt idx="129">
                  <c:v>172.03999328613199</c:v>
                </c:pt>
                <c:pt idx="130">
                  <c:v>167</c:v>
                </c:pt>
                <c:pt idx="131">
                  <c:v>167</c:v>
                </c:pt>
                <c:pt idx="132">
                  <c:v>164.47000122070301</c:v>
                </c:pt>
                <c:pt idx="133">
                  <c:v>159.07000732421801</c:v>
                </c:pt>
                <c:pt idx="134">
                  <c:v>160</c:v>
                </c:pt>
                <c:pt idx="135">
                  <c:v>149.61999511718699</c:v>
                </c:pt>
                <c:pt idx="136">
                  <c:v>149.5</c:v>
                </c:pt>
                <c:pt idx="137">
                  <c:v>144.89999389648401</c:v>
                </c:pt>
                <c:pt idx="138">
                  <c:v>142.55999755859301</c:v>
                </c:pt>
                <c:pt idx="139">
                  <c:v>152</c:v>
                </c:pt>
                <c:pt idx="140">
                  <c:v>147</c:v>
                </c:pt>
                <c:pt idx="141">
                  <c:v>151.05999755859301</c:v>
                </c:pt>
                <c:pt idx="142">
                  <c:v>130.66000366210901</c:v>
                </c:pt>
                <c:pt idx="143">
                  <c:v>135.169998168945</c:v>
                </c:pt>
                <c:pt idx="144">
                  <c:v>136.16000366210901</c:v>
                </c:pt>
                <c:pt idx="145">
                  <c:v>144.27999877929599</c:v>
                </c:pt>
                <c:pt idx="146">
                  <c:v>152.02999877929599</c:v>
                </c:pt>
                <c:pt idx="147">
                  <c:v>153.759994506835</c:v>
                </c:pt>
                <c:pt idx="148">
                  <c:v>141.42999267578099</c:v>
                </c:pt>
                <c:pt idx="149">
                  <c:v>140</c:v>
                </c:pt>
                <c:pt idx="150">
                  <c:v>139.02000427246</c:v>
                </c:pt>
                <c:pt idx="151">
                  <c:v>145.30000305175699</c:v>
                </c:pt>
                <c:pt idx="152">
                  <c:v>151.69000244140599</c:v>
                </c:pt>
                <c:pt idx="153">
                  <c:v>140.47000122070301</c:v>
                </c:pt>
                <c:pt idx="154">
                  <c:v>140.19999694824199</c:v>
                </c:pt>
                <c:pt idx="155">
                  <c:v>141</c:v>
                </c:pt>
                <c:pt idx="156">
                  <c:v>159.44999694824199</c:v>
                </c:pt>
                <c:pt idx="157">
                  <c:v>178.55999755859301</c:v>
                </c:pt>
                <c:pt idx="158">
                  <c:v>173.80000305175699</c:v>
                </c:pt>
                <c:pt idx="159">
                  <c:v>162.22999572753901</c:v>
                </c:pt>
                <c:pt idx="160">
                  <c:v>164.30999755859301</c:v>
                </c:pt>
                <c:pt idx="161">
                  <c:v>160.13999938964801</c:v>
                </c:pt>
                <c:pt idx="162">
                  <c:v>157.33000183105401</c:v>
                </c:pt>
                <c:pt idx="163">
                  <c:v>157.509994506835</c:v>
                </c:pt>
                <c:pt idx="164">
                  <c:v>165.14999389648401</c:v>
                </c:pt>
                <c:pt idx="165">
                  <c:v>162.5</c:v>
                </c:pt>
                <c:pt idx="166">
                  <c:v>161</c:v>
                </c:pt>
                <c:pt idx="167">
                  <c:v>149.52000427246</c:v>
                </c:pt>
                <c:pt idx="168">
                  <c:v>166.02000427246</c:v>
                </c:pt>
                <c:pt idx="169">
                  <c:v>169.38999938964801</c:v>
                </c:pt>
                <c:pt idx="170">
                  <c:v>160</c:v>
                </c:pt>
                <c:pt idx="171">
                  <c:v>158.33000183105401</c:v>
                </c:pt>
                <c:pt idx="172">
                  <c:v>177.38000488281199</c:v>
                </c:pt>
                <c:pt idx="173">
                  <c:v>167.75</c:v>
                </c:pt>
                <c:pt idx="174">
                  <c:v>171.600006103515</c:v>
                </c:pt>
                <c:pt idx="175">
                  <c:v>176.57000732421801</c:v>
                </c:pt>
                <c:pt idx="176">
                  <c:v>188.350006103515</c:v>
                </c:pt>
                <c:pt idx="177">
                  <c:v>186.05000305175699</c:v>
                </c:pt>
                <c:pt idx="178">
                  <c:v>194.600006103515</c:v>
                </c:pt>
                <c:pt idx="179">
                  <c:v>193.919998168945</c:v>
                </c:pt>
                <c:pt idx="180">
                  <c:v>212.05999755859301</c:v>
                </c:pt>
                <c:pt idx="181">
                  <c:v>214</c:v>
                </c:pt>
                <c:pt idx="182">
                  <c:v>207.91000366210901</c:v>
                </c:pt>
                <c:pt idx="183">
                  <c:v>234.38999938964801</c:v>
                </c:pt>
                <c:pt idx="184">
                  <c:v>261.04000854492102</c:v>
                </c:pt>
                <c:pt idx="185">
                  <c:v>266.329986572265</c:v>
                </c:pt>
                <c:pt idx="186">
                  <c:v>270.64999389648398</c:v>
                </c:pt>
                <c:pt idx="187">
                  <c:v>269.45001220703102</c:v>
                </c:pt>
                <c:pt idx="188">
                  <c:v>289.64999389648398</c:v>
                </c:pt>
                <c:pt idx="189">
                  <c:v>255.5</c:v>
                </c:pt>
                <c:pt idx="190">
                  <c:v>287.010009765625</c:v>
                </c:pt>
                <c:pt idx="191">
                  <c:v>305.02999877929602</c:v>
                </c:pt>
                <c:pt idx="192">
                  <c:v>311.67999267578102</c:v>
                </c:pt>
                <c:pt idx="193">
                  <c:v>342</c:v>
                </c:pt>
                <c:pt idx="194">
                  <c:v>374.80999755859301</c:v>
                </c:pt>
                <c:pt idx="195">
                  <c:v>392.41000366210898</c:v>
                </c:pt>
                <c:pt idx="196">
                  <c:v>424.67001342773398</c:v>
                </c:pt>
                <c:pt idx="197">
                  <c:v>456.14001464843699</c:v>
                </c:pt>
                <c:pt idx="198">
                  <c:v>456.579986572265</c:v>
                </c:pt>
                <c:pt idx="199">
                  <c:v>524.84002685546795</c:v>
                </c:pt>
                <c:pt idx="200">
                  <c:v>479.69000244140602</c:v>
                </c:pt>
                <c:pt idx="201">
                  <c:v>398.45999145507801</c:v>
                </c:pt>
                <c:pt idx="202">
                  <c:v>389.89999389648398</c:v>
                </c:pt>
                <c:pt idx="203">
                  <c:v>402.75</c:v>
                </c:pt>
                <c:pt idx="204">
                  <c:v>451.92999267578102</c:v>
                </c:pt>
                <c:pt idx="205">
                  <c:v>404.42999267578102</c:v>
                </c:pt>
                <c:pt idx="206">
                  <c:v>438.89999389648398</c:v>
                </c:pt>
                <c:pt idx="207">
                  <c:v>434.29000854492102</c:v>
                </c:pt>
                <c:pt idx="208">
                  <c:v>432.14001464843699</c:v>
                </c:pt>
                <c:pt idx="209">
                  <c:v>379.95001220703102</c:v>
                </c:pt>
                <c:pt idx="210">
                  <c:v>320.83999633789</c:v>
                </c:pt>
                <c:pt idx="211">
                  <c:v>320.70001220703102</c:v>
                </c:pt>
                <c:pt idx="212">
                  <c:v>305.11999511718699</c:v>
                </c:pt>
                <c:pt idx="213">
                  <c:v>297.04000854492102</c:v>
                </c:pt>
                <c:pt idx="214">
                  <c:v>277.80999755859301</c:v>
                </c:pt>
                <c:pt idx="215">
                  <c:v>276</c:v>
                </c:pt>
                <c:pt idx="216">
                  <c:v>284.22000122070301</c:v>
                </c:pt>
                <c:pt idx="217">
                  <c:v>280.510009765625</c:v>
                </c:pt>
                <c:pt idx="218">
                  <c:v>269.010009765625</c:v>
                </c:pt>
                <c:pt idx="219">
                  <c:v>279.30999755859301</c:v>
                </c:pt>
                <c:pt idx="220">
                  <c:v>304.010009765625</c:v>
                </c:pt>
                <c:pt idx="221">
                  <c:v>318.850006103515</c:v>
                </c:pt>
                <c:pt idx="222">
                  <c:v>313.44000244140602</c:v>
                </c:pt>
                <c:pt idx="223">
                  <c:v>304.95001220703102</c:v>
                </c:pt>
                <c:pt idx="224">
                  <c:v>318.82000732421801</c:v>
                </c:pt>
                <c:pt idx="225">
                  <c:v>310.14001464843699</c:v>
                </c:pt>
                <c:pt idx="226">
                  <c:v>290.739990234375</c:v>
                </c:pt>
                <c:pt idx="227">
                  <c:v>299.97000122070301</c:v>
                </c:pt>
                <c:pt idx="228">
                  <c:v>367.92001342773398</c:v>
                </c:pt>
                <c:pt idx="229">
                  <c:v>407.5</c:v>
                </c:pt>
                <c:pt idx="230">
                  <c:v>466.83999633789</c:v>
                </c:pt>
                <c:pt idx="231">
                  <c:v>439.60998535156199</c:v>
                </c:pt>
                <c:pt idx="232">
                  <c:v>502.36999511718699</c:v>
                </c:pt>
                <c:pt idx="233">
                  <c:v>460.25</c:v>
                </c:pt>
                <c:pt idx="234">
                  <c:v>455</c:v>
                </c:pt>
                <c:pt idx="235">
                  <c:v>454</c:v>
                </c:pt>
                <c:pt idx="236">
                  <c:v>418.35998535156199</c:v>
                </c:pt>
                <c:pt idx="237">
                  <c:v>390.27999877929602</c:v>
                </c:pt>
                <c:pt idx="238">
                  <c:v>420.73001098632801</c:v>
                </c:pt>
                <c:pt idx="239">
                  <c:v>409.04998779296801</c:v>
                </c:pt>
                <c:pt idx="240">
                  <c:v>500.54000854492102</c:v>
                </c:pt>
                <c:pt idx="241">
                  <c:v>519.94000244140602</c:v>
                </c:pt>
                <c:pt idx="242">
                  <c:v>528.239990234375</c:v>
                </c:pt>
                <c:pt idx="243">
                  <c:v>441.07000732421801</c:v>
                </c:pt>
                <c:pt idx="244">
                  <c:v>453.35998535156199</c:v>
                </c:pt>
                <c:pt idx="245">
                  <c:v>437.25</c:v>
                </c:pt>
                <c:pt idx="246">
                  <c:v>377.44000244140602</c:v>
                </c:pt>
                <c:pt idx="247">
                  <c:v>381.54000854492102</c:v>
                </c:pt>
                <c:pt idx="248">
                  <c:v>367.51998901367102</c:v>
                </c:pt>
                <c:pt idx="249">
                  <c:v>395.79998779296801</c:v>
                </c:pt>
                <c:pt idx="250">
                  <c:v>348.44000244140602</c:v>
                </c:pt>
                <c:pt idx="251">
                  <c:v>339.60998535156199</c:v>
                </c:pt>
                <c:pt idx="252">
                  <c:v>329.95999145507801</c:v>
                </c:pt>
                <c:pt idx="253">
                  <c:v>297.66000366210898</c:v>
                </c:pt>
                <c:pt idx="254">
                  <c:v>323.30999755859301</c:v>
                </c:pt>
                <c:pt idx="255">
                  <c:v>324.92001342773398</c:v>
                </c:pt>
                <c:pt idx="256">
                  <c:v>371.5</c:v>
                </c:pt>
                <c:pt idx="257">
                  <c:v>367.13000488281199</c:v>
                </c:pt>
                <c:pt idx="258">
                  <c:v>351.79998779296801</c:v>
                </c:pt>
                <c:pt idx="259">
                  <c:v>351.239990234375</c:v>
                </c:pt>
                <c:pt idx="260">
                  <c:v>341.04000854492102</c:v>
                </c:pt>
                <c:pt idx="261">
                  <c:v>362.67999267578102</c:v>
                </c:pt>
                <c:pt idx="262">
                  <c:v>360.85998535156199</c:v>
                </c:pt>
                <c:pt idx="263">
                  <c:v>326.5</c:v>
                </c:pt>
                <c:pt idx="264">
                  <c:v>322.92999267578102</c:v>
                </c:pt>
                <c:pt idx="265">
                  <c:v>307.01998901367102</c:v>
                </c:pt>
                <c:pt idx="266">
                  <c:v>303.35998535156199</c:v>
                </c:pt>
                <c:pt idx="267">
                  <c:v>293.08999633789</c:v>
                </c:pt>
                <c:pt idx="268">
                  <c:v>294.83999633789</c:v>
                </c:pt>
                <c:pt idx="269">
                  <c:v>285.14999389648398</c:v>
                </c:pt>
                <c:pt idx="270">
                  <c:v>289</c:v>
                </c:pt>
                <c:pt idx="271">
                  <c:v>267.75</c:v>
                </c:pt>
                <c:pt idx="272">
                  <c:v>254</c:v>
                </c:pt>
                <c:pt idx="273">
                  <c:v>249.63000488281199</c:v>
                </c:pt>
                <c:pt idx="274">
                  <c:v>248.16000366210901</c:v>
                </c:pt>
                <c:pt idx="275">
                  <c:v>257.77999877929602</c:v>
                </c:pt>
                <c:pt idx="276">
                  <c:v>282.600006103515</c:v>
                </c:pt>
                <c:pt idx="277">
                  <c:v>299.23001098632801</c:v>
                </c:pt>
                <c:pt idx="278">
                  <c:v>329.850006103515</c:v>
                </c:pt>
                <c:pt idx="279">
                  <c:v>325.98001098632801</c:v>
                </c:pt>
                <c:pt idx="280">
                  <c:v>326</c:v>
                </c:pt>
                <c:pt idx="281">
                  <c:v>330.69000244140602</c:v>
                </c:pt>
                <c:pt idx="282">
                  <c:v>304.91000366210898</c:v>
                </c:pt>
                <c:pt idx="283">
                  <c:v>277.02999877929602</c:v>
                </c:pt>
                <c:pt idx="284">
                  <c:v>289.989990234375</c:v>
                </c:pt>
                <c:pt idx="285">
                  <c:v>296.94000244140602</c:v>
                </c:pt>
                <c:pt idx="286">
                  <c:v>349.63000488281199</c:v>
                </c:pt>
                <c:pt idx="287">
                  <c:v>339.48001098632801</c:v>
                </c:pt>
                <c:pt idx="288">
                  <c:v>341.600006103515</c:v>
                </c:pt>
                <c:pt idx="289">
                  <c:v>329.20999145507801</c:v>
                </c:pt>
                <c:pt idx="290">
                  <c:v>289.260009765625</c:v>
                </c:pt>
                <c:pt idx="291">
                  <c:v>288.11999511718699</c:v>
                </c:pt>
                <c:pt idx="292">
                  <c:v>304</c:v>
                </c:pt>
                <c:pt idx="293">
                  <c:v>334.58999633789</c:v>
                </c:pt>
                <c:pt idx="294">
                  <c:v>327.600006103515</c:v>
                </c:pt>
                <c:pt idx="295">
                  <c:v>321.76998901367102</c:v>
                </c:pt>
                <c:pt idx="296">
                  <c:v>371.35998535156199</c:v>
                </c:pt>
                <c:pt idx="297">
                  <c:v>356.27999877929602</c:v>
                </c:pt>
                <c:pt idx="298">
                  <c:v>353.079986572265</c:v>
                </c:pt>
                <c:pt idx="299">
                  <c:v>336.14999389648398</c:v>
                </c:pt>
                <c:pt idx="300">
                  <c:v>352.600006103515</c:v>
                </c:pt>
                <c:pt idx="301">
                  <c:v>352.5</c:v>
                </c:pt>
                <c:pt idx="302">
                  <c:v>349.20999145507801</c:v>
                </c:pt>
                <c:pt idx="303">
                  <c:v>344.29998779296801</c:v>
                </c:pt>
                <c:pt idx="304">
                  <c:v>339</c:v>
                </c:pt>
                <c:pt idx="305">
                  <c:v>327.60998535156199</c:v>
                </c:pt>
                <c:pt idx="306">
                  <c:v>344.67001342773398</c:v>
                </c:pt>
                <c:pt idx="307">
                  <c:v>367.32000732421801</c:v>
                </c:pt>
                <c:pt idx="308">
                  <c:v>369.19000244140602</c:v>
                </c:pt>
                <c:pt idx="309">
                  <c:v>369.23001098632801</c:v>
                </c:pt>
                <c:pt idx="310">
                  <c:v>355.260009765625</c:v>
                </c:pt>
                <c:pt idx="311">
                  <c:v>355.30999755859301</c:v>
                </c:pt>
                <c:pt idx="312">
                  <c:v>366.17001342773398</c:v>
                </c:pt>
                <c:pt idx="313">
                  <c:v>382.579986572265</c:v>
                </c:pt>
                <c:pt idx="314">
                  <c:v>367.91000366210898</c:v>
                </c:pt>
                <c:pt idx="315">
                  <c:v>357.38000488281199</c:v>
                </c:pt>
                <c:pt idx="316">
                  <c:v>369.92999267578102</c:v>
                </c:pt>
                <c:pt idx="317">
                  <c:v>371.44000244140602</c:v>
                </c:pt>
                <c:pt idx="318">
                  <c:v>373</c:v>
                </c:pt>
                <c:pt idx="319">
                  <c:v>379.95001220703102</c:v>
                </c:pt>
                <c:pt idx="320">
                  <c:v>346.66000366210898</c:v>
                </c:pt>
                <c:pt idx="321">
                  <c:v>335.61999511718699</c:v>
                </c:pt>
                <c:pt idx="322">
                  <c:v>345</c:v>
                </c:pt>
                <c:pt idx="323">
                  <c:v>356.54000854492102</c:v>
                </c:pt>
                <c:pt idx="324">
                  <c:v>361.55999755859301</c:v>
                </c:pt>
                <c:pt idx="325">
                  <c:v>367.989990234375</c:v>
                </c:pt>
                <c:pt idx="326">
                  <c:v>414.70999145507801</c:v>
                </c:pt>
                <c:pt idx="327">
                  <c:v>403.11999511718699</c:v>
                </c:pt>
                <c:pt idx="328">
                  <c:v>378.89001464843699</c:v>
                </c:pt>
                <c:pt idx="329">
                  <c:v>378</c:v>
                </c:pt>
                <c:pt idx="330">
                  <c:v>365.05999755859301</c:v>
                </c:pt>
                <c:pt idx="331">
                  <c:v>350.05999755859301</c:v>
                </c:pt>
                <c:pt idx="332">
                  <c:v>340.89001464843699</c:v>
                </c:pt>
                <c:pt idx="333">
                  <c:v>336.5</c:v>
                </c:pt>
                <c:pt idx="334">
                  <c:v>339</c:v>
                </c:pt>
                <c:pt idx="335">
                  <c:v>364.42999267578102</c:v>
                </c:pt>
                <c:pt idx="336">
                  <c:v>435.61999511718699</c:v>
                </c:pt>
                <c:pt idx="337">
                  <c:v>468</c:v>
                </c:pt>
                <c:pt idx="338">
                  <c:v>452.04998779296801</c:v>
                </c:pt>
                <c:pt idx="339">
                  <c:v>422.67001342773398</c:v>
                </c:pt>
                <c:pt idx="340">
                  <c:v>447.489990234375</c:v>
                </c:pt>
                <c:pt idx="341">
                  <c:v>437.079986572265</c:v>
                </c:pt>
                <c:pt idx="342">
                  <c:v>392.39001464843699</c:v>
                </c:pt>
                <c:pt idx="343">
                  <c:v>380.32000732421801</c:v>
                </c:pt>
                <c:pt idx="344">
                  <c:v>376.55999755859301</c:v>
                </c:pt>
                <c:pt idx="345">
                  <c:v>396.42001342773398</c:v>
                </c:pt>
                <c:pt idx="346">
                  <c:v>381.69000244140602</c:v>
                </c:pt>
                <c:pt idx="347">
                  <c:v>372.94000244140602</c:v>
                </c:pt>
                <c:pt idx="348">
                  <c:v>367.01998901367102</c:v>
                </c:pt>
                <c:pt idx="349">
                  <c:v>340.55999755859301</c:v>
                </c:pt>
                <c:pt idx="350">
                  <c:v>328.16000366210898</c:v>
                </c:pt>
                <c:pt idx="351">
                  <c:v>325.95999145507801</c:v>
                </c:pt>
                <c:pt idx="352">
                  <c:v>336.5</c:v>
                </c:pt>
                <c:pt idx="353">
                  <c:v>308.32000732421801</c:v>
                </c:pt>
                <c:pt idx="354">
                  <c:v>330.70999145507801</c:v>
                </c:pt>
                <c:pt idx="355">
                  <c:v>321.89999389648398</c:v>
                </c:pt>
                <c:pt idx="356">
                  <c:v>290.14001464843699</c:v>
                </c:pt>
                <c:pt idx="357">
                  <c:v>295.010009765625</c:v>
                </c:pt>
                <c:pt idx="358">
                  <c:v>284</c:v>
                </c:pt>
                <c:pt idx="359">
                  <c:v>289</c:v>
                </c:pt>
                <c:pt idx="360">
                  <c:v>303.29998779296801</c:v>
                </c:pt>
                <c:pt idx="361">
                  <c:v>309.5</c:v>
                </c:pt>
                <c:pt idx="362">
                  <c:v>315</c:v>
                </c:pt>
                <c:pt idx="363">
                  <c:v>340.239990234375</c:v>
                </c:pt>
                <c:pt idx="364">
                  <c:v>329.989990234375</c:v>
                </c:pt>
                <c:pt idx="365">
                  <c:v>355.29000854492102</c:v>
                </c:pt>
                <c:pt idx="366">
                  <c:v>359.55999755859301</c:v>
                </c:pt>
                <c:pt idx="367">
                  <c:v>349.97000122070301</c:v>
                </c:pt>
                <c:pt idx="368">
                  <c:v>336.60998535156199</c:v>
                </c:pt>
                <c:pt idx="369">
                  <c:v>339.600006103515</c:v>
                </c:pt>
                <c:pt idx="370">
                  <c:v>328.33999633789</c:v>
                </c:pt>
                <c:pt idx="371">
                  <c:v>335.5</c:v>
                </c:pt>
                <c:pt idx="372">
                  <c:v>301.11999511718699</c:v>
                </c:pt>
                <c:pt idx="373">
                  <c:v>295.91000366210898</c:v>
                </c:pt>
                <c:pt idx="374">
                  <c:v>277.13000488281199</c:v>
                </c:pt>
                <c:pt idx="375">
                  <c:v>267.36999511718699</c:v>
                </c:pt>
                <c:pt idx="376">
                  <c:v>289.329986572265</c:v>
                </c:pt>
                <c:pt idx="377">
                  <c:v>317.54000854492102</c:v>
                </c:pt>
                <c:pt idx="378">
                  <c:v>311.239990234375</c:v>
                </c:pt>
                <c:pt idx="379">
                  <c:v>305.489990234375</c:v>
                </c:pt>
                <c:pt idx="380">
                  <c:v>310.80999755859301</c:v>
                </c:pt>
                <c:pt idx="381">
                  <c:v>303.989990234375</c:v>
                </c:pt>
                <c:pt idx="382">
                  <c:v>295.23001098632801</c:v>
                </c:pt>
                <c:pt idx="383">
                  <c:v>298.16000366210898</c:v>
                </c:pt>
                <c:pt idx="384">
                  <c:v>302.100006103515</c:v>
                </c:pt>
                <c:pt idx="385">
                  <c:v>310.579986572265</c:v>
                </c:pt>
                <c:pt idx="386">
                  <c:v>313.69000244140602</c:v>
                </c:pt>
                <c:pt idx="387">
                  <c:v>316.510009765625</c:v>
                </c:pt>
                <c:pt idx="388">
                  <c:v>344</c:v>
                </c:pt>
                <c:pt idx="389">
                  <c:v>337.92001342773398</c:v>
                </c:pt>
                <c:pt idx="390">
                  <c:v>318.67999267578102</c:v>
                </c:pt>
                <c:pt idx="391">
                  <c:v>294.88000488281199</c:v>
                </c:pt>
                <c:pt idx="392">
                  <c:v>298</c:v>
                </c:pt>
                <c:pt idx="393">
                  <c:v>313.510009765625</c:v>
                </c:pt>
                <c:pt idx="394">
                  <c:v>307</c:v>
                </c:pt>
                <c:pt idx="395">
                  <c:v>307.29000854492102</c:v>
                </c:pt>
                <c:pt idx="396">
                  <c:v>300.17999267578102</c:v>
                </c:pt>
                <c:pt idx="397">
                  <c:v>296.739990234375</c:v>
                </c:pt>
                <c:pt idx="398">
                  <c:v>309.350006103515</c:v>
                </c:pt>
                <c:pt idx="399">
                  <c:v>329</c:v>
                </c:pt>
                <c:pt idx="400">
                  <c:v>334.64999389648398</c:v>
                </c:pt>
                <c:pt idx="401">
                  <c:v>357.60998535156199</c:v>
                </c:pt>
                <c:pt idx="402">
                  <c:v>358</c:v>
                </c:pt>
                <c:pt idx="403">
                  <c:v>374.04998779296801</c:v>
                </c:pt>
                <c:pt idx="404">
                  <c:v>371.82000732421801</c:v>
                </c:pt>
                <c:pt idx="405">
                  <c:v>376.54998779296801</c:v>
                </c:pt>
                <c:pt idx="406">
                  <c:v>357.01998901367102</c:v>
                </c:pt>
                <c:pt idx="407">
                  <c:v>360.55999755859301</c:v>
                </c:pt>
                <c:pt idx="408">
                  <c:v>341.989990234375</c:v>
                </c:pt>
                <c:pt idx="409">
                  <c:v>381.39999389648398</c:v>
                </c:pt>
                <c:pt idx="410">
                  <c:v>380.70999145507801</c:v>
                </c:pt>
                <c:pt idx="411">
                  <c:v>372.25</c:v>
                </c:pt>
                <c:pt idx="412">
                  <c:v>338.29998779296801</c:v>
                </c:pt>
                <c:pt idx="413">
                  <c:v>328.35998535156199</c:v>
                </c:pt>
                <c:pt idx="414">
                  <c:v>312.95001220703102</c:v>
                </c:pt>
                <c:pt idx="415">
                  <c:v>325.079986572265</c:v>
                </c:pt>
                <c:pt idx="416">
                  <c:v>387.10998535156199</c:v>
                </c:pt>
                <c:pt idx="417">
                  <c:v>381.80999755859301</c:v>
                </c:pt>
                <c:pt idx="418">
                  <c:v>386.489990234375</c:v>
                </c:pt>
                <c:pt idx="419">
                  <c:v>509.79998779296801</c:v>
                </c:pt>
                <c:pt idx="420">
                  <c:v>519.90002441406205</c:v>
                </c:pt>
                <c:pt idx="421">
                  <c:v>445.52999877929602</c:v>
                </c:pt>
                <c:pt idx="422">
                  <c:v>422.989990234375</c:v>
                </c:pt>
                <c:pt idx="423">
                  <c:v>428.89001464843699</c:v>
                </c:pt>
                <c:pt idx="424">
                  <c:v>399.16000366210898</c:v>
                </c:pt>
                <c:pt idx="425">
                  <c:v>462.54000854492102</c:v>
                </c:pt>
                <c:pt idx="426">
                  <c:v>490.239990234375</c:v>
                </c:pt>
                <c:pt idx="427">
                  <c:v>534.02001953125</c:v>
                </c:pt>
                <c:pt idx="428">
                  <c:v>532.29998779296795</c:v>
                </c:pt>
                <c:pt idx="429">
                  <c:v>512.14001464843705</c:v>
                </c:pt>
                <c:pt idx="430">
                  <c:v>552.72998046875</c:v>
                </c:pt>
                <c:pt idx="431">
                  <c:v>556.22998046875</c:v>
                </c:pt>
                <c:pt idx="432">
                  <c:v>560</c:v>
                </c:pt>
                <c:pt idx="433">
                  <c:v>516.010009765625</c:v>
                </c:pt>
                <c:pt idx="434">
                  <c:v>508.83999633789</c:v>
                </c:pt>
                <c:pt idx="435">
                  <c:v>526.92999267578102</c:v>
                </c:pt>
                <c:pt idx="436">
                  <c:v>501.36999511718699</c:v>
                </c:pt>
                <c:pt idx="437">
                  <c:v>529.010009765625</c:v>
                </c:pt>
                <c:pt idx="438">
                  <c:v>484.30999755859301</c:v>
                </c:pt>
                <c:pt idx="439">
                  <c:v>460.02999877929602</c:v>
                </c:pt>
                <c:pt idx="440">
                  <c:v>472.20999145507801</c:v>
                </c:pt>
                <c:pt idx="441">
                  <c:v>456.5</c:v>
                </c:pt>
                <c:pt idx="442">
                  <c:v>495</c:v>
                </c:pt>
                <c:pt idx="443">
                  <c:v>499.5</c:v>
                </c:pt>
                <c:pt idx="444">
                  <c:v>448.85998535156199</c:v>
                </c:pt>
                <c:pt idx="445">
                  <c:v>414.89001464843699</c:v>
                </c:pt>
                <c:pt idx="446">
                  <c:v>400.70999145507801</c:v>
                </c:pt>
                <c:pt idx="447">
                  <c:v>390.27999877929602</c:v>
                </c:pt>
                <c:pt idx="448">
                  <c:v>403</c:v>
                </c:pt>
                <c:pt idx="449">
                  <c:v>391.86999511718699</c:v>
                </c:pt>
                <c:pt idx="450">
                  <c:v>375.14999389648398</c:v>
                </c:pt>
                <c:pt idx="451">
                  <c:v>360.38000488281199</c:v>
                </c:pt>
                <c:pt idx="452">
                  <c:v>350.92999267578102</c:v>
                </c:pt>
                <c:pt idx="453">
                  <c:v>353.23001098632801</c:v>
                </c:pt>
                <c:pt idx="454">
                  <c:v>400.79998779296801</c:v>
                </c:pt>
                <c:pt idx="455">
                  <c:v>415.77999877929602</c:v>
                </c:pt>
                <c:pt idx="456">
                  <c:v>387.92001342773398</c:v>
                </c:pt>
                <c:pt idx="457">
                  <c:v>375.079986572265</c:v>
                </c:pt>
                <c:pt idx="458">
                  <c:v>369.64999389648398</c:v>
                </c:pt>
                <c:pt idx="459">
                  <c:v>371.02999877929602</c:v>
                </c:pt>
                <c:pt idx="460">
                  <c:v>354.80999755859301</c:v>
                </c:pt>
                <c:pt idx="461">
                  <c:v>354.989990234375</c:v>
                </c:pt>
                <c:pt idx="462">
                  <c:v>374.600006103515</c:v>
                </c:pt>
                <c:pt idx="463">
                  <c:v>381</c:v>
                </c:pt>
                <c:pt idx="464">
                  <c:v>414.5</c:v>
                </c:pt>
                <c:pt idx="465">
                  <c:v>420.100006103515</c:v>
                </c:pt>
                <c:pt idx="466">
                  <c:v>402.350006103515</c:v>
                </c:pt>
                <c:pt idx="467">
                  <c:v>403.35998535156199</c:v>
                </c:pt>
                <c:pt idx="468">
                  <c:v>409.989990234375</c:v>
                </c:pt>
                <c:pt idx="469">
                  <c:v>406.41000366210898</c:v>
                </c:pt>
                <c:pt idx="470">
                  <c:v>375</c:v>
                </c:pt>
                <c:pt idx="471">
                  <c:v>374</c:v>
                </c:pt>
                <c:pt idx="472">
                  <c:v>378</c:v>
                </c:pt>
                <c:pt idx="473">
                  <c:v>394.70001220703102</c:v>
                </c:pt>
                <c:pt idx="474">
                  <c:v>375</c:v>
                </c:pt>
                <c:pt idx="475">
                  <c:v>362.70001220703102</c:v>
                </c:pt>
                <c:pt idx="476">
                  <c:v>350.89999389648398</c:v>
                </c:pt>
                <c:pt idx="477">
                  <c:v>344.26998901367102</c:v>
                </c:pt>
                <c:pt idx="478">
                  <c:v>344.97000122070301</c:v>
                </c:pt>
                <c:pt idx="479">
                  <c:v>346.04998779296801</c:v>
                </c:pt>
                <c:pt idx="480">
                  <c:v>330.16000366210898</c:v>
                </c:pt>
                <c:pt idx="481">
                  <c:v>334.23001098632801</c:v>
                </c:pt>
                <c:pt idx="482">
                  <c:v>344.100006103515</c:v>
                </c:pt>
                <c:pt idx="483">
                  <c:v>342.850006103515</c:v>
                </c:pt>
                <c:pt idx="484">
                  <c:v>347.5</c:v>
                </c:pt>
                <c:pt idx="485">
                  <c:v>326.01998901367102</c:v>
                </c:pt>
                <c:pt idx="486">
                  <c:v>324.26998901367102</c:v>
                </c:pt>
                <c:pt idx="487">
                  <c:v>323.20001220703102</c:v>
                </c:pt>
                <c:pt idx="488">
                  <c:v>300.850006103515</c:v>
                </c:pt>
                <c:pt idx="489">
                  <c:v>284.97000122070301</c:v>
                </c:pt>
                <c:pt idx="490">
                  <c:v>254.13999938964801</c:v>
                </c:pt>
                <c:pt idx="491">
                  <c:v>252.19999694824199</c:v>
                </c:pt>
                <c:pt idx="492">
                  <c:v>269</c:v>
                </c:pt>
                <c:pt idx="493">
                  <c:v>282.70999145507801</c:v>
                </c:pt>
                <c:pt idx="494">
                  <c:v>282</c:v>
                </c:pt>
                <c:pt idx="495">
                  <c:v>289.92999267578102</c:v>
                </c:pt>
                <c:pt idx="496">
                  <c:v>305.94000244140602</c:v>
                </c:pt>
                <c:pt idx="497">
                  <c:v>301.63000488281199</c:v>
                </c:pt>
                <c:pt idx="498">
                  <c:v>325.73001098632801</c:v>
                </c:pt>
                <c:pt idx="499">
                  <c:v>273.33999633789</c:v>
                </c:pt>
                <c:pt idx="500">
                  <c:v>269.329986572265</c:v>
                </c:pt>
                <c:pt idx="501">
                  <c:v>266.20999145507801</c:v>
                </c:pt>
                <c:pt idx="502">
                  <c:v>244.92999267578099</c:v>
                </c:pt>
                <c:pt idx="503">
                  <c:v>262.36999511718699</c:v>
                </c:pt>
                <c:pt idx="504">
                  <c:v>241.14999389648401</c:v>
                </c:pt>
                <c:pt idx="505">
                  <c:v>251.71000671386699</c:v>
                </c:pt>
                <c:pt idx="506">
                  <c:v>251.02000427246</c:v>
                </c:pt>
                <c:pt idx="507">
                  <c:v>251.58000183105401</c:v>
                </c:pt>
                <c:pt idx="508">
                  <c:v>290.04998779296801</c:v>
                </c:pt>
                <c:pt idx="509">
                  <c:v>288.489990234375</c:v>
                </c:pt>
                <c:pt idx="510">
                  <c:v>277.14001464843699</c:v>
                </c:pt>
                <c:pt idx="511">
                  <c:v>277.350006103515</c:v>
                </c:pt>
                <c:pt idx="512">
                  <c:v>254</c:v>
                </c:pt>
                <c:pt idx="513">
                  <c:v>235.28999328613199</c:v>
                </c:pt>
                <c:pt idx="514">
                  <c:v>239</c:v>
                </c:pt>
                <c:pt idx="515">
                  <c:v>253.13999938964801</c:v>
                </c:pt>
                <c:pt idx="516">
                  <c:v>225</c:v>
                </c:pt>
                <c:pt idx="517">
                  <c:v>230.009994506835</c:v>
                </c:pt>
                <c:pt idx="518">
                  <c:v>233.52999877929599</c:v>
                </c:pt>
                <c:pt idx="519">
                  <c:v>214.52000427246</c:v>
                </c:pt>
                <c:pt idx="520">
                  <c:v>250.02999877929599</c:v>
                </c:pt>
                <c:pt idx="521">
                  <c:v>236.509994506835</c:v>
                </c:pt>
                <c:pt idx="522">
                  <c:v>252.47999572753901</c:v>
                </c:pt>
                <c:pt idx="523">
                  <c:v>260.510009765625</c:v>
                </c:pt>
                <c:pt idx="524">
                  <c:v>250.100006103515</c:v>
                </c:pt>
                <c:pt idx="525">
                  <c:v>247.97999572753901</c:v>
                </c:pt>
                <c:pt idx="526">
                  <c:v>243.259994506835</c:v>
                </c:pt>
                <c:pt idx="527">
                  <c:v>274.42001342773398</c:v>
                </c:pt>
                <c:pt idx="528">
                  <c:v>278.05999755859301</c:v>
                </c:pt>
                <c:pt idx="529">
                  <c:v>274.60998535156199</c:v>
                </c:pt>
                <c:pt idx="530">
                  <c:v>277.30999755859301</c:v>
                </c:pt>
                <c:pt idx="531">
                  <c:v>275.45999145507801</c:v>
                </c:pt>
                <c:pt idx="532">
                  <c:v>282</c:v>
                </c:pt>
                <c:pt idx="533">
                  <c:v>263.079986572265</c:v>
                </c:pt>
                <c:pt idx="534">
                  <c:v>283.579986572265</c:v>
                </c:pt>
                <c:pt idx="535">
                  <c:v>258.82000732421801</c:v>
                </c:pt>
                <c:pt idx="536">
                  <c:v>259</c:v>
                </c:pt>
                <c:pt idx="537">
                  <c:v>260.239990234375</c:v>
                </c:pt>
                <c:pt idx="538">
                  <c:v>278.01998901367102</c:v>
                </c:pt>
                <c:pt idx="539">
                  <c:v>302.989990234375</c:v>
                </c:pt>
                <c:pt idx="540">
                  <c:v>312</c:v>
                </c:pt>
                <c:pt idx="541">
                  <c:v>316.61999511718699</c:v>
                </c:pt>
                <c:pt idx="542">
                  <c:v>308</c:v>
                </c:pt>
                <c:pt idx="543">
                  <c:v>303.55999755859301</c:v>
                </c:pt>
                <c:pt idx="544">
                  <c:v>315.95001220703102</c:v>
                </c:pt>
                <c:pt idx="545">
                  <c:v>314</c:v>
                </c:pt>
                <c:pt idx="546">
                  <c:v>311.19000244140602</c:v>
                </c:pt>
                <c:pt idx="547">
                  <c:v>308.67001342773398</c:v>
                </c:pt>
                <c:pt idx="548">
                  <c:v>302.010009765625</c:v>
                </c:pt>
                <c:pt idx="549">
                  <c:v>285.510009765625</c:v>
                </c:pt>
                <c:pt idx="550">
                  <c:v>285</c:v>
                </c:pt>
                <c:pt idx="551">
                  <c:v>313.79000854492102</c:v>
                </c:pt>
                <c:pt idx="552">
                  <c:v>288.54000854492102</c:v>
                </c:pt>
                <c:pt idx="553">
                  <c:v>281.579986572265</c:v>
                </c:pt>
                <c:pt idx="554">
                  <c:v>275.32000732421801</c:v>
                </c:pt>
                <c:pt idx="555">
                  <c:v>275.079986572265</c:v>
                </c:pt>
                <c:pt idx="556">
                  <c:v>295.97000122070301</c:v>
                </c:pt>
                <c:pt idx="557">
                  <c:v>300.739990234375</c:v>
                </c:pt>
                <c:pt idx="558">
                  <c:v>285.100006103515</c:v>
                </c:pt>
                <c:pt idx="559">
                  <c:v>300.79000854492102</c:v>
                </c:pt>
                <c:pt idx="560">
                  <c:v>309.64001464843699</c:v>
                </c:pt>
                <c:pt idx="561">
                  <c:v>316.67001342773398</c:v>
                </c:pt>
                <c:pt idx="562">
                  <c:v>306.61999511718699</c:v>
                </c:pt>
                <c:pt idx="563">
                  <c:v>302.04998779296801</c:v>
                </c:pt>
                <c:pt idx="564">
                  <c:v>284.04998779296801</c:v>
                </c:pt>
                <c:pt idx="565">
                  <c:v>289.94000244140602</c:v>
                </c:pt>
                <c:pt idx="566">
                  <c:v>278.29998779296801</c:v>
                </c:pt>
                <c:pt idx="567">
                  <c:v>278.23001098632801</c:v>
                </c:pt>
                <c:pt idx="568">
                  <c:v>280.89999389648398</c:v>
                </c:pt>
                <c:pt idx="569">
                  <c:v>274.79000854492102</c:v>
                </c:pt>
                <c:pt idx="570">
                  <c:v>270.100006103515</c:v>
                </c:pt>
                <c:pt idx="571">
                  <c:v>282.04998779296801</c:v>
                </c:pt>
                <c:pt idx="572">
                  <c:v>283.79998779296801</c:v>
                </c:pt>
                <c:pt idx="573">
                  <c:v>288.11999511718699</c:v>
                </c:pt>
                <c:pt idx="574">
                  <c:v>282.010009765625</c:v>
                </c:pt>
                <c:pt idx="575">
                  <c:v>294.92999267578102</c:v>
                </c:pt>
                <c:pt idx="576">
                  <c:v>295.29998779296801</c:v>
                </c:pt>
                <c:pt idx="577">
                  <c:v>333.25</c:v>
                </c:pt>
                <c:pt idx="578">
                  <c:v>328</c:v>
                </c:pt>
                <c:pt idx="579">
                  <c:v>329.489990234375</c:v>
                </c:pt>
                <c:pt idx="580">
                  <c:v>309.89001464843699</c:v>
                </c:pt>
                <c:pt idx="581">
                  <c:v>321.07000732421801</c:v>
                </c:pt>
                <c:pt idx="582">
                  <c:v>341.98001098632801</c:v>
                </c:pt>
                <c:pt idx="583">
                  <c:v>350.79000854492102</c:v>
                </c:pt>
                <c:pt idx="584">
                  <c:v>355.239990234375</c:v>
                </c:pt>
                <c:pt idx="585">
                  <c:v>357.760009765625</c:v>
                </c:pt>
                <c:pt idx="586">
                  <c:v>353.58999633789</c:v>
                </c:pt>
                <c:pt idx="587">
                  <c:v>364.850006103515</c:v>
                </c:pt>
                <c:pt idx="588">
                  <c:v>373.79998779296801</c:v>
                </c:pt>
                <c:pt idx="589">
                  <c:v>365.19000244140602</c:v>
                </c:pt>
                <c:pt idx="590">
                  <c:v>350.39999389648398</c:v>
                </c:pt>
                <c:pt idx="591">
                  <c:v>369.54998779296801</c:v>
                </c:pt>
                <c:pt idx="592">
                  <c:v>323.82000732421801</c:v>
                </c:pt>
                <c:pt idx="593">
                  <c:v>321.47000122070301</c:v>
                </c:pt>
                <c:pt idx="594">
                  <c:v>318.76998901367102</c:v>
                </c:pt>
                <c:pt idx="595">
                  <c:v>320.45001220703102</c:v>
                </c:pt>
                <c:pt idx="596">
                  <c:v>312.58999633789</c:v>
                </c:pt>
                <c:pt idx="597">
                  <c:v>312.41000366210898</c:v>
                </c:pt>
                <c:pt idx="598">
                  <c:v>305.23001098632801</c:v>
                </c:pt>
                <c:pt idx="599">
                  <c:v>293.95999145507801</c:v>
                </c:pt>
                <c:pt idx="600">
                  <c:v>304.66000366210898</c:v>
                </c:pt>
                <c:pt idx="601">
                  <c:v>291.02999877929602</c:v>
                </c:pt>
                <c:pt idx="602">
                  <c:v>298.45999145507801</c:v>
                </c:pt>
                <c:pt idx="603">
                  <c:v>296.89001464843699</c:v>
                </c:pt>
                <c:pt idx="604">
                  <c:v>287.44000244140602</c:v>
                </c:pt>
                <c:pt idx="605">
                  <c:v>291.85998535156199</c:v>
                </c:pt>
                <c:pt idx="606">
                  <c:v>294.100006103515</c:v>
                </c:pt>
                <c:pt idx="607">
                  <c:v>296.75</c:v>
                </c:pt>
                <c:pt idx="608">
                  <c:v>294.92999267578102</c:v>
                </c:pt>
                <c:pt idx="609">
                  <c:v>295.79000854492102</c:v>
                </c:pt>
                <c:pt idx="610">
                  <c:v>301.010009765625</c:v>
                </c:pt>
                <c:pt idx="611">
                  <c:v>286.17001342773398</c:v>
                </c:pt>
                <c:pt idx="612">
                  <c:v>287.67999267578102</c:v>
                </c:pt>
                <c:pt idx="613">
                  <c:v>288.100006103515</c:v>
                </c:pt>
                <c:pt idx="614">
                  <c:v>303.17001342773398</c:v>
                </c:pt>
                <c:pt idx="615">
                  <c:v>288.489990234375</c:v>
                </c:pt>
                <c:pt idx="616">
                  <c:v>296.88000488281199</c:v>
                </c:pt>
                <c:pt idx="617">
                  <c:v>295.22000122070301</c:v>
                </c:pt>
                <c:pt idx="618">
                  <c:v>298.30999755859301</c:v>
                </c:pt>
                <c:pt idx="619">
                  <c:v>297.17999267578102</c:v>
                </c:pt>
                <c:pt idx="620">
                  <c:v>293</c:v>
                </c:pt>
                <c:pt idx="621">
                  <c:v>300.72000122070301</c:v>
                </c:pt>
                <c:pt idx="622">
                  <c:v>295.54998779296801</c:v>
                </c:pt>
                <c:pt idx="623">
                  <c:v>283.5</c:v>
                </c:pt>
                <c:pt idx="624">
                  <c:v>284.30999755859301</c:v>
                </c:pt>
                <c:pt idx="625">
                  <c:v>283.26998901367102</c:v>
                </c:pt>
                <c:pt idx="626">
                  <c:v>297.29998779296801</c:v>
                </c:pt>
                <c:pt idx="627">
                  <c:v>295.07000732421801</c:v>
                </c:pt>
                <c:pt idx="628">
                  <c:v>292.20001220703102</c:v>
                </c:pt>
                <c:pt idx="629">
                  <c:v>302.35998535156199</c:v>
                </c:pt>
                <c:pt idx="630">
                  <c:v>297.26998901367102</c:v>
                </c:pt>
                <c:pt idx="631">
                  <c:v>318.80999755859301</c:v>
                </c:pt>
                <c:pt idx="632">
                  <c:v>341.67999267578102</c:v>
                </c:pt>
                <c:pt idx="633">
                  <c:v>337.01998901367102</c:v>
                </c:pt>
                <c:pt idx="634">
                  <c:v>333.75</c:v>
                </c:pt>
                <c:pt idx="635">
                  <c:v>325.64999389648398</c:v>
                </c:pt>
                <c:pt idx="636">
                  <c:v>325.89001464843699</c:v>
                </c:pt>
                <c:pt idx="637">
                  <c:v>296.600006103515</c:v>
                </c:pt>
                <c:pt idx="638">
                  <c:v>295.010009765625</c:v>
                </c:pt>
                <c:pt idx="639">
                  <c:v>341.88000488281199</c:v>
                </c:pt>
                <c:pt idx="640">
                  <c:v>334.54998779296801</c:v>
                </c:pt>
                <c:pt idx="641">
                  <c:v>341.5</c:v>
                </c:pt>
                <c:pt idx="642">
                  <c:v>347.850006103515</c:v>
                </c:pt>
                <c:pt idx="643">
                  <c:v>346.27999877929602</c:v>
                </c:pt>
                <c:pt idx="644">
                  <c:v>376.489990234375</c:v>
                </c:pt>
                <c:pt idx="645">
                  <c:v>372.45001220703102</c:v>
                </c:pt>
                <c:pt idx="646">
                  <c:v>371.88000488281199</c:v>
                </c:pt>
                <c:pt idx="647">
                  <c:v>373.19000244140602</c:v>
                </c:pt>
                <c:pt idx="648">
                  <c:v>342.489990234375</c:v>
                </c:pt>
                <c:pt idx="649">
                  <c:v>374.83999633789</c:v>
                </c:pt>
                <c:pt idx="650">
                  <c:v>411.17999267578102</c:v>
                </c:pt>
                <c:pt idx="651">
                  <c:v>422.67999267578102</c:v>
                </c:pt>
                <c:pt idx="652">
                  <c:v>373.67999267578102</c:v>
                </c:pt>
                <c:pt idx="653">
                  <c:v>357.989990234375</c:v>
                </c:pt>
                <c:pt idx="654">
                  <c:v>382.67001342773398</c:v>
                </c:pt>
                <c:pt idx="655">
                  <c:v>367.05999755859301</c:v>
                </c:pt>
                <c:pt idx="656">
                  <c:v>352.48001098632801</c:v>
                </c:pt>
                <c:pt idx="657">
                  <c:v>355.80999755859301</c:v>
                </c:pt>
                <c:pt idx="658">
                  <c:v>357.42999267578102</c:v>
                </c:pt>
                <c:pt idx="659">
                  <c:v>361.41000366210898</c:v>
                </c:pt>
                <c:pt idx="660">
                  <c:v>346.350006103515</c:v>
                </c:pt>
                <c:pt idx="661">
                  <c:v>348.5</c:v>
                </c:pt>
                <c:pt idx="662">
                  <c:v>332.66000366210898</c:v>
                </c:pt>
                <c:pt idx="663">
                  <c:v>337.60998535156199</c:v>
                </c:pt>
                <c:pt idx="664">
                  <c:v>330.35998535156199</c:v>
                </c:pt>
                <c:pt idx="665">
                  <c:v>312.04998779296801</c:v>
                </c:pt>
                <c:pt idx="666">
                  <c:v>320.01998901367102</c:v>
                </c:pt>
                <c:pt idx="667">
                  <c:v>299.52999877929602</c:v>
                </c:pt>
                <c:pt idx="668">
                  <c:v>290.48001098632801</c:v>
                </c:pt>
                <c:pt idx="669">
                  <c:v>287.10998535156199</c:v>
                </c:pt>
                <c:pt idx="670">
                  <c:v>267.239990234375</c:v>
                </c:pt>
                <c:pt idx="671">
                  <c:v>263.22000122070301</c:v>
                </c:pt>
                <c:pt idx="672">
                  <c:v>234.419998168945</c:v>
                </c:pt>
                <c:pt idx="673">
                  <c:v>220.96000671386699</c:v>
                </c:pt>
                <c:pt idx="674">
                  <c:v>219.67999267578099</c:v>
                </c:pt>
                <c:pt idx="675">
                  <c:v>204.69999694824199</c:v>
                </c:pt>
                <c:pt idx="676">
                  <c:v>191.05999755859301</c:v>
                </c:pt>
                <c:pt idx="677">
                  <c:v>186.350006103515</c:v>
                </c:pt>
                <c:pt idx="678">
                  <c:v>207.19000244140599</c:v>
                </c:pt>
                <c:pt idx="679">
                  <c:v>204.47999572753901</c:v>
                </c:pt>
                <c:pt idx="680">
                  <c:v>205.05999755859301</c:v>
                </c:pt>
                <c:pt idx="681">
                  <c:v>211.94000244140599</c:v>
                </c:pt>
                <c:pt idx="682">
                  <c:v>216.05999755859301</c:v>
                </c:pt>
                <c:pt idx="683">
                  <c:v>209.69000244140599</c:v>
                </c:pt>
                <c:pt idx="684">
                  <c:v>219.22999572753901</c:v>
                </c:pt>
                <c:pt idx="685">
                  <c:v>228.33999633789</c:v>
                </c:pt>
                <c:pt idx="686">
                  <c:v>228.42999267578099</c:v>
                </c:pt>
                <c:pt idx="687">
                  <c:v>213.36000061035099</c:v>
                </c:pt>
                <c:pt idx="688">
                  <c:v>218.71000671386699</c:v>
                </c:pt>
                <c:pt idx="689">
                  <c:v>222.61000061035099</c:v>
                </c:pt>
                <c:pt idx="690">
                  <c:v>217.69999694824199</c:v>
                </c:pt>
                <c:pt idx="691">
                  <c:v>212.14999389648401</c:v>
                </c:pt>
                <c:pt idx="692">
                  <c:v>192.42999267578099</c:v>
                </c:pt>
                <c:pt idx="693">
                  <c:v>191.99000549316401</c:v>
                </c:pt>
                <c:pt idx="694">
                  <c:v>180.24000549316401</c:v>
                </c:pt>
                <c:pt idx="695">
                  <c:v>175.49000549316401</c:v>
                </c:pt>
                <c:pt idx="696">
                  <c:v>181.259994506835</c:v>
                </c:pt>
                <c:pt idx="697">
                  <c:v>180.16000366210901</c:v>
                </c:pt>
                <c:pt idx="698">
                  <c:v>177</c:v>
                </c:pt>
                <c:pt idx="699">
                  <c:v>178</c:v>
                </c:pt>
                <c:pt idx="700">
                  <c:v>171.92999267578099</c:v>
                </c:pt>
                <c:pt idx="701">
                  <c:v>170.13000488281199</c:v>
                </c:pt>
                <c:pt idx="702">
                  <c:v>167.97000122070301</c:v>
                </c:pt>
                <c:pt idx="703">
                  <c:v>162.02000427246</c:v>
                </c:pt>
                <c:pt idx="704">
                  <c:v>177.05000305175699</c:v>
                </c:pt>
                <c:pt idx="705">
                  <c:v>189.69999694824199</c:v>
                </c:pt>
                <c:pt idx="706">
                  <c:v>186.05000305175699</c:v>
                </c:pt>
                <c:pt idx="707">
                  <c:v>179.97999572753901</c:v>
                </c:pt>
                <c:pt idx="708">
                  <c:v>187</c:v>
                </c:pt>
                <c:pt idx="709">
                  <c:v>183.11000061035099</c:v>
                </c:pt>
                <c:pt idx="710">
                  <c:v>191.600006103515</c:v>
                </c:pt>
                <c:pt idx="711">
                  <c:v>194.19999694824199</c:v>
                </c:pt>
                <c:pt idx="712">
                  <c:v>196.71000671386699</c:v>
                </c:pt>
                <c:pt idx="713">
                  <c:v>189.22000122070301</c:v>
                </c:pt>
                <c:pt idx="714">
                  <c:v>199.83000183105401</c:v>
                </c:pt>
                <c:pt idx="715">
                  <c:v>197.009994506835</c:v>
                </c:pt>
                <c:pt idx="716">
                  <c:v>183.36000061035099</c:v>
                </c:pt>
                <c:pt idx="717">
                  <c:v>185.38000488281199</c:v>
                </c:pt>
                <c:pt idx="718">
                  <c:v>178.27000427246</c:v>
                </c:pt>
                <c:pt idx="719">
                  <c:v>182.32000732421801</c:v>
                </c:pt>
                <c:pt idx="720">
                  <c:v>173.5</c:v>
                </c:pt>
                <c:pt idx="721">
                  <c:v>178.96000671386699</c:v>
                </c:pt>
                <c:pt idx="722">
                  <c:v>177.30000305175699</c:v>
                </c:pt>
                <c:pt idx="723">
                  <c:v>167.38000488281199</c:v>
                </c:pt>
                <c:pt idx="724">
                  <c:v>165.009994506835</c:v>
                </c:pt>
                <c:pt idx="725">
                  <c:v>154.850006103515</c:v>
                </c:pt>
                <c:pt idx="726">
                  <c:v>142.97999572753901</c:v>
                </c:pt>
                <c:pt idx="727">
                  <c:v>117.139999389648</c:v>
                </c:pt>
                <c:pt idx="728">
                  <c:v>143.58999633789</c:v>
                </c:pt>
                <c:pt idx="729">
                  <c:v>137.38000488281199</c:v>
                </c:pt>
                <c:pt idx="730">
                  <c:v>131.97999572753901</c:v>
                </c:pt>
                <c:pt idx="731">
                  <c:v>128.850006103515</c:v>
                </c:pt>
                <c:pt idx="732">
                  <c:v>124.73999786376901</c:v>
                </c:pt>
                <c:pt idx="733">
                  <c:v>135.259994506835</c:v>
                </c:pt>
                <c:pt idx="734">
                  <c:v>137.5</c:v>
                </c:pt>
                <c:pt idx="735">
                  <c:v>129.71000671386699</c:v>
                </c:pt>
                <c:pt idx="736">
                  <c:v>129.86000061035099</c:v>
                </c:pt>
                <c:pt idx="737">
                  <c:v>138.07000732421801</c:v>
                </c:pt>
                <c:pt idx="738">
                  <c:v>136.419998168945</c:v>
                </c:pt>
                <c:pt idx="739">
                  <c:v>135.509994506835</c:v>
                </c:pt>
                <c:pt idx="740">
                  <c:v>138.08999633789</c:v>
                </c:pt>
                <c:pt idx="741">
                  <c:v>146.94000244140599</c:v>
                </c:pt>
                <c:pt idx="742">
                  <c:v>145.47000122070301</c:v>
                </c:pt>
                <c:pt idx="743">
                  <c:v>155.419998168945</c:v>
                </c:pt>
                <c:pt idx="744">
                  <c:v>165.669998168945</c:v>
                </c:pt>
                <c:pt idx="745">
                  <c:v>154.96000671386699</c:v>
                </c:pt>
                <c:pt idx="746">
                  <c:v>164.600006103515</c:v>
                </c:pt>
                <c:pt idx="747">
                  <c:v>154.5</c:v>
                </c:pt>
                <c:pt idx="748">
                  <c:v>141.919998168945</c:v>
                </c:pt>
                <c:pt idx="749">
                  <c:v>152.14999389648401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B-2E4D-9E93-58277ECB19C6}"/>
            </c:ext>
          </c:extLst>
        </c:ser>
        <c:ser>
          <c:idx val="2"/>
          <c:order val="2"/>
          <c:tx>
            <c:strRef>
              <c:f>Acciones!$D$1</c:f>
              <c:strCache>
                <c:ptCount val="1"/>
                <c:pt idx="0">
                  <c:v>NKE.MX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Acciones!$A$2:$A$751</c:f>
              <c:numCache>
                <c:formatCode>m/d/yy</c:formatCode>
                <c:ptCount val="750"/>
                <c:pt idx="0">
                  <c:v>44998</c:v>
                </c:pt>
                <c:pt idx="1">
                  <c:v>44999</c:v>
                </c:pt>
                <c:pt idx="2">
                  <c:v>45000</c:v>
                </c:pt>
                <c:pt idx="3">
                  <c:v>45001</c:v>
                </c:pt>
                <c:pt idx="4">
                  <c:v>45002</c:v>
                </c:pt>
                <c:pt idx="5">
                  <c:v>45006</c:v>
                </c:pt>
                <c:pt idx="6">
                  <c:v>45007</c:v>
                </c:pt>
                <c:pt idx="7">
                  <c:v>45008</c:v>
                </c:pt>
                <c:pt idx="8">
                  <c:v>45009</c:v>
                </c:pt>
                <c:pt idx="9">
                  <c:v>45012</c:v>
                </c:pt>
                <c:pt idx="10">
                  <c:v>45013</c:v>
                </c:pt>
                <c:pt idx="11">
                  <c:v>45014</c:v>
                </c:pt>
                <c:pt idx="12">
                  <c:v>45015</c:v>
                </c:pt>
                <c:pt idx="13">
                  <c:v>45016</c:v>
                </c:pt>
                <c:pt idx="14">
                  <c:v>45019</c:v>
                </c:pt>
                <c:pt idx="15">
                  <c:v>45020</c:v>
                </c:pt>
                <c:pt idx="16">
                  <c:v>45021</c:v>
                </c:pt>
                <c:pt idx="17">
                  <c:v>45026</c:v>
                </c:pt>
                <c:pt idx="18">
                  <c:v>45027</c:v>
                </c:pt>
                <c:pt idx="19">
                  <c:v>45028</c:v>
                </c:pt>
                <c:pt idx="20">
                  <c:v>45029</c:v>
                </c:pt>
                <c:pt idx="21">
                  <c:v>45030</c:v>
                </c:pt>
                <c:pt idx="22">
                  <c:v>45033</c:v>
                </c:pt>
                <c:pt idx="23">
                  <c:v>45034</c:v>
                </c:pt>
                <c:pt idx="24">
                  <c:v>45035</c:v>
                </c:pt>
                <c:pt idx="25">
                  <c:v>45036</c:v>
                </c:pt>
                <c:pt idx="26">
                  <c:v>45037</c:v>
                </c:pt>
                <c:pt idx="27">
                  <c:v>45040</c:v>
                </c:pt>
                <c:pt idx="28">
                  <c:v>45041</c:v>
                </c:pt>
                <c:pt idx="29">
                  <c:v>45042</c:v>
                </c:pt>
                <c:pt idx="30">
                  <c:v>45043</c:v>
                </c:pt>
                <c:pt idx="31">
                  <c:v>45044</c:v>
                </c:pt>
                <c:pt idx="32">
                  <c:v>45048</c:v>
                </c:pt>
                <c:pt idx="33">
                  <c:v>45049</c:v>
                </c:pt>
                <c:pt idx="34">
                  <c:v>45050</c:v>
                </c:pt>
                <c:pt idx="35">
                  <c:v>45051</c:v>
                </c:pt>
                <c:pt idx="36">
                  <c:v>45054</c:v>
                </c:pt>
                <c:pt idx="37">
                  <c:v>45055</c:v>
                </c:pt>
                <c:pt idx="38">
                  <c:v>45056</c:v>
                </c:pt>
                <c:pt idx="39">
                  <c:v>45057</c:v>
                </c:pt>
                <c:pt idx="40">
                  <c:v>45058</c:v>
                </c:pt>
                <c:pt idx="41">
                  <c:v>45061</c:v>
                </c:pt>
                <c:pt idx="42">
                  <c:v>45062</c:v>
                </c:pt>
                <c:pt idx="43">
                  <c:v>45063</c:v>
                </c:pt>
                <c:pt idx="44">
                  <c:v>45064</c:v>
                </c:pt>
                <c:pt idx="45">
                  <c:v>45065</c:v>
                </c:pt>
                <c:pt idx="46">
                  <c:v>45068</c:v>
                </c:pt>
                <c:pt idx="47">
                  <c:v>45069</c:v>
                </c:pt>
                <c:pt idx="48">
                  <c:v>45070</c:v>
                </c:pt>
                <c:pt idx="49">
                  <c:v>45071</c:v>
                </c:pt>
                <c:pt idx="50">
                  <c:v>45072</c:v>
                </c:pt>
                <c:pt idx="51">
                  <c:v>45075</c:v>
                </c:pt>
                <c:pt idx="52">
                  <c:v>45076</c:v>
                </c:pt>
                <c:pt idx="53">
                  <c:v>45077</c:v>
                </c:pt>
                <c:pt idx="54">
                  <c:v>45078</c:v>
                </c:pt>
                <c:pt idx="55">
                  <c:v>45079</c:v>
                </c:pt>
                <c:pt idx="56">
                  <c:v>45082</c:v>
                </c:pt>
                <c:pt idx="57">
                  <c:v>45083</c:v>
                </c:pt>
                <c:pt idx="58">
                  <c:v>45084</c:v>
                </c:pt>
                <c:pt idx="59">
                  <c:v>45085</c:v>
                </c:pt>
                <c:pt idx="60">
                  <c:v>45086</c:v>
                </c:pt>
                <c:pt idx="61">
                  <c:v>45089</c:v>
                </c:pt>
                <c:pt idx="62">
                  <c:v>45090</c:v>
                </c:pt>
                <c:pt idx="63">
                  <c:v>45091</c:v>
                </c:pt>
                <c:pt idx="64">
                  <c:v>45092</c:v>
                </c:pt>
                <c:pt idx="65">
                  <c:v>45093</c:v>
                </c:pt>
                <c:pt idx="66">
                  <c:v>45096</c:v>
                </c:pt>
                <c:pt idx="67">
                  <c:v>45097</c:v>
                </c:pt>
                <c:pt idx="68">
                  <c:v>45098</c:v>
                </c:pt>
                <c:pt idx="69">
                  <c:v>45099</c:v>
                </c:pt>
                <c:pt idx="70">
                  <c:v>45100</c:v>
                </c:pt>
                <c:pt idx="71">
                  <c:v>45103</c:v>
                </c:pt>
                <c:pt idx="72">
                  <c:v>45104</c:v>
                </c:pt>
                <c:pt idx="73">
                  <c:v>45105</c:v>
                </c:pt>
                <c:pt idx="74">
                  <c:v>45106</c:v>
                </c:pt>
                <c:pt idx="75">
                  <c:v>45107</c:v>
                </c:pt>
                <c:pt idx="76">
                  <c:v>45110</c:v>
                </c:pt>
                <c:pt idx="77">
                  <c:v>45111</c:v>
                </c:pt>
                <c:pt idx="78">
                  <c:v>45112</c:v>
                </c:pt>
                <c:pt idx="79">
                  <c:v>45113</c:v>
                </c:pt>
                <c:pt idx="80">
                  <c:v>45114</c:v>
                </c:pt>
                <c:pt idx="81">
                  <c:v>45117</c:v>
                </c:pt>
                <c:pt idx="82">
                  <c:v>45118</c:v>
                </c:pt>
                <c:pt idx="83">
                  <c:v>45119</c:v>
                </c:pt>
                <c:pt idx="84">
                  <c:v>45120</c:v>
                </c:pt>
                <c:pt idx="85">
                  <c:v>45121</c:v>
                </c:pt>
                <c:pt idx="86">
                  <c:v>45124</c:v>
                </c:pt>
                <c:pt idx="87">
                  <c:v>45125</c:v>
                </c:pt>
                <c:pt idx="88">
                  <c:v>45126</c:v>
                </c:pt>
                <c:pt idx="89">
                  <c:v>45127</c:v>
                </c:pt>
                <c:pt idx="90">
                  <c:v>45128</c:v>
                </c:pt>
                <c:pt idx="91">
                  <c:v>45131</c:v>
                </c:pt>
                <c:pt idx="92">
                  <c:v>45132</c:v>
                </c:pt>
                <c:pt idx="93">
                  <c:v>45133</c:v>
                </c:pt>
                <c:pt idx="94">
                  <c:v>45134</c:v>
                </c:pt>
                <c:pt idx="95">
                  <c:v>45135</c:v>
                </c:pt>
                <c:pt idx="96">
                  <c:v>45138</c:v>
                </c:pt>
                <c:pt idx="97">
                  <c:v>45139</c:v>
                </c:pt>
                <c:pt idx="98">
                  <c:v>45140</c:v>
                </c:pt>
                <c:pt idx="99">
                  <c:v>45141</c:v>
                </c:pt>
                <c:pt idx="100">
                  <c:v>45142</c:v>
                </c:pt>
                <c:pt idx="101">
                  <c:v>45145</c:v>
                </c:pt>
                <c:pt idx="102">
                  <c:v>45146</c:v>
                </c:pt>
                <c:pt idx="103">
                  <c:v>45147</c:v>
                </c:pt>
                <c:pt idx="104">
                  <c:v>45148</c:v>
                </c:pt>
                <c:pt idx="105">
                  <c:v>45149</c:v>
                </c:pt>
                <c:pt idx="106">
                  <c:v>45152</c:v>
                </c:pt>
                <c:pt idx="107">
                  <c:v>45153</c:v>
                </c:pt>
                <c:pt idx="108">
                  <c:v>45154</c:v>
                </c:pt>
                <c:pt idx="109">
                  <c:v>45155</c:v>
                </c:pt>
                <c:pt idx="110">
                  <c:v>45156</c:v>
                </c:pt>
                <c:pt idx="111">
                  <c:v>45159</c:v>
                </c:pt>
                <c:pt idx="112">
                  <c:v>45160</c:v>
                </c:pt>
                <c:pt idx="113">
                  <c:v>45161</c:v>
                </c:pt>
                <c:pt idx="114">
                  <c:v>45162</c:v>
                </c:pt>
                <c:pt idx="115">
                  <c:v>45163</c:v>
                </c:pt>
                <c:pt idx="116">
                  <c:v>45166</c:v>
                </c:pt>
                <c:pt idx="117">
                  <c:v>45167</c:v>
                </c:pt>
                <c:pt idx="118">
                  <c:v>45168</c:v>
                </c:pt>
                <c:pt idx="119">
                  <c:v>45169</c:v>
                </c:pt>
                <c:pt idx="120">
                  <c:v>45170</c:v>
                </c:pt>
                <c:pt idx="121">
                  <c:v>45173</c:v>
                </c:pt>
                <c:pt idx="122">
                  <c:v>45174</c:v>
                </c:pt>
                <c:pt idx="123">
                  <c:v>45175</c:v>
                </c:pt>
                <c:pt idx="124">
                  <c:v>45176</c:v>
                </c:pt>
                <c:pt idx="125">
                  <c:v>45177</c:v>
                </c:pt>
                <c:pt idx="126">
                  <c:v>45180</c:v>
                </c:pt>
                <c:pt idx="127">
                  <c:v>45181</c:v>
                </c:pt>
                <c:pt idx="128">
                  <c:v>45182</c:v>
                </c:pt>
                <c:pt idx="129">
                  <c:v>45183</c:v>
                </c:pt>
                <c:pt idx="130">
                  <c:v>45184</c:v>
                </c:pt>
                <c:pt idx="131">
                  <c:v>45187</c:v>
                </c:pt>
                <c:pt idx="132">
                  <c:v>45188</c:v>
                </c:pt>
                <c:pt idx="133">
                  <c:v>45189</c:v>
                </c:pt>
                <c:pt idx="134">
                  <c:v>45190</c:v>
                </c:pt>
                <c:pt idx="135">
                  <c:v>45191</c:v>
                </c:pt>
                <c:pt idx="136">
                  <c:v>45194</c:v>
                </c:pt>
                <c:pt idx="137">
                  <c:v>45195</c:v>
                </c:pt>
                <c:pt idx="138">
                  <c:v>45196</c:v>
                </c:pt>
                <c:pt idx="139">
                  <c:v>45197</c:v>
                </c:pt>
                <c:pt idx="140">
                  <c:v>45198</c:v>
                </c:pt>
                <c:pt idx="141">
                  <c:v>45201</c:v>
                </c:pt>
                <c:pt idx="142">
                  <c:v>45202</c:v>
                </c:pt>
                <c:pt idx="143">
                  <c:v>45203</c:v>
                </c:pt>
                <c:pt idx="144">
                  <c:v>45204</c:v>
                </c:pt>
                <c:pt idx="145">
                  <c:v>45205</c:v>
                </c:pt>
                <c:pt idx="146">
                  <c:v>45208</c:v>
                </c:pt>
                <c:pt idx="147">
                  <c:v>45209</c:v>
                </c:pt>
                <c:pt idx="148">
                  <c:v>45210</c:v>
                </c:pt>
                <c:pt idx="149">
                  <c:v>45211</c:v>
                </c:pt>
                <c:pt idx="150">
                  <c:v>45212</c:v>
                </c:pt>
                <c:pt idx="151">
                  <c:v>45215</c:v>
                </c:pt>
                <c:pt idx="152">
                  <c:v>45216</c:v>
                </c:pt>
                <c:pt idx="153">
                  <c:v>45217</c:v>
                </c:pt>
                <c:pt idx="154">
                  <c:v>45218</c:v>
                </c:pt>
                <c:pt idx="155">
                  <c:v>45219</c:v>
                </c:pt>
                <c:pt idx="156">
                  <c:v>45222</c:v>
                </c:pt>
                <c:pt idx="157">
                  <c:v>45223</c:v>
                </c:pt>
                <c:pt idx="158">
                  <c:v>45224</c:v>
                </c:pt>
                <c:pt idx="159">
                  <c:v>45225</c:v>
                </c:pt>
                <c:pt idx="160">
                  <c:v>45226</c:v>
                </c:pt>
                <c:pt idx="161">
                  <c:v>45229</c:v>
                </c:pt>
                <c:pt idx="162">
                  <c:v>45230</c:v>
                </c:pt>
                <c:pt idx="163">
                  <c:v>45231</c:v>
                </c:pt>
                <c:pt idx="164">
                  <c:v>45233</c:v>
                </c:pt>
                <c:pt idx="165">
                  <c:v>45236</c:v>
                </c:pt>
                <c:pt idx="166">
                  <c:v>45237</c:v>
                </c:pt>
                <c:pt idx="167">
                  <c:v>45238</c:v>
                </c:pt>
                <c:pt idx="168">
                  <c:v>45239</c:v>
                </c:pt>
                <c:pt idx="169">
                  <c:v>45240</c:v>
                </c:pt>
                <c:pt idx="170">
                  <c:v>45243</c:v>
                </c:pt>
                <c:pt idx="171">
                  <c:v>45244</c:v>
                </c:pt>
                <c:pt idx="172">
                  <c:v>45245</c:v>
                </c:pt>
                <c:pt idx="173">
                  <c:v>45246</c:v>
                </c:pt>
                <c:pt idx="174">
                  <c:v>45247</c:v>
                </c:pt>
                <c:pt idx="175">
                  <c:v>45251</c:v>
                </c:pt>
                <c:pt idx="176">
                  <c:v>45252</c:v>
                </c:pt>
                <c:pt idx="177">
                  <c:v>45253</c:v>
                </c:pt>
                <c:pt idx="178">
                  <c:v>45254</c:v>
                </c:pt>
                <c:pt idx="179">
                  <c:v>45257</c:v>
                </c:pt>
                <c:pt idx="180">
                  <c:v>45258</c:v>
                </c:pt>
                <c:pt idx="181">
                  <c:v>45259</c:v>
                </c:pt>
                <c:pt idx="182">
                  <c:v>45260</c:v>
                </c:pt>
                <c:pt idx="183">
                  <c:v>45261</c:v>
                </c:pt>
                <c:pt idx="184">
                  <c:v>45264</c:v>
                </c:pt>
                <c:pt idx="185">
                  <c:v>45265</c:v>
                </c:pt>
                <c:pt idx="186">
                  <c:v>45266</c:v>
                </c:pt>
                <c:pt idx="187">
                  <c:v>45267</c:v>
                </c:pt>
                <c:pt idx="188">
                  <c:v>45268</c:v>
                </c:pt>
                <c:pt idx="189">
                  <c:v>45271</c:v>
                </c:pt>
                <c:pt idx="190">
                  <c:v>45273</c:v>
                </c:pt>
                <c:pt idx="191">
                  <c:v>45274</c:v>
                </c:pt>
                <c:pt idx="192">
                  <c:v>45275</c:v>
                </c:pt>
                <c:pt idx="193">
                  <c:v>45278</c:v>
                </c:pt>
                <c:pt idx="194">
                  <c:v>45279</c:v>
                </c:pt>
                <c:pt idx="195">
                  <c:v>45280</c:v>
                </c:pt>
                <c:pt idx="196">
                  <c:v>45281</c:v>
                </c:pt>
                <c:pt idx="197">
                  <c:v>45282</c:v>
                </c:pt>
                <c:pt idx="198">
                  <c:v>45286</c:v>
                </c:pt>
                <c:pt idx="199">
                  <c:v>45287</c:v>
                </c:pt>
                <c:pt idx="200">
                  <c:v>45288</c:v>
                </c:pt>
                <c:pt idx="201">
                  <c:v>45289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45299</c:v>
                </c:pt>
                <c:pt idx="207">
                  <c:v>45300</c:v>
                </c:pt>
                <c:pt idx="208">
                  <c:v>45301</c:v>
                </c:pt>
                <c:pt idx="209">
                  <c:v>45302</c:v>
                </c:pt>
                <c:pt idx="210">
                  <c:v>45303</c:v>
                </c:pt>
                <c:pt idx="211">
                  <c:v>45306</c:v>
                </c:pt>
                <c:pt idx="212">
                  <c:v>45307</c:v>
                </c:pt>
                <c:pt idx="213">
                  <c:v>45308</c:v>
                </c:pt>
                <c:pt idx="214">
                  <c:v>45309</c:v>
                </c:pt>
                <c:pt idx="215">
                  <c:v>45310</c:v>
                </c:pt>
                <c:pt idx="216">
                  <c:v>45313</c:v>
                </c:pt>
                <c:pt idx="217">
                  <c:v>45314</c:v>
                </c:pt>
                <c:pt idx="218">
                  <c:v>45315</c:v>
                </c:pt>
                <c:pt idx="219">
                  <c:v>45316</c:v>
                </c:pt>
                <c:pt idx="220">
                  <c:v>45317</c:v>
                </c:pt>
                <c:pt idx="221">
                  <c:v>45320</c:v>
                </c:pt>
                <c:pt idx="222">
                  <c:v>45321</c:v>
                </c:pt>
                <c:pt idx="223">
                  <c:v>45322</c:v>
                </c:pt>
                <c:pt idx="224">
                  <c:v>45323</c:v>
                </c:pt>
                <c:pt idx="225">
                  <c:v>45324</c:v>
                </c:pt>
                <c:pt idx="226">
                  <c:v>45328</c:v>
                </c:pt>
                <c:pt idx="227">
                  <c:v>45329</c:v>
                </c:pt>
                <c:pt idx="228">
                  <c:v>45330</c:v>
                </c:pt>
                <c:pt idx="229">
                  <c:v>45331</c:v>
                </c:pt>
                <c:pt idx="230">
                  <c:v>45334</c:v>
                </c:pt>
                <c:pt idx="231">
                  <c:v>45335</c:v>
                </c:pt>
                <c:pt idx="232">
                  <c:v>45336</c:v>
                </c:pt>
                <c:pt idx="233">
                  <c:v>45337</c:v>
                </c:pt>
                <c:pt idx="234">
                  <c:v>45338</c:v>
                </c:pt>
                <c:pt idx="235">
                  <c:v>45341</c:v>
                </c:pt>
                <c:pt idx="236">
                  <c:v>45342</c:v>
                </c:pt>
                <c:pt idx="237">
                  <c:v>45343</c:v>
                </c:pt>
                <c:pt idx="238">
                  <c:v>45344</c:v>
                </c:pt>
                <c:pt idx="239">
                  <c:v>45345</c:v>
                </c:pt>
                <c:pt idx="240">
                  <c:v>45348</c:v>
                </c:pt>
                <c:pt idx="241">
                  <c:v>45349</c:v>
                </c:pt>
                <c:pt idx="242">
                  <c:v>45350</c:v>
                </c:pt>
                <c:pt idx="243">
                  <c:v>45351</c:v>
                </c:pt>
                <c:pt idx="244">
                  <c:v>45352</c:v>
                </c:pt>
                <c:pt idx="245">
                  <c:v>45355</c:v>
                </c:pt>
                <c:pt idx="246">
                  <c:v>45356</c:v>
                </c:pt>
                <c:pt idx="247">
                  <c:v>45357</c:v>
                </c:pt>
                <c:pt idx="248">
                  <c:v>45358</c:v>
                </c:pt>
                <c:pt idx="249">
                  <c:v>45359</c:v>
                </c:pt>
                <c:pt idx="250">
                  <c:v>45362</c:v>
                </c:pt>
                <c:pt idx="251">
                  <c:v>45363</c:v>
                </c:pt>
                <c:pt idx="252">
                  <c:v>45364</c:v>
                </c:pt>
                <c:pt idx="253">
                  <c:v>45365</c:v>
                </c:pt>
                <c:pt idx="254">
                  <c:v>45366</c:v>
                </c:pt>
                <c:pt idx="255">
                  <c:v>45370</c:v>
                </c:pt>
                <c:pt idx="256">
                  <c:v>45371</c:v>
                </c:pt>
                <c:pt idx="257">
                  <c:v>45372</c:v>
                </c:pt>
                <c:pt idx="258">
                  <c:v>45373</c:v>
                </c:pt>
                <c:pt idx="259">
                  <c:v>45376</c:v>
                </c:pt>
                <c:pt idx="260">
                  <c:v>45377</c:v>
                </c:pt>
                <c:pt idx="261">
                  <c:v>45378</c:v>
                </c:pt>
                <c:pt idx="262">
                  <c:v>45383</c:v>
                </c:pt>
                <c:pt idx="263">
                  <c:v>45384</c:v>
                </c:pt>
                <c:pt idx="264">
                  <c:v>45385</c:v>
                </c:pt>
                <c:pt idx="265">
                  <c:v>45386</c:v>
                </c:pt>
                <c:pt idx="266">
                  <c:v>45387</c:v>
                </c:pt>
                <c:pt idx="267">
                  <c:v>45390</c:v>
                </c:pt>
                <c:pt idx="268">
                  <c:v>45391</c:v>
                </c:pt>
                <c:pt idx="269">
                  <c:v>45392</c:v>
                </c:pt>
                <c:pt idx="270">
                  <c:v>45393</c:v>
                </c:pt>
                <c:pt idx="271">
                  <c:v>45394</c:v>
                </c:pt>
                <c:pt idx="272">
                  <c:v>45397</c:v>
                </c:pt>
                <c:pt idx="273">
                  <c:v>45398</c:v>
                </c:pt>
                <c:pt idx="274">
                  <c:v>45399</c:v>
                </c:pt>
                <c:pt idx="275">
                  <c:v>45400</c:v>
                </c:pt>
                <c:pt idx="276">
                  <c:v>45401</c:v>
                </c:pt>
                <c:pt idx="277">
                  <c:v>45404</c:v>
                </c:pt>
                <c:pt idx="278">
                  <c:v>45405</c:v>
                </c:pt>
                <c:pt idx="279">
                  <c:v>45406</c:v>
                </c:pt>
                <c:pt idx="280">
                  <c:v>45407</c:v>
                </c:pt>
                <c:pt idx="281">
                  <c:v>45408</c:v>
                </c:pt>
                <c:pt idx="282">
                  <c:v>45411</c:v>
                </c:pt>
                <c:pt idx="283">
                  <c:v>45412</c:v>
                </c:pt>
                <c:pt idx="284">
                  <c:v>45414</c:v>
                </c:pt>
                <c:pt idx="285">
                  <c:v>45415</c:v>
                </c:pt>
                <c:pt idx="286">
                  <c:v>45418</c:v>
                </c:pt>
                <c:pt idx="287">
                  <c:v>45419</c:v>
                </c:pt>
                <c:pt idx="288">
                  <c:v>45420</c:v>
                </c:pt>
                <c:pt idx="289">
                  <c:v>45421</c:v>
                </c:pt>
                <c:pt idx="290">
                  <c:v>45422</c:v>
                </c:pt>
                <c:pt idx="291">
                  <c:v>45425</c:v>
                </c:pt>
                <c:pt idx="292">
                  <c:v>45426</c:v>
                </c:pt>
                <c:pt idx="293">
                  <c:v>45427</c:v>
                </c:pt>
                <c:pt idx="294">
                  <c:v>45428</c:v>
                </c:pt>
                <c:pt idx="295">
                  <c:v>45429</c:v>
                </c:pt>
                <c:pt idx="296">
                  <c:v>45432</c:v>
                </c:pt>
                <c:pt idx="297">
                  <c:v>45433</c:v>
                </c:pt>
                <c:pt idx="298">
                  <c:v>45434</c:v>
                </c:pt>
                <c:pt idx="299">
                  <c:v>45435</c:v>
                </c:pt>
                <c:pt idx="300">
                  <c:v>45436</c:v>
                </c:pt>
                <c:pt idx="301">
                  <c:v>45439</c:v>
                </c:pt>
                <c:pt idx="302">
                  <c:v>45440</c:v>
                </c:pt>
                <c:pt idx="303">
                  <c:v>45441</c:v>
                </c:pt>
                <c:pt idx="304">
                  <c:v>45442</c:v>
                </c:pt>
                <c:pt idx="305">
                  <c:v>45443</c:v>
                </c:pt>
                <c:pt idx="306">
                  <c:v>45446</c:v>
                </c:pt>
                <c:pt idx="307">
                  <c:v>45447</c:v>
                </c:pt>
                <c:pt idx="308">
                  <c:v>45448</c:v>
                </c:pt>
                <c:pt idx="309">
                  <c:v>45449</c:v>
                </c:pt>
                <c:pt idx="310">
                  <c:v>45450</c:v>
                </c:pt>
                <c:pt idx="311">
                  <c:v>45453</c:v>
                </c:pt>
                <c:pt idx="312">
                  <c:v>45454</c:v>
                </c:pt>
                <c:pt idx="313">
                  <c:v>45455</c:v>
                </c:pt>
                <c:pt idx="314">
                  <c:v>45456</c:v>
                </c:pt>
                <c:pt idx="315">
                  <c:v>45457</c:v>
                </c:pt>
                <c:pt idx="316">
                  <c:v>45460</c:v>
                </c:pt>
                <c:pt idx="317">
                  <c:v>45461</c:v>
                </c:pt>
                <c:pt idx="318">
                  <c:v>45462</c:v>
                </c:pt>
                <c:pt idx="319">
                  <c:v>45463</c:v>
                </c:pt>
                <c:pt idx="320">
                  <c:v>45464</c:v>
                </c:pt>
                <c:pt idx="321">
                  <c:v>45467</c:v>
                </c:pt>
                <c:pt idx="322">
                  <c:v>45468</c:v>
                </c:pt>
                <c:pt idx="323">
                  <c:v>45469</c:v>
                </c:pt>
                <c:pt idx="324">
                  <c:v>45470</c:v>
                </c:pt>
                <c:pt idx="325">
                  <c:v>45471</c:v>
                </c:pt>
                <c:pt idx="326">
                  <c:v>45474</c:v>
                </c:pt>
                <c:pt idx="327">
                  <c:v>45475</c:v>
                </c:pt>
                <c:pt idx="328">
                  <c:v>45476</c:v>
                </c:pt>
                <c:pt idx="329">
                  <c:v>45477</c:v>
                </c:pt>
                <c:pt idx="330">
                  <c:v>45478</c:v>
                </c:pt>
                <c:pt idx="331">
                  <c:v>45481</c:v>
                </c:pt>
                <c:pt idx="332">
                  <c:v>45482</c:v>
                </c:pt>
                <c:pt idx="333">
                  <c:v>45483</c:v>
                </c:pt>
                <c:pt idx="334">
                  <c:v>45484</c:v>
                </c:pt>
                <c:pt idx="335">
                  <c:v>45485</c:v>
                </c:pt>
                <c:pt idx="336">
                  <c:v>45488</c:v>
                </c:pt>
                <c:pt idx="337">
                  <c:v>45489</c:v>
                </c:pt>
                <c:pt idx="338">
                  <c:v>45490</c:v>
                </c:pt>
                <c:pt idx="339">
                  <c:v>45491</c:v>
                </c:pt>
                <c:pt idx="340">
                  <c:v>45492</c:v>
                </c:pt>
                <c:pt idx="341">
                  <c:v>45495</c:v>
                </c:pt>
                <c:pt idx="342">
                  <c:v>45496</c:v>
                </c:pt>
                <c:pt idx="343">
                  <c:v>45497</c:v>
                </c:pt>
                <c:pt idx="344">
                  <c:v>45498</c:v>
                </c:pt>
                <c:pt idx="345">
                  <c:v>45499</c:v>
                </c:pt>
                <c:pt idx="346">
                  <c:v>45502</c:v>
                </c:pt>
                <c:pt idx="347">
                  <c:v>45503</c:v>
                </c:pt>
                <c:pt idx="348">
                  <c:v>45504</c:v>
                </c:pt>
                <c:pt idx="349">
                  <c:v>45505</c:v>
                </c:pt>
                <c:pt idx="350">
                  <c:v>45506</c:v>
                </c:pt>
                <c:pt idx="351">
                  <c:v>45509</c:v>
                </c:pt>
                <c:pt idx="352">
                  <c:v>45510</c:v>
                </c:pt>
                <c:pt idx="353">
                  <c:v>45511</c:v>
                </c:pt>
                <c:pt idx="354">
                  <c:v>45512</c:v>
                </c:pt>
                <c:pt idx="355">
                  <c:v>45513</c:v>
                </c:pt>
                <c:pt idx="356">
                  <c:v>45516</c:v>
                </c:pt>
                <c:pt idx="357">
                  <c:v>45517</c:v>
                </c:pt>
                <c:pt idx="358">
                  <c:v>45518</c:v>
                </c:pt>
                <c:pt idx="359">
                  <c:v>45519</c:v>
                </c:pt>
                <c:pt idx="360">
                  <c:v>45520</c:v>
                </c:pt>
                <c:pt idx="361">
                  <c:v>45523</c:v>
                </c:pt>
                <c:pt idx="362">
                  <c:v>45524</c:v>
                </c:pt>
                <c:pt idx="363">
                  <c:v>45525</c:v>
                </c:pt>
                <c:pt idx="364">
                  <c:v>45526</c:v>
                </c:pt>
                <c:pt idx="365">
                  <c:v>45527</c:v>
                </c:pt>
                <c:pt idx="366">
                  <c:v>45530</c:v>
                </c:pt>
                <c:pt idx="367">
                  <c:v>45531</c:v>
                </c:pt>
                <c:pt idx="368">
                  <c:v>45532</c:v>
                </c:pt>
                <c:pt idx="369">
                  <c:v>45533</c:v>
                </c:pt>
                <c:pt idx="370">
                  <c:v>45534</c:v>
                </c:pt>
                <c:pt idx="371">
                  <c:v>45537</c:v>
                </c:pt>
                <c:pt idx="372">
                  <c:v>45538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45552</c:v>
                </c:pt>
                <c:pt idx="382">
                  <c:v>45553</c:v>
                </c:pt>
                <c:pt idx="383">
                  <c:v>45554</c:v>
                </c:pt>
                <c:pt idx="384">
                  <c:v>45555</c:v>
                </c:pt>
                <c:pt idx="385">
                  <c:v>45558</c:v>
                </c:pt>
                <c:pt idx="386">
                  <c:v>45559</c:v>
                </c:pt>
                <c:pt idx="387">
                  <c:v>45560</c:v>
                </c:pt>
                <c:pt idx="388">
                  <c:v>45561</c:v>
                </c:pt>
                <c:pt idx="389">
                  <c:v>45562</c:v>
                </c:pt>
                <c:pt idx="390">
                  <c:v>45565</c:v>
                </c:pt>
                <c:pt idx="391">
                  <c:v>45567</c:v>
                </c:pt>
                <c:pt idx="392">
                  <c:v>45568</c:v>
                </c:pt>
                <c:pt idx="393">
                  <c:v>45569</c:v>
                </c:pt>
                <c:pt idx="394">
                  <c:v>45572</c:v>
                </c:pt>
                <c:pt idx="395">
                  <c:v>45573</c:v>
                </c:pt>
                <c:pt idx="396">
                  <c:v>45574</c:v>
                </c:pt>
                <c:pt idx="397">
                  <c:v>45575</c:v>
                </c:pt>
                <c:pt idx="398">
                  <c:v>45576</c:v>
                </c:pt>
                <c:pt idx="399">
                  <c:v>45579</c:v>
                </c:pt>
                <c:pt idx="400">
                  <c:v>45580</c:v>
                </c:pt>
                <c:pt idx="401">
                  <c:v>45581</c:v>
                </c:pt>
                <c:pt idx="402">
                  <c:v>45582</c:v>
                </c:pt>
                <c:pt idx="403">
                  <c:v>45583</c:v>
                </c:pt>
                <c:pt idx="404">
                  <c:v>45586</c:v>
                </c:pt>
                <c:pt idx="405">
                  <c:v>45587</c:v>
                </c:pt>
                <c:pt idx="406">
                  <c:v>45588</c:v>
                </c:pt>
                <c:pt idx="407">
                  <c:v>45589</c:v>
                </c:pt>
                <c:pt idx="408">
                  <c:v>45590</c:v>
                </c:pt>
                <c:pt idx="409">
                  <c:v>45593</c:v>
                </c:pt>
                <c:pt idx="410">
                  <c:v>45594</c:v>
                </c:pt>
                <c:pt idx="411">
                  <c:v>45595</c:v>
                </c:pt>
                <c:pt idx="412">
                  <c:v>45596</c:v>
                </c:pt>
                <c:pt idx="413">
                  <c:v>45597</c:v>
                </c:pt>
                <c:pt idx="414">
                  <c:v>45600</c:v>
                </c:pt>
                <c:pt idx="415">
                  <c:v>45601</c:v>
                </c:pt>
                <c:pt idx="416">
                  <c:v>45602</c:v>
                </c:pt>
                <c:pt idx="417">
                  <c:v>45603</c:v>
                </c:pt>
                <c:pt idx="418">
                  <c:v>45604</c:v>
                </c:pt>
                <c:pt idx="419">
                  <c:v>45607</c:v>
                </c:pt>
                <c:pt idx="420">
                  <c:v>45608</c:v>
                </c:pt>
                <c:pt idx="421">
                  <c:v>45609</c:v>
                </c:pt>
                <c:pt idx="422">
                  <c:v>45610</c:v>
                </c:pt>
                <c:pt idx="423">
                  <c:v>45611</c:v>
                </c:pt>
                <c:pt idx="424">
                  <c:v>45615</c:v>
                </c:pt>
                <c:pt idx="425">
                  <c:v>45616</c:v>
                </c:pt>
                <c:pt idx="426">
                  <c:v>45617</c:v>
                </c:pt>
                <c:pt idx="427">
                  <c:v>45618</c:v>
                </c:pt>
                <c:pt idx="428">
                  <c:v>45621</c:v>
                </c:pt>
                <c:pt idx="429">
                  <c:v>45622</c:v>
                </c:pt>
                <c:pt idx="430">
                  <c:v>45623</c:v>
                </c:pt>
                <c:pt idx="431">
                  <c:v>45624</c:v>
                </c:pt>
                <c:pt idx="432">
                  <c:v>45625</c:v>
                </c:pt>
                <c:pt idx="433">
                  <c:v>45628</c:v>
                </c:pt>
                <c:pt idx="434">
                  <c:v>45629</c:v>
                </c:pt>
                <c:pt idx="435">
                  <c:v>45630</c:v>
                </c:pt>
                <c:pt idx="436">
                  <c:v>45631</c:v>
                </c:pt>
                <c:pt idx="437">
                  <c:v>45632</c:v>
                </c:pt>
                <c:pt idx="438">
                  <c:v>45635</c:v>
                </c:pt>
                <c:pt idx="439">
                  <c:v>45636</c:v>
                </c:pt>
                <c:pt idx="440">
                  <c:v>45637</c:v>
                </c:pt>
                <c:pt idx="441">
                  <c:v>45639</c:v>
                </c:pt>
                <c:pt idx="442">
                  <c:v>45642</c:v>
                </c:pt>
                <c:pt idx="443">
                  <c:v>45643</c:v>
                </c:pt>
                <c:pt idx="444">
                  <c:v>45644</c:v>
                </c:pt>
                <c:pt idx="445">
                  <c:v>45645</c:v>
                </c:pt>
                <c:pt idx="446">
                  <c:v>45646</c:v>
                </c:pt>
                <c:pt idx="447">
                  <c:v>45649</c:v>
                </c:pt>
                <c:pt idx="448">
                  <c:v>45650</c:v>
                </c:pt>
                <c:pt idx="449">
                  <c:v>45652</c:v>
                </c:pt>
                <c:pt idx="450">
                  <c:v>45653</c:v>
                </c:pt>
                <c:pt idx="451">
                  <c:v>45656</c:v>
                </c:pt>
                <c:pt idx="452">
                  <c:v>45657</c:v>
                </c:pt>
                <c:pt idx="453">
                  <c:v>45659</c:v>
                </c:pt>
                <c:pt idx="454">
                  <c:v>45660</c:v>
                </c:pt>
                <c:pt idx="455">
                  <c:v>45663</c:v>
                </c:pt>
                <c:pt idx="456">
                  <c:v>45664</c:v>
                </c:pt>
                <c:pt idx="457">
                  <c:v>45665</c:v>
                </c:pt>
                <c:pt idx="458">
                  <c:v>45666</c:v>
                </c:pt>
                <c:pt idx="459">
                  <c:v>45667</c:v>
                </c:pt>
                <c:pt idx="460">
                  <c:v>45670</c:v>
                </c:pt>
                <c:pt idx="461">
                  <c:v>45671</c:v>
                </c:pt>
                <c:pt idx="462">
                  <c:v>45672</c:v>
                </c:pt>
                <c:pt idx="463">
                  <c:v>45673</c:v>
                </c:pt>
                <c:pt idx="464">
                  <c:v>45674</c:v>
                </c:pt>
                <c:pt idx="465">
                  <c:v>45677</c:v>
                </c:pt>
                <c:pt idx="466">
                  <c:v>45678</c:v>
                </c:pt>
                <c:pt idx="467">
                  <c:v>45679</c:v>
                </c:pt>
                <c:pt idx="468">
                  <c:v>45680</c:v>
                </c:pt>
                <c:pt idx="469">
                  <c:v>45681</c:v>
                </c:pt>
                <c:pt idx="470">
                  <c:v>45684</c:v>
                </c:pt>
                <c:pt idx="471">
                  <c:v>45685</c:v>
                </c:pt>
                <c:pt idx="472">
                  <c:v>45686</c:v>
                </c:pt>
                <c:pt idx="473">
                  <c:v>45687</c:v>
                </c:pt>
                <c:pt idx="474">
                  <c:v>45688</c:v>
                </c:pt>
                <c:pt idx="475">
                  <c:v>45692</c:v>
                </c:pt>
                <c:pt idx="476">
                  <c:v>45693</c:v>
                </c:pt>
                <c:pt idx="477">
                  <c:v>45694</c:v>
                </c:pt>
                <c:pt idx="478">
                  <c:v>45695</c:v>
                </c:pt>
                <c:pt idx="479">
                  <c:v>45698</c:v>
                </c:pt>
                <c:pt idx="480">
                  <c:v>45699</c:v>
                </c:pt>
                <c:pt idx="481">
                  <c:v>45700</c:v>
                </c:pt>
                <c:pt idx="482">
                  <c:v>45701</c:v>
                </c:pt>
                <c:pt idx="483">
                  <c:v>45702</c:v>
                </c:pt>
                <c:pt idx="484">
                  <c:v>45705</c:v>
                </c:pt>
                <c:pt idx="485">
                  <c:v>45706</c:v>
                </c:pt>
                <c:pt idx="486">
                  <c:v>45707</c:v>
                </c:pt>
                <c:pt idx="487">
                  <c:v>45708</c:v>
                </c:pt>
                <c:pt idx="488">
                  <c:v>45709</c:v>
                </c:pt>
                <c:pt idx="489">
                  <c:v>45712</c:v>
                </c:pt>
                <c:pt idx="490">
                  <c:v>45713</c:v>
                </c:pt>
                <c:pt idx="491">
                  <c:v>45714</c:v>
                </c:pt>
                <c:pt idx="492">
                  <c:v>45715</c:v>
                </c:pt>
                <c:pt idx="493">
                  <c:v>45716</c:v>
                </c:pt>
                <c:pt idx="494">
                  <c:v>45719</c:v>
                </c:pt>
                <c:pt idx="495">
                  <c:v>45720</c:v>
                </c:pt>
                <c:pt idx="496">
                  <c:v>45721</c:v>
                </c:pt>
                <c:pt idx="497">
                  <c:v>45722</c:v>
                </c:pt>
                <c:pt idx="498">
                  <c:v>45723</c:v>
                </c:pt>
                <c:pt idx="499">
                  <c:v>45726</c:v>
                </c:pt>
                <c:pt idx="500">
                  <c:v>45727</c:v>
                </c:pt>
                <c:pt idx="501">
                  <c:v>45728</c:v>
                </c:pt>
                <c:pt idx="502">
                  <c:v>45729</c:v>
                </c:pt>
                <c:pt idx="503">
                  <c:v>45730</c:v>
                </c:pt>
                <c:pt idx="504">
                  <c:v>45734</c:v>
                </c:pt>
                <c:pt idx="505">
                  <c:v>45735</c:v>
                </c:pt>
                <c:pt idx="506">
                  <c:v>45736</c:v>
                </c:pt>
                <c:pt idx="507">
                  <c:v>45737</c:v>
                </c:pt>
                <c:pt idx="508">
                  <c:v>45740</c:v>
                </c:pt>
                <c:pt idx="509">
                  <c:v>45741</c:v>
                </c:pt>
                <c:pt idx="510">
                  <c:v>45742</c:v>
                </c:pt>
                <c:pt idx="511">
                  <c:v>45743</c:v>
                </c:pt>
                <c:pt idx="512">
                  <c:v>45744</c:v>
                </c:pt>
                <c:pt idx="513">
                  <c:v>45747</c:v>
                </c:pt>
                <c:pt idx="514">
                  <c:v>45748</c:v>
                </c:pt>
                <c:pt idx="515">
                  <c:v>45749</c:v>
                </c:pt>
                <c:pt idx="516">
                  <c:v>45750</c:v>
                </c:pt>
                <c:pt idx="517">
                  <c:v>45751</c:v>
                </c:pt>
                <c:pt idx="518">
                  <c:v>45754</c:v>
                </c:pt>
                <c:pt idx="519">
                  <c:v>45755</c:v>
                </c:pt>
                <c:pt idx="520">
                  <c:v>45756</c:v>
                </c:pt>
                <c:pt idx="521">
                  <c:v>45757</c:v>
                </c:pt>
                <c:pt idx="522">
                  <c:v>45758</c:v>
                </c:pt>
                <c:pt idx="523">
                  <c:v>45761</c:v>
                </c:pt>
                <c:pt idx="524">
                  <c:v>45762</c:v>
                </c:pt>
                <c:pt idx="525">
                  <c:v>45763</c:v>
                </c:pt>
                <c:pt idx="526">
                  <c:v>45768</c:v>
                </c:pt>
                <c:pt idx="527">
                  <c:v>45769</c:v>
                </c:pt>
                <c:pt idx="528">
                  <c:v>45770</c:v>
                </c:pt>
                <c:pt idx="529">
                  <c:v>45771</c:v>
                </c:pt>
                <c:pt idx="530">
                  <c:v>45772</c:v>
                </c:pt>
                <c:pt idx="531">
                  <c:v>45775</c:v>
                </c:pt>
                <c:pt idx="532">
                  <c:v>45776</c:v>
                </c:pt>
                <c:pt idx="533">
                  <c:v>45777</c:v>
                </c:pt>
                <c:pt idx="534">
                  <c:v>45779</c:v>
                </c:pt>
                <c:pt idx="535">
                  <c:v>45782</c:v>
                </c:pt>
                <c:pt idx="536">
                  <c:v>45783</c:v>
                </c:pt>
                <c:pt idx="537">
                  <c:v>45784</c:v>
                </c:pt>
                <c:pt idx="538">
                  <c:v>45785</c:v>
                </c:pt>
                <c:pt idx="539">
                  <c:v>45786</c:v>
                </c:pt>
                <c:pt idx="540">
                  <c:v>45789</c:v>
                </c:pt>
                <c:pt idx="541">
                  <c:v>45790</c:v>
                </c:pt>
                <c:pt idx="542">
                  <c:v>45791</c:v>
                </c:pt>
                <c:pt idx="543">
                  <c:v>45792</c:v>
                </c:pt>
                <c:pt idx="544">
                  <c:v>45793</c:v>
                </c:pt>
                <c:pt idx="545">
                  <c:v>45796</c:v>
                </c:pt>
                <c:pt idx="546">
                  <c:v>45797</c:v>
                </c:pt>
                <c:pt idx="547">
                  <c:v>45798</c:v>
                </c:pt>
                <c:pt idx="548">
                  <c:v>45799</c:v>
                </c:pt>
                <c:pt idx="549">
                  <c:v>45800</c:v>
                </c:pt>
                <c:pt idx="550">
                  <c:v>45803</c:v>
                </c:pt>
                <c:pt idx="551">
                  <c:v>45804</c:v>
                </c:pt>
                <c:pt idx="552">
                  <c:v>45805</c:v>
                </c:pt>
                <c:pt idx="553">
                  <c:v>45806</c:v>
                </c:pt>
                <c:pt idx="554">
                  <c:v>45807</c:v>
                </c:pt>
                <c:pt idx="555">
                  <c:v>45810</c:v>
                </c:pt>
                <c:pt idx="556">
                  <c:v>45811</c:v>
                </c:pt>
                <c:pt idx="557">
                  <c:v>45812</c:v>
                </c:pt>
                <c:pt idx="558">
                  <c:v>45813</c:v>
                </c:pt>
                <c:pt idx="559">
                  <c:v>45814</c:v>
                </c:pt>
                <c:pt idx="560">
                  <c:v>45817</c:v>
                </c:pt>
                <c:pt idx="561">
                  <c:v>45818</c:v>
                </c:pt>
                <c:pt idx="562">
                  <c:v>45819</c:v>
                </c:pt>
                <c:pt idx="563">
                  <c:v>45820</c:v>
                </c:pt>
                <c:pt idx="564">
                  <c:v>45821</c:v>
                </c:pt>
                <c:pt idx="565">
                  <c:v>45824</c:v>
                </c:pt>
                <c:pt idx="566">
                  <c:v>45825</c:v>
                </c:pt>
                <c:pt idx="567">
                  <c:v>45826</c:v>
                </c:pt>
                <c:pt idx="568">
                  <c:v>45827</c:v>
                </c:pt>
                <c:pt idx="569">
                  <c:v>45828</c:v>
                </c:pt>
                <c:pt idx="570">
                  <c:v>45831</c:v>
                </c:pt>
                <c:pt idx="571">
                  <c:v>45832</c:v>
                </c:pt>
                <c:pt idx="572">
                  <c:v>45833</c:v>
                </c:pt>
                <c:pt idx="573">
                  <c:v>45834</c:v>
                </c:pt>
                <c:pt idx="574">
                  <c:v>45835</c:v>
                </c:pt>
                <c:pt idx="575">
                  <c:v>45838</c:v>
                </c:pt>
                <c:pt idx="576">
                  <c:v>45839</c:v>
                </c:pt>
                <c:pt idx="577">
                  <c:v>45840</c:v>
                </c:pt>
                <c:pt idx="578">
                  <c:v>45841</c:v>
                </c:pt>
                <c:pt idx="579">
                  <c:v>45842</c:v>
                </c:pt>
                <c:pt idx="580">
                  <c:v>45845</c:v>
                </c:pt>
                <c:pt idx="581">
                  <c:v>45846</c:v>
                </c:pt>
                <c:pt idx="582">
                  <c:v>45847</c:v>
                </c:pt>
                <c:pt idx="583">
                  <c:v>45848</c:v>
                </c:pt>
                <c:pt idx="584">
                  <c:v>45849</c:v>
                </c:pt>
                <c:pt idx="585">
                  <c:v>45852</c:v>
                </c:pt>
                <c:pt idx="586">
                  <c:v>45853</c:v>
                </c:pt>
                <c:pt idx="587">
                  <c:v>45854</c:v>
                </c:pt>
                <c:pt idx="588">
                  <c:v>45855</c:v>
                </c:pt>
                <c:pt idx="589">
                  <c:v>45856</c:v>
                </c:pt>
                <c:pt idx="590">
                  <c:v>45859</c:v>
                </c:pt>
                <c:pt idx="591">
                  <c:v>45860</c:v>
                </c:pt>
                <c:pt idx="592">
                  <c:v>45861</c:v>
                </c:pt>
                <c:pt idx="593">
                  <c:v>45862</c:v>
                </c:pt>
                <c:pt idx="594">
                  <c:v>45863</c:v>
                </c:pt>
                <c:pt idx="595">
                  <c:v>45866</c:v>
                </c:pt>
                <c:pt idx="596">
                  <c:v>45867</c:v>
                </c:pt>
                <c:pt idx="597">
                  <c:v>45868</c:v>
                </c:pt>
                <c:pt idx="598">
                  <c:v>45869</c:v>
                </c:pt>
                <c:pt idx="599">
                  <c:v>45870</c:v>
                </c:pt>
                <c:pt idx="600">
                  <c:v>45873</c:v>
                </c:pt>
                <c:pt idx="601">
                  <c:v>45874</c:v>
                </c:pt>
                <c:pt idx="602">
                  <c:v>45875</c:v>
                </c:pt>
                <c:pt idx="603">
                  <c:v>45876</c:v>
                </c:pt>
                <c:pt idx="604">
                  <c:v>45877</c:v>
                </c:pt>
                <c:pt idx="605">
                  <c:v>45880</c:v>
                </c:pt>
                <c:pt idx="606">
                  <c:v>45881</c:v>
                </c:pt>
                <c:pt idx="607">
                  <c:v>45882</c:v>
                </c:pt>
                <c:pt idx="608">
                  <c:v>45883</c:v>
                </c:pt>
                <c:pt idx="609">
                  <c:v>45884</c:v>
                </c:pt>
                <c:pt idx="610">
                  <c:v>45887</c:v>
                </c:pt>
                <c:pt idx="611">
                  <c:v>45888</c:v>
                </c:pt>
                <c:pt idx="612">
                  <c:v>45889</c:v>
                </c:pt>
                <c:pt idx="613">
                  <c:v>45890</c:v>
                </c:pt>
                <c:pt idx="614">
                  <c:v>45891</c:v>
                </c:pt>
                <c:pt idx="615">
                  <c:v>45894</c:v>
                </c:pt>
                <c:pt idx="616">
                  <c:v>45895</c:v>
                </c:pt>
                <c:pt idx="617">
                  <c:v>45896</c:v>
                </c:pt>
                <c:pt idx="618">
                  <c:v>45897</c:v>
                </c:pt>
                <c:pt idx="619">
                  <c:v>45898</c:v>
                </c:pt>
                <c:pt idx="620">
                  <c:v>45901</c:v>
                </c:pt>
                <c:pt idx="621">
                  <c:v>45902</c:v>
                </c:pt>
                <c:pt idx="622">
                  <c:v>45903</c:v>
                </c:pt>
                <c:pt idx="623">
                  <c:v>45904</c:v>
                </c:pt>
                <c:pt idx="624">
                  <c:v>45905</c:v>
                </c:pt>
                <c:pt idx="625">
                  <c:v>45908</c:v>
                </c:pt>
                <c:pt idx="626">
                  <c:v>45909</c:v>
                </c:pt>
                <c:pt idx="627">
                  <c:v>45910</c:v>
                </c:pt>
                <c:pt idx="628">
                  <c:v>45911</c:v>
                </c:pt>
                <c:pt idx="629">
                  <c:v>45912</c:v>
                </c:pt>
                <c:pt idx="630">
                  <c:v>45915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45979</c:v>
                </c:pt>
                <c:pt idx="675">
                  <c:v>45980</c:v>
                </c:pt>
                <c:pt idx="676">
                  <c:v>45981</c:v>
                </c:pt>
                <c:pt idx="677">
                  <c:v>45982</c:v>
                </c:pt>
                <c:pt idx="678">
                  <c:v>45985</c:v>
                </c:pt>
                <c:pt idx="679">
                  <c:v>45986</c:v>
                </c:pt>
                <c:pt idx="680">
                  <c:v>45987</c:v>
                </c:pt>
                <c:pt idx="681">
                  <c:v>45988</c:v>
                </c:pt>
                <c:pt idx="682">
                  <c:v>45989</c:v>
                </c:pt>
                <c:pt idx="683">
                  <c:v>45992</c:v>
                </c:pt>
                <c:pt idx="684">
                  <c:v>45993</c:v>
                </c:pt>
                <c:pt idx="685">
                  <c:v>45994</c:v>
                </c:pt>
                <c:pt idx="686">
                  <c:v>45995</c:v>
                </c:pt>
                <c:pt idx="687">
                  <c:v>45996</c:v>
                </c:pt>
                <c:pt idx="688">
                  <c:v>45999</c:v>
                </c:pt>
                <c:pt idx="689">
                  <c:v>46000</c:v>
                </c:pt>
                <c:pt idx="690">
                  <c:v>46001</c:v>
                </c:pt>
                <c:pt idx="691">
                  <c:v>46002</c:v>
                </c:pt>
                <c:pt idx="692">
                  <c:v>46006</c:v>
                </c:pt>
                <c:pt idx="693">
                  <c:v>46007</c:v>
                </c:pt>
                <c:pt idx="694">
                  <c:v>46008</c:v>
                </c:pt>
                <c:pt idx="695">
                  <c:v>46009</c:v>
                </c:pt>
                <c:pt idx="696">
                  <c:v>46010</c:v>
                </c:pt>
                <c:pt idx="697">
                  <c:v>46013</c:v>
                </c:pt>
                <c:pt idx="698">
                  <c:v>46014</c:v>
                </c:pt>
                <c:pt idx="699">
                  <c:v>46015</c:v>
                </c:pt>
                <c:pt idx="700">
                  <c:v>46017</c:v>
                </c:pt>
                <c:pt idx="701">
                  <c:v>46020</c:v>
                </c:pt>
                <c:pt idx="702">
                  <c:v>46021</c:v>
                </c:pt>
                <c:pt idx="703">
                  <c:v>46022</c:v>
                </c:pt>
                <c:pt idx="704">
                  <c:v>46024</c:v>
                </c:pt>
                <c:pt idx="705">
                  <c:v>46027</c:v>
                </c:pt>
                <c:pt idx="706">
                  <c:v>46028</c:v>
                </c:pt>
                <c:pt idx="707">
                  <c:v>46029</c:v>
                </c:pt>
                <c:pt idx="708">
                  <c:v>46030</c:v>
                </c:pt>
                <c:pt idx="709">
                  <c:v>46031</c:v>
                </c:pt>
                <c:pt idx="710">
                  <c:v>46034</c:v>
                </c:pt>
                <c:pt idx="711">
                  <c:v>46035</c:v>
                </c:pt>
                <c:pt idx="712">
                  <c:v>46036</c:v>
                </c:pt>
                <c:pt idx="713">
                  <c:v>46037</c:v>
                </c:pt>
                <c:pt idx="714">
                  <c:v>46038</c:v>
                </c:pt>
                <c:pt idx="715">
                  <c:v>46041</c:v>
                </c:pt>
                <c:pt idx="716">
                  <c:v>46042</c:v>
                </c:pt>
                <c:pt idx="717">
                  <c:v>46043</c:v>
                </c:pt>
                <c:pt idx="718">
                  <c:v>46044</c:v>
                </c:pt>
                <c:pt idx="719">
                  <c:v>46045</c:v>
                </c:pt>
                <c:pt idx="720">
                  <c:v>46048</c:v>
                </c:pt>
                <c:pt idx="721">
                  <c:v>46049</c:v>
                </c:pt>
                <c:pt idx="722">
                  <c:v>46050</c:v>
                </c:pt>
                <c:pt idx="723">
                  <c:v>46051</c:v>
                </c:pt>
                <c:pt idx="724">
                  <c:v>46052</c:v>
                </c:pt>
                <c:pt idx="725">
                  <c:v>46056</c:v>
                </c:pt>
                <c:pt idx="726">
                  <c:v>46057</c:v>
                </c:pt>
                <c:pt idx="727">
                  <c:v>46058</c:v>
                </c:pt>
                <c:pt idx="728">
                  <c:v>46059</c:v>
                </c:pt>
                <c:pt idx="729">
                  <c:v>46062</c:v>
                </c:pt>
                <c:pt idx="730">
                  <c:v>46063</c:v>
                </c:pt>
                <c:pt idx="731">
                  <c:v>46064</c:v>
                </c:pt>
                <c:pt idx="732">
                  <c:v>46065</c:v>
                </c:pt>
                <c:pt idx="733">
                  <c:v>46066</c:v>
                </c:pt>
                <c:pt idx="734">
                  <c:v>46069</c:v>
                </c:pt>
                <c:pt idx="735">
                  <c:v>46070</c:v>
                </c:pt>
                <c:pt idx="736">
                  <c:v>46071</c:v>
                </c:pt>
                <c:pt idx="737">
                  <c:v>46072</c:v>
                </c:pt>
                <c:pt idx="738">
                  <c:v>46073</c:v>
                </c:pt>
                <c:pt idx="739">
                  <c:v>46076</c:v>
                </c:pt>
                <c:pt idx="740">
                  <c:v>46077</c:v>
                </c:pt>
                <c:pt idx="741">
                  <c:v>46078</c:v>
                </c:pt>
                <c:pt idx="742">
                  <c:v>46079</c:v>
                </c:pt>
                <c:pt idx="743">
                  <c:v>46080</c:v>
                </c:pt>
                <c:pt idx="744">
                  <c:v>46083</c:v>
                </c:pt>
                <c:pt idx="745">
                  <c:v>46084</c:v>
                </c:pt>
                <c:pt idx="746">
                  <c:v>46085</c:v>
                </c:pt>
                <c:pt idx="747">
                  <c:v>46086</c:v>
                </c:pt>
                <c:pt idx="748">
                  <c:v>46087</c:v>
                </c:pt>
                <c:pt idx="749">
                  <c:v>46090</c:v>
                </c:pt>
              </c:numCache>
            </c:numRef>
          </c:cat>
          <c:val>
            <c:numRef>
              <c:f>Acciones!$D$2:$D$751</c:f>
              <c:numCache>
                <c:formatCode>General</c:formatCode>
                <c:ptCount val="750"/>
                <c:pt idx="0">
                  <c:v>2213.16381835937</c:v>
                </c:pt>
                <c:pt idx="1">
                  <c:v>2186.24584960937</c:v>
                </c:pt>
                <c:pt idx="2">
                  <c:v>2238.484375</c:v>
                </c:pt>
                <c:pt idx="3">
                  <c:v>2251.04638671875</c:v>
                </c:pt>
                <c:pt idx="4">
                  <c:v>2250.79663085937</c:v>
                </c:pt>
                <c:pt idx="5">
                  <c:v>2333.13256835937</c:v>
                </c:pt>
                <c:pt idx="6">
                  <c:v>2223.13208007812</c:v>
                </c:pt>
                <c:pt idx="7">
                  <c:v>2233.10131835937</c:v>
                </c:pt>
                <c:pt idx="8">
                  <c:v>2216.65307617187</c:v>
                </c:pt>
                <c:pt idx="9">
                  <c:v>2160.82446289062</c:v>
                </c:pt>
                <c:pt idx="10">
                  <c:v>2134.44604492187</c:v>
                </c:pt>
                <c:pt idx="11">
                  <c:v>2162.3203125</c:v>
                </c:pt>
                <c:pt idx="12">
                  <c:v>2162.3203125</c:v>
                </c:pt>
                <c:pt idx="13">
                  <c:v>2203.19360351562</c:v>
                </c:pt>
                <c:pt idx="14">
                  <c:v>2189.60595703125</c:v>
                </c:pt>
                <c:pt idx="15">
                  <c:v>2233.10131835937</c:v>
                </c:pt>
                <c:pt idx="16">
                  <c:v>2233.10131835937</c:v>
                </c:pt>
                <c:pt idx="17">
                  <c:v>2342.74243164062</c:v>
                </c:pt>
                <c:pt idx="18">
                  <c:v>2231.50659179687</c:v>
                </c:pt>
                <c:pt idx="19">
                  <c:v>2263.00952148437</c:v>
                </c:pt>
                <c:pt idx="20">
                  <c:v>2273.98510742187</c:v>
                </c:pt>
                <c:pt idx="21">
                  <c:v>2243.10107421875</c:v>
                </c:pt>
                <c:pt idx="22">
                  <c:v>2243.10107421875</c:v>
                </c:pt>
                <c:pt idx="23">
                  <c:v>2273.94506835937</c:v>
                </c:pt>
                <c:pt idx="24">
                  <c:v>2263.30810546875</c:v>
                </c:pt>
                <c:pt idx="25">
                  <c:v>2243.07104492187</c:v>
                </c:pt>
                <c:pt idx="26">
                  <c:v>2248.05541992187</c:v>
                </c:pt>
                <c:pt idx="27">
                  <c:v>2270.98413085937</c:v>
                </c:pt>
                <c:pt idx="28">
                  <c:v>2238.09619140625</c:v>
                </c:pt>
                <c:pt idx="29">
                  <c:v>2228.1171875</c:v>
                </c:pt>
                <c:pt idx="30">
                  <c:v>2256.03051757812</c:v>
                </c:pt>
                <c:pt idx="31">
                  <c:v>2265.99975585937</c:v>
                </c:pt>
                <c:pt idx="32">
                  <c:v>2280.95385742187</c:v>
                </c:pt>
                <c:pt idx="33">
                  <c:v>2253.03979492187</c:v>
                </c:pt>
                <c:pt idx="34">
                  <c:v>2206.58325195312</c:v>
                </c:pt>
                <c:pt idx="35">
                  <c:v>2252.04321289062</c:v>
                </c:pt>
                <c:pt idx="36">
                  <c:v>2246.310546875</c:v>
                </c:pt>
                <c:pt idx="37">
                  <c:v>2246.310546875</c:v>
                </c:pt>
                <c:pt idx="38">
                  <c:v>2153.34814453125</c:v>
                </c:pt>
                <c:pt idx="39">
                  <c:v>2138.39428710937</c:v>
                </c:pt>
                <c:pt idx="40">
                  <c:v>2096.81274414062</c:v>
                </c:pt>
                <c:pt idx="41">
                  <c:v>2073.59423828125</c:v>
                </c:pt>
                <c:pt idx="42">
                  <c:v>2035.71118164062</c:v>
                </c:pt>
                <c:pt idx="43">
                  <c:v>2038.51293945312</c:v>
                </c:pt>
                <c:pt idx="44">
                  <c:v>2114.46801757812</c:v>
                </c:pt>
                <c:pt idx="45">
                  <c:v>2013.77905273437</c:v>
                </c:pt>
                <c:pt idx="46">
                  <c:v>1973.90209960937</c:v>
                </c:pt>
                <c:pt idx="47">
                  <c:v>1948.97924804687</c:v>
                </c:pt>
                <c:pt idx="48">
                  <c:v>1925.05310058593</c:v>
                </c:pt>
                <c:pt idx="49">
                  <c:v>1916.33020019531</c:v>
                </c:pt>
                <c:pt idx="50">
                  <c:v>1889.1640625</c:v>
                </c:pt>
                <c:pt idx="51">
                  <c:v>1942.98779296875</c:v>
                </c:pt>
                <c:pt idx="52">
                  <c:v>1879.19494628906</c:v>
                </c:pt>
                <c:pt idx="53">
                  <c:v>1862.2470703125</c:v>
                </c:pt>
                <c:pt idx="54">
                  <c:v>1815.57141113281</c:v>
                </c:pt>
                <c:pt idx="55">
                  <c:v>1893.1162109375</c:v>
                </c:pt>
                <c:pt idx="56">
                  <c:v>1832.681640625</c:v>
                </c:pt>
                <c:pt idx="57">
                  <c:v>1844.63684082031</c:v>
                </c:pt>
                <c:pt idx="58">
                  <c:v>1860.94958496093</c:v>
                </c:pt>
                <c:pt idx="59">
                  <c:v>1844.64685058593</c:v>
                </c:pt>
                <c:pt idx="60">
                  <c:v>1826.68896484375</c:v>
                </c:pt>
                <c:pt idx="61">
                  <c:v>1838.66430664062</c:v>
                </c:pt>
                <c:pt idx="62">
                  <c:v>1834.666015625</c:v>
                </c:pt>
                <c:pt idx="63">
                  <c:v>1930.00927734375</c:v>
                </c:pt>
                <c:pt idx="64">
                  <c:v>1920.42712402343</c:v>
                </c:pt>
                <c:pt idx="65">
                  <c:v>1932.36242675781</c:v>
                </c:pt>
                <c:pt idx="66">
                  <c:v>1954.32861328125</c:v>
                </c:pt>
                <c:pt idx="67">
                  <c:v>1879.54565429687</c:v>
                </c:pt>
                <c:pt idx="68">
                  <c:v>1870.591796875</c:v>
                </c:pt>
                <c:pt idx="69">
                  <c:v>1891.71032714843</c:v>
                </c:pt>
                <c:pt idx="70">
                  <c:v>1874.57019042968</c:v>
                </c:pt>
                <c:pt idx="71">
                  <c:v>1914.59411621093</c:v>
                </c:pt>
                <c:pt idx="72">
                  <c:v>1941.38635253906</c:v>
                </c:pt>
                <c:pt idx="73">
                  <c:v>1924.41552734375</c:v>
                </c:pt>
                <c:pt idx="74">
                  <c:v>1932.69177246093</c:v>
                </c:pt>
                <c:pt idx="75">
                  <c:v>1883.53430175781</c:v>
                </c:pt>
                <c:pt idx="76">
                  <c:v>1886.46557617187</c:v>
                </c:pt>
                <c:pt idx="77">
                  <c:v>1886.48559570312</c:v>
                </c:pt>
                <c:pt idx="78">
                  <c:v>1815.12268066406</c:v>
                </c:pt>
                <c:pt idx="79">
                  <c:v>1806.26831054687</c:v>
                </c:pt>
                <c:pt idx="80">
                  <c:v>1787.81201171875</c:v>
                </c:pt>
                <c:pt idx="81">
                  <c:v>1794.82165527343</c:v>
                </c:pt>
                <c:pt idx="82">
                  <c:v>1831.88403320312</c:v>
                </c:pt>
                <c:pt idx="83">
                  <c:v>1814.66394042968</c:v>
                </c:pt>
                <c:pt idx="84">
                  <c:v>1814.73388671875</c:v>
                </c:pt>
                <c:pt idx="85">
                  <c:v>1805.759765625</c:v>
                </c:pt>
                <c:pt idx="86">
                  <c:v>1815.73095703125</c:v>
                </c:pt>
                <c:pt idx="87">
                  <c:v>1830.96655273437</c:v>
                </c:pt>
                <c:pt idx="88">
                  <c:v>1837.138671875</c:v>
                </c:pt>
                <c:pt idx="89">
                  <c:v>1811.52331542968</c:v>
                </c:pt>
                <c:pt idx="90">
                  <c:v>1837.38781738281</c:v>
                </c:pt>
                <c:pt idx="91">
                  <c:v>1842.65283203125</c:v>
                </c:pt>
                <c:pt idx="92">
                  <c:v>1829.3212890625</c:v>
                </c:pt>
                <c:pt idx="93">
                  <c:v>1836.67004394531</c:v>
                </c:pt>
                <c:pt idx="94">
                  <c:v>1813.73669433593</c:v>
                </c:pt>
                <c:pt idx="95">
                  <c:v>1802.77844238281</c:v>
                </c:pt>
                <c:pt idx="96">
                  <c:v>1842.15417480468</c:v>
                </c:pt>
                <c:pt idx="97">
                  <c:v>1842.65283203125</c:v>
                </c:pt>
                <c:pt idx="98">
                  <c:v>1834.67602539062</c:v>
                </c:pt>
                <c:pt idx="99">
                  <c:v>1865.10754394531</c:v>
                </c:pt>
                <c:pt idx="100">
                  <c:v>1864.58923339843</c:v>
                </c:pt>
                <c:pt idx="101">
                  <c:v>1873.56311035156</c:v>
                </c:pt>
                <c:pt idx="102">
                  <c:v>1859.60363769531</c:v>
                </c:pt>
                <c:pt idx="103">
                  <c:v>1854.63793945312</c:v>
                </c:pt>
                <c:pt idx="104">
                  <c:v>1834.78552246093</c:v>
                </c:pt>
                <c:pt idx="105">
                  <c:v>1834.67602539062</c:v>
                </c:pt>
                <c:pt idx="106">
                  <c:v>1824.73474121093</c:v>
                </c:pt>
                <c:pt idx="107">
                  <c:v>1814.73388671875</c:v>
                </c:pt>
                <c:pt idx="108">
                  <c:v>1806.806640625</c:v>
                </c:pt>
                <c:pt idx="109">
                  <c:v>1824.68505859375</c:v>
                </c:pt>
                <c:pt idx="110">
                  <c:v>1779.46594238281</c:v>
                </c:pt>
                <c:pt idx="111">
                  <c:v>1746.611328125</c:v>
                </c:pt>
                <c:pt idx="112">
                  <c:v>1710.53625488281</c:v>
                </c:pt>
                <c:pt idx="113">
                  <c:v>1665.93530273437</c:v>
                </c:pt>
                <c:pt idx="114">
                  <c:v>1636.66064453125</c:v>
                </c:pt>
                <c:pt idx="115">
                  <c:v>1650.31115722656</c:v>
                </c:pt>
                <c:pt idx="116">
                  <c:v>1679.11730957031</c:v>
                </c:pt>
                <c:pt idx="117">
                  <c:v>1711.70275878906</c:v>
                </c:pt>
                <c:pt idx="118">
                  <c:v>1706.04931640625</c:v>
                </c:pt>
                <c:pt idx="119">
                  <c:v>1724.994140625</c:v>
                </c:pt>
                <c:pt idx="120">
                  <c:v>1740.82141113281</c:v>
                </c:pt>
                <c:pt idx="121">
                  <c:v>1725.73217773437</c:v>
                </c:pt>
                <c:pt idx="122">
                  <c:v>1736.83251953125</c:v>
                </c:pt>
                <c:pt idx="123">
                  <c:v>1736.33361816406</c:v>
                </c:pt>
                <c:pt idx="124">
                  <c:v>1720.95520019531</c:v>
                </c:pt>
                <c:pt idx="125">
                  <c:v>1716.357421875</c:v>
                </c:pt>
                <c:pt idx="126">
                  <c:v>1666.15344238281</c:v>
                </c:pt>
                <c:pt idx="127">
                  <c:v>1653.24829101562</c:v>
                </c:pt>
                <c:pt idx="128">
                  <c:v>1684.513671875</c:v>
                </c:pt>
                <c:pt idx="129">
                  <c:v>1662.55334472656</c:v>
                </c:pt>
                <c:pt idx="130">
                  <c:v>1637.470703125</c:v>
                </c:pt>
                <c:pt idx="131">
                  <c:v>1633.22216796875</c:v>
                </c:pt>
                <c:pt idx="132">
                  <c:v>1610.74304199218</c:v>
                </c:pt>
                <c:pt idx="133">
                  <c:v>1601.8173828125</c:v>
                </c:pt>
                <c:pt idx="134">
                  <c:v>1576.72497558593</c:v>
                </c:pt>
                <c:pt idx="135">
                  <c:v>1556.30029296875</c:v>
                </c:pt>
                <c:pt idx="136">
                  <c:v>1607.04333496093</c:v>
                </c:pt>
                <c:pt idx="137">
                  <c:v>1579.72717285156</c:v>
                </c:pt>
                <c:pt idx="138">
                  <c:v>1575.73779296875</c:v>
                </c:pt>
                <c:pt idx="139">
                  <c:v>1574.251953125</c:v>
                </c:pt>
                <c:pt idx="140">
                  <c:v>1665.49499511718</c:v>
                </c:pt>
                <c:pt idx="141">
                  <c:v>1666.12341308593</c:v>
                </c:pt>
                <c:pt idx="142">
                  <c:v>1700.45056152343</c:v>
                </c:pt>
                <c:pt idx="143">
                  <c:v>1723.04956054687</c:v>
                </c:pt>
                <c:pt idx="144">
                  <c:v>1733.34155273437</c:v>
                </c:pt>
                <c:pt idx="145">
                  <c:v>1763.23083496093</c:v>
                </c:pt>
                <c:pt idx="146">
                  <c:v>1760.23889160156</c:v>
                </c:pt>
                <c:pt idx="147">
                  <c:v>1745.39880371093</c:v>
                </c:pt>
                <c:pt idx="148">
                  <c:v>1748.27124023437</c:v>
                </c:pt>
                <c:pt idx="149">
                  <c:v>1779.18762207031</c:v>
                </c:pt>
                <c:pt idx="150">
                  <c:v>1802.25524902343</c:v>
                </c:pt>
                <c:pt idx="151">
                  <c:v>1825.08337402343</c:v>
                </c:pt>
                <c:pt idx="152">
                  <c:v>1835.04650878906</c:v>
                </c:pt>
                <c:pt idx="153">
                  <c:v>1894.81494140625</c:v>
                </c:pt>
                <c:pt idx="154">
                  <c:v>1880.11462402343</c:v>
                </c:pt>
                <c:pt idx="155">
                  <c:v>1859.98901367187</c:v>
                </c:pt>
                <c:pt idx="156">
                  <c:v>1855.03247070312</c:v>
                </c:pt>
                <c:pt idx="157">
                  <c:v>1914.521484375</c:v>
                </c:pt>
                <c:pt idx="158">
                  <c:v>1895.05432128906</c:v>
                </c:pt>
                <c:pt idx="159">
                  <c:v>1821.07446289062</c:v>
                </c:pt>
                <c:pt idx="160">
                  <c:v>1807.09204101562</c:v>
                </c:pt>
                <c:pt idx="161">
                  <c:v>1832.04467773437</c:v>
                </c:pt>
                <c:pt idx="162">
                  <c:v>1839.01574707031</c:v>
                </c:pt>
                <c:pt idx="163">
                  <c:v>1786.3681640625</c:v>
                </c:pt>
                <c:pt idx="164">
                  <c:v>1867.84790039062</c:v>
                </c:pt>
                <c:pt idx="165">
                  <c:v>1864.95568847656</c:v>
                </c:pt>
                <c:pt idx="166">
                  <c:v>1907.669921875</c:v>
                </c:pt>
                <c:pt idx="167">
                  <c:v>1912.63659667968</c:v>
                </c:pt>
                <c:pt idx="168">
                  <c:v>1900.85852050781</c:v>
                </c:pt>
                <c:pt idx="169">
                  <c:v>1865.45422363281</c:v>
                </c:pt>
                <c:pt idx="170">
                  <c:v>1832.54333496093</c:v>
                </c:pt>
                <c:pt idx="171">
                  <c:v>1835.03649902343</c:v>
                </c:pt>
                <c:pt idx="172">
                  <c:v>1869.94226074218</c:v>
                </c:pt>
                <c:pt idx="173">
                  <c:v>1848.99865722656</c:v>
                </c:pt>
                <c:pt idx="174">
                  <c:v>1826.998046875</c:v>
                </c:pt>
                <c:pt idx="175">
                  <c:v>1834.01916503906</c:v>
                </c:pt>
                <c:pt idx="176">
                  <c:v>1875.91589355468</c:v>
                </c:pt>
                <c:pt idx="177">
                  <c:v>1849.99597167968</c:v>
                </c:pt>
                <c:pt idx="178">
                  <c:v>1830.05993652343</c:v>
                </c:pt>
                <c:pt idx="179">
                  <c:v>1876.91333007812</c:v>
                </c:pt>
                <c:pt idx="180">
                  <c:v>1865.95300292968</c:v>
                </c:pt>
                <c:pt idx="181">
                  <c:v>1903.85021972656</c:v>
                </c:pt>
                <c:pt idx="182">
                  <c:v>1904.84777832031</c:v>
                </c:pt>
                <c:pt idx="183">
                  <c:v>1944.119140625</c:v>
                </c:pt>
                <c:pt idx="184">
                  <c:v>2006.07373046875</c:v>
                </c:pt>
                <c:pt idx="185">
                  <c:v>2004.21813964843</c:v>
                </c:pt>
                <c:pt idx="186">
                  <c:v>2015.24060058593</c:v>
                </c:pt>
                <c:pt idx="187">
                  <c:v>2004.96643066406</c:v>
                </c:pt>
                <c:pt idx="188">
                  <c:v>2006.96130371093</c:v>
                </c:pt>
                <c:pt idx="189">
                  <c:v>2064.78588867187</c:v>
                </c:pt>
                <c:pt idx="190">
                  <c:v>2087.55908203125</c:v>
                </c:pt>
                <c:pt idx="191">
                  <c:v>2077.78344726562</c:v>
                </c:pt>
                <c:pt idx="192">
                  <c:v>2079.908203125</c:v>
                </c:pt>
                <c:pt idx="193">
                  <c:v>2074.81103515625</c:v>
                </c:pt>
                <c:pt idx="194">
                  <c:v>2084.01782226562</c:v>
                </c:pt>
                <c:pt idx="195">
                  <c:v>2076.7861328125</c:v>
                </c:pt>
                <c:pt idx="196">
                  <c:v>2081.9033203125</c:v>
                </c:pt>
                <c:pt idx="197">
                  <c:v>1830.50427246093</c:v>
                </c:pt>
                <c:pt idx="198">
                  <c:v>1829.05786132812</c:v>
                </c:pt>
                <c:pt idx="199">
                  <c:v>1807.46215820312</c:v>
                </c:pt>
                <c:pt idx="200">
                  <c:v>1845.35705566406</c:v>
                </c:pt>
                <c:pt idx="201">
                  <c:v>1840.37963867187</c:v>
                </c:pt>
                <c:pt idx="202">
                  <c:v>1811.46203613281</c:v>
                </c:pt>
                <c:pt idx="203">
                  <c:v>1773.88635253906</c:v>
                </c:pt>
                <c:pt idx="204">
                  <c:v>1746.94396972656</c:v>
                </c:pt>
                <c:pt idx="205">
                  <c:v>1722.69494628906</c:v>
                </c:pt>
                <c:pt idx="206">
                  <c:v>1739.52270507812</c:v>
                </c:pt>
                <c:pt idx="207">
                  <c:v>1734.44555664062</c:v>
                </c:pt>
                <c:pt idx="208">
                  <c:v>1759.25317382812</c:v>
                </c:pt>
                <c:pt idx="209">
                  <c:v>1791.4921875</c:v>
                </c:pt>
                <c:pt idx="210">
                  <c:v>1769.99597167968</c:v>
                </c:pt>
                <c:pt idx="211">
                  <c:v>1769.99597167968</c:v>
                </c:pt>
                <c:pt idx="212">
                  <c:v>1753.07897949218</c:v>
                </c:pt>
                <c:pt idx="213">
                  <c:v>1731.61267089843</c:v>
                </c:pt>
                <c:pt idx="214">
                  <c:v>1730.625</c:v>
                </c:pt>
                <c:pt idx="215">
                  <c:v>1734.29577636718</c:v>
                </c:pt>
                <c:pt idx="216">
                  <c:v>1730.66491699218</c:v>
                </c:pt>
                <c:pt idx="217">
                  <c:v>1761.5771484375</c:v>
                </c:pt>
                <c:pt idx="218">
                  <c:v>1736.44067382812</c:v>
                </c:pt>
                <c:pt idx="219">
                  <c:v>1720.68005371093</c:v>
                </c:pt>
                <c:pt idx="220">
                  <c:v>1760.56994628906</c:v>
                </c:pt>
                <c:pt idx="221">
                  <c:v>1782.02612304687</c:v>
                </c:pt>
                <c:pt idx="222">
                  <c:v>1782.33520507812</c:v>
                </c:pt>
                <c:pt idx="223">
                  <c:v>1735.65246582031</c:v>
                </c:pt>
                <c:pt idx="224">
                  <c:v>1730.66491699218</c:v>
                </c:pt>
                <c:pt idx="225">
                  <c:v>1720.68005371093</c:v>
                </c:pt>
                <c:pt idx="226">
                  <c:v>1742.77465820312</c:v>
                </c:pt>
                <c:pt idx="227">
                  <c:v>1755.60241699218</c:v>
                </c:pt>
                <c:pt idx="228">
                  <c:v>1772.05114746093</c:v>
                </c:pt>
                <c:pt idx="229">
                  <c:v>1781.52734375</c:v>
                </c:pt>
                <c:pt idx="230">
                  <c:v>1826.8037109375</c:v>
                </c:pt>
                <c:pt idx="231">
                  <c:v>1798.49475097656</c:v>
                </c:pt>
                <c:pt idx="232">
                  <c:v>1809.45727539062</c:v>
                </c:pt>
                <c:pt idx="233">
                  <c:v>1802.47485351562</c:v>
                </c:pt>
                <c:pt idx="234">
                  <c:v>1763.57238769531</c:v>
                </c:pt>
                <c:pt idx="235">
                  <c:v>1763.57238769531</c:v>
                </c:pt>
                <c:pt idx="236">
                  <c:v>1751.48291015625</c:v>
                </c:pt>
                <c:pt idx="237">
                  <c:v>1785.51708984375</c:v>
                </c:pt>
                <c:pt idx="238">
                  <c:v>1783.52233886718</c:v>
                </c:pt>
                <c:pt idx="239">
                  <c:v>1805.16796875</c:v>
                </c:pt>
                <c:pt idx="240">
                  <c:v>1783.77172851562</c:v>
                </c:pt>
                <c:pt idx="241">
                  <c:v>1780.52978515625</c:v>
                </c:pt>
                <c:pt idx="242">
                  <c:v>1782.52478027343</c:v>
                </c:pt>
                <c:pt idx="243">
                  <c:v>1763.67211914062</c:v>
                </c:pt>
                <c:pt idx="244">
                  <c:v>1731.01721191406</c:v>
                </c:pt>
                <c:pt idx="245">
                  <c:v>1698.58203125</c:v>
                </c:pt>
                <c:pt idx="246">
                  <c:v>1665.4482421875</c:v>
                </c:pt>
                <c:pt idx="247">
                  <c:v>1645.21472167968</c:v>
                </c:pt>
                <c:pt idx="248">
                  <c:v>1664.10119628906</c:v>
                </c:pt>
                <c:pt idx="249">
                  <c:v>1663.46276855468</c:v>
                </c:pt>
                <c:pt idx="250">
                  <c:v>1700.57702636718</c:v>
                </c:pt>
                <c:pt idx="251">
                  <c:v>1680.13439941406</c:v>
                </c:pt>
                <c:pt idx="252">
                  <c:v>1693.1044921875</c:v>
                </c:pt>
                <c:pt idx="253">
                  <c:v>1668.76049804687</c:v>
                </c:pt>
                <c:pt idx="254">
                  <c:v>1661.18774414062</c:v>
                </c:pt>
                <c:pt idx="255">
                  <c:v>1666.22631835937</c:v>
                </c:pt>
                <c:pt idx="256">
                  <c:v>1668.81042480468</c:v>
                </c:pt>
                <c:pt idx="257">
                  <c:v>1685.88110351562</c:v>
                </c:pt>
                <c:pt idx="258">
                  <c:v>1574.96630859375</c:v>
                </c:pt>
                <c:pt idx="259">
                  <c:v>1567.63305664062</c:v>
                </c:pt>
                <c:pt idx="260">
                  <c:v>1537.50256347656</c:v>
                </c:pt>
                <c:pt idx="261">
                  <c:v>1553.63525390625</c:v>
                </c:pt>
                <c:pt idx="262">
                  <c:v>1536.25537109375</c:v>
                </c:pt>
                <c:pt idx="263">
                  <c:v>1506.45385742187</c:v>
                </c:pt>
                <c:pt idx="264">
                  <c:v>1492.78540039062</c:v>
                </c:pt>
                <c:pt idx="265">
                  <c:v>1476.732421875</c:v>
                </c:pt>
                <c:pt idx="266">
                  <c:v>1461.05859375</c:v>
                </c:pt>
                <c:pt idx="267">
                  <c:v>1465.46826171875</c:v>
                </c:pt>
                <c:pt idx="268">
                  <c:v>1490.57043457031</c:v>
                </c:pt>
                <c:pt idx="269">
                  <c:v>1462.3056640625</c:v>
                </c:pt>
                <c:pt idx="270">
                  <c:v>1510.19543457031</c:v>
                </c:pt>
                <c:pt idx="271">
                  <c:v>1524.49255371093</c:v>
                </c:pt>
                <c:pt idx="272">
                  <c:v>1553.26623535156</c:v>
                </c:pt>
                <c:pt idx="273">
                  <c:v>1586.40002441406</c:v>
                </c:pt>
                <c:pt idx="274">
                  <c:v>1601.39562988281</c:v>
                </c:pt>
                <c:pt idx="275">
                  <c:v>1628.18383789062</c:v>
                </c:pt>
                <c:pt idx="276">
                  <c:v>1622.26745605468</c:v>
                </c:pt>
                <c:pt idx="277">
                  <c:v>1615.28356933593</c:v>
                </c:pt>
                <c:pt idx="278">
                  <c:v>1596.97570800781</c:v>
                </c:pt>
                <c:pt idx="279">
                  <c:v>1605.69567871093</c:v>
                </c:pt>
                <c:pt idx="280">
                  <c:v>1614.18615722656</c:v>
                </c:pt>
                <c:pt idx="281">
                  <c:v>1606.85290527343</c:v>
                </c:pt>
                <c:pt idx="282">
                  <c:v>1598.75170898437</c:v>
                </c:pt>
                <c:pt idx="283">
                  <c:v>1578.37829589843</c:v>
                </c:pt>
                <c:pt idx="284">
                  <c:v>1573.36987304687</c:v>
                </c:pt>
                <c:pt idx="285">
                  <c:v>1562.19567871093</c:v>
                </c:pt>
                <c:pt idx="286">
                  <c:v>1567.39379882812</c:v>
                </c:pt>
                <c:pt idx="287">
                  <c:v>1579.25646972656</c:v>
                </c:pt>
                <c:pt idx="288">
                  <c:v>1575.20568847656</c:v>
                </c:pt>
                <c:pt idx="289">
                  <c:v>1573.3798828125</c:v>
                </c:pt>
                <c:pt idx="290">
                  <c:v>1525.18090820312</c:v>
                </c:pt>
                <c:pt idx="291">
                  <c:v>1551.53015136718</c:v>
                </c:pt>
                <c:pt idx="292">
                  <c:v>1557.40686035156</c:v>
                </c:pt>
                <c:pt idx="293">
                  <c:v>1519.72351074218</c:v>
                </c:pt>
                <c:pt idx="294">
                  <c:v>1536.44482421875</c:v>
                </c:pt>
                <c:pt idx="295">
                  <c:v>1524.36254882812</c:v>
                </c:pt>
                <c:pt idx="296">
                  <c:v>1511.18310546875</c:v>
                </c:pt>
                <c:pt idx="297">
                  <c:v>1533.970703125</c:v>
                </c:pt>
                <c:pt idx="298">
                  <c:v>1537.31286621093</c:v>
                </c:pt>
                <c:pt idx="299">
                  <c:v>1524.3125</c:v>
                </c:pt>
                <c:pt idx="300">
                  <c:v>1529.10180664062</c:v>
                </c:pt>
                <c:pt idx="301">
                  <c:v>1529.10180664062</c:v>
                </c:pt>
                <c:pt idx="302">
                  <c:v>1544.15710449218</c:v>
                </c:pt>
                <c:pt idx="303">
                  <c:v>1554.42370605468</c:v>
                </c:pt>
                <c:pt idx="304">
                  <c:v>1581.08227539062</c:v>
                </c:pt>
                <c:pt idx="305">
                  <c:v>1603.16137695312</c:v>
                </c:pt>
                <c:pt idx="306">
                  <c:v>1669.47424316406</c:v>
                </c:pt>
                <c:pt idx="307">
                  <c:v>1684.02404785156</c:v>
                </c:pt>
                <c:pt idx="308">
                  <c:v>1646.26232910156</c:v>
                </c:pt>
                <c:pt idx="309">
                  <c:v>1702.27624511718</c:v>
                </c:pt>
                <c:pt idx="310">
                  <c:v>1782.25061035156</c:v>
                </c:pt>
                <c:pt idx="311">
                  <c:v>1756.3642578125</c:v>
                </c:pt>
                <c:pt idx="312">
                  <c:v>1759.47778320312</c:v>
                </c:pt>
                <c:pt idx="313">
                  <c:v>1746.40502929687</c:v>
                </c:pt>
                <c:pt idx="314">
                  <c:v>1742.10375976562</c:v>
                </c:pt>
                <c:pt idx="315">
                  <c:v>1726.42626953125</c:v>
                </c:pt>
                <c:pt idx="316">
                  <c:v>1758.56958007812</c:v>
                </c:pt>
                <c:pt idx="317">
                  <c:v>1736.54541015625</c:v>
                </c:pt>
                <c:pt idx="318">
                  <c:v>1736.54541015625</c:v>
                </c:pt>
                <c:pt idx="319">
                  <c:v>1750.37658691406</c:v>
                </c:pt>
                <c:pt idx="320">
                  <c:v>1753.61987304687</c:v>
                </c:pt>
                <c:pt idx="321">
                  <c:v>1745.94592285156</c:v>
                </c:pt>
                <c:pt idx="322">
                  <c:v>1719.05151367187</c:v>
                </c:pt>
                <c:pt idx="323">
                  <c:v>1725.27868652343</c:v>
                </c:pt>
                <c:pt idx="324">
                  <c:v>1733.63122558593</c:v>
                </c:pt>
                <c:pt idx="325">
                  <c:v>1380.40258789062</c:v>
                </c:pt>
                <c:pt idx="326">
                  <c:v>1406.72814941406</c:v>
                </c:pt>
                <c:pt idx="327">
                  <c:v>1386.84936523437</c:v>
                </c:pt>
                <c:pt idx="328">
                  <c:v>1367.16979980468</c:v>
                </c:pt>
                <c:pt idx="329">
                  <c:v>1380.14318847656</c:v>
                </c:pt>
                <c:pt idx="330">
                  <c:v>1365.91259765625</c:v>
                </c:pt>
                <c:pt idx="331">
                  <c:v>1313.57080078125</c:v>
                </c:pt>
                <c:pt idx="332">
                  <c:v>1296.7158203125</c:v>
                </c:pt>
                <c:pt idx="333">
                  <c:v>1289.29113769531</c:v>
                </c:pt>
                <c:pt idx="334">
                  <c:v>1296.49621582031</c:v>
                </c:pt>
                <c:pt idx="335">
                  <c:v>1294.7998046875</c:v>
                </c:pt>
                <c:pt idx="336">
                  <c:v>1267.59606933593</c:v>
                </c:pt>
                <c:pt idx="337">
                  <c:v>1283.56298828125</c:v>
                </c:pt>
                <c:pt idx="338">
                  <c:v>1292.7041015625</c:v>
                </c:pt>
                <c:pt idx="339">
                  <c:v>1304.31982421875</c:v>
                </c:pt>
                <c:pt idx="340">
                  <c:v>1312.28332519531</c:v>
                </c:pt>
                <c:pt idx="341">
                  <c:v>1342.07189941406</c:v>
                </c:pt>
                <c:pt idx="342">
                  <c:v>1327.91125488281</c:v>
                </c:pt>
                <c:pt idx="343">
                  <c:v>1307.26391601562</c:v>
                </c:pt>
                <c:pt idx="344">
                  <c:v>1314.27941894531</c:v>
                </c:pt>
                <c:pt idx="345">
                  <c:v>1334.99645996093</c:v>
                </c:pt>
                <c:pt idx="346">
                  <c:v>1365.36364746093</c:v>
                </c:pt>
                <c:pt idx="347">
                  <c:v>1390.81103515625</c:v>
                </c:pt>
                <c:pt idx="348">
                  <c:v>1390.52160644531</c:v>
                </c:pt>
                <c:pt idx="349">
                  <c:v>1375.81201171875</c:v>
                </c:pt>
                <c:pt idx="350">
                  <c:v>1412.1767578125</c:v>
                </c:pt>
                <c:pt idx="351">
                  <c:v>1387.47790527343</c:v>
                </c:pt>
                <c:pt idx="352">
                  <c:v>1417.68530273437</c:v>
                </c:pt>
                <c:pt idx="353">
                  <c:v>1400.10180664062</c:v>
                </c:pt>
                <c:pt idx="354">
                  <c:v>1402.91577148437</c:v>
                </c:pt>
                <c:pt idx="355">
                  <c:v>1397.15795898437</c:v>
                </c:pt>
                <c:pt idx="356">
                  <c:v>1414.55187988281</c:v>
                </c:pt>
                <c:pt idx="357">
                  <c:v>1490.76416015625</c:v>
                </c:pt>
                <c:pt idx="358">
                  <c:v>1477.28198242187</c:v>
                </c:pt>
                <c:pt idx="359">
                  <c:v>1534.84265136718</c:v>
                </c:pt>
                <c:pt idx="360">
                  <c:v>1548.78405761718</c:v>
                </c:pt>
                <c:pt idx="361">
                  <c:v>1555.77954101562</c:v>
                </c:pt>
                <c:pt idx="362">
                  <c:v>1586.04663085937</c:v>
                </c:pt>
                <c:pt idx="363">
                  <c:v>1618.70910644531</c:v>
                </c:pt>
                <c:pt idx="364">
                  <c:v>1617.84094238281</c:v>
                </c:pt>
                <c:pt idx="365">
                  <c:v>1600.38708496093</c:v>
                </c:pt>
                <c:pt idx="366">
                  <c:v>1626.90234375</c:v>
                </c:pt>
                <c:pt idx="367">
                  <c:v>1674.12451171875</c:v>
                </c:pt>
                <c:pt idx="368">
                  <c:v>1623.75866699218</c:v>
                </c:pt>
                <c:pt idx="369">
                  <c:v>1649.3056640625</c:v>
                </c:pt>
                <c:pt idx="370">
                  <c:v>1631.39294433593</c:v>
                </c:pt>
                <c:pt idx="371">
                  <c:v>1626.6328125</c:v>
                </c:pt>
                <c:pt idx="372">
                  <c:v>1605.76110839843</c:v>
                </c:pt>
                <c:pt idx="373">
                  <c:v>1610.03332519531</c:v>
                </c:pt>
                <c:pt idx="374">
                  <c:v>1608.52612304687</c:v>
                </c:pt>
                <c:pt idx="375">
                  <c:v>1613.02795410156</c:v>
                </c:pt>
                <c:pt idx="376">
                  <c:v>1579.90893554687</c:v>
                </c:pt>
                <c:pt idx="377">
                  <c:v>1566.35388183593</c:v>
                </c:pt>
                <c:pt idx="378">
                  <c:v>1544.70385742187</c:v>
                </c:pt>
                <c:pt idx="379">
                  <c:v>1528.6533203125</c:v>
                </c:pt>
                <c:pt idx="380">
                  <c:v>1515.44775390625</c:v>
                </c:pt>
                <c:pt idx="381">
                  <c:v>1535.31115722656</c:v>
                </c:pt>
                <c:pt idx="382">
                  <c:v>1572.09326171875</c:v>
                </c:pt>
                <c:pt idx="383">
                  <c:v>1556.69177246093</c:v>
                </c:pt>
                <c:pt idx="384">
                  <c:v>1673.09716796875</c:v>
                </c:pt>
                <c:pt idx="385">
                  <c:v>1667.07836914062</c:v>
                </c:pt>
                <c:pt idx="386">
                  <c:v>1681.90087890625</c:v>
                </c:pt>
                <c:pt idx="387">
                  <c:v>1720.06066894531</c:v>
                </c:pt>
                <c:pt idx="388">
                  <c:v>1746.78137207031</c:v>
                </c:pt>
                <c:pt idx="389">
                  <c:v>1761.27478027343</c:v>
                </c:pt>
                <c:pt idx="390">
                  <c:v>1739.015625</c:v>
                </c:pt>
                <c:pt idx="391">
                  <c:v>1611.4208984375</c:v>
                </c:pt>
                <c:pt idx="392">
                  <c:v>1587.86413574218</c:v>
                </c:pt>
                <c:pt idx="393">
                  <c:v>1582.18481445312</c:v>
                </c:pt>
                <c:pt idx="394">
                  <c:v>1556.1328125</c:v>
                </c:pt>
                <c:pt idx="395">
                  <c:v>1560.71423339843</c:v>
                </c:pt>
                <c:pt idx="396">
                  <c:v>1609.03527832031</c:v>
                </c:pt>
                <c:pt idx="397">
                  <c:v>1597.06713867187</c:v>
                </c:pt>
                <c:pt idx="398">
                  <c:v>1576.13598632812</c:v>
                </c:pt>
                <c:pt idx="399">
                  <c:v>1570.11694335937</c:v>
                </c:pt>
                <c:pt idx="400">
                  <c:v>1616.76098632812</c:v>
                </c:pt>
                <c:pt idx="401">
                  <c:v>1670.96118164062</c:v>
                </c:pt>
                <c:pt idx="402">
                  <c:v>1659.18273925781</c:v>
                </c:pt>
                <c:pt idx="403">
                  <c:v>1640.8466796875</c:v>
                </c:pt>
                <c:pt idx="404">
                  <c:v>1630.64526367187</c:v>
                </c:pt>
                <c:pt idx="405">
                  <c:v>1618.07849121093</c:v>
                </c:pt>
                <c:pt idx="406">
                  <c:v>1587.07568359375</c:v>
                </c:pt>
                <c:pt idx="407">
                  <c:v>1569.29833984375</c:v>
                </c:pt>
                <c:pt idx="408">
                  <c:v>1570.10693359375</c:v>
                </c:pt>
                <c:pt idx="409">
                  <c:v>1585.07934570312</c:v>
                </c:pt>
                <c:pt idx="410">
                  <c:v>1574.88830566406</c:v>
                </c:pt>
                <c:pt idx="411">
                  <c:v>1540.65124511718</c:v>
                </c:pt>
                <c:pt idx="412">
                  <c:v>1535.17114257812</c:v>
                </c:pt>
                <c:pt idx="413">
                  <c:v>1576.71472167968</c:v>
                </c:pt>
                <c:pt idx="414">
                  <c:v>1549.46496582031</c:v>
                </c:pt>
                <c:pt idx="415">
                  <c:v>1558.12915039062</c:v>
                </c:pt>
                <c:pt idx="416">
                  <c:v>1514.27978515625</c:v>
                </c:pt>
                <c:pt idx="417">
                  <c:v>1510.34704589843</c:v>
                </c:pt>
                <c:pt idx="418">
                  <c:v>1530.13061523437</c:v>
                </c:pt>
                <c:pt idx="419">
                  <c:v>1552.609375</c:v>
                </c:pt>
                <c:pt idx="420">
                  <c:v>1573.26123046875</c:v>
                </c:pt>
                <c:pt idx="421">
                  <c:v>1567.81115722656</c:v>
                </c:pt>
                <c:pt idx="422">
                  <c:v>1548.01770019531</c:v>
                </c:pt>
                <c:pt idx="423">
                  <c:v>1569.10888671875</c:v>
                </c:pt>
                <c:pt idx="424">
                  <c:v>1482.76806640625</c:v>
                </c:pt>
                <c:pt idx="425">
                  <c:v>1475.26171875</c:v>
                </c:pt>
                <c:pt idx="426">
                  <c:v>1537.16772460937</c:v>
                </c:pt>
                <c:pt idx="427">
                  <c:v>1580.89709472656</c:v>
                </c:pt>
                <c:pt idx="428">
                  <c:v>1612.02978515625</c:v>
                </c:pt>
                <c:pt idx="429">
                  <c:v>1605.04248046875</c:v>
                </c:pt>
                <c:pt idx="430">
                  <c:v>1613.02795410156</c:v>
                </c:pt>
                <c:pt idx="431">
                  <c:v>1597.05712890625</c:v>
                </c:pt>
                <c:pt idx="432">
                  <c:v>1597.05712890625</c:v>
                </c:pt>
                <c:pt idx="433">
                  <c:v>1609.6572265625</c:v>
                </c:pt>
                <c:pt idx="434">
                  <c:v>1603.15759277343</c:v>
                </c:pt>
                <c:pt idx="435">
                  <c:v>1585.95483398437</c:v>
                </c:pt>
                <c:pt idx="436">
                  <c:v>1583.47888183593</c:v>
                </c:pt>
                <c:pt idx="437">
                  <c:v>1592.53442382812</c:v>
                </c:pt>
                <c:pt idx="438">
                  <c:v>1571.75756835937</c:v>
                </c:pt>
                <c:pt idx="439">
                  <c:v>1547.48608398437</c:v>
                </c:pt>
                <c:pt idx="440">
                  <c:v>1578.48669433593</c:v>
                </c:pt>
                <c:pt idx="441">
                  <c:v>1552.52819824218</c:v>
                </c:pt>
                <c:pt idx="442">
                  <c:v>1557.90966796875</c:v>
                </c:pt>
                <c:pt idx="443">
                  <c:v>1571.60778808593</c:v>
                </c:pt>
                <c:pt idx="444">
                  <c:v>1575.521484375</c:v>
                </c:pt>
                <c:pt idx="445">
                  <c:v>1565.45751953125</c:v>
                </c:pt>
                <c:pt idx="446">
                  <c:v>1536.24401855468</c:v>
                </c:pt>
                <c:pt idx="447">
                  <c:v>1540.55712890625</c:v>
                </c:pt>
                <c:pt idx="448">
                  <c:v>1542.73376464843</c:v>
                </c:pt>
                <c:pt idx="449">
                  <c:v>1554.78466796875</c:v>
                </c:pt>
                <c:pt idx="450">
                  <c:v>1552.03881835937</c:v>
                </c:pt>
                <c:pt idx="451">
                  <c:v>1546.53784179687</c:v>
                </c:pt>
                <c:pt idx="452">
                  <c:v>1582.27099609375</c:v>
                </c:pt>
                <c:pt idx="453">
                  <c:v>1514.58850097656</c:v>
                </c:pt>
                <c:pt idx="454">
                  <c:v>1517.58374023437</c:v>
                </c:pt>
                <c:pt idx="455">
                  <c:v>1462.91088867187</c:v>
                </c:pt>
                <c:pt idx="456">
                  <c:v>1462.68115234375</c:v>
                </c:pt>
                <c:pt idx="457">
                  <c:v>1449.69177246093</c:v>
                </c:pt>
                <c:pt idx="458">
                  <c:v>1477.6474609375</c:v>
                </c:pt>
                <c:pt idx="459">
                  <c:v>1472.6552734375</c:v>
                </c:pt>
                <c:pt idx="460">
                  <c:v>1497.61547851562</c:v>
                </c:pt>
                <c:pt idx="461">
                  <c:v>1454.18469238281</c:v>
                </c:pt>
                <c:pt idx="462">
                  <c:v>1452.15795898437</c:v>
                </c:pt>
                <c:pt idx="463">
                  <c:v>1472.6552734375</c:v>
                </c:pt>
                <c:pt idx="464">
                  <c:v>1474.71215820312</c:v>
                </c:pt>
                <c:pt idx="465">
                  <c:v>1473.65380859375</c:v>
                </c:pt>
                <c:pt idx="466">
                  <c:v>1507.2802734375</c:v>
                </c:pt>
                <c:pt idx="467">
                  <c:v>1514.37890625</c:v>
                </c:pt>
                <c:pt idx="468">
                  <c:v>1512.59167480468</c:v>
                </c:pt>
                <c:pt idx="469">
                  <c:v>1483.63781738281</c:v>
                </c:pt>
                <c:pt idx="470">
                  <c:v>1559.08764648437</c:v>
                </c:pt>
                <c:pt idx="471">
                  <c:v>1525.57104492187</c:v>
                </c:pt>
                <c:pt idx="472">
                  <c:v>1574.49304199218</c:v>
                </c:pt>
                <c:pt idx="473">
                  <c:v>1607.43090820312</c:v>
                </c:pt>
                <c:pt idx="474">
                  <c:v>1605.44384765625</c:v>
                </c:pt>
                <c:pt idx="475">
                  <c:v>1568.50280761718</c:v>
                </c:pt>
                <c:pt idx="476">
                  <c:v>1529.56469726562</c:v>
                </c:pt>
                <c:pt idx="477">
                  <c:v>1467.91296386718</c:v>
                </c:pt>
                <c:pt idx="478">
                  <c:v>1418.70129394531</c:v>
                </c:pt>
                <c:pt idx="479">
                  <c:v>1450.69030761718</c:v>
                </c:pt>
                <c:pt idx="480">
                  <c:v>1463.6796875</c:v>
                </c:pt>
                <c:pt idx="481">
                  <c:v>1483.32836914062</c:v>
                </c:pt>
                <c:pt idx="482">
                  <c:v>1496.77697753906</c:v>
                </c:pt>
                <c:pt idx="483">
                  <c:v>1481.91052246093</c:v>
                </c:pt>
                <c:pt idx="484">
                  <c:v>1487.63146972656</c:v>
                </c:pt>
                <c:pt idx="485">
                  <c:v>1566.45593261718</c:v>
                </c:pt>
                <c:pt idx="486">
                  <c:v>1569.50134277343</c:v>
                </c:pt>
                <c:pt idx="487">
                  <c:v>1563.08142089843</c:v>
                </c:pt>
                <c:pt idx="488">
                  <c:v>1552.52819824218</c:v>
                </c:pt>
                <c:pt idx="489">
                  <c:v>1647.36706542968</c:v>
                </c:pt>
                <c:pt idx="490">
                  <c:v>1671.89819335937</c:v>
                </c:pt>
                <c:pt idx="491">
                  <c:v>1648.37548828125</c:v>
                </c:pt>
                <c:pt idx="492">
                  <c:v>1628.44738769531</c:v>
                </c:pt>
                <c:pt idx="493">
                  <c:v>1622.82629394531</c:v>
                </c:pt>
                <c:pt idx="494">
                  <c:v>1614.01806640625</c:v>
                </c:pt>
                <c:pt idx="495">
                  <c:v>1607.83642578125</c:v>
                </c:pt>
                <c:pt idx="496">
                  <c:v>1561.26904296875</c:v>
                </c:pt>
                <c:pt idx="497">
                  <c:v>1574.88073730468</c:v>
                </c:pt>
                <c:pt idx="498">
                  <c:v>1578.87536621093</c:v>
                </c:pt>
                <c:pt idx="499">
                  <c:v>1547.9169921875</c:v>
                </c:pt>
                <c:pt idx="500">
                  <c:v>1497.994140625</c:v>
                </c:pt>
                <c:pt idx="501">
                  <c:v>1485.00170898437</c:v>
                </c:pt>
                <c:pt idx="502">
                  <c:v>1457.3388671875</c:v>
                </c:pt>
                <c:pt idx="503">
                  <c:v>1423.09509277343</c:v>
                </c:pt>
                <c:pt idx="504">
                  <c:v>1453.08471679687</c:v>
                </c:pt>
                <c:pt idx="505">
                  <c:v>1454.38293457031</c:v>
                </c:pt>
                <c:pt idx="506">
                  <c:v>1442.31921386718</c:v>
                </c:pt>
                <c:pt idx="507">
                  <c:v>1371.05517578125</c:v>
                </c:pt>
                <c:pt idx="508">
                  <c:v>1356.65441894531</c:v>
                </c:pt>
                <c:pt idx="509">
                  <c:v>1335.283203125</c:v>
                </c:pt>
                <c:pt idx="510">
                  <c:v>1322.8798828125</c:v>
                </c:pt>
                <c:pt idx="511">
                  <c:v>1340.25659179687</c:v>
                </c:pt>
                <c:pt idx="512">
                  <c:v>1293.259765625</c:v>
                </c:pt>
                <c:pt idx="513">
                  <c:v>1303.93530273437</c:v>
                </c:pt>
                <c:pt idx="514">
                  <c:v>1316.09887695312</c:v>
                </c:pt>
                <c:pt idx="515">
                  <c:v>1329.21130371093</c:v>
                </c:pt>
                <c:pt idx="516">
                  <c:v>1113.39184570312</c:v>
                </c:pt>
                <c:pt idx="517">
                  <c:v>1179.50268554687</c:v>
                </c:pt>
                <c:pt idx="518">
                  <c:v>1148.45458984375</c:v>
                </c:pt>
                <c:pt idx="519">
                  <c:v>1093.92797851562</c:v>
                </c:pt>
                <c:pt idx="520">
                  <c:v>1191.39685058593</c:v>
                </c:pt>
                <c:pt idx="521">
                  <c:v>1108.50842285156</c:v>
                </c:pt>
                <c:pt idx="522">
                  <c:v>1101.26806640625</c:v>
                </c:pt>
                <c:pt idx="523">
                  <c:v>1116.22790527343</c:v>
                </c:pt>
                <c:pt idx="524">
                  <c:v>1098.41186523437</c:v>
                </c:pt>
                <c:pt idx="525">
                  <c:v>1067.25378417968</c:v>
                </c:pt>
                <c:pt idx="526">
                  <c:v>1102.51635742187</c:v>
                </c:pt>
                <c:pt idx="527">
                  <c:v>1118.49487304687</c:v>
                </c:pt>
                <c:pt idx="528">
                  <c:v>1125.96484375</c:v>
                </c:pt>
                <c:pt idx="529">
                  <c:v>1140.46533203125</c:v>
                </c:pt>
                <c:pt idx="530">
                  <c:v>1123.50830078125</c:v>
                </c:pt>
                <c:pt idx="531">
                  <c:v>1121.31115722656</c:v>
                </c:pt>
                <c:pt idx="532">
                  <c:v>1126.583984375</c:v>
                </c:pt>
                <c:pt idx="533">
                  <c:v>1103.25549316406</c:v>
                </c:pt>
                <c:pt idx="534">
                  <c:v>1148.28479003906</c:v>
                </c:pt>
                <c:pt idx="535">
                  <c:v>1129.42004394531</c:v>
                </c:pt>
                <c:pt idx="536">
                  <c:v>1123.49829101562</c:v>
                </c:pt>
                <c:pt idx="537">
                  <c:v>1146.45739746093</c:v>
                </c:pt>
                <c:pt idx="538">
                  <c:v>1159.44982910156</c:v>
                </c:pt>
                <c:pt idx="539">
                  <c:v>1137.86889648437</c:v>
                </c:pt>
                <c:pt idx="540">
                  <c:v>1222.1455078125</c:v>
                </c:pt>
                <c:pt idx="541">
                  <c:v>1213.16760253906</c:v>
                </c:pt>
                <c:pt idx="542">
                  <c:v>1197.15905761718</c:v>
                </c:pt>
                <c:pt idx="543">
                  <c:v>1216.28344726562</c:v>
                </c:pt>
                <c:pt idx="544">
                  <c:v>1228.34704589843</c:v>
                </c:pt>
                <c:pt idx="545">
                  <c:v>1196.76953125</c:v>
                </c:pt>
                <c:pt idx="546">
                  <c:v>1203.38061523437</c:v>
                </c:pt>
                <c:pt idx="547">
                  <c:v>1163.1748046875</c:v>
                </c:pt>
                <c:pt idx="548">
                  <c:v>1183.97680664062</c:v>
                </c:pt>
                <c:pt idx="549">
                  <c:v>1154.50659179687</c:v>
                </c:pt>
                <c:pt idx="550">
                  <c:v>1156.50378417968</c:v>
                </c:pt>
                <c:pt idx="551">
                  <c:v>1200.75415039062</c:v>
                </c:pt>
                <c:pt idx="552">
                  <c:v>1196.8994140625</c:v>
                </c:pt>
                <c:pt idx="553">
                  <c:v>1183.55737304687</c:v>
                </c:pt>
                <c:pt idx="554">
                  <c:v>1180.42163085937</c:v>
                </c:pt>
                <c:pt idx="555">
                  <c:v>1177.82421875</c:v>
                </c:pt>
                <c:pt idx="556">
                  <c:v>1196.95495605468</c:v>
                </c:pt>
                <c:pt idx="557">
                  <c:v>1202.0498046875</c:v>
                </c:pt>
                <c:pt idx="558">
                  <c:v>1197.79418945312</c:v>
                </c:pt>
                <c:pt idx="559">
                  <c:v>1198.79309082031</c:v>
                </c:pt>
                <c:pt idx="560">
                  <c:v>1181.07092285156</c:v>
                </c:pt>
                <c:pt idx="561">
                  <c:v>1217.77392578125</c:v>
                </c:pt>
                <c:pt idx="562">
                  <c:v>1191.80004882812</c:v>
                </c:pt>
                <c:pt idx="563">
                  <c:v>1184.61743164062</c:v>
                </c:pt>
                <c:pt idx="564">
                  <c:v>1140.85144042968</c:v>
                </c:pt>
                <c:pt idx="565">
                  <c:v>1169.7822265625</c:v>
                </c:pt>
                <c:pt idx="566">
                  <c:v>1138.24401855468</c:v>
                </c:pt>
                <c:pt idx="567">
                  <c:v>1129.86254882812</c:v>
                </c:pt>
                <c:pt idx="568">
                  <c:v>1129.86254882812</c:v>
                </c:pt>
                <c:pt idx="569">
                  <c:v>1148.78332519531</c:v>
                </c:pt>
                <c:pt idx="570">
                  <c:v>1165.41674804687</c:v>
                </c:pt>
                <c:pt idx="571">
                  <c:v>1163.18896484375</c:v>
                </c:pt>
                <c:pt idx="572">
                  <c:v>1151.5107421875</c:v>
                </c:pt>
                <c:pt idx="573">
                  <c:v>1177.07495117187</c:v>
                </c:pt>
                <c:pt idx="574">
                  <c:v>1361.009765625</c:v>
                </c:pt>
                <c:pt idx="575">
                  <c:v>1328.66247558593</c:v>
                </c:pt>
                <c:pt idx="576">
                  <c:v>1374.07666015625</c:v>
                </c:pt>
                <c:pt idx="577">
                  <c:v>1435.55480957031</c:v>
                </c:pt>
                <c:pt idx="578">
                  <c:v>1424.56579589843</c:v>
                </c:pt>
                <c:pt idx="579">
                  <c:v>1427.56286621093</c:v>
                </c:pt>
                <c:pt idx="580">
                  <c:v>1425.97436523437</c:v>
                </c:pt>
                <c:pt idx="581">
                  <c:v>1373.41735839843</c:v>
                </c:pt>
                <c:pt idx="582">
                  <c:v>1368.57214355468</c:v>
                </c:pt>
                <c:pt idx="583">
                  <c:v>1389.30126953125</c:v>
                </c:pt>
                <c:pt idx="584">
                  <c:v>1353.63720703125</c:v>
                </c:pt>
                <c:pt idx="585">
                  <c:v>1348.64221191406</c:v>
                </c:pt>
                <c:pt idx="586">
                  <c:v>1355.63513183593</c:v>
                </c:pt>
                <c:pt idx="587">
                  <c:v>1350.64025878906</c:v>
                </c:pt>
                <c:pt idx="588">
                  <c:v>1369.62121582031</c:v>
                </c:pt>
                <c:pt idx="589">
                  <c:v>1353.64721679687</c:v>
                </c:pt>
                <c:pt idx="590">
                  <c:v>1383.59704589843</c:v>
                </c:pt>
                <c:pt idx="591">
                  <c:v>1407.57299804687</c:v>
                </c:pt>
                <c:pt idx="592">
                  <c:v>1421.4189453125</c:v>
                </c:pt>
                <c:pt idx="593">
                  <c:v>1397.56298828125</c:v>
                </c:pt>
                <c:pt idx="594">
                  <c:v>1415.57482910156</c:v>
                </c:pt>
                <c:pt idx="595">
                  <c:v>1485.98413085937</c:v>
                </c:pt>
                <c:pt idx="596">
                  <c:v>1459.54064941406</c:v>
                </c:pt>
                <c:pt idx="597">
                  <c:v>1441.73852539062</c:v>
                </c:pt>
                <c:pt idx="598">
                  <c:v>1406.583984375</c:v>
                </c:pt>
                <c:pt idx="599">
                  <c:v>1393.017578125</c:v>
                </c:pt>
                <c:pt idx="600">
                  <c:v>1416.57385253906</c:v>
                </c:pt>
                <c:pt idx="601">
                  <c:v>1392.59802246093</c:v>
                </c:pt>
                <c:pt idx="602">
                  <c:v>1405.58508300781</c:v>
                </c:pt>
                <c:pt idx="603">
                  <c:v>1383.60705566406</c:v>
                </c:pt>
                <c:pt idx="604">
                  <c:v>1373.6171875</c:v>
                </c:pt>
                <c:pt idx="605">
                  <c:v>1379.61096191406</c:v>
                </c:pt>
                <c:pt idx="606">
                  <c:v>1394.5859375</c:v>
                </c:pt>
                <c:pt idx="607">
                  <c:v>1443.49682617187</c:v>
                </c:pt>
                <c:pt idx="608">
                  <c:v>1437.55261230468</c:v>
                </c:pt>
                <c:pt idx="609">
                  <c:v>1443.71655273437</c:v>
                </c:pt>
                <c:pt idx="610">
                  <c:v>1452.22790527343</c:v>
                </c:pt>
                <c:pt idx="611">
                  <c:v>1443.55676269531</c:v>
                </c:pt>
                <c:pt idx="612">
                  <c:v>1428.58178710937</c:v>
                </c:pt>
                <c:pt idx="613">
                  <c:v>1422.07836914062</c:v>
                </c:pt>
                <c:pt idx="614">
                  <c:v>1460.52954101562</c:v>
                </c:pt>
                <c:pt idx="615">
                  <c:v>1480.50952148437</c:v>
                </c:pt>
                <c:pt idx="616">
                  <c:v>1464.03601074218</c:v>
                </c:pt>
                <c:pt idx="617">
                  <c:v>1452.54760742187</c:v>
                </c:pt>
                <c:pt idx="618">
                  <c:v>1450.91931152343</c:v>
                </c:pt>
                <c:pt idx="619">
                  <c:v>1439.22106933593</c:v>
                </c:pt>
                <c:pt idx="620">
                  <c:v>1448.53161621093</c:v>
                </c:pt>
                <c:pt idx="621">
                  <c:v>1387.52624511718</c:v>
                </c:pt>
                <c:pt idx="622">
                  <c:v>1398.97778320312</c:v>
                </c:pt>
                <c:pt idx="623">
                  <c:v>1413.96691894531</c:v>
                </c:pt>
                <c:pt idx="624">
                  <c:v>1378.99243164062</c:v>
                </c:pt>
                <c:pt idx="625">
                  <c:v>1380.00170898437</c:v>
                </c:pt>
                <c:pt idx="626">
                  <c:v>1368.00061035156</c:v>
                </c:pt>
                <c:pt idx="627">
                  <c:v>1378.982421875</c:v>
                </c:pt>
                <c:pt idx="628">
                  <c:v>1373.99609375</c:v>
                </c:pt>
                <c:pt idx="629">
                  <c:v>1348.01501464843</c:v>
                </c:pt>
                <c:pt idx="630">
                  <c:v>1341.30004882812</c:v>
                </c:pt>
                <c:pt idx="631">
                  <c:v>1329.02905273437</c:v>
                </c:pt>
                <c:pt idx="632">
                  <c:v>1324.02270507812</c:v>
                </c:pt>
                <c:pt idx="633">
                  <c:v>1306.04577636718</c:v>
                </c:pt>
                <c:pt idx="634">
                  <c:v>1308.35412597656</c:v>
                </c:pt>
                <c:pt idx="635">
                  <c:v>1299.06091308593</c:v>
                </c:pt>
                <c:pt idx="636">
                  <c:v>1309.04357910156</c:v>
                </c:pt>
                <c:pt idx="637">
                  <c:v>1279.7451171875</c:v>
                </c:pt>
                <c:pt idx="638">
                  <c:v>1264.08654785156</c:v>
                </c:pt>
                <c:pt idx="639">
                  <c:v>1278.06628417968</c:v>
                </c:pt>
                <c:pt idx="640">
                  <c:v>1279.07556152343</c:v>
                </c:pt>
                <c:pt idx="641">
                  <c:v>1357.29833984375</c:v>
                </c:pt>
                <c:pt idx="642">
                  <c:v>1370.15893554687</c:v>
                </c:pt>
                <c:pt idx="643">
                  <c:v>1329.02905273437</c:v>
                </c:pt>
                <c:pt idx="644">
                  <c:v>1307.04504394531</c:v>
                </c:pt>
                <c:pt idx="645">
                  <c:v>1269.07275390625</c:v>
                </c:pt>
                <c:pt idx="646">
                  <c:v>1262.517578125</c:v>
                </c:pt>
                <c:pt idx="647">
                  <c:v>1249.94677734375</c:v>
                </c:pt>
                <c:pt idx="648">
                  <c:v>1209.12658691406</c:v>
                </c:pt>
                <c:pt idx="649">
                  <c:v>1244.80041503906</c:v>
                </c:pt>
                <c:pt idx="650">
                  <c:v>1255.0830078125</c:v>
                </c:pt>
                <c:pt idx="651">
                  <c:v>1266.07495117187</c:v>
                </c:pt>
                <c:pt idx="652">
                  <c:v>1232.09985351562</c:v>
                </c:pt>
                <c:pt idx="653">
                  <c:v>1238.64501953125</c:v>
                </c:pt>
                <c:pt idx="654">
                  <c:v>1255.07299804687</c:v>
                </c:pt>
                <c:pt idx="655">
                  <c:v>1259.080078125</c:v>
                </c:pt>
                <c:pt idx="656">
                  <c:v>1272.48034667968</c:v>
                </c:pt>
                <c:pt idx="657">
                  <c:v>1279.07556152343</c:v>
                </c:pt>
                <c:pt idx="658">
                  <c:v>1275.14831542968</c:v>
                </c:pt>
                <c:pt idx="659">
                  <c:v>1259.080078125</c:v>
                </c:pt>
                <c:pt idx="660">
                  <c:v>1241.1533203125</c:v>
                </c:pt>
                <c:pt idx="661">
                  <c:v>1220.7880859375</c:v>
                </c:pt>
                <c:pt idx="662">
                  <c:v>1202.54150390625</c:v>
                </c:pt>
                <c:pt idx="663">
                  <c:v>1197.12536621093</c:v>
                </c:pt>
                <c:pt idx="664">
                  <c:v>1160.89172363281</c:v>
                </c:pt>
                <c:pt idx="665">
                  <c:v>1144.1640625</c:v>
                </c:pt>
                <c:pt idx="666">
                  <c:v>1158.31372070312</c:v>
                </c:pt>
                <c:pt idx="667">
                  <c:v>1150.15966796875</c:v>
                </c:pt>
                <c:pt idx="668">
                  <c:v>1126.44702148437</c:v>
                </c:pt>
                <c:pt idx="669">
                  <c:v>1119.2822265625</c:v>
                </c:pt>
                <c:pt idx="670">
                  <c:v>1156.1552734375</c:v>
                </c:pt>
                <c:pt idx="671">
                  <c:v>1175.44128417968</c:v>
                </c:pt>
                <c:pt idx="672">
                  <c:v>1211.74475097656</c:v>
                </c:pt>
                <c:pt idx="673">
                  <c:v>1170.34497070312</c:v>
                </c:pt>
                <c:pt idx="674">
                  <c:v>1141.16625976562</c:v>
                </c:pt>
                <c:pt idx="675">
                  <c:v>1151.98828125</c:v>
                </c:pt>
                <c:pt idx="676">
                  <c:v>1139.16760253906</c:v>
                </c:pt>
                <c:pt idx="677">
                  <c:v>1169.1357421875</c:v>
                </c:pt>
                <c:pt idx="678">
                  <c:v>1148.66076660156</c:v>
                </c:pt>
                <c:pt idx="679">
                  <c:v>1173.15295410156</c:v>
                </c:pt>
                <c:pt idx="680">
                  <c:v>1184.12475585937</c:v>
                </c:pt>
                <c:pt idx="681">
                  <c:v>1177.4296875</c:v>
                </c:pt>
                <c:pt idx="682">
                  <c:v>1179.15844726562</c:v>
                </c:pt>
                <c:pt idx="683">
                  <c:v>1199.54064941406</c:v>
                </c:pt>
                <c:pt idx="684">
                  <c:v>1166.56335449218</c:v>
                </c:pt>
                <c:pt idx="685">
                  <c:v>1199.54064941406</c:v>
                </c:pt>
                <c:pt idx="686">
                  <c:v>1197.54138183593</c:v>
                </c:pt>
                <c:pt idx="687">
                  <c:v>1195.54223632812</c:v>
                </c:pt>
                <c:pt idx="688">
                  <c:v>1159.55603027343</c:v>
                </c:pt>
                <c:pt idx="689">
                  <c:v>1152.55859375</c:v>
                </c:pt>
                <c:pt idx="690">
                  <c:v>1199.60070800781</c:v>
                </c:pt>
                <c:pt idx="691">
                  <c:v>1220.53259277343</c:v>
                </c:pt>
                <c:pt idx="692">
                  <c:v>1221.5322265625</c:v>
                </c:pt>
                <c:pt idx="693">
                  <c:v>1206.53796386718</c:v>
                </c:pt>
                <c:pt idx="694">
                  <c:v>1184.27648925781</c:v>
                </c:pt>
                <c:pt idx="695">
                  <c:v>1191.40380859375</c:v>
                </c:pt>
                <c:pt idx="696">
                  <c:v>1052.15710449218</c:v>
                </c:pt>
                <c:pt idx="697">
                  <c:v>1030.02563476562</c:v>
                </c:pt>
                <c:pt idx="698">
                  <c:v>1026.10705566406</c:v>
                </c:pt>
                <c:pt idx="699">
                  <c:v>1077.29748535156</c:v>
                </c:pt>
                <c:pt idx="700">
                  <c:v>1084.58471679687</c:v>
                </c:pt>
                <c:pt idx="701">
                  <c:v>1099.57897949218</c:v>
                </c:pt>
                <c:pt idx="702">
                  <c:v>1100.47863769531</c:v>
                </c:pt>
                <c:pt idx="703">
                  <c:v>1153.53820800781</c:v>
                </c:pt>
                <c:pt idx="704">
                  <c:v>1136.70471191406</c:v>
                </c:pt>
                <c:pt idx="705">
                  <c:v>1154.55786132812</c:v>
                </c:pt>
                <c:pt idx="706">
                  <c:v>1169.55212402343</c:v>
                </c:pt>
                <c:pt idx="707">
                  <c:v>1137.564453125</c:v>
                </c:pt>
                <c:pt idx="708">
                  <c:v>1164.55407714843</c:v>
                </c:pt>
                <c:pt idx="709">
                  <c:v>1181.32763671875</c:v>
                </c:pt>
                <c:pt idx="710">
                  <c:v>1174.56018066406</c:v>
                </c:pt>
                <c:pt idx="711">
                  <c:v>1184.54638671875</c:v>
                </c:pt>
                <c:pt idx="712">
                  <c:v>1166.55334472656</c:v>
                </c:pt>
                <c:pt idx="713">
                  <c:v>1147.16064453125</c:v>
                </c:pt>
                <c:pt idx="714">
                  <c:v>1135.41516113281</c:v>
                </c:pt>
                <c:pt idx="715">
                  <c:v>1139.56359863281</c:v>
                </c:pt>
                <c:pt idx="716">
                  <c:v>1117.40209960937</c:v>
                </c:pt>
                <c:pt idx="717">
                  <c:v>1134.56555175781</c:v>
                </c:pt>
                <c:pt idx="718">
                  <c:v>1143.99194335937</c:v>
                </c:pt>
                <c:pt idx="719">
                  <c:v>1122.57019042968</c:v>
                </c:pt>
                <c:pt idx="720">
                  <c:v>1129.57751464843</c:v>
                </c:pt>
                <c:pt idx="721">
                  <c:v>1089.58276367187</c:v>
                </c:pt>
                <c:pt idx="722">
                  <c:v>1072.58923339843</c:v>
                </c:pt>
                <c:pt idx="723">
                  <c:v>1078.88696289062</c:v>
                </c:pt>
                <c:pt idx="724">
                  <c:v>1074.59851074218</c:v>
                </c:pt>
                <c:pt idx="725">
                  <c:v>1049.60803222656</c:v>
                </c:pt>
                <c:pt idx="726">
                  <c:v>1110.57470703125</c:v>
                </c:pt>
                <c:pt idx="727">
                  <c:v>1089.58276367187</c:v>
                </c:pt>
                <c:pt idx="728">
                  <c:v>1100.57861328125</c:v>
                </c:pt>
                <c:pt idx="729">
                  <c:v>1074.24865722656</c:v>
                </c:pt>
                <c:pt idx="730">
                  <c:v>1089.58276367187</c:v>
                </c:pt>
                <c:pt idx="731">
                  <c:v>1070.40014648437</c:v>
                </c:pt>
                <c:pt idx="732">
                  <c:v>1054.30627441406</c:v>
                </c:pt>
                <c:pt idx="733">
                  <c:v>1082.83532714843</c:v>
                </c:pt>
                <c:pt idx="734">
                  <c:v>1087.58349609375</c:v>
                </c:pt>
                <c:pt idx="735">
                  <c:v>1095.60046386718</c:v>
                </c:pt>
                <c:pt idx="736">
                  <c:v>1128.56787109375</c:v>
                </c:pt>
                <c:pt idx="737">
                  <c:v>1134.11572265625</c:v>
                </c:pt>
                <c:pt idx="738">
                  <c:v>1119.78112792968</c:v>
                </c:pt>
                <c:pt idx="739">
                  <c:v>1085.59436035156</c:v>
                </c:pt>
                <c:pt idx="740">
                  <c:v>1104.56701660156</c:v>
                </c:pt>
                <c:pt idx="741">
                  <c:v>1087.08374023437</c:v>
                </c:pt>
                <c:pt idx="742">
                  <c:v>1110.57470703125</c:v>
                </c:pt>
                <c:pt idx="743">
                  <c:v>1070.73999023437</c:v>
                </c:pt>
                <c:pt idx="744">
                  <c:v>1058.65002441406</c:v>
                </c:pt>
                <c:pt idx="745">
                  <c:v>1051.19995117187</c:v>
                </c:pt>
                <c:pt idx="746">
                  <c:v>1031.10998535156</c:v>
                </c:pt>
                <c:pt idx="747">
                  <c:v>1030</c:v>
                </c:pt>
                <c:pt idx="748">
                  <c:v>1015.45001220703</c:v>
                </c:pt>
                <c:pt idx="749">
                  <c:v>998.35998535156205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BB-2E4D-9E93-58277ECB19C6}"/>
            </c:ext>
          </c:extLst>
        </c:ser>
        <c:ser>
          <c:idx val="3"/>
          <c:order val="3"/>
          <c:tx>
            <c:strRef>
              <c:f>Acciones!$E$1</c:f>
              <c:strCache>
                <c:ptCount val="1"/>
                <c:pt idx="0">
                  <c:v>TEAKCPO.MX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Acciones!$A$2:$A$751</c:f>
              <c:numCache>
                <c:formatCode>m/d/yy</c:formatCode>
                <c:ptCount val="750"/>
                <c:pt idx="0">
                  <c:v>44998</c:v>
                </c:pt>
                <c:pt idx="1">
                  <c:v>44999</c:v>
                </c:pt>
                <c:pt idx="2">
                  <c:v>45000</c:v>
                </c:pt>
                <c:pt idx="3">
                  <c:v>45001</c:v>
                </c:pt>
                <c:pt idx="4">
                  <c:v>45002</c:v>
                </c:pt>
                <c:pt idx="5">
                  <c:v>45006</c:v>
                </c:pt>
                <c:pt idx="6">
                  <c:v>45007</c:v>
                </c:pt>
                <c:pt idx="7">
                  <c:v>45008</c:v>
                </c:pt>
                <c:pt idx="8">
                  <c:v>45009</c:v>
                </c:pt>
                <c:pt idx="9">
                  <c:v>45012</c:v>
                </c:pt>
                <c:pt idx="10">
                  <c:v>45013</c:v>
                </c:pt>
                <c:pt idx="11">
                  <c:v>45014</c:v>
                </c:pt>
                <c:pt idx="12">
                  <c:v>45015</c:v>
                </c:pt>
                <c:pt idx="13">
                  <c:v>45016</c:v>
                </c:pt>
                <c:pt idx="14">
                  <c:v>45019</c:v>
                </c:pt>
                <c:pt idx="15">
                  <c:v>45020</c:v>
                </c:pt>
                <c:pt idx="16">
                  <c:v>45021</c:v>
                </c:pt>
                <c:pt idx="17">
                  <c:v>45026</c:v>
                </c:pt>
                <c:pt idx="18">
                  <c:v>45027</c:v>
                </c:pt>
                <c:pt idx="19">
                  <c:v>45028</c:v>
                </c:pt>
                <c:pt idx="20">
                  <c:v>45029</c:v>
                </c:pt>
                <c:pt idx="21">
                  <c:v>45030</c:v>
                </c:pt>
                <c:pt idx="22">
                  <c:v>45033</c:v>
                </c:pt>
                <c:pt idx="23">
                  <c:v>45034</c:v>
                </c:pt>
                <c:pt idx="24">
                  <c:v>45035</c:v>
                </c:pt>
                <c:pt idx="25">
                  <c:v>45036</c:v>
                </c:pt>
                <c:pt idx="26">
                  <c:v>45037</c:v>
                </c:pt>
                <c:pt idx="27">
                  <c:v>45040</c:v>
                </c:pt>
                <c:pt idx="28">
                  <c:v>45041</c:v>
                </c:pt>
                <c:pt idx="29">
                  <c:v>45042</c:v>
                </c:pt>
                <c:pt idx="30">
                  <c:v>45043</c:v>
                </c:pt>
                <c:pt idx="31">
                  <c:v>45044</c:v>
                </c:pt>
                <c:pt idx="32">
                  <c:v>45048</c:v>
                </c:pt>
                <c:pt idx="33">
                  <c:v>45049</c:v>
                </c:pt>
                <c:pt idx="34">
                  <c:v>45050</c:v>
                </c:pt>
                <c:pt idx="35">
                  <c:v>45051</c:v>
                </c:pt>
                <c:pt idx="36">
                  <c:v>45054</c:v>
                </c:pt>
                <c:pt idx="37">
                  <c:v>45055</c:v>
                </c:pt>
                <c:pt idx="38">
                  <c:v>45056</c:v>
                </c:pt>
                <c:pt idx="39">
                  <c:v>45057</c:v>
                </c:pt>
                <c:pt idx="40">
                  <c:v>45058</c:v>
                </c:pt>
                <c:pt idx="41">
                  <c:v>45061</c:v>
                </c:pt>
                <c:pt idx="42">
                  <c:v>45062</c:v>
                </c:pt>
                <c:pt idx="43">
                  <c:v>45063</c:v>
                </c:pt>
                <c:pt idx="44">
                  <c:v>45064</c:v>
                </c:pt>
                <c:pt idx="45">
                  <c:v>45065</c:v>
                </c:pt>
                <c:pt idx="46">
                  <c:v>45068</c:v>
                </c:pt>
                <c:pt idx="47">
                  <c:v>45069</c:v>
                </c:pt>
                <c:pt idx="48">
                  <c:v>45070</c:v>
                </c:pt>
                <c:pt idx="49">
                  <c:v>45071</c:v>
                </c:pt>
                <c:pt idx="50">
                  <c:v>45072</c:v>
                </c:pt>
                <c:pt idx="51">
                  <c:v>45075</c:v>
                </c:pt>
                <c:pt idx="52">
                  <c:v>45076</c:v>
                </c:pt>
                <c:pt idx="53">
                  <c:v>45077</c:v>
                </c:pt>
                <c:pt idx="54">
                  <c:v>45078</c:v>
                </c:pt>
                <c:pt idx="55">
                  <c:v>45079</c:v>
                </c:pt>
                <c:pt idx="56">
                  <c:v>45082</c:v>
                </c:pt>
                <c:pt idx="57">
                  <c:v>45083</c:v>
                </c:pt>
                <c:pt idx="58">
                  <c:v>45084</c:v>
                </c:pt>
                <c:pt idx="59">
                  <c:v>45085</c:v>
                </c:pt>
                <c:pt idx="60">
                  <c:v>45086</c:v>
                </c:pt>
                <c:pt idx="61">
                  <c:v>45089</c:v>
                </c:pt>
                <c:pt idx="62">
                  <c:v>45090</c:v>
                </c:pt>
                <c:pt idx="63">
                  <c:v>45091</c:v>
                </c:pt>
                <c:pt idx="64">
                  <c:v>45092</c:v>
                </c:pt>
                <c:pt idx="65">
                  <c:v>45093</c:v>
                </c:pt>
                <c:pt idx="66">
                  <c:v>45096</c:v>
                </c:pt>
                <c:pt idx="67">
                  <c:v>45097</c:v>
                </c:pt>
                <c:pt idx="68">
                  <c:v>45098</c:v>
                </c:pt>
                <c:pt idx="69">
                  <c:v>45099</c:v>
                </c:pt>
                <c:pt idx="70">
                  <c:v>45100</c:v>
                </c:pt>
                <c:pt idx="71">
                  <c:v>45103</c:v>
                </c:pt>
                <c:pt idx="72">
                  <c:v>45104</c:v>
                </c:pt>
                <c:pt idx="73">
                  <c:v>45105</c:v>
                </c:pt>
                <c:pt idx="74">
                  <c:v>45106</c:v>
                </c:pt>
                <c:pt idx="75">
                  <c:v>45107</c:v>
                </c:pt>
                <c:pt idx="76">
                  <c:v>45110</c:v>
                </c:pt>
                <c:pt idx="77">
                  <c:v>45111</c:v>
                </c:pt>
                <c:pt idx="78">
                  <c:v>45112</c:v>
                </c:pt>
                <c:pt idx="79">
                  <c:v>45113</c:v>
                </c:pt>
                <c:pt idx="80">
                  <c:v>45114</c:v>
                </c:pt>
                <c:pt idx="81">
                  <c:v>45117</c:v>
                </c:pt>
                <c:pt idx="82">
                  <c:v>45118</c:v>
                </c:pt>
                <c:pt idx="83">
                  <c:v>45119</c:v>
                </c:pt>
                <c:pt idx="84">
                  <c:v>45120</c:v>
                </c:pt>
                <c:pt idx="85">
                  <c:v>45121</c:v>
                </c:pt>
                <c:pt idx="86">
                  <c:v>45124</c:v>
                </c:pt>
                <c:pt idx="87">
                  <c:v>45125</c:v>
                </c:pt>
                <c:pt idx="88">
                  <c:v>45126</c:v>
                </c:pt>
                <c:pt idx="89">
                  <c:v>45127</c:v>
                </c:pt>
                <c:pt idx="90">
                  <c:v>45128</c:v>
                </c:pt>
                <c:pt idx="91">
                  <c:v>45131</c:v>
                </c:pt>
                <c:pt idx="92">
                  <c:v>45132</c:v>
                </c:pt>
                <c:pt idx="93">
                  <c:v>45133</c:v>
                </c:pt>
                <c:pt idx="94">
                  <c:v>45134</c:v>
                </c:pt>
                <c:pt idx="95">
                  <c:v>45135</c:v>
                </c:pt>
                <c:pt idx="96">
                  <c:v>45138</c:v>
                </c:pt>
                <c:pt idx="97">
                  <c:v>45139</c:v>
                </c:pt>
                <c:pt idx="98">
                  <c:v>45140</c:v>
                </c:pt>
                <c:pt idx="99">
                  <c:v>45141</c:v>
                </c:pt>
                <c:pt idx="100">
                  <c:v>45142</c:v>
                </c:pt>
                <c:pt idx="101">
                  <c:v>45145</c:v>
                </c:pt>
                <c:pt idx="102">
                  <c:v>45146</c:v>
                </c:pt>
                <c:pt idx="103">
                  <c:v>45147</c:v>
                </c:pt>
                <c:pt idx="104">
                  <c:v>45148</c:v>
                </c:pt>
                <c:pt idx="105">
                  <c:v>45149</c:v>
                </c:pt>
                <c:pt idx="106">
                  <c:v>45152</c:v>
                </c:pt>
                <c:pt idx="107">
                  <c:v>45153</c:v>
                </c:pt>
                <c:pt idx="108">
                  <c:v>45154</c:v>
                </c:pt>
                <c:pt idx="109">
                  <c:v>45155</c:v>
                </c:pt>
                <c:pt idx="110">
                  <c:v>45156</c:v>
                </c:pt>
                <c:pt idx="111">
                  <c:v>45159</c:v>
                </c:pt>
                <c:pt idx="112">
                  <c:v>45160</c:v>
                </c:pt>
                <c:pt idx="113">
                  <c:v>45161</c:v>
                </c:pt>
                <c:pt idx="114">
                  <c:v>45162</c:v>
                </c:pt>
                <c:pt idx="115">
                  <c:v>45163</c:v>
                </c:pt>
                <c:pt idx="116">
                  <c:v>45166</c:v>
                </c:pt>
                <c:pt idx="117">
                  <c:v>45167</c:v>
                </c:pt>
                <c:pt idx="118">
                  <c:v>45168</c:v>
                </c:pt>
                <c:pt idx="119">
                  <c:v>45169</c:v>
                </c:pt>
                <c:pt idx="120">
                  <c:v>45170</c:v>
                </c:pt>
                <c:pt idx="121">
                  <c:v>45173</c:v>
                </c:pt>
                <c:pt idx="122">
                  <c:v>45174</c:v>
                </c:pt>
                <c:pt idx="123">
                  <c:v>45175</c:v>
                </c:pt>
                <c:pt idx="124">
                  <c:v>45176</c:v>
                </c:pt>
                <c:pt idx="125">
                  <c:v>45177</c:v>
                </c:pt>
                <c:pt idx="126">
                  <c:v>45180</c:v>
                </c:pt>
                <c:pt idx="127">
                  <c:v>45181</c:v>
                </c:pt>
                <c:pt idx="128">
                  <c:v>45182</c:v>
                </c:pt>
                <c:pt idx="129">
                  <c:v>45183</c:v>
                </c:pt>
                <c:pt idx="130">
                  <c:v>45184</c:v>
                </c:pt>
                <c:pt idx="131">
                  <c:v>45187</c:v>
                </c:pt>
                <c:pt idx="132">
                  <c:v>45188</c:v>
                </c:pt>
                <c:pt idx="133">
                  <c:v>45189</c:v>
                </c:pt>
                <c:pt idx="134">
                  <c:v>45190</c:v>
                </c:pt>
                <c:pt idx="135">
                  <c:v>45191</c:v>
                </c:pt>
                <c:pt idx="136">
                  <c:v>45194</c:v>
                </c:pt>
                <c:pt idx="137">
                  <c:v>45195</c:v>
                </c:pt>
                <c:pt idx="138">
                  <c:v>45196</c:v>
                </c:pt>
                <c:pt idx="139">
                  <c:v>45197</c:v>
                </c:pt>
                <c:pt idx="140">
                  <c:v>45198</c:v>
                </c:pt>
                <c:pt idx="141">
                  <c:v>45201</c:v>
                </c:pt>
                <c:pt idx="142">
                  <c:v>45202</c:v>
                </c:pt>
                <c:pt idx="143">
                  <c:v>45203</c:v>
                </c:pt>
                <c:pt idx="144">
                  <c:v>45204</c:v>
                </c:pt>
                <c:pt idx="145">
                  <c:v>45205</c:v>
                </c:pt>
                <c:pt idx="146">
                  <c:v>45208</c:v>
                </c:pt>
                <c:pt idx="147">
                  <c:v>45209</c:v>
                </c:pt>
                <c:pt idx="148">
                  <c:v>45210</c:v>
                </c:pt>
                <c:pt idx="149">
                  <c:v>45211</c:v>
                </c:pt>
                <c:pt idx="150">
                  <c:v>45212</c:v>
                </c:pt>
                <c:pt idx="151">
                  <c:v>45215</c:v>
                </c:pt>
                <c:pt idx="152">
                  <c:v>45216</c:v>
                </c:pt>
                <c:pt idx="153">
                  <c:v>45217</c:v>
                </c:pt>
                <c:pt idx="154">
                  <c:v>45218</c:v>
                </c:pt>
                <c:pt idx="155">
                  <c:v>45219</c:v>
                </c:pt>
                <c:pt idx="156">
                  <c:v>45222</c:v>
                </c:pt>
                <c:pt idx="157">
                  <c:v>45223</c:v>
                </c:pt>
                <c:pt idx="158">
                  <c:v>45224</c:v>
                </c:pt>
                <c:pt idx="159">
                  <c:v>45225</c:v>
                </c:pt>
                <c:pt idx="160">
                  <c:v>45226</c:v>
                </c:pt>
                <c:pt idx="161">
                  <c:v>45229</c:v>
                </c:pt>
                <c:pt idx="162">
                  <c:v>45230</c:v>
                </c:pt>
                <c:pt idx="163">
                  <c:v>45231</c:v>
                </c:pt>
                <c:pt idx="164">
                  <c:v>45233</c:v>
                </c:pt>
                <c:pt idx="165">
                  <c:v>45236</c:v>
                </c:pt>
                <c:pt idx="166">
                  <c:v>45237</c:v>
                </c:pt>
                <c:pt idx="167">
                  <c:v>45238</c:v>
                </c:pt>
                <c:pt idx="168">
                  <c:v>45239</c:v>
                </c:pt>
                <c:pt idx="169">
                  <c:v>45240</c:v>
                </c:pt>
                <c:pt idx="170">
                  <c:v>45243</c:v>
                </c:pt>
                <c:pt idx="171">
                  <c:v>45244</c:v>
                </c:pt>
                <c:pt idx="172">
                  <c:v>45245</c:v>
                </c:pt>
                <c:pt idx="173">
                  <c:v>45246</c:v>
                </c:pt>
                <c:pt idx="174">
                  <c:v>45247</c:v>
                </c:pt>
                <c:pt idx="175">
                  <c:v>45251</c:v>
                </c:pt>
                <c:pt idx="176">
                  <c:v>45252</c:v>
                </c:pt>
                <c:pt idx="177">
                  <c:v>45253</c:v>
                </c:pt>
                <c:pt idx="178">
                  <c:v>45254</c:v>
                </c:pt>
                <c:pt idx="179">
                  <c:v>45257</c:v>
                </c:pt>
                <c:pt idx="180">
                  <c:v>45258</c:v>
                </c:pt>
                <c:pt idx="181">
                  <c:v>45259</c:v>
                </c:pt>
                <c:pt idx="182">
                  <c:v>45260</c:v>
                </c:pt>
                <c:pt idx="183">
                  <c:v>45261</c:v>
                </c:pt>
                <c:pt idx="184">
                  <c:v>45264</c:v>
                </c:pt>
                <c:pt idx="185">
                  <c:v>45265</c:v>
                </c:pt>
                <c:pt idx="186">
                  <c:v>45266</c:v>
                </c:pt>
                <c:pt idx="187">
                  <c:v>45267</c:v>
                </c:pt>
                <c:pt idx="188">
                  <c:v>45268</c:v>
                </c:pt>
                <c:pt idx="189">
                  <c:v>45271</c:v>
                </c:pt>
                <c:pt idx="190">
                  <c:v>45273</c:v>
                </c:pt>
                <c:pt idx="191">
                  <c:v>45274</c:v>
                </c:pt>
                <c:pt idx="192">
                  <c:v>45275</c:v>
                </c:pt>
                <c:pt idx="193">
                  <c:v>45278</c:v>
                </c:pt>
                <c:pt idx="194">
                  <c:v>45279</c:v>
                </c:pt>
                <c:pt idx="195">
                  <c:v>45280</c:v>
                </c:pt>
                <c:pt idx="196">
                  <c:v>45281</c:v>
                </c:pt>
                <c:pt idx="197">
                  <c:v>45282</c:v>
                </c:pt>
                <c:pt idx="198">
                  <c:v>45286</c:v>
                </c:pt>
                <c:pt idx="199">
                  <c:v>45287</c:v>
                </c:pt>
                <c:pt idx="200">
                  <c:v>45288</c:v>
                </c:pt>
                <c:pt idx="201">
                  <c:v>45289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45299</c:v>
                </c:pt>
                <c:pt idx="207">
                  <c:v>45300</c:v>
                </c:pt>
                <c:pt idx="208">
                  <c:v>45301</c:v>
                </c:pt>
                <c:pt idx="209">
                  <c:v>45302</c:v>
                </c:pt>
                <c:pt idx="210">
                  <c:v>45303</c:v>
                </c:pt>
                <c:pt idx="211">
                  <c:v>45306</c:v>
                </c:pt>
                <c:pt idx="212">
                  <c:v>45307</c:v>
                </c:pt>
                <c:pt idx="213">
                  <c:v>45308</c:v>
                </c:pt>
                <c:pt idx="214">
                  <c:v>45309</c:v>
                </c:pt>
                <c:pt idx="215">
                  <c:v>45310</c:v>
                </c:pt>
                <c:pt idx="216">
                  <c:v>45313</c:v>
                </c:pt>
                <c:pt idx="217">
                  <c:v>45314</c:v>
                </c:pt>
                <c:pt idx="218">
                  <c:v>45315</c:v>
                </c:pt>
                <c:pt idx="219">
                  <c:v>45316</c:v>
                </c:pt>
                <c:pt idx="220">
                  <c:v>45317</c:v>
                </c:pt>
                <c:pt idx="221">
                  <c:v>45320</c:v>
                </c:pt>
                <c:pt idx="222">
                  <c:v>45321</c:v>
                </c:pt>
                <c:pt idx="223">
                  <c:v>45322</c:v>
                </c:pt>
                <c:pt idx="224">
                  <c:v>45323</c:v>
                </c:pt>
                <c:pt idx="225">
                  <c:v>45324</c:v>
                </c:pt>
                <c:pt idx="226">
                  <c:v>45328</c:v>
                </c:pt>
                <c:pt idx="227">
                  <c:v>45329</c:v>
                </c:pt>
                <c:pt idx="228">
                  <c:v>45330</c:v>
                </c:pt>
                <c:pt idx="229">
                  <c:v>45331</c:v>
                </c:pt>
                <c:pt idx="230">
                  <c:v>45334</c:v>
                </c:pt>
                <c:pt idx="231">
                  <c:v>45335</c:v>
                </c:pt>
                <c:pt idx="232">
                  <c:v>45336</c:v>
                </c:pt>
                <c:pt idx="233">
                  <c:v>45337</c:v>
                </c:pt>
                <c:pt idx="234">
                  <c:v>45338</c:v>
                </c:pt>
                <c:pt idx="235">
                  <c:v>45341</c:v>
                </c:pt>
                <c:pt idx="236">
                  <c:v>45342</c:v>
                </c:pt>
                <c:pt idx="237">
                  <c:v>45343</c:v>
                </c:pt>
                <c:pt idx="238">
                  <c:v>45344</c:v>
                </c:pt>
                <c:pt idx="239">
                  <c:v>45345</c:v>
                </c:pt>
                <c:pt idx="240">
                  <c:v>45348</c:v>
                </c:pt>
                <c:pt idx="241">
                  <c:v>45349</c:v>
                </c:pt>
                <c:pt idx="242">
                  <c:v>45350</c:v>
                </c:pt>
                <c:pt idx="243">
                  <c:v>45351</c:v>
                </c:pt>
                <c:pt idx="244">
                  <c:v>45352</c:v>
                </c:pt>
                <c:pt idx="245">
                  <c:v>45355</c:v>
                </c:pt>
                <c:pt idx="246">
                  <c:v>45356</c:v>
                </c:pt>
                <c:pt idx="247">
                  <c:v>45357</c:v>
                </c:pt>
                <c:pt idx="248">
                  <c:v>45358</c:v>
                </c:pt>
                <c:pt idx="249">
                  <c:v>45359</c:v>
                </c:pt>
                <c:pt idx="250">
                  <c:v>45362</c:v>
                </c:pt>
                <c:pt idx="251">
                  <c:v>45363</c:v>
                </c:pt>
                <c:pt idx="252">
                  <c:v>45364</c:v>
                </c:pt>
                <c:pt idx="253">
                  <c:v>45365</c:v>
                </c:pt>
                <c:pt idx="254">
                  <c:v>45366</c:v>
                </c:pt>
                <c:pt idx="255">
                  <c:v>45370</c:v>
                </c:pt>
                <c:pt idx="256">
                  <c:v>45371</c:v>
                </c:pt>
                <c:pt idx="257">
                  <c:v>45372</c:v>
                </c:pt>
                <c:pt idx="258">
                  <c:v>45373</c:v>
                </c:pt>
                <c:pt idx="259">
                  <c:v>45376</c:v>
                </c:pt>
                <c:pt idx="260">
                  <c:v>45377</c:v>
                </c:pt>
                <c:pt idx="261">
                  <c:v>45378</c:v>
                </c:pt>
                <c:pt idx="262">
                  <c:v>45383</c:v>
                </c:pt>
                <c:pt idx="263">
                  <c:v>45384</c:v>
                </c:pt>
                <c:pt idx="264">
                  <c:v>45385</c:v>
                </c:pt>
                <c:pt idx="265">
                  <c:v>45386</c:v>
                </c:pt>
                <c:pt idx="266">
                  <c:v>45387</c:v>
                </c:pt>
                <c:pt idx="267">
                  <c:v>45390</c:v>
                </c:pt>
                <c:pt idx="268">
                  <c:v>45391</c:v>
                </c:pt>
                <c:pt idx="269">
                  <c:v>45392</c:v>
                </c:pt>
                <c:pt idx="270">
                  <c:v>45393</c:v>
                </c:pt>
                <c:pt idx="271">
                  <c:v>45394</c:v>
                </c:pt>
                <c:pt idx="272">
                  <c:v>45397</c:v>
                </c:pt>
                <c:pt idx="273">
                  <c:v>45398</c:v>
                </c:pt>
                <c:pt idx="274">
                  <c:v>45399</c:v>
                </c:pt>
                <c:pt idx="275">
                  <c:v>45400</c:v>
                </c:pt>
                <c:pt idx="276">
                  <c:v>45401</c:v>
                </c:pt>
                <c:pt idx="277">
                  <c:v>45404</c:v>
                </c:pt>
                <c:pt idx="278">
                  <c:v>45405</c:v>
                </c:pt>
                <c:pt idx="279">
                  <c:v>45406</c:v>
                </c:pt>
                <c:pt idx="280">
                  <c:v>45407</c:v>
                </c:pt>
                <c:pt idx="281">
                  <c:v>45408</c:v>
                </c:pt>
                <c:pt idx="282">
                  <c:v>45411</c:v>
                </c:pt>
                <c:pt idx="283">
                  <c:v>45412</c:v>
                </c:pt>
                <c:pt idx="284">
                  <c:v>45414</c:v>
                </c:pt>
                <c:pt idx="285">
                  <c:v>45415</c:v>
                </c:pt>
                <c:pt idx="286">
                  <c:v>45418</c:v>
                </c:pt>
                <c:pt idx="287">
                  <c:v>45419</c:v>
                </c:pt>
                <c:pt idx="288">
                  <c:v>45420</c:v>
                </c:pt>
                <c:pt idx="289">
                  <c:v>45421</c:v>
                </c:pt>
                <c:pt idx="290">
                  <c:v>45422</c:v>
                </c:pt>
                <c:pt idx="291">
                  <c:v>45425</c:v>
                </c:pt>
                <c:pt idx="292">
                  <c:v>45426</c:v>
                </c:pt>
                <c:pt idx="293">
                  <c:v>45427</c:v>
                </c:pt>
                <c:pt idx="294">
                  <c:v>45428</c:v>
                </c:pt>
                <c:pt idx="295">
                  <c:v>45429</c:v>
                </c:pt>
                <c:pt idx="296">
                  <c:v>45432</c:v>
                </c:pt>
                <c:pt idx="297">
                  <c:v>45433</c:v>
                </c:pt>
                <c:pt idx="298">
                  <c:v>45434</c:v>
                </c:pt>
                <c:pt idx="299">
                  <c:v>45435</c:v>
                </c:pt>
                <c:pt idx="300">
                  <c:v>45436</c:v>
                </c:pt>
                <c:pt idx="301">
                  <c:v>45439</c:v>
                </c:pt>
                <c:pt idx="302">
                  <c:v>45440</c:v>
                </c:pt>
                <c:pt idx="303">
                  <c:v>45441</c:v>
                </c:pt>
                <c:pt idx="304">
                  <c:v>45442</c:v>
                </c:pt>
                <c:pt idx="305">
                  <c:v>45443</c:v>
                </c:pt>
                <c:pt idx="306">
                  <c:v>45446</c:v>
                </c:pt>
                <c:pt idx="307">
                  <c:v>45447</c:v>
                </c:pt>
                <c:pt idx="308">
                  <c:v>45448</c:v>
                </c:pt>
                <c:pt idx="309">
                  <c:v>45449</c:v>
                </c:pt>
                <c:pt idx="310">
                  <c:v>45450</c:v>
                </c:pt>
                <c:pt idx="311">
                  <c:v>45453</c:v>
                </c:pt>
                <c:pt idx="312">
                  <c:v>45454</c:v>
                </c:pt>
                <c:pt idx="313">
                  <c:v>45455</c:v>
                </c:pt>
                <c:pt idx="314">
                  <c:v>45456</c:v>
                </c:pt>
                <c:pt idx="315">
                  <c:v>45457</c:v>
                </c:pt>
                <c:pt idx="316">
                  <c:v>45460</c:v>
                </c:pt>
                <c:pt idx="317">
                  <c:v>45461</c:v>
                </c:pt>
                <c:pt idx="318">
                  <c:v>45462</c:v>
                </c:pt>
                <c:pt idx="319">
                  <c:v>45463</c:v>
                </c:pt>
                <c:pt idx="320">
                  <c:v>45464</c:v>
                </c:pt>
                <c:pt idx="321">
                  <c:v>45467</c:v>
                </c:pt>
                <c:pt idx="322">
                  <c:v>45468</c:v>
                </c:pt>
                <c:pt idx="323">
                  <c:v>45469</c:v>
                </c:pt>
                <c:pt idx="324">
                  <c:v>45470</c:v>
                </c:pt>
                <c:pt idx="325">
                  <c:v>45471</c:v>
                </c:pt>
                <c:pt idx="326">
                  <c:v>45474</c:v>
                </c:pt>
                <c:pt idx="327">
                  <c:v>45475</c:v>
                </c:pt>
                <c:pt idx="328">
                  <c:v>45476</c:v>
                </c:pt>
                <c:pt idx="329">
                  <c:v>45477</c:v>
                </c:pt>
                <c:pt idx="330">
                  <c:v>45478</c:v>
                </c:pt>
                <c:pt idx="331">
                  <c:v>45481</c:v>
                </c:pt>
                <c:pt idx="332">
                  <c:v>45482</c:v>
                </c:pt>
                <c:pt idx="333">
                  <c:v>45483</c:v>
                </c:pt>
                <c:pt idx="334">
                  <c:v>45484</c:v>
                </c:pt>
                <c:pt idx="335">
                  <c:v>45485</c:v>
                </c:pt>
                <c:pt idx="336">
                  <c:v>45488</c:v>
                </c:pt>
                <c:pt idx="337">
                  <c:v>45489</c:v>
                </c:pt>
                <c:pt idx="338">
                  <c:v>45490</c:v>
                </c:pt>
                <c:pt idx="339">
                  <c:v>45491</c:v>
                </c:pt>
                <c:pt idx="340">
                  <c:v>45492</c:v>
                </c:pt>
                <c:pt idx="341">
                  <c:v>45495</c:v>
                </c:pt>
                <c:pt idx="342">
                  <c:v>45496</c:v>
                </c:pt>
                <c:pt idx="343">
                  <c:v>45497</c:v>
                </c:pt>
                <c:pt idx="344">
                  <c:v>45498</c:v>
                </c:pt>
                <c:pt idx="345">
                  <c:v>45499</c:v>
                </c:pt>
                <c:pt idx="346">
                  <c:v>45502</c:v>
                </c:pt>
                <c:pt idx="347">
                  <c:v>45503</c:v>
                </c:pt>
                <c:pt idx="348">
                  <c:v>45504</c:v>
                </c:pt>
                <c:pt idx="349">
                  <c:v>45505</c:v>
                </c:pt>
                <c:pt idx="350">
                  <c:v>45506</c:v>
                </c:pt>
                <c:pt idx="351">
                  <c:v>45509</c:v>
                </c:pt>
                <c:pt idx="352">
                  <c:v>45510</c:v>
                </c:pt>
                <c:pt idx="353">
                  <c:v>45511</c:v>
                </c:pt>
                <c:pt idx="354">
                  <c:v>45512</c:v>
                </c:pt>
                <c:pt idx="355">
                  <c:v>45513</c:v>
                </c:pt>
                <c:pt idx="356">
                  <c:v>45516</c:v>
                </c:pt>
                <c:pt idx="357">
                  <c:v>45517</c:v>
                </c:pt>
                <c:pt idx="358">
                  <c:v>45518</c:v>
                </c:pt>
                <c:pt idx="359">
                  <c:v>45519</c:v>
                </c:pt>
                <c:pt idx="360">
                  <c:v>45520</c:v>
                </c:pt>
                <c:pt idx="361">
                  <c:v>45523</c:v>
                </c:pt>
                <c:pt idx="362">
                  <c:v>45524</c:v>
                </c:pt>
                <c:pt idx="363">
                  <c:v>45525</c:v>
                </c:pt>
                <c:pt idx="364">
                  <c:v>45526</c:v>
                </c:pt>
                <c:pt idx="365">
                  <c:v>45527</c:v>
                </c:pt>
                <c:pt idx="366">
                  <c:v>45530</c:v>
                </c:pt>
                <c:pt idx="367">
                  <c:v>45531</c:v>
                </c:pt>
                <c:pt idx="368">
                  <c:v>45532</c:v>
                </c:pt>
                <c:pt idx="369">
                  <c:v>45533</c:v>
                </c:pt>
                <c:pt idx="370">
                  <c:v>45534</c:v>
                </c:pt>
                <c:pt idx="371">
                  <c:v>45537</c:v>
                </c:pt>
                <c:pt idx="372">
                  <c:v>45538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45552</c:v>
                </c:pt>
                <c:pt idx="382">
                  <c:v>45553</c:v>
                </c:pt>
                <c:pt idx="383">
                  <c:v>45554</c:v>
                </c:pt>
                <c:pt idx="384">
                  <c:v>45555</c:v>
                </c:pt>
                <c:pt idx="385">
                  <c:v>45558</c:v>
                </c:pt>
                <c:pt idx="386">
                  <c:v>45559</c:v>
                </c:pt>
                <c:pt idx="387">
                  <c:v>45560</c:v>
                </c:pt>
                <c:pt idx="388">
                  <c:v>45561</c:v>
                </c:pt>
                <c:pt idx="389">
                  <c:v>45562</c:v>
                </c:pt>
                <c:pt idx="390">
                  <c:v>45565</c:v>
                </c:pt>
                <c:pt idx="391">
                  <c:v>45567</c:v>
                </c:pt>
                <c:pt idx="392">
                  <c:v>45568</c:v>
                </c:pt>
                <c:pt idx="393">
                  <c:v>45569</c:v>
                </c:pt>
                <c:pt idx="394">
                  <c:v>45572</c:v>
                </c:pt>
                <c:pt idx="395">
                  <c:v>45573</c:v>
                </c:pt>
                <c:pt idx="396">
                  <c:v>45574</c:v>
                </c:pt>
                <c:pt idx="397">
                  <c:v>45575</c:v>
                </c:pt>
                <c:pt idx="398">
                  <c:v>45576</c:v>
                </c:pt>
                <c:pt idx="399">
                  <c:v>45579</c:v>
                </c:pt>
                <c:pt idx="400">
                  <c:v>45580</c:v>
                </c:pt>
                <c:pt idx="401">
                  <c:v>45581</c:v>
                </c:pt>
                <c:pt idx="402">
                  <c:v>45582</c:v>
                </c:pt>
                <c:pt idx="403">
                  <c:v>45583</c:v>
                </c:pt>
                <c:pt idx="404">
                  <c:v>45586</c:v>
                </c:pt>
                <c:pt idx="405">
                  <c:v>45587</c:v>
                </c:pt>
                <c:pt idx="406">
                  <c:v>45588</c:v>
                </c:pt>
                <c:pt idx="407">
                  <c:v>45589</c:v>
                </c:pt>
                <c:pt idx="408">
                  <c:v>45590</c:v>
                </c:pt>
                <c:pt idx="409">
                  <c:v>45593</c:v>
                </c:pt>
                <c:pt idx="410">
                  <c:v>45594</c:v>
                </c:pt>
                <c:pt idx="411">
                  <c:v>45595</c:v>
                </c:pt>
                <c:pt idx="412">
                  <c:v>45596</c:v>
                </c:pt>
                <c:pt idx="413">
                  <c:v>45597</c:v>
                </c:pt>
                <c:pt idx="414">
                  <c:v>45600</c:v>
                </c:pt>
                <c:pt idx="415">
                  <c:v>45601</c:v>
                </c:pt>
                <c:pt idx="416">
                  <c:v>45602</c:v>
                </c:pt>
                <c:pt idx="417">
                  <c:v>45603</c:v>
                </c:pt>
                <c:pt idx="418">
                  <c:v>45604</c:v>
                </c:pt>
                <c:pt idx="419">
                  <c:v>45607</c:v>
                </c:pt>
                <c:pt idx="420">
                  <c:v>45608</c:v>
                </c:pt>
                <c:pt idx="421">
                  <c:v>45609</c:v>
                </c:pt>
                <c:pt idx="422">
                  <c:v>45610</c:v>
                </c:pt>
                <c:pt idx="423">
                  <c:v>45611</c:v>
                </c:pt>
                <c:pt idx="424">
                  <c:v>45615</c:v>
                </c:pt>
                <c:pt idx="425">
                  <c:v>45616</c:v>
                </c:pt>
                <c:pt idx="426">
                  <c:v>45617</c:v>
                </c:pt>
                <c:pt idx="427">
                  <c:v>45618</c:v>
                </c:pt>
                <c:pt idx="428">
                  <c:v>45621</c:v>
                </c:pt>
                <c:pt idx="429">
                  <c:v>45622</c:v>
                </c:pt>
                <c:pt idx="430">
                  <c:v>45623</c:v>
                </c:pt>
                <c:pt idx="431">
                  <c:v>45624</c:v>
                </c:pt>
                <c:pt idx="432">
                  <c:v>45625</c:v>
                </c:pt>
                <c:pt idx="433">
                  <c:v>45628</c:v>
                </c:pt>
                <c:pt idx="434">
                  <c:v>45629</c:v>
                </c:pt>
                <c:pt idx="435">
                  <c:v>45630</c:v>
                </c:pt>
                <c:pt idx="436">
                  <c:v>45631</c:v>
                </c:pt>
                <c:pt idx="437">
                  <c:v>45632</c:v>
                </c:pt>
                <c:pt idx="438">
                  <c:v>45635</c:v>
                </c:pt>
                <c:pt idx="439">
                  <c:v>45636</c:v>
                </c:pt>
                <c:pt idx="440">
                  <c:v>45637</c:v>
                </c:pt>
                <c:pt idx="441">
                  <c:v>45639</c:v>
                </c:pt>
                <c:pt idx="442">
                  <c:v>45642</c:v>
                </c:pt>
                <c:pt idx="443">
                  <c:v>45643</c:v>
                </c:pt>
                <c:pt idx="444">
                  <c:v>45644</c:v>
                </c:pt>
                <c:pt idx="445">
                  <c:v>45645</c:v>
                </c:pt>
                <c:pt idx="446">
                  <c:v>45646</c:v>
                </c:pt>
                <c:pt idx="447">
                  <c:v>45649</c:v>
                </c:pt>
                <c:pt idx="448">
                  <c:v>45650</c:v>
                </c:pt>
                <c:pt idx="449">
                  <c:v>45652</c:v>
                </c:pt>
                <c:pt idx="450">
                  <c:v>45653</c:v>
                </c:pt>
                <c:pt idx="451">
                  <c:v>45656</c:v>
                </c:pt>
                <c:pt idx="452">
                  <c:v>45657</c:v>
                </c:pt>
                <c:pt idx="453">
                  <c:v>45659</c:v>
                </c:pt>
                <c:pt idx="454">
                  <c:v>45660</c:v>
                </c:pt>
                <c:pt idx="455">
                  <c:v>45663</c:v>
                </c:pt>
                <c:pt idx="456">
                  <c:v>45664</c:v>
                </c:pt>
                <c:pt idx="457">
                  <c:v>45665</c:v>
                </c:pt>
                <c:pt idx="458">
                  <c:v>45666</c:v>
                </c:pt>
                <c:pt idx="459">
                  <c:v>45667</c:v>
                </c:pt>
                <c:pt idx="460">
                  <c:v>45670</c:v>
                </c:pt>
                <c:pt idx="461">
                  <c:v>45671</c:v>
                </c:pt>
                <c:pt idx="462">
                  <c:v>45672</c:v>
                </c:pt>
                <c:pt idx="463">
                  <c:v>45673</c:v>
                </c:pt>
                <c:pt idx="464">
                  <c:v>45674</c:v>
                </c:pt>
                <c:pt idx="465">
                  <c:v>45677</c:v>
                </c:pt>
                <c:pt idx="466">
                  <c:v>45678</c:v>
                </c:pt>
                <c:pt idx="467">
                  <c:v>45679</c:v>
                </c:pt>
                <c:pt idx="468">
                  <c:v>45680</c:v>
                </c:pt>
                <c:pt idx="469">
                  <c:v>45681</c:v>
                </c:pt>
                <c:pt idx="470">
                  <c:v>45684</c:v>
                </c:pt>
                <c:pt idx="471">
                  <c:v>45685</c:v>
                </c:pt>
                <c:pt idx="472">
                  <c:v>45686</c:v>
                </c:pt>
                <c:pt idx="473">
                  <c:v>45687</c:v>
                </c:pt>
                <c:pt idx="474">
                  <c:v>45688</c:v>
                </c:pt>
                <c:pt idx="475">
                  <c:v>45692</c:v>
                </c:pt>
                <c:pt idx="476">
                  <c:v>45693</c:v>
                </c:pt>
                <c:pt idx="477">
                  <c:v>45694</c:v>
                </c:pt>
                <c:pt idx="478">
                  <c:v>45695</c:v>
                </c:pt>
                <c:pt idx="479">
                  <c:v>45698</c:v>
                </c:pt>
                <c:pt idx="480">
                  <c:v>45699</c:v>
                </c:pt>
                <c:pt idx="481">
                  <c:v>45700</c:v>
                </c:pt>
                <c:pt idx="482">
                  <c:v>45701</c:v>
                </c:pt>
                <c:pt idx="483">
                  <c:v>45702</c:v>
                </c:pt>
                <c:pt idx="484">
                  <c:v>45705</c:v>
                </c:pt>
                <c:pt idx="485">
                  <c:v>45706</c:v>
                </c:pt>
                <c:pt idx="486">
                  <c:v>45707</c:v>
                </c:pt>
                <c:pt idx="487">
                  <c:v>45708</c:v>
                </c:pt>
                <c:pt idx="488">
                  <c:v>45709</c:v>
                </c:pt>
                <c:pt idx="489">
                  <c:v>45712</c:v>
                </c:pt>
                <c:pt idx="490">
                  <c:v>45713</c:v>
                </c:pt>
                <c:pt idx="491">
                  <c:v>45714</c:v>
                </c:pt>
                <c:pt idx="492">
                  <c:v>45715</c:v>
                </c:pt>
                <c:pt idx="493">
                  <c:v>45716</c:v>
                </c:pt>
                <c:pt idx="494">
                  <c:v>45719</c:v>
                </c:pt>
                <c:pt idx="495">
                  <c:v>45720</c:v>
                </c:pt>
                <c:pt idx="496">
                  <c:v>45721</c:v>
                </c:pt>
                <c:pt idx="497">
                  <c:v>45722</c:v>
                </c:pt>
                <c:pt idx="498">
                  <c:v>45723</c:v>
                </c:pt>
                <c:pt idx="499">
                  <c:v>45726</c:v>
                </c:pt>
                <c:pt idx="500">
                  <c:v>45727</c:v>
                </c:pt>
                <c:pt idx="501">
                  <c:v>45728</c:v>
                </c:pt>
                <c:pt idx="502">
                  <c:v>45729</c:v>
                </c:pt>
                <c:pt idx="503">
                  <c:v>45730</c:v>
                </c:pt>
                <c:pt idx="504">
                  <c:v>45734</c:v>
                </c:pt>
                <c:pt idx="505">
                  <c:v>45735</c:v>
                </c:pt>
                <c:pt idx="506">
                  <c:v>45736</c:v>
                </c:pt>
                <c:pt idx="507">
                  <c:v>45737</c:v>
                </c:pt>
                <c:pt idx="508">
                  <c:v>45740</c:v>
                </c:pt>
                <c:pt idx="509">
                  <c:v>45741</c:v>
                </c:pt>
                <c:pt idx="510">
                  <c:v>45742</c:v>
                </c:pt>
                <c:pt idx="511">
                  <c:v>45743</c:v>
                </c:pt>
                <c:pt idx="512">
                  <c:v>45744</c:v>
                </c:pt>
                <c:pt idx="513">
                  <c:v>45747</c:v>
                </c:pt>
                <c:pt idx="514">
                  <c:v>45748</c:v>
                </c:pt>
                <c:pt idx="515">
                  <c:v>45749</c:v>
                </c:pt>
                <c:pt idx="516">
                  <c:v>45750</c:v>
                </c:pt>
                <c:pt idx="517">
                  <c:v>45751</c:v>
                </c:pt>
                <c:pt idx="518">
                  <c:v>45754</c:v>
                </c:pt>
                <c:pt idx="519">
                  <c:v>45755</c:v>
                </c:pt>
                <c:pt idx="520">
                  <c:v>45756</c:v>
                </c:pt>
                <c:pt idx="521">
                  <c:v>45757</c:v>
                </c:pt>
                <c:pt idx="522">
                  <c:v>45758</c:v>
                </c:pt>
                <c:pt idx="523">
                  <c:v>45761</c:v>
                </c:pt>
                <c:pt idx="524">
                  <c:v>45762</c:v>
                </c:pt>
                <c:pt idx="525">
                  <c:v>45763</c:v>
                </c:pt>
                <c:pt idx="526">
                  <c:v>45768</c:v>
                </c:pt>
                <c:pt idx="527">
                  <c:v>45769</c:v>
                </c:pt>
                <c:pt idx="528">
                  <c:v>45770</c:v>
                </c:pt>
                <c:pt idx="529">
                  <c:v>45771</c:v>
                </c:pt>
                <c:pt idx="530">
                  <c:v>45772</c:v>
                </c:pt>
                <c:pt idx="531">
                  <c:v>45775</c:v>
                </c:pt>
                <c:pt idx="532">
                  <c:v>45776</c:v>
                </c:pt>
                <c:pt idx="533">
                  <c:v>45777</c:v>
                </c:pt>
                <c:pt idx="534">
                  <c:v>45779</c:v>
                </c:pt>
                <c:pt idx="535">
                  <c:v>45782</c:v>
                </c:pt>
                <c:pt idx="536">
                  <c:v>45783</c:v>
                </c:pt>
                <c:pt idx="537">
                  <c:v>45784</c:v>
                </c:pt>
                <c:pt idx="538">
                  <c:v>45785</c:v>
                </c:pt>
                <c:pt idx="539">
                  <c:v>45786</c:v>
                </c:pt>
                <c:pt idx="540">
                  <c:v>45789</c:v>
                </c:pt>
                <c:pt idx="541">
                  <c:v>45790</c:v>
                </c:pt>
                <c:pt idx="542">
                  <c:v>45791</c:v>
                </c:pt>
                <c:pt idx="543">
                  <c:v>45792</c:v>
                </c:pt>
                <c:pt idx="544">
                  <c:v>45793</c:v>
                </c:pt>
                <c:pt idx="545">
                  <c:v>45796</c:v>
                </c:pt>
                <c:pt idx="546">
                  <c:v>45797</c:v>
                </c:pt>
                <c:pt idx="547">
                  <c:v>45798</c:v>
                </c:pt>
                <c:pt idx="548">
                  <c:v>45799</c:v>
                </c:pt>
                <c:pt idx="549">
                  <c:v>45800</c:v>
                </c:pt>
                <c:pt idx="550">
                  <c:v>45803</c:v>
                </c:pt>
                <c:pt idx="551">
                  <c:v>45804</c:v>
                </c:pt>
                <c:pt idx="552">
                  <c:v>45805</c:v>
                </c:pt>
                <c:pt idx="553">
                  <c:v>45806</c:v>
                </c:pt>
                <c:pt idx="554">
                  <c:v>45807</c:v>
                </c:pt>
                <c:pt idx="555">
                  <c:v>45810</c:v>
                </c:pt>
                <c:pt idx="556">
                  <c:v>45811</c:v>
                </c:pt>
                <c:pt idx="557">
                  <c:v>45812</c:v>
                </c:pt>
                <c:pt idx="558">
                  <c:v>45813</c:v>
                </c:pt>
                <c:pt idx="559">
                  <c:v>45814</c:v>
                </c:pt>
                <c:pt idx="560">
                  <c:v>45817</c:v>
                </c:pt>
                <c:pt idx="561">
                  <c:v>45818</c:v>
                </c:pt>
                <c:pt idx="562">
                  <c:v>45819</c:v>
                </c:pt>
                <c:pt idx="563">
                  <c:v>45820</c:v>
                </c:pt>
                <c:pt idx="564">
                  <c:v>45821</c:v>
                </c:pt>
                <c:pt idx="565">
                  <c:v>45824</c:v>
                </c:pt>
                <c:pt idx="566">
                  <c:v>45825</c:v>
                </c:pt>
                <c:pt idx="567">
                  <c:v>45826</c:v>
                </c:pt>
                <c:pt idx="568">
                  <c:v>45827</c:v>
                </c:pt>
                <c:pt idx="569">
                  <c:v>45828</c:v>
                </c:pt>
                <c:pt idx="570">
                  <c:v>45831</c:v>
                </c:pt>
                <c:pt idx="571">
                  <c:v>45832</c:v>
                </c:pt>
                <c:pt idx="572">
                  <c:v>45833</c:v>
                </c:pt>
                <c:pt idx="573">
                  <c:v>45834</c:v>
                </c:pt>
                <c:pt idx="574">
                  <c:v>45835</c:v>
                </c:pt>
                <c:pt idx="575">
                  <c:v>45838</c:v>
                </c:pt>
                <c:pt idx="576">
                  <c:v>45839</c:v>
                </c:pt>
                <c:pt idx="577">
                  <c:v>45840</c:v>
                </c:pt>
                <c:pt idx="578">
                  <c:v>45841</c:v>
                </c:pt>
                <c:pt idx="579">
                  <c:v>45842</c:v>
                </c:pt>
                <c:pt idx="580">
                  <c:v>45845</c:v>
                </c:pt>
                <c:pt idx="581">
                  <c:v>45846</c:v>
                </c:pt>
                <c:pt idx="582">
                  <c:v>45847</c:v>
                </c:pt>
                <c:pt idx="583">
                  <c:v>45848</c:v>
                </c:pt>
                <c:pt idx="584">
                  <c:v>45849</c:v>
                </c:pt>
                <c:pt idx="585">
                  <c:v>45852</c:v>
                </c:pt>
                <c:pt idx="586">
                  <c:v>45853</c:v>
                </c:pt>
                <c:pt idx="587">
                  <c:v>45854</c:v>
                </c:pt>
                <c:pt idx="588">
                  <c:v>45855</c:v>
                </c:pt>
                <c:pt idx="589">
                  <c:v>45856</c:v>
                </c:pt>
                <c:pt idx="590">
                  <c:v>45859</c:v>
                </c:pt>
                <c:pt idx="591">
                  <c:v>45860</c:v>
                </c:pt>
                <c:pt idx="592">
                  <c:v>45861</c:v>
                </c:pt>
                <c:pt idx="593">
                  <c:v>45862</c:v>
                </c:pt>
                <c:pt idx="594">
                  <c:v>45863</c:v>
                </c:pt>
                <c:pt idx="595">
                  <c:v>45866</c:v>
                </c:pt>
                <c:pt idx="596">
                  <c:v>45867</c:v>
                </c:pt>
                <c:pt idx="597">
                  <c:v>45868</c:v>
                </c:pt>
                <c:pt idx="598">
                  <c:v>45869</c:v>
                </c:pt>
                <c:pt idx="599">
                  <c:v>45870</c:v>
                </c:pt>
                <c:pt idx="600">
                  <c:v>45873</c:v>
                </c:pt>
                <c:pt idx="601">
                  <c:v>45874</c:v>
                </c:pt>
                <c:pt idx="602">
                  <c:v>45875</c:v>
                </c:pt>
                <c:pt idx="603">
                  <c:v>45876</c:v>
                </c:pt>
                <c:pt idx="604">
                  <c:v>45877</c:v>
                </c:pt>
                <c:pt idx="605">
                  <c:v>45880</c:v>
                </c:pt>
                <c:pt idx="606">
                  <c:v>45881</c:v>
                </c:pt>
                <c:pt idx="607">
                  <c:v>45882</c:v>
                </c:pt>
                <c:pt idx="608">
                  <c:v>45883</c:v>
                </c:pt>
                <c:pt idx="609">
                  <c:v>45884</c:v>
                </c:pt>
                <c:pt idx="610">
                  <c:v>45887</c:v>
                </c:pt>
                <c:pt idx="611">
                  <c:v>45888</c:v>
                </c:pt>
                <c:pt idx="612">
                  <c:v>45889</c:v>
                </c:pt>
                <c:pt idx="613">
                  <c:v>45890</c:v>
                </c:pt>
                <c:pt idx="614">
                  <c:v>45891</c:v>
                </c:pt>
                <c:pt idx="615">
                  <c:v>45894</c:v>
                </c:pt>
                <c:pt idx="616">
                  <c:v>45895</c:v>
                </c:pt>
                <c:pt idx="617">
                  <c:v>45896</c:v>
                </c:pt>
                <c:pt idx="618">
                  <c:v>45897</c:v>
                </c:pt>
                <c:pt idx="619">
                  <c:v>45898</c:v>
                </c:pt>
                <c:pt idx="620">
                  <c:v>45901</c:v>
                </c:pt>
                <c:pt idx="621">
                  <c:v>45902</c:v>
                </c:pt>
                <c:pt idx="622">
                  <c:v>45903</c:v>
                </c:pt>
                <c:pt idx="623">
                  <c:v>45904</c:v>
                </c:pt>
                <c:pt idx="624">
                  <c:v>45905</c:v>
                </c:pt>
                <c:pt idx="625">
                  <c:v>45908</c:v>
                </c:pt>
                <c:pt idx="626">
                  <c:v>45909</c:v>
                </c:pt>
                <c:pt idx="627">
                  <c:v>45910</c:v>
                </c:pt>
                <c:pt idx="628">
                  <c:v>45911</c:v>
                </c:pt>
                <c:pt idx="629">
                  <c:v>45912</c:v>
                </c:pt>
                <c:pt idx="630">
                  <c:v>45915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45979</c:v>
                </c:pt>
                <c:pt idx="675">
                  <c:v>45980</c:v>
                </c:pt>
                <c:pt idx="676">
                  <c:v>45981</c:v>
                </c:pt>
                <c:pt idx="677">
                  <c:v>45982</c:v>
                </c:pt>
                <c:pt idx="678">
                  <c:v>45985</c:v>
                </c:pt>
                <c:pt idx="679">
                  <c:v>45986</c:v>
                </c:pt>
                <c:pt idx="680">
                  <c:v>45987</c:v>
                </c:pt>
                <c:pt idx="681">
                  <c:v>45988</c:v>
                </c:pt>
                <c:pt idx="682">
                  <c:v>45989</c:v>
                </c:pt>
                <c:pt idx="683">
                  <c:v>45992</c:v>
                </c:pt>
                <c:pt idx="684">
                  <c:v>45993</c:v>
                </c:pt>
                <c:pt idx="685">
                  <c:v>45994</c:v>
                </c:pt>
                <c:pt idx="686">
                  <c:v>45995</c:v>
                </c:pt>
                <c:pt idx="687">
                  <c:v>45996</c:v>
                </c:pt>
                <c:pt idx="688">
                  <c:v>45999</c:v>
                </c:pt>
                <c:pt idx="689">
                  <c:v>46000</c:v>
                </c:pt>
                <c:pt idx="690">
                  <c:v>46001</c:v>
                </c:pt>
                <c:pt idx="691">
                  <c:v>46002</c:v>
                </c:pt>
                <c:pt idx="692">
                  <c:v>46006</c:v>
                </c:pt>
                <c:pt idx="693">
                  <c:v>46007</c:v>
                </c:pt>
                <c:pt idx="694">
                  <c:v>46008</c:v>
                </c:pt>
                <c:pt idx="695">
                  <c:v>46009</c:v>
                </c:pt>
                <c:pt idx="696">
                  <c:v>46010</c:v>
                </c:pt>
                <c:pt idx="697">
                  <c:v>46013</c:v>
                </c:pt>
                <c:pt idx="698">
                  <c:v>46014</c:v>
                </c:pt>
                <c:pt idx="699">
                  <c:v>46015</c:v>
                </c:pt>
                <c:pt idx="700">
                  <c:v>46017</c:v>
                </c:pt>
                <c:pt idx="701">
                  <c:v>46020</c:v>
                </c:pt>
                <c:pt idx="702">
                  <c:v>46021</c:v>
                </c:pt>
                <c:pt idx="703">
                  <c:v>46022</c:v>
                </c:pt>
                <c:pt idx="704">
                  <c:v>46024</c:v>
                </c:pt>
                <c:pt idx="705">
                  <c:v>46027</c:v>
                </c:pt>
                <c:pt idx="706">
                  <c:v>46028</c:v>
                </c:pt>
                <c:pt idx="707">
                  <c:v>46029</c:v>
                </c:pt>
                <c:pt idx="708">
                  <c:v>46030</c:v>
                </c:pt>
                <c:pt idx="709">
                  <c:v>46031</c:v>
                </c:pt>
                <c:pt idx="710">
                  <c:v>46034</c:v>
                </c:pt>
                <c:pt idx="711">
                  <c:v>46035</c:v>
                </c:pt>
                <c:pt idx="712">
                  <c:v>46036</c:v>
                </c:pt>
                <c:pt idx="713">
                  <c:v>46037</c:v>
                </c:pt>
                <c:pt idx="714">
                  <c:v>46038</c:v>
                </c:pt>
                <c:pt idx="715">
                  <c:v>46041</c:v>
                </c:pt>
                <c:pt idx="716">
                  <c:v>46042</c:v>
                </c:pt>
                <c:pt idx="717">
                  <c:v>46043</c:v>
                </c:pt>
                <c:pt idx="718">
                  <c:v>46044</c:v>
                </c:pt>
                <c:pt idx="719">
                  <c:v>46045</c:v>
                </c:pt>
                <c:pt idx="720">
                  <c:v>46048</c:v>
                </c:pt>
                <c:pt idx="721">
                  <c:v>46049</c:v>
                </c:pt>
                <c:pt idx="722">
                  <c:v>46050</c:v>
                </c:pt>
                <c:pt idx="723">
                  <c:v>46051</c:v>
                </c:pt>
                <c:pt idx="724">
                  <c:v>46052</c:v>
                </c:pt>
                <c:pt idx="725">
                  <c:v>46056</c:v>
                </c:pt>
                <c:pt idx="726">
                  <c:v>46057</c:v>
                </c:pt>
                <c:pt idx="727">
                  <c:v>46058</c:v>
                </c:pt>
                <c:pt idx="728">
                  <c:v>46059</c:v>
                </c:pt>
                <c:pt idx="729">
                  <c:v>46062</c:v>
                </c:pt>
                <c:pt idx="730">
                  <c:v>46063</c:v>
                </c:pt>
                <c:pt idx="731">
                  <c:v>46064</c:v>
                </c:pt>
                <c:pt idx="732">
                  <c:v>46065</c:v>
                </c:pt>
                <c:pt idx="733">
                  <c:v>46066</c:v>
                </c:pt>
                <c:pt idx="734">
                  <c:v>46069</c:v>
                </c:pt>
                <c:pt idx="735">
                  <c:v>46070</c:v>
                </c:pt>
                <c:pt idx="736">
                  <c:v>46071</c:v>
                </c:pt>
                <c:pt idx="737">
                  <c:v>46072</c:v>
                </c:pt>
                <c:pt idx="738">
                  <c:v>46073</c:v>
                </c:pt>
                <c:pt idx="739">
                  <c:v>46076</c:v>
                </c:pt>
                <c:pt idx="740">
                  <c:v>46077</c:v>
                </c:pt>
                <c:pt idx="741">
                  <c:v>46078</c:v>
                </c:pt>
                <c:pt idx="742">
                  <c:v>46079</c:v>
                </c:pt>
                <c:pt idx="743">
                  <c:v>46080</c:v>
                </c:pt>
                <c:pt idx="744">
                  <c:v>46083</c:v>
                </c:pt>
                <c:pt idx="745">
                  <c:v>46084</c:v>
                </c:pt>
                <c:pt idx="746">
                  <c:v>46085</c:v>
                </c:pt>
                <c:pt idx="747">
                  <c:v>46086</c:v>
                </c:pt>
                <c:pt idx="748">
                  <c:v>46087</c:v>
                </c:pt>
                <c:pt idx="749">
                  <c:v>46090</c:v>
                </c:pt>
              </c:numCache>
            </c:numRef>
          </c:cat>
          <c:val>
            <c:numRef>
              <c:f>Acciones!$E$2:$E$751</c:f>
              <c:numCache>
                <c:formatCode>General</c:formatCode>
                <c:ptCount val="750"/>
                <c:pt idx="0">
                  <c:v>3.9000000953674299</c:v>
                </c:pt>
                <c:pt idx="1">
                  <c:v>3.9000000953674299</c:v>
                </c:pt>
                <c:pt idx="2">
                  <c:v>3.6900000572204501</c:v>
                </c:pt>
                <c:pt idx="3">
                  <c:v>3.9000000953674299</c:v>
                </c:pt>
                <c:pt idx="4">
                  <c:v>3.9000000953674299</c:v>
                </c:pt>
                <c:pt idx="5">
                  <c:v>3.75</c:v>
                </c:pt>
                <c:pt idx="6">
                  <c:v>3.70000004768371</c:v>
                </c:pt>
                <c:pt idx="7">
                  <c:v>3.5999999046325599</c:v>
                </c:pt>
                <c:pt idx="8">
                  <c:v>3.70000004768371</c:v>
                </c:pt>
                <c:pt idx="9">
                  <c:v>3.70000004768371</c:v>
                </c:pt>
                <c:pt idx="10">
                  <c:v>3.70000004768371</c:v>
                </c:pt>
                <c:pt idx="11">
                  <c:v>3.6800000667571999</c:v>
                </c:pt>
                <c:pt idx="12">
                  <c:v>3.5199999809265101</c:v>
                </c:pt>
                <c:pt idx="13">
                  <c:v>3.7899999618530198</c:v>
                </c:pt>
                <c:pt idx="14">
                  <c:v>3.9000000953674299</c:v>
                </c:pt>
                <c:pt idx="15">
                  <c:v>3.9400000572204501</c:v>
                </c:pt>
                <c:pt idx="16">
                  <c:v>3.9900000095367401</c:v>
                </c:pt>
                <c:pt idx="17">
                  <c:v>3.95000004768371</c:v>
                </c:pt>
                <c:pt idx="18">
                  <c:v>3.9400000572204501</c:v>
                </c:pt>
                <c:pt idx="19">
                  <c:v>3.9400000572204501</c:v>
                </c:pt>
                <c:pt idx="20">
                  <c:v>3.8699998855590798</c:v>
                </c:pt>
                <c:pt idx="21">
                  <c:v>3.75</c:v>
                </c:pt>
                <c:pt idx="22">
                  <c:v>3.6900000572204501</c:v>
                </c:pt>
                <c:pt idx="23">
                  <c:v>3.6800000667571999</c:v>
                </c:pt>
                <c:pt idx="24">
                  <c:v>3.6199998855590798</c:v>
                </c:pt>
                <c:pt idx="25">
                  <c:v>3.5999999046325599</c:v>
                </c:pt>
                <c:pt idx="26">
                  <c:v>3.5499999523162802</c:v>
                </c:pt>
                <c:pt idx="27">
                  <c:v>3.5</c:v>
                </c:pt>
                <c:pt idx="28">
                  <c:v>3.46000003814697</c:v>
                </c:pt>
                <c:pt idx="29">
                  <c:v>3.46000003814697</c:v>
                </c:pt>
                <c:pt idx="30">
                  <c:v>3.46000003814697</c:v>
                </c:pt>
                <c:pt idx="31">
                  <c:v>3.42000007629394</c:v>
                </c:pt>
                <c:pt idx="32">
                  <c:v>3.42000007629394</c:v>
                </c:pt>
                <c:pt idx="33">
                  <c:v>3.5999999046325599</c:v>
                </c:pt>
                <c:pt idx="34">
                  <c:v>3.5399999618530198</c:v>
                </c:pt>
                <c:pt idx="35">
                  <c:v>3.5399999618530198</c:v>
                </c:pt>
                <c:pt idx="36">
                  <c:v>3.5399999618530198</c:v>
                </c:pt>
                <c:pt idx="37">
                  <c:v>3.5399999618530198</c:v>
                </c:pt>
                <c:pt idx="38">
                  <c:v>3.5099999904632502</c:v>
                </c:pt>
                <c:pt idx="39">
                  <c:v>3.5299999713897701</c:v>
                </c:pt>
                <c:pt idx="40">
                  <c:v>3.4300000667571999</c:v>
                </c:pt>
                <c:pt idx="41">
                  <c:v>3.5</c:v>
                </c:pt>
                <c:pt idx="42">
                  <c:v>3.5</c:v>
                </c:pt>
                <c:pt idx="43">
                  <c:v>3.5499999523162802</c:v>
                </c:pt>
                <c:pt idx="44">
                  <c:v>3.5499999523162802</c:v>
                </c:pt>
                <c:pt idx="45">
                  <c:v>3.5499999523162802</c:v>
                </c:pt>
                <c:pt idx="46">
                  <c:v>3.5499999523162802</c:v>
                </c:pt>
                <c:pt idx="47">
                  <c:v>3.5999999046325599</c:v>
                </c:pt>
                <c:pt idx="48">
                  <c:v>3.5999999046325599</c:v>
                </c:pt>
                <c:pt idx="49">
                  <c:v>3.5999999046325599</c:v>
                </c:pt>
                <c:pt idx="50">
                  <c:v>3.4300000667571999</c:v>
                </c:pt>
                <c:pt idx="51">
                  <c:v>3.4300000667571999</c:v>
                </c:pt>
                <c:pt idx="52">
                  <c:v>3.4300000667571999</c:v>
                </c:pt>
                <c:pt idx="53">
                  <c:v>3.4300000667571999</c:v>
                </c:pt>
                <c:pt idx="54">
                  <c:v>3.4300000667571999</c:v>
                </c:pt>
                <c:pt idx="55">
                  <c:v>3.2999999523162802</c:v>
                </c:pt>
                <c:pt idx="56">
                  <c:v>3.2999999523162802</c:v>
                </c:pt>
                <c:pt idx="57">
                  <c:v>3.2999999523162802</c:v>
                </c:pt>
                <c:pt idx="58">
                  <c:v>3.2200000286102202</c:v>
                </c:pt>
                <c:pt idx="59">
                  <c:v>3.17000007629394</c:v>
                </c:pt>
                <c:pt idx="60">
                  <c:v>3.0999999046325599</c:v>
                </c:pt>
                <c:pt idx="61">
                  <c:v>3.0599999427795401</c:v>
                </c:pt>
                <c:pt idx="62">
                  <c:v>3.1199998855590798</c:v>
                </c:pt>
                <c:pt idx="63">
                  <c:v>3.1199998855590798</c:v>
                </c:pt>
                <c:pt idx="64">
                  <c:v>3.1199998855590798</c:v>
                </c:pt>
                <c:pt idx="65">
                  <c:v>3.1500000953674299</c:v>
                </c:pt>
                <c:pt idx="66">
                  <c:v>3.1500000953674299</c:v>
                </c:pt>
                <c:pt idx="67">
                  <c:v>3.1500000953674299</c:v>
                </c:pt>
                <c:pt idx="68">
                  <c:v>3.13000011444091</c:v>
                </c:pt>
                <c:pt idx="69">
                  <c:v>3.0899999141693102</c:v>
                </c:pt>
                <c:pt idx="70">
                  <c:v>3.0499999523162802</c:v>
                </c:pt>
                <c:pt idx="71">
                  <c:v>3.0499999523162802</c:v>
                </c:pt>
                <c:pt idx="72">
                  <c:v>3.0499999523162802</c:v>
                </c:pt>
                <c:pt idx="73">
                  <c:v>3.0599999427795401</c:v>
                </c:pt>
                <c:pt idx="74">
                  <c:v>3.0299999713897701</c:v>
                </c:pt>
                <c:pt idx="75">
                  <c:v>3.0299999713897701</c:v>
                </c:pt>
                <c:pt idx="76">
                  <c:v>2.9800000190734801</c:v>
                </c:pt>
                <c:pt idx="77">
                  <c:v>2.8900001049041699</c:v>
                </c:pt>
                <c:pt idx="78">
                  <c:v>2.9800000190734801</c:v>
                </c:pt>
                <c:pt idx="79">
                  <c:v>2.95000004768371</c:v>
                </c:pt>
                <c:pt idx="80">
                  <c:v>2.95000004768371</c:v>
                </c:pt>
                <c:pt idx="81">
                  <c:v>2.95000004768371</c:v>
                </c:pt>
                <c:pt idx="82">
                  <c:v>2.95000004768371</c:v>
                </c:pt>
                <c:pt idx="83">
                  <c:v>2.95000004768371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2.9900000095367401</c:v>
                </c:pt>
                <c:pt idx="91">
                  <c:v>2.9900000095367401</c:v>
                </c:pt>
                <c:pt idx="92">
                  <c:v>2.9900000095367401</c:v>
                </c:pt>
                <c:pt idx="93">
                  <c:v>2.9900000095367401</c:v>
                </c:pt>
                <c:pt idx="94">
                  <c:v>2.9900000095367401</c:v>
                </c:pt>
                <c:pt idx="95">
                  <c:v>3.0499999523162802</c:v>
                </c:pt>
                <c:pt idx="96">
                  <c:v>3.0499999523162802</c:v>
                </c:pt>
                <c:pt idx="97">
                  <c:v>3.0499999523162802</c:v>
                </c:pt>
                <c:pt idx="98">
                  <c:v>3.0499999523162802</c:v>
                </c:pt>
                <c:pt idx="99">
                  <c:v>3.0499999523162802</c:v>
                </c:pt>
                <c:pt idx="100">
                  <c:v>3</c:v>
                </c:pt>
                <c:pt idx="101">
                  <c:v>3</c:v>
                </c:pt>
                <c:pt idx="102">
                  <c:v>3.0899999141693102</c:v>
                </c:pt>
                <c:pt idx="103">
                  <c:v>3.0999999046325599</c:v>
                </c:pt>
                <c:pt idx="104">
                  <c:v>3.0999999046325599</c:v>
                </c:pt>
                <c:pt idx="105">
                  <c:v>3</c:v>
                </c:pt>
                <c:pt idx="106">
                  <c:v>2.9000000953674299</c:v>
                </c:pt>
                <c:pt idx="107">
                  <c:v>2.9700000286102202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2.9700000286102202</c:v>
                </c:pt>
                <c:pt idx="112">
                  <c:v>2.9400000572204501</c:v>
                </c:pt>
                <c:pt idx="113">
                  <c:v>2.9400000572204501</c:v>
                </c:pt>
                <c:pt idx="114">
                  <c:v>2.9800000190734801</c:v>
                </c:pt>
                <c:pt idx="115">
                  <c:v>2.9800000190734801</c:v>
                </c:pt>
                <c:pt idx="116">
                  <c:v>2.9800000190734801</c:v>
                </c:pt>
                <c:pt idx="117">
                  <c:v>2.9700000286102202</c:v>
                </c:pt>
                <c:pt idx="118">
                  <c:v>3</c:v>
                </c:pt>
                <c:pt idx="119">
                  <c:v>2.8900001049041699</c:v>
                </c:pt>
                <c:pt idx="120">
                  <c:v>2.8499999046325599</c:v>
                </c:pt>
                <c:pt idx="121">
                  <c:v>2.8499999046325599</c:v>
                </c:pt>
                <c:pt idx="122">
                  <c:v>2.8499999046325599</c:v>
                </c:pt>
                <c:pt idx="123">
                  <c:v>2.7999999523162802</c:v>
                </c:pt>
                <c:pt idx="124">
                  <c:v>2.92000007629394</c:v>
                </c:pt>
                <c:pt idx="125">
                  <c:v>2.9400000572204501</c:v>
                </c:pt>
                <c:pt idx="126">
                  <c:v>2.9400000572204501</c:v>
                </c:pt>
                <c:pt idx="127">
                  <c:v>2.7999999523162802</c:v>
                </c:pt>
                <c:pt idx="128">
                  <c:v>2.7999999523162802</c:v>
                </c:pt>
                <c:pt idx="129">
                  <c:v>2.7999999523162802</c:v>
                </c:pt>
                <c:pt idx="130">
                  <c:v>2.70000004768371</c:v>
                </c:pt>
                <c:pt idx="131">
                  <c:v>2.6900000572204501</c:v>
                </c:pt>
                <c:pt idx="132">
                  <c:v>2.5999999046325599</c:v>
                </c:pt>
                <c:pt idx="133">
                  <c:v>2.5</c:v>
                </c:pt>
                <c:pt idx="134">
                  <c:v>2.4700000286102202</c:v>
                </c:pt>
                <c:pt idx="135">
                  <c:v>2.4000000953674299</c:v>
                </c:pt>
                <c:pt idx="136">
                  <c:v>2.4000000953674299</c:v>
                </c:pt>
                <c:pt idx="137">
                  <c:v>2.25</c:v>
                </c:pt>
                <c:pt idx="138">
                  <c:v>2.0499999523162802</c:v>
                </c:pt>
                <c:pt idx="139">
                  <c:v>1.95000004768371</c:v>
                </c:pt>
                <c:pt idx="140">
                  <c:v>1.9700000286102199</c:v>
                </c:pt>
                <c:pt idx="141">
                  <c:v>1.95000004768371</c:v>
                </c:pt>
                <c:pt idx="142">
                  <c:v>1.95000004768371</c:v>
                </c:pt>
                <c:pt idx="143">
                  <c:v>1.87999999523162</c:v>
                </c:pt>
                <c:pt idx="144">
                  <c:v>1.7699999809265099</c:v>
                </c:pt>
                <c:pt idx="145">
                  <c:v>1.6900000572204501</c:v>
                </c:pt>
                <c:pt idx="146">
                  <c:v>1.7300000190734801</c:v>
                </c:pt>
                <c:pt idx="147">
                  <c:v>1.8400000333786</c:v>
                </c:pt>
                <c:pt idx="148">
                  <c:v>1.87999999523162</c:v>
                </c:pt>
                <c:pt idx="149">
                  <c:v>2</c:v>
                </c:pt>
                <c:pt idx="150">
                  <c:v>2.0499999523162802</c:v>
                </c:pt>
                <c:pt idx="151">
                  <c:v>2.0999999046325599</c:v>
                </c:pt>
                <c:pt idx="152">
                  <c:v>2.0999999046325599</c:v>
                </c:pt>
                <c:pt idx="153">
                  <c:v>2.0499999523162802</c:v>
                </c:pt>
                <c:pt idx="154">
                  <c:v>2.0999999046325599</c:v>
                </c:pt>
                <c:pt idx="155">
                  <c:v>2.0799999237060498</c:v>
                </c:pt>
                <c:pt idx="156">
                  <c:v>2.0799999237060498</c:v>
                </c:pt>
                <c:pt idx="157">
                  <c:v>2.0999999046325599</c:v>
                </c:pt>
                <c:pt idx="158">
                  <c:v>2.0999999046325599</c:v>
                </c:pt>
                <c:pt idx="159">
                  <c:v>2.0599999427795401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1.9900000095367401</c:v>
                </c:pt>
                <c:pt idx="164">
                  <c:v>2</c:v>
                </c:pt>
                <c:pt idx="165">
                  <c:v>2</c:v>
                </c:pt>
                <c:pt idx="166">
                  <c:v>2.0399999618530198</c:v>
                </c:pt>
                <c:pt idx="167">
                  <c:v>2.0499999523162802</c:v>
                </c:pt>
                <c:pt idx="168">
                  <c:v>2.0999999046325599</c:v>
                </c:pt>
                <c:pt idx="169">
                  <c:v>2.0999999046325599</c:v>
                </c:pt>
                <c:pt idx="170">
                  <c:v>2.0499999523162802</c:v>
                </c:pt>
                <c:pt idx="171">
                  <c:v>2.0599999427795401</c:v>
                </c:pt>
                <c:pt idx="172">
                  <c:v>2.0399999618530198</c:v>
                </c:pt>
                <c:pt idx="173">
                  <c:v>2.1099998950958199</c:v>
                </c:pt>
                <c:pt idx="174">
                  <c:v>2.0499999523162802</c:v>
                </c:pt>
                <c:pt idx="175">
                  <c:v>2.0099999904632502</c:v>
                </c:pt>
                <c:pt idx="176">
                  <c:v>2.0599999427795401</c:v>
                </c:pt>
                <c:pt idx="177">
                  <c:v>2.0599999427795401</c:v>
                </c:pt>
                <c:pt idx="178">
                  <c:v>2.1199998855590798</c:v>
                </c:pt>
                <c:pt idx="179">
                  <c:v>2.1199998855590798</c:v>
                </c:pt>
                <c:pt idx="180">
                  <c:v>2.20000004768371</c:v>
                </c:pt>
                <c:pt idx="181">
                  <c:v>2.2200000286102202</c:v>
                </c:pt>
                <c:pt idx="182">
                  <c:v>2.2400000095367401</c:v>
                </c:pt>
                <c:pt idx="183">
                  <c:v>2.5</c:v>
                </c:pt>
                <c:pt idx="184">
                  <c:v>2.4700000286102202</c:v>
                </c:pt>
                <c:pt idx="185">
                  <c:v>2.5499999523162802</c:v>
                </c:pt>
                <c:pt idx="186">
                  <c:v>2.5699999332427899</c:v>
                </c:pt>
                <c:pt idx="187">
                  <c:v>2.5</c:v>
                </c:pt>
                <c:pt idx="188">
                  <c:v>2.5</c:v>
                </c:pt>
                <c:pt idx="189">
                  <c:v>2.3900001049041699</c:v>
                </c:pt>
                <c:pt idx="190">
                  <c:v>2.3299999237060498</c:v>
                </c:pt>
                <c:pt idx="191">
                  <c:v>2.3399999141693102</c:v>
                </c:pt>
                <c:pt idx="192">
                  <c:v>2.2799999713897701</c:v>
                </c:pt>
                <c:pt idx="193">
                  <c:v>2.2799999713897701</c:v>
                </c:pt>
                <c:pt idx="194">
                  <c:v>2.3399999141693102</c:v>
                </c:pt>
                <c:pt idx="195">
                  <c:v>2.3499999046325599</c:v>
                </c:pt>
                <c:pt idx="196">
                  <c:v>2.20000004768371</c:v>
                </c:pt>
                <c:pt idx="197">
                  <c:v>2.20000004768371</c:v>
                </c:pt>
                <c:pt idx="198">
                  <c:v>2.20000004768371</c:v>
                </c:pt>
                <c:pt idx="199">
                  <c:v>2.2599999904632502</c:v>
                </c:pt>
                <c:pt idx="200">
                  <c:v>2.20000004768371</c:v>
                </c:pt>
                <c:pt idx="201">
                  <c:v>2.2400000095367401</c:v>
                </c:pt>
                <c:pt idx="202">
                  <c:v>2.2599999904632502</c:v>
                </c:pt>
                <c:pt idx="203">
                  <c:v>2.0899999141693102</c:v>
                </c:pt>
                <c:pt idx="204">
                  <c:v>2.1199998855590798</c:v>
                </c:pt>
                <c:pt idx="205">
                  <c:v>2.1900000572204501</c:v>
                </c:pt>
                <c:pt idx="206">
                  <c:v>2.1900000572204501</c:v>
                </c:pt>
                <c:pt idx="207">
                  <c:v>2.0499999523162802</c:v>
                </c:pt>
                <c:pt idx="208">
                  <c:v>1.9800000190734801</c:v>
                </c:pt>
                <c:pt idx="209">
                  <c:v>1.8899999856948799</c:v>
                </c:pt>
                <c:pt idx="210">
                  <c:v>1.8999999761581401</c:v>
                </c:pt>
                <c:pt idx="211">
                  <c:v>1.91999995708465</c:v>
                </c:pt>
                <c:pt idx="212">
                  <c:v>1.91999995708465</c:v>
                </c:pt>
                <c:pt idx="213">
                  <c:v>1.91999995708465</c:v>
                </c:pt>
                <c:pt idx="214">
                  <c:v>1.91999995708465</c:v>
                </c:pt>
                <c:pt idx="215">
                  <c:v>1.91999995708465</c:v>
                </c:pt>
                <c:pt idx="216">
                  <c:v>1.91999995708465</c:v>
                </c:pt>
                <c:pt idx="217">
                  <c:v>1.9400000572204501</c:v>
                </c:pt>
                <c:pt idx="218">
                  <c:v>1.95000004768371</c:v>
                </c:pt>
                <c:pt idx="219">
                  <c:v>1.8999999761581401</c:v>
                </c:pt>
                <c:pt idx="220">
                  <c:v>1.8899999856948799</c:v>
                </c:pt>
                <c:pt idx="221">
                  <c:v>1.91999995708465</c:v>
                </c:pt>
                <c:pt idx="222">
                  <c:v>1.9700000286102199</c:v>
                </c:pt>
                <c:pt idx="223">
                  <c:v>1.90999996662139</c:v>
                </c:pt>
                <c:pt idx="224">
                  <c:v>1.91999995708465</c:v>
                </c:pt>
                <c:pt idx="225">
                  <c:v>1.87000000476837</c:v>
                </c:pt>
                <c:pt idx="226">
                  <c:v>1.8600000143051101</c:v>
                </c:pt>
                <c:pt idx="227">
                  <c:v>1.8099999427795399</c:v>
                </c:pt>
                <c:pt idx="228">
                  <c:v>1.8200000524520801</c:v>
                </c:pt>
                <c:pt idx="229">
                  <c:v>1.75999999046325</c:v>
                </c:pt>
                <c:pt idx="230">
                  <c:v>1.75999999046325</c:v>
                </c:pt>
                <c:pt idx="231">
                  <c:v>1.75999999046325</c:v>
                </c:pt>
                <c:pt idx="232">
                  <c:v>1.7200000286102199</c:v>
                </c:pt>
                <c:pt idx="233">
                  <c:v>1.75</c:v>
                </c:pt>
                <c:pt idx="234">
                  <c:v>1.6799999475479099</c:v>
                </c:pt>
                <c:pt idx="235">
                  <c:v>1.6900000572204501</c:v>
                </c:pt>
                <c:pt idx="236">
                  <c:v>1.6799999475479099</c:v>
                </c:pt>
                <c:pt idx="237">
                  <c:v>1.6799999475479099</c:v>
                </c:pt>
                <c:pt idx="238">
                  <c:v>1.6900000572204501</c:v>
                </c:pt>
                <c:pt idx="239">
                  <c:v>1.6799999475479099</c:v>
                </c:pt>
                <c:pt idx="240">
                  <c:v>1.6799999475479099</c:v>
                </c:pt>
                <c:pt idx="241">
                  <c:v>1.6799999475479099</c:v>
                </c:pt>
                <c:pt idx="242">
                  <c:v>1.6000000238418499</c:v>
                </c:pt>
                <c:pt idx="243">
                  <c:v>1.5299999713897701</c:v>
                </c:pt>
                <c:pt idx="244">
                  <c:v>1.41999995708465</c:v>
                </c:pt>
                <c:pt idx="245">
                  <c:v>1.29999995231628</c:v>
                </c:pt>
                <c:pt idx="246">
                  <c:v>1.2200000286102199</c:v>
                </c:pt>
                <c:pt idx="247">
                  <c:v>1.2200000286102199</c:v>
                </c:pt>
                <c:pt idx="248">
                  <c:v>1.28999996185302</c:v>
                </c:pt>
                <c:pt idx="249">
                  <c:v>1.3899999856948799</c:v>
                </c:pt>
                <c:pt idx="250">
                  <c:v>1.45000004768371</c:v>
                </c:pt>
                <c:pt idx="251">
                  <c:v>1.6000000238418499</c:v>
                </c:pt>
                <c:pt idx="252">
                  <c:v>1.6399999856948799</c:v>
                </c:pt>
                <c:pt idx="253">
                  <c:v>1.62000000476837</c:v>
                </c:pt>
                <c:pt idx="254">
                  <c:v>1.5</c:v>
                </c:pt>
                <c:pt idx="255">
                  <c:v>1.5</c:v>
                </c:pt>
                <c:pt idx="256">
                  <c:v>1.5</c:v>
                </c:pt>
                <c:pt idx="257">
                  <c:v>1.5</c:v>
                </c:pt>
                <c:pt idx="258">
                  <c:v>1.5</c:v>
                </c:pt>
                <c:pt idx="259">
                  <c:v>1.4800000190734801</c:v>
                </c:pt>
                <c:pt idx="260">
                  <c:v>1.3999999761581401</c:v>
                </c:pt>
                <c:pt idx="261">
                  <c:v>1.41999995708465</c:v>
                </c:pt>
                <c:pt idx="262">
                  <c:v>1.45000004768371</c:v>
                </c:pt>
                <c:pt idx="263">
                  <c:v>1.41999995708465</c:v>
                </c:pt>
                <c:pt idx="264">
                  <c:v>1.3999999761581401</c:v>
                </c:pt>
                <c:pt idx="265">
                  <c:v>1.3999999761581401</c:v>
                </c:pt>
                <c:pt idx="266">
                  <c:v>1.3999999761581401</c:v>
                </c:pt>
                <c:pt idx="267">
                  <c:v>1.3999999761581401</c:v>
                </c:pt>
                <c:pt idx="268">
                  <c:v>1.3999999761581401</c:v>
                </c:pt>
                <c:pt idx="269">
                  <c:v>1.37999999523162</c:v>
                </c:pt>
                <c:pt idx="270">
                  <c:v>1.37999999523162</c:v>
                </c:pt>
                <c:pt idx="271">
                  <c:v>1.37999999523162</c:v>
                </c:pt>
                <c:pt idx="272">
                  <c:v>1.2699999809265099</c:v>
                </c:pt>
                <c:pt idx="273">
                  <c:v>1.2699999809265099</c:v>
                </c:pt>
                <c:pt idx="274">
                  <c:v>1.2699999809265099</c:v>
                </c:pt>
                <c:pt idx="275">
                  <c:v>1.2699999809265099</c:v>
                </c:pt>
                <c:pt idx="276">
                  <c:v>1.2699999809265099</c:v>
                </c:pt>
                <c:pt idx="277">
                  <c:v>1.2699999809265099</c:v>
                </c:pt>
                <c:pt idx="278">
                  <c:v>1.2699999809265099</c:v>
                </c:pt>
                <c:pt idx="279">
                  <c:v>1.25999999046325</c:v>
                </c:pt>
                <c:pt idx="280">
                  <c:v>1.25999999046325</c:v>
                </c:pt>
                <c:pt idx="281">
                  <c:v>1.25999999046325</c:v>
                </c:pt>
                <c:pt idx="282">
                  <c:v>1.25999999046325</c:v>
                </c:pt>
                <c:pt idx="283">
                  <c:v>1.25</c:v>
                </c:pt>
                <c:pt idx="284">
                  <c:v>1.2400000095367401</c:v>
                </c:pt>
                <c:pt idx="285">
                  <c:v>1.2400000095367401</c:v>
                </c:pt>
                <c:pt idx="286">
                  <c:v>1.21000003814697</c:v>
                </c:pt>
                <c:pt idx="287">
                  <c:v>1.1900000572204501</c:v>
                </c:pt>
                <c:pt idx="288">
                  <c:v>1.1799999475479099</c:v>
                </c:pt>
                <c:pt idx="289">
                  <c:v>1.16999995708465</c:v>
                </c:pt>
                <c:pt idx="290">
                  <c:v>1.20000004768371</c:v>
                </c:pt>
                <c:pt idx="291">
                  <c:v>1.20000004768371</c:v>
                </c:pt>
                <c:pt idx="292">
                  <c:v>1.15999996662139</c:v>
                </c:pt>
                <c:pt idx="293">
                  <c:v>1.1900000572204501</c:v>
                </c:pt>
                <c:pt idx="294">
                  <c:v>1.25</c:v>
                </c:pt>
                <c:pt idx="295">
                  <c:v>1.25</c:v>
                </c:pt>
                <c:pt idx="296">
                  <c:v>1.2699999809265099</c:v>
                </c:pt>
                <c:pt idx="297">
                  <c:v>1.25999999046325</c:v>
                </c:pt>
                <c:pt idx="298">
                  <c:v>1.25999999046325</c:v>
                </c:pt>
                <c:pt idx="299">
                  <c:v>1.2699999809265099</c:v>
                </c:pt>
                <c:pt idx="300">
                  <c:v>1.2699999809265099</c:v>
                </c:pt>
                <c:pt idx="301">
                  <c:v>1.29999995231628</c:v>
                </c:pt>
                <c:pt idx="302">
                  <c:v>1.3200000524520801</c:v>
                </c:pt>
                <c:pt idx="303">
                  <c:v>1.3099999427795399</c:v>
                </c:pt>
                <c:pt idx="304">
                  <c:v>1.3500000238418499</c:v>
                </c:pt>
                <c:pt idx="305">
                  <c:v>1.3200000524520801</c:v>
                </c:pt>
                <c:pt idx="306">
                  <c:v>1.29999995231628</c:v>
                </c:pt>
                <c:pt idx="307">
                  <c:v>1.29999995231628</c:v>
                </c:pt>
                <c:pt idx="308">
                  <c:v>1.29999995231628</c:v>
                </c:pt>
                <c:pt idx="309">
                  <c:v>1.2400000095367401</c:v>
                </c:pt>
                <c:pt idx="310">
                  <c:v>1.25</c:v>
                </c:pt>
                <c:pt idx="311">
                  <c:v>1.2200000286102199</c:v>
                </c:pt>
                <c:pt idx="312">
                  <c:v>1.2200000286102199</c:v>
                </c:pt>
                <c:pt idx="313">
                  <c:v>1.2200000286102199</c:v>
                </c:pt>
                <c:pt idx="314">
                  <c:v>1.2200000286102199</c:v>
                </c:pt>
                <c:pt idx="315">
                  <c:v>1.2200000286102199</c:v>
                </c:pt>
                <c:pt idx="316">
                  <c:v>1.21000003814697</c:v>
                </c:pt>
                <c:pt idx="317">
                  <c:v>1.21000003814697</c:v>
                </c:pt>
                <c:pt idx="318">
                  <c:v>1.21000003814697</c:v>
                </c:pt>
                <c:pt idx="319">
                  <c:v>1.20000004768371</c:v>
                </c:pt>
                <c:pt idx="320">
                  <c:v>1.20000004768371</c:v>
                </c:pt>
                <c:pt idx="321">
                  <c:v>1.20000004768371</c:v>
                </c:pt>
                <c:pt idx="322">
                  <c:v>1.20000004768371</c:v>
                </c:pt>
                <c:pt idx="323">
                  <c:v>1.20000004768371</c:v>
                </c:pt>
                <c:pt idx="324">
                  <c:v>1.20000004768371</c:v>
                </c:pt>
                <c:pt idx="325">
                  <c:v>1.20000004768371</c:v>
                </c:pt>
                <c:pt idx="326">
                  <c:v>1.20000004768371</c:v>
                </c:pt>
                <c:pt idx="327">
                  <c:v>1.20000004768371</c:v>
                </c:pt>
                <c:pt idx="328">
                  <c:v>1.20000004768371</c:v>
                </c:pt>
                <c:pt idx="329">
                  <c:v>1.20000004768371</c:v>
                </c:pt>
                <c:pt idx="330">
                  <c:v>1.1799999475479099</c:v>
                </c:pt>
                <c:pt idx="331">
                  <c:v>1.1799999475479099</c:v>
                </c:pt>
                <c:pt idx="332">
                  <c:v>1.16999995708465</c:v>
                </c:pt>
                <c:pt idx="333">
                  <c:v>1.12000000476837</c:v>
                </c:pt>
                <c:pt idx="334">
                  <c:v>1.1000000238418499</c:v>
                </c:pt>
                <c:pt idx="335">
                  <c:v>1.15999996662139</c:v>
                </c:pt>
                <c:pt idx="336">
                  <c:v>1.20000004768371</c:v>
                </c:pt>
                <c:pt idx="337">
                  <c:v>1.20000004768371</c:v>
                </c:pt>
                <c:pt idx="338">
                  <c:v>1.20000004768371</c:v>
                </c:pt>
                <c:pt idx="339">
                  <c:v>1.20000004768371</c:v>
                </c:pt>
                <c:pt idx="340">
                  <c:v>1.20000004768371</c:v>
                </c:pt>
                <c:pt idx="341">
                  <c:v>1.20000004768371</c:v>
                </c:pt>
                <c:pt idx="342">
                  <c:v>1.20000004768371</c:v>
                </c:pt>
                <c:pt idx="343">
                  <c:v>1.1799999475479099</c:v>
                </c:pt>
                <c:pt idx="344">
                  <c:v>1.1799999475479099</c:v>
                </c:pt>
                <c:pt idx="345">
                  <c:v>1.1799999475479099</c:v>
                </c:pt>
                <c:pt idx="346">
                  <c:v>1.1799999475479099</c:v>
                </c:pt>
                <c:pt idx="347">
                  <c:v>1.1799999475479099</c:v>
                </c:pt>
                <c:pt idx="348">
                  <c:v>1.1799999475479099</c:v>
                </c:pt>
                <c:pt idx="349">
                  <c:v>1.1799999475479099</c:v>
                </c:pt>
                <c:pt idx="350">
                  <c:v>1.1499999761581401</c:v>
                </c:pt>
                <c:pt idx="351">
                  <c:v>1.1499999761581401</c:v>
                </c:pt>
                <c:pt idx="352">
                  <c:v>1.1000000238418499</c:v>
                </c:pt>
                <c:pt idx="353">
                  <c:v>1.1000000238418499</c:v>
                </c:pt>
                <c:pt idx="354">
                  <c:v>1.1000000238418499</c:v>
                </c:pt>
                <c:pt idx="355">
                  <c:v>1.0700000524520801</c:v>
                </c:pt>
                <c:pt idx="356">
                  <c:v>1.04999995231628</c:v>
                </c:pt>
                <c:pt idx="357">
                  <c:v>1.0299999713897701</c:v>
                </c:pt>
                <c:pt idx="358">
                  <c:v>1</c:v>
                </c:pt>
                <c:pt idx="359">
                  <c:v>1.03999996185302</c:v>
                </c:pt>
                <c:pt idx="360">
                  <c:v>1.08000004291534</c:v>
                </c:pt>
                <c:pt idx="361">
                  <c:v>1.0299999713897701</c:v>
                </c:pt>
                <c:pt idx="362">
                  <c:v>1</c:v>
                </c:pt>
                <c:pt idx="363">
                  <c:v>1</c:v>
                </c:pt>
                <c:pt idx="364">
                  <c:v>0.980000019073486</c:v>
                </c:pt>
                <c:pt idx="365">
                  <c:v>0.980000019073486</c:v>
                </c:pt>
                <c:pt idx="366">
                  <c:v>0.93999999761581399</c:v>
                </c:pt>
                <c:pt idx="367">
                  <c:v>0.88999998569488503</c:v>
                </c:pt>
                <c:pt idx="368">
                  <c:v>0.87000000476837103</c:v>
                </c:pt>
                <c:pt idx="369">
                  <c:v>0.80000001192092896</c:v>
                </c:pt>
                <c:pt idx="370">
                  <c:v>0.76999998092651301</c:v>
                </c:pt>
                <c:pt idx="371">
                  <c:v>0.75999999046325595</c:v>
                </c:pt>
                <c:pt idx="372">
                  <c:v>0.75199997425079301</c:v>
                </c:pt>
                <c:pt idx="373">
                  <c:v>0.72000002861022905</c:v>
                </c:pt>
                <c:pt idx="374">
                  <c:v>0.72000002861022905</c:v>
                </c:pt>
                <c:pt idx="375">
                  <c:v>0.66000002622604304</c:v>
                </c:pt>
                <c:pt idx="376">
                  <c:v>0.66000002622604304</c:v>
                </c:pt>
                <c:pt idx="377">
                  <c:v>0.66000002622604304</c:v>
                </c:pt>
                <c:pt idx="378">
                  <c:v>0.66000002622604304</c:v>
                </c:pt>
                <c:pt idx="379">
                  <c:v>0.66000002622604304</c:v>
                </c:pt>
                <c:pt idx="380">
                  <c:v>0.64999997615814198</c:v>
                </c:pt>
                <c:pt idx="381">
                  <c:v>0.64999997615814198</c:v>
                </c:pt>
                <c:pt idx="382">
                  <c:v>0.68999999761581399</c:v>
                </c:pt>
                <c:pt idx="383">
                  <c:v>0.64999997615814198</c:v>
                </c:pt>
                <c:pt idx="384">
                  <c:v>0.58999997377395597</c:v>
                </c:pt>
                <c:pt idx="385">
                  <c:v>0.54000002145767201</c:v>
                </c:pt>
                <c:pt idx="386">
                  <c:v>0.50400000810623102</c:v>
                </c:pt>
                <c:pt idx="387">
                  <c:v>0.52999997138976995</c:v>
                </c:pt>
                <c:pt idx="388">
                  <c:v>0.55000001192092896</c:v>
                </c:pt>
                <c:pt idx="389">
                  <c:v>0.55000001192092896</c:v>
                </c:pt>
                <c:pt idx="390">
                  <c:v>0.53600001335143999</c:v>
                </c:pt>
                <c:pt idx="391">
                  <c:v>0.55000001192092896</c:v>
                </c:pt>
                <c:pt idx="392">
                  <c:v>0.55000001192092896</c:v>
                </c:pt>
                <c:pt idx="393">
                  <c:v>0.55000001192092896</c:v>
                </c:pt>
                <c:pt idx="394">
                  <c:v>0.490999996662139</c:v>
                </c:pt>
                <c:pt idx="395">
                  <c:v>0.5</c:v>
                </c:pt>
                <c:pt idx="396">
                  <c:v>0.49500000476837103</c:v>
                </c:pt>
                <c:pt idx="397">
                  <c:v>0.479999989271163</c:v>
                </c:pt>
                <c:pt idx="398">
                  <c:v>0.37999999523162797</c:v>
                </c:pt>
                <c:pt idx="399">
                  <c:v>0.37000000476837103</c:v>
                </c:pt>
                <c:pt idx="400">
                  <c:v>0.34999999403953502</c:v>
                </c:pt>
                <c:pt idx="401">
                  <c:v>0.35100001096725397</c:v>
                </c:pt>
                <c:pt idx="402">
                  <c:v>0.34999999403953502</c:v>
                </c:pt>
                <c:pt idx="403">
                  <c:v>0.34999999403953502</c:v>
                </c:pt>
                <c:pt idx="404">
                  <c:v>0.31000000238418501</c:v>
                </c:pt>
                <c:pt idx="405">
                  <c:v>0.28999999165534901</c:v>
                </c:pt>
                <c:pt idx="406">
                  <c:v>0.28000000119209201</c:v>
                </c:pt>
                <c:pt idx="407">
                  <c:v>0.234999999403953</c:v>
                </c:pt>
                <c:pt idx="408">
                  <c:v>0.245000004768371</c:v>
                </c:pt>
                <c:pt idx="409">
                  <c:v>0.25</c:v>
                </c:pt>
                <c:pt idx="410">
                  <c:v>0.25</c:v>
                </c:pt>
                <c:pt idx="411">
                  <c:v>0.259999990463256</c:v>
                </c:pt>
                <c:pt idx="412">
                  <c:v>0.259999990463256</c:v>
                </c:pt>
                <c:pt idx="413">
                  <c:v>0.259999990463256</c:v>
                </c:pt>
                <c:pt idx="414">
                  <c:v>0.26499998569488498</c:v>
                </c:pt>
                <c:pt idx="415">
                  <c:v>0.270000010728836</c:v>
                </c:pt>
                <c:pt idx="416">
                  <c:v>0.270000010728836</c:v>
                </c:pt>
                <c:pt idx="417">
                  <c:v>0.27200001478195102</c:v>
                </c:pt>
                <c:pt idx="418">
                  <c:v>0.27200001478195102</c:v>
                </c:pt>
                <c:pt idx="419">
                  <c:v>0.27200001478195102</c:v>
                </c:pt>
                <c:pt idx="420">
                  <c:v>0.27200001478195102</c:v>
                </c:pt>
                <c:pt idx="421">
                  <c:v>0.27200001478195102</c:v>
                </c:pt>
                <c:pt idx="422">
                  <c:v>0.270000010728836</c:v>
                </c:pt>
                <c:pt idx="423">
                  <c:v>0.270000010728836</c:v>
                </c:pt>
                <c:pt idx="424">
                  <c:v>0.26199999451637201</c:v>
                </c:pt>
                <c:pt idx="425">
                  <c:v>0.26199999451637201</c:v>
                </c:pt>
                <c:pt idx="426">
                  <c:v>0.259999990463256</c:v>
                </c:pt>
                <c:pt idx="427">
                  <c:v>0.25099998712539601</c:v>
                </c:pt>
                <c:pt idx="428">
                  <c:v>0.25</c:v>
                </c:pt>
                <c:pt idx="429">
                  <c:v>0.239999994635581</c:v>
                </c:pt>
                <c:pt idx="430">
                  <c:v>0.239999994635581</c:v>
                </c:pt>
                <c:pt idx="431">
                  <c:v>0.25</c:v>
                </c:pt>
                <c:pt idx="432">
                  <c:v>0.25</c:v>
                </c:pt>
                <c:pt idx="433">
                  <c:v>0.25499999523162797</c:v>
                </c:pt>
                <c:pt idx="434">
                  <c:v>0.25499999523162797</c:v>
                </c:pt>
                <c:pt idx="435">
                  <c:v>0.259999990463256</c:v>
                </c:pt>
                <c:pt idx="436">
                  <c:v>0.29899999499320901</c:v>
                </c:pt>
                <c:pt idx="437">
                  <c:v>0.31000000238418501</c:v>
                </c:pt>
                <c:pt idx="438">
                  <c:v>0.31000000238418501</c:v>
                </c:pt>
                <c:pt idx="439">
                  <c:v>0.31000000238418501</c:v>
                </c:pt>
                <c:pt idx="440">
                  <c:v>0.31000000238418501</c:v>
                </c:pt>
                <c:pt idx="441">
                  <c:v>0.31000000238418501</c:v>
                </c:pt>
                <c:pt idx="442">
                  <c:v>0.31000000238418501</c:v>
                </c:pt>
                <c:pt idx="443">
                  <c:v>0.31000000238418501</c:v>
                </c:pt>
                <c:pt idx="444">
                  <c:v>0.31000000238418501</c:v>
                </c:pt>
                <c:pt idx="445">
                  <c:v>0.31099998950958202</c:v>
                </c:pt>
                <c:pt idx="446">
                  <c:v>0.31099998950958202</c:v>
                </c:pt>
                <c:pt idx="447">
                  <c:v>0.30000001192092801</c:v>
                </c:pt>
                <c:pt idx="448">
                  <c:v>0.30000001192092801</c:v>
                </c:pt>
                <c:pt idx="449">
                  <c:v>0.298000007867813</c:v>
                </c:pt>
                <c:pt idx="450">
                  <c:v>0.28499999642372098</c:v>
                </c:pt>
                <c:pt idx="451">
                  <c:v>0.28099998831748901</c:v>
                </c:pt>
                <c:pt idx="452">
                  <c:v>0.28099998831748901</c:v>
                </c:pt>
                <c:pt idx="453">
                  <c:v>0.28099998831748901</c:v>
                </c:pt>
                <c:pt idx="454">
                  <c:v>0.30000001192092801</c:v>
                </c:pt>
                <c:pt idx="455">
                  <c:v>0.31000000238418501</c:v>
                </c:pt>
                <c:pt idx="456">
                  <c:v>0.46999999880790699</c:v>
                </c:pt>
                <c:pt idx="457">
                  <c:v>0.46999999880790699</c:v>
                </c:pt>
                <c:pt idx="458">
                  <c:v>0.51999998092651301</c:v>
                </c:pt>
                <c:pt idx="459">
                  <c:v>0.58999997377395597</c:v>
                </c:pt>
                <c:pt idx="460">
                  <c:v>0.63999998569488503</c:v>
                </c:pt>
                <c:pt idx="461">
                  <c:v>0.78200000524520796</c:v>
                </c:pt>
                <c:pt idx="462">
                  <c:v>0.83999997377395597</c:v>
                </c:pt>
                <c:pt idx="463">
                  <c:v>0.68999999761581399</c:v>
                </c:pt>
                <c:pt idx="464">
                  <c:v>0.64999997615814198</c:v>
                </c:pt>
                <c:pt idx="465">
                  <c:v>0.55900001525878895</c:v>
                </c:pt>
                <c:pt idx="466">
                  <c:v>0.549000024795532</c:v>
                </c:pt>
                <c:pt idx="467">
                  <c:v>0.52499997615814198</c:v>
                </c:pt>
                <c:pt idx="468">
                  <c:v>0.51499998569488503</c:v>
                </c:pt>
                <c:pt idx="469">
                  <c:v>0.51200002431869496</c:v>
                </c:pt>
                <c:pt idx="470">
                  <c:v>0.56000000238418501</c:v>
                </c:pt>
                <c:pt idx="471">
                  <c:v>0.60000002384185702</c:v>
                </c:pt>
                <c:pt idx="472">
                  <c:v>0.63999998569488503</c:v>
                </c:pt>
                <c:pt idx="473">
                  <c:v>0.66900002956390303</c:v>
                </c:pt>
                <c:pt idx="474">
                  <c:v>0.72000002861022905</c:v>
                </c:pt>
                <c:pt idx="475">
                  <c:v>0.80000001192092896</c:v>
                </c:pt>
                <c:pt idx="476">
                  <c:v>0.80000001192092896</c:v>
                </c:pt>
                <c:pt idx="477">
                  <c:v>0.82999998331069902</c:v>
                </c:pt>
                <c:pt idx="478">
                  <c:v>0.77999997138976995</c:v>
                </c:pt>
                <c:pt idx="479">
                  <c:v>0.80000001192092896</c:v>
                </c:pt>
                <c:pt idx="480">
                  <c:v>0.80000001192092896</c:v>
                </c:pt>
                <c:pt idx="481">
                  <c:v>0.80000001192092896</c:v>
                </c:pt>
                <c:pt idx="482">
                  <c:v>0.77999997138976995</c:v>
                </c:pt>
                <c:pt idx="483">
                  <c:v>0.70999997854232699</c:v>
                </c:pt>
                <c:pt idx="484">
                  <c:v>0.74000000953674305</c:v>
                </c:pt>
                <c:pt idx="485">
                  <c:v>0.80000001192092896</c:v>
                </c:pt>
                <c:pt idx="486">
                  <c:v>0.79000002145767201</c:v>
                </c:pt>
                <c:pt idx="487">
                  <c:v>0.74900001287460305</c:v>
                </c:pt>
                <c:pt idx="488">
                  <c:v>0.74000000953674305</c:v>
                </c:pt>
                <c:pt idx="489">
                  <c:v>0.69999998807907104</c:v>
                </c:pt>
                <c:pt idx="490">
                  <c:v>0.68000000715255704</c:v>
                </c:pt>
                <c:pt idx="491">
                  <c:v>0.60000002384185702</c:v>
                </c:pt>
                <c:pt idx="492">
                  <c:v>0.61000001430511397</c:v>
                </c:pt>
                <c:pt idx="493">
                  <c:v>0.64999997615814198</c:v>
                </c:pt>
                <c:pt idx="494">
                  <c:v>0.61000001430511397</c:v>
                </c:pt>
                <c:pt idx="495">
                  <c:v>0.55000001192092896</c:v>
                </c:pt>
                <c:pt idx="496">
                  <c:v>0.56999999284744196</c:v>
                </c:pt>
                <c:pt idx="497">
                  <c:v>0.56900000572204501</c:v>
                </c:pt>
                <c:pt idx="498">
                  <c:v>0.56000000238418501</c:v>
                </c:pt>
                <c:pt idx="499">
                  <c:v>0.59799998998641901</c:v>
                </c:pt>
                <c:pt idx="500">
                  <c:v>0.57999998331069902</c:v>
                </c:pt>
                <c:pt idx="501">
                  <c:v>0.55000001192092896</c:v>
                </c:pt>
                <c:pt idx="502">
                  <c:v>0.54000002145767201</c:v>
                </c:pt>
                <c:pt idx="503">
                  <c:v>0.52100002765655495</c:v>
                </c:pt>
                <c:pt idx="504">
                  <c:v>0.52999997138976995</c:v>
                </c:pt>
                <c:pt idx="505">
                  <c:v>0.56000000238418501</c:v>
                </c:pt>
                <c:pt idx="506">
                  <c:v>0.54699999094009399</c:v>
                </c:pt>
                <c:pt idx="507">
                  <c:v>0.55900001525878895</c:v>
                </c:pt>
                <c:pt idx="508">
                  <c:v>0.55000001192092896</c:v>
                </c:pt>
                <c:pt idx="509">
                  <c:v>0.54799997806548995</c:v>
                </c:pt>
                <c:pt idx="510">
                  <c:v>0.55000001192092896</c:v>
                </c:pt>
                <c:pt idx="511">
                  <c:v>0.52999997138976995</c:v>
                </c:pt>
                <c:pt idx="512">
                  <c:v>0.52999997138976995</c:v>
                </c:pt>
                <c:pt idx="513">
                  <c:v>0.51599997282028198</c:v>
                </c:pt>
                <c:pt idx="514">
                  <c:v>0.52999997138976995</c:v>
                </c:pt>
                <c:pt idx="515">
                  <c:v>0.52300000190734797</c:v>
                </c:pt>
                <c:pt idx="516">
                  <c:v>0.48500001430511402</c:v>
                </c:pt>
                <c:pt idx="517">
                  <c:v>0.44999998807907099</c:v>
                </c:pt>
                <c:pt idx="518">
                  <c:v>0.42500001192092801</c:v>
                </c:pt>
                <c:pt idx="519">
                  <c:v>0.40999999642372098</c:v>
                </c:pt>
                <c:pt idx="520">
                  <c:v>0.40999999642372098</c:v>
                </c:pt>
                <c:pt idx="521">
                  <c:v>0.38100001215934698</c:v>
                </c:pt>
                <c:pt idx="522">
                  <c:v>0.38100001215934698</c:v>
                </c:pt>
                <c:pt idx="523">
                  <c:v>0.34999999403953502</c:v>
                </c:pt>
                <c:pt idx="524">
                  <c:v>0.40000000596046398</c:v>
                </c:pt>
                <c:pt idx="525">
                  <c:v>0.40000000596046398</c:v>
                </c:pt>
                <c:pt idx="526">
                  <c:v>0.34000000357627802</c:v>
                </c:pt>
                <c:pt idx="527">
                  <c:v>0.31900000572204501</c:v>
                </c:pt>
                <c:pt idx="528">
                  <c:v>0.30000001192092801</c:v>
                </c:pt>
                <c:pt idx="529">
                  <c:v>0.29899999499320901</c:v>
                </c:pt>
                <c:pt idx="530">
                  <c:v>0.28000000119209201</c:v>
                </c:pt>
                <c:pt idx="531">
                  <c:v>0.29899999499320901</c:v>
                </c:pt>
                <c:pt idx="532">
                  <c:v>0.29699999094009399</c:v>
                </c:pt>
                <c:pt idx="533">
                  <c:v>0.29499998688697798</c:v>
                </c:pt>
                <c:pt idx="534">
                  <c:v>0.239999994635581</c:v>
                </c:pt>
                <c:pt idx="535">
                  <c:v>0.22400000691413799</c:v>
                </c:pt>
                <c:pt idx="536">
                  <c:v>0.230000004172325</c:v>
                </c:pt>
                <c:pt idx="537">
                  <c:v>0.28999999165534901</c:v>
                </c:pt>
                <c:pt idx="538">
                  <c:v>0.37999999523162797</c:v>
                </c:pt>
                <c:pt idx="539">
                  <c:v>0.30000001192092801</c:v>
                </c:pt>
                <c:pt idx="540">
                  <c:v>0.31499999761581399</c:v>
                </c:pt>
                <c:pt idx="541">
                  <c:v>0.33899998664855902</c:v>
                </c:pt>
                <c:pt idx="542">
                  <c:v>0.31999999284744202</c:v>
                </c:pt>
                <c:pt idx="543">
                  <c:v>0.31999999284744202</c:v>
                </c:pt>
                <c:pt idx="544">
                  <c:v>0.33100000023841802</c:v>
                </c:pt>
                <c:pt idx="545">
                  <c:v>0.33899998664855902</c:v>
                </c:pt>
                <c:pt idx="546">
                  <c:v>0.33300000429153398</c:v>
                </c:pt>
                <c:pt idx="547">
                  <c:v>0.31000000238418501</c:v>
                </c:pt>
                <c:pt idx="548">
                  <c:v>0.32499998807907099</c:v>
                </c:pt>
                <c:pt idx="549">
                  <c:v>0.32199999690055803</c:v>
                </c:pt>
                <c:pt idx="550">
                  <c:v>0.32499998807907099</c:v>
                </c:pt>
                <c:pt idx="551">
                  <c:v>0.31900000572204501</c:v>
                </c:pt>
                <c:pt idx="552">
                  <c:v>0.31600001454353299</c:v>
                </c:pt>
                <c:pt idx="553">
                  <c:v>0.31000000238418501</c:v>
                </c:pt>
                <c:pt idx="554">
                  <c:v>0.31000000238418501</c:v>
                </c:pt>
                <c:pt idx="555">
                  <c:v>0.31200000643730103</c:v>
                </c:pt>
                <c:pt idx="556">
                  <c:v>0.31900000572204501</c:v>
                </c:pt>
                <c:pt idx="557">
                  <c:v>0.31000000238418501</c:v>
                </c:pt>
                <c:pt idx="558">
                  <c:v>0.29699999094009399</c:v>
                </c:pt>
                <c:pt idx="559">
                  <c:v>0.29499998688697798</c:v>
                </c:pt>
                <c:pt idx="560">
                  <c:v>0.29600000381469699</c:v>
                </c:pt>
                <c:pt idx="561">
                  <c:v>0.30000001192092801</c:v>
                </c:pt>
                <c:pt idx="562">
                  <c:v>0.30000001192092801</c:v>
                </c:pt>
                <c:pt idx="563">
                  <c:v>0.29499998688697798</c:v>
                </c:pt>
                <c:pt idx="564">
                  <c:v>0.29899999499320901</c:v>
                </c:pt>
                <c:pt idx="565">
                  <c:v>0.30099999904632502</c:v>
                </c:pt>
                <c:pt idx="566">
                  <c:v>0.30099999904632502</c:v>
                </c:pt>
                <c:pt idx="567">
                  <c:v>0.30000001192092801</c:v>
                </c:pt>
                <c:pt idx="568">
                  <c:v>0.30000001192092801</c:v>
                </c:pt>
                <c:pt idx="569">
                  <c:v>0.29699999094009399</c:v>
                </c:pt>
                <c:pt idx="570">
                  <c:v>0.29499998688697798</c:v>
                </c:pt>
                <c:pt idx="571">
                  <c:v>0.29499998688697798</c:v>
                </c:pt>
                <c:pt idx="572">
                  <c:v>0.298000007867813</c:v>
                </c:pt>
                <c:pt idx="573">
                  <c:v>0.29899999499320901</c:v>
                </c:pt>
                <c:pt idx="574">
                  <c:v>0.30000001192092801</c:v>
                </c:pt>
                <c:pt idx="575">
                  <c:v>0.29600000381469699</c:v>
                </c:pt>
                <c:pt idx="576">
                  <c:v>0.29699999094009399</c:v>
                </c:pt>
                <c:pt idx="577">
                  <c:v>0.30000001192092801</c:v>
                </c:pt>
                <c:pt idx="578">
                  <c:v>0.298000007867813</c:v>
                </c:pt>
                <c:pt idx="579">
                  <c:v>0.298000007867813</c:v>
                </c:pt>
                <c:pt idx="580">
                  <c:v>0.29499998688697798</c:v>
                </c:pt>
                <c:pt idx="581">
                  <c:v>0.28400000929832397</c:v>
                </c:pt>
                <c:pt idx="582">
                  <c:v>0.28700000047683699</c:v>
                </c:pt>
                <c:pt idx="583">
                  <c:v>0.277999997138977</c:v>
                </c:pt>
                <c:pt idx="584">
                  <c:v>0.270000010728836</c:v>
                </c:pt>
                <c:pt idx="585">
                  <c:v>0.26300001144409102</c:v>
                </c:pt>
                <c:pt idx="586">
                  <c:v>0.27500000596046398</c:v>
                </c:pt>
                <c:pt idx="587">
                  <c:v>0.27500000596046398</c:v>
                </c:pt>
                <c:pt idx="588">
                  <c:v>0.27599999308586098</c:v>
                </c:pt>
                <c:pt idx="589">
                  <c:v>0.27099999785423201</c:v>
                </c:pt>
                <c:pt idx="590">
                  <c:v>0.31499999761581399</c:v>
                </c:pt>
                <c:pt idx="591">
                  <c:v>0.29100000858306801</c:v>
                </c:pt>
                <c:pt idx="592">
                  <c:v>0.29899999499320901</c:v>
                </c:pt>
                <c:pt idx="593">
                  <c:v>0.29899999499320901</c:v>
                </c:pt>
                <c:pt idx="594">
                  <c:v>0.29899999499320901</c:v>
                </c:pt>
                <c:pt idx="595">
                  <c:v>0.28299999237060502</c:v>
                </c:pt>
                <c:pt idx="596">
                  <c:v>0.29199999570846502</c:v>
                </c:pt>
                <c:pt idx="597">
                  <c:v>0.28600001335143999</c:v>
                </c:pt>
                <c:pt idx="598">
                  <c:v>0.287999987602233</c:v>
                </c:pt>
                <c:pt idx="599">
                  <c:v>0.28999999165534901</c:v>
                </c:pt>
                <c:pt idx="600">
                  <c:v>0.29100000858306801</c:v>
                </c:pt>
                <c:pt idx="601">
                  <c:v>0.28999999165534901</c:v>
                </c:pt>
                <c:pt idx="602">
                  <c:v>0.28999999165534901</c:v>
                </c:pt>
                <c:pt idx="603">
                  <c:v>0.28700000047683699</c:v>
                </c:pt>
                <c:pt idx="604">
                  <c:v>0.28499999642372098</c:v>
                </c:pt>
                <c:pt idx="605">
                  <c:v>0.28999999165534901</c:v>
                </c:pt>
                <c:pt idx="606">
                  <c:v>0.29300001263618403</c:v>
                </c:pt>
                <c:pt idx="607">
                  <c:v>0.26300001144409102</c:v>
                </c:pt>
                <c:pt idx="608">
                  <c:v>0.287999987602233</c:v>
                </c:pt>
                <c:pt idx="609">
                  <c:v>0.24199999868869701</c:v>
                </c:pt>
                <c:pt idx="610">
                  <c:v>0.259999990463256</c:v>
                </c:pt>
                <c:pt idx="611">
                  <c:v>0.26300001144409102</c:v>
                </c:pt>
                <c:pt idx="612">
                  <c:v>0.26300001144409102</c:v>
                </c:pt>
                <c:pt idx="613">
                  <c:v>0.26699998974800099</c:v>
                </c:pt>
                <c:pt idx="614">
                  <c:v>0.26499998569488498</c:v>
                </c:pt>
                <c:pt idx="615">
                  <c:v>0.26499998569488498</c:v>
                </c:pt>
                <c:pt idx="616">
                  <c:v>0.26399999856948803</c:v>
                </c:pt>
                <c:pt idx="617">
                  <c:v>0.27099999785423201</c:v>
                </c:pt>
                <c:pt idx="618">
                  <c:v>0.26600000262260398</c:v>
                </c:pt>
                <c:pt idx="619">
                  <c:v>0.26499998569488498</c:v>
                </c:pt>
                <c:pt idx="620">
                  <c:v>0.26600000262260398</c:v>
                </c:pt>
                <c:pt idx="621">
                  <c:v>0.26800000667571999</c:v>
                </c:pt>
                <c:pt idx="622">
                  <c:v>0.26399999856948803</c:v>
                </c:pt>
                <c:pt idx="623">
                  <c:v>0.26499998569488498</c:v>
                </c:pt>
                <c:pt idx="624">
                  <c:v>0.26199999451637201</c:v>
                </c:pt>
                <c:pt idx="625">
                  <c:v>0.259999990463256</c:v>
                </c:pt>
                <c:pt idx="626">
                  <c:v>0.25</c:v>
                </c:pt>
                <c:pt idx="627">
                  <c:v>0.25200000405311501</c:v>
                </c:pt>
                <c:pt idx="628">
                  <c:v>0.25200000405311501</c:v>
                </c:pt>
                <c:pt idx="629">
                  <c:v>0.25099998712539601</c:v>
                </c:pt>
                <c:pt idx="630">
                  <c:v>0.25200000405311501</c:v>
                </c:pt>
                <c:pt idx="631">
                  <c:v>0.25400000810623102</c:v>
                </c:pt>
                <c:pt idx="632">
                  <c:v>0.25400000810623102</c:v>
                </c:pt>
                <c:pt idx="633">
                  <c:v>0.25699999928474399</c:v>
                </c:pt>
                <c:pt idx="634">
                  <c:v>0.25900000333786</c:v>
                </c:pt>
                <c:pt idx="635">
                  <c:v>0.25699999928474399</c:v>
                </c:pt>
                <c:pt idx="636">
                  <c:v>0.25799998641014099</c:v>
                </c:pt>
                <c:pt idx="637">
                  <c:v>0.25499999523162797</c:v>
                </c:pt>
                <c:pt idx="638">
                  <c:v>0.259999990463256</c:v>
                </c:pt>
                <c:pt idx="639">
                  <c:v>0.25299999117851202</c:v>
                </c:pt>
                <c:pt idx="640">
                  <c:v>0.25200000405311501</c:v>
                </c:pt>
                <c:pt idx="641">
                  <c:v>0.25099998712539601</c:v>
                </c:pt>
                <c:pt idx="642">
                  <c:v>0.25799998641014099</c:v>
                </c:pt>
                <c:pt idx="643">
                  <c:v>0.25699999928474399</c:v>
                </c:pt>
                <c:pt idx="644">
                  <c:v>0.25799998641014099</c:v>
                </c:pt>
                <c:pt idx="645">
                  <c:v>0.25</c:v>
                </c:pt>
                <c:pt idx="646">
                  <c:v>0.25799998641014099</c:v>
                </c:pt>
                <c:pt idx="647">
                  <c:v>0.25499999523162797</c:v>
                </c:pt>
                <c:pt idx="648">
                  <c:v>0.25600001215934698</c:v>
                </c:pt>
                <c:pt idx="649">
                  <c:v>0.25200000405311501</c:v>
                </c:pt>
                <c:pt idx="650">
                  <c:v>0.25299999117851202</c:v>
                </c:pt>
                <c:pt idx="651">
                  <c:v>0.25299999117851202</c:v>
                </c:pt>
                <c:pt idx="652">
                  <c:v>0.25699999928474399</c:v>
                </c:pt>
                <c:pt idx="653">
                  <c:v>0.25299999117851202</c:v>
                </c:pt>
                <c:pt idx="654">
                  <c:v>0.25299999117851202</c:v>
                </c:pt>
                <c:pt idx="655">
                  <c:v>0.25200000405311501</c:v>
                </c:pt>
                <c:pt idx="656">
                  <c:v>0.25299999117851202</c:v>
                </c:pt>
                <c:pt idx="657">
                  <c:v>0.25099998712539601</c:v>
                </c:pt>
                <c:pt idx="658">
                  <c:v>0.25200000405311501</c:v>
                </c:pt>
                <c:pt idx="659">
                  <c:v>0.25400000810623102</c:v>
                </c:pt>
                <c:pt idx="660">
                  <c:v>0.259999990463256</c:v>
                </c:pt>
                <c:pt idx="661">
                  <c:v>0.25900000333786</c:v>
                </c:pt>
                <c:pt idx="662">
                  <c:v>0.25</c:v>
                </c:pt>
                <c:pt idx="663">
                  <c:v>0.25</c:v>
                </c:pt>
                <c:pt idx="664">
                  <c:v>0.24899999797344199</c:v>
                </c:pt>
                <c:pt idx="665">
                  <c:v>0.24899999797344199</c:v>
                </c:pt>
                <c:pt idx="666">
                  <c:v>0.24699999392032601</c:v>
                </c:pt>
                <c:pt idx="667">
                  <c:v>0.25</c:v>
                </c:pt>
                <c:pt idx="668">
                  <c:v>0.24799999594688399</c:v>
                </c:pt>
                <c:pt idx="669">
                  <c:v>0.24899999797344199</c:v>
                </c:pt>
                <c:pt idx="670">
                  <c:v>0.24899999797344199</c:v>
                </c:pt>
                <c:pt idx="671">
                  <c:v>0.24899999797344199</c:v>
                </c:pt>
                <c:pt idx="672">
                  <c:v>0.246000006794929</c:v>
                </c:pt>
                <c:pt idx="673">
                  <c:v>0.25</c:v>
                </c:pt>
                <c:pt idx="674">
                  <c:v>0.245000004768371</c:v>
                </c:pt>
                <c:pt idx="675">
                  <c:v>0.25</c:v>
                </c:pt>
                <c:pt idx="676">
                  <c:v>0.24899999797344199</c:v>
                </c:pt>
                <c:pt idx="677">
                  <c:v>0.25099998712539601</c:v>
                </c:pt>
                <c:pt idx="678">
                  <c:v>0.25</c:v>
                </c:pt>
                <c:pt idx="679">
                  <c:v>0.25900000333786</c:v>
                </c:pt>
                <c:pt idx="680">
                  <c:v>0.25299999117851202</c:v>
                </c:pt>
                <c:pt idx="681">
                  <c:v>0.25099998712539601</c:v>
                </c:pt>
                <c:pt idx="682">
                  <c:v>0.245000004768371</c:v>
                </c:pt>
                <c:pt idx="683">
                  <c:v>0.24899999797344199</c:v>
                </c:pt>
                <c:pt idx="684">
                  <c:v>0.24799999594688399</c:v>
                </c:pt>
                <c:pt idx="685">
                  <c:v>0.25400000810623102</c:v>
                </c:pt>
                <c:pt idx="686">
                  <c:v>0.25200000405311501</c:v>
                </c:pt>
                <c:pt idx="687">
                  <c:v>0.25299999117851202</c:v>
                </c:pt>
                <c:pt idx="688">
                  <c:v>0.25400000810623102</c:v>
                </c:pt>
                <c:pt idx="689">
                  <c:v>0.25799998641014099</c:v>
                </c:pt>
                <c:pt idx="690">
                  <c:v>0.25</c:v>
                </c:pt>
                <c:pt idx="691">
                  <c:v>0.23800000548362699</c:v>
                </c:pt>
                <c:pt idx="692">
                  <c:v>0.236000001430511</c:v>
                </c:pt>
                <c:pt idx="693">
                  <c:v>0.21500000357627799</c:v>
                </c:pt>
                <c:pt idx="694">
                  <c:v>0.18500000238418501</c:v>
                </c:pt>
                <c:pt idx="695">
                  <c:v>0.16500000655651001</c:v>
                </c:pt>
                <c:pt idx="696">
                  <c:v>0.14499999582767401</c:v>
                </c:pt>
                <c:pt idx="697">
                  <c:v>0.122000001370906</c:v>
                </c:pt>
                <c:pt idx="698">
                  <c:v>0.103000000119209</c:v>
                </c:pt>
                <c:pt idx="699">
                  <c:v>8.6999997496604906E-2</c:v>
                </c:pt>
                <c:pt idx="700">
                  <c:v>7.4000000953674303E-2</c:v>
                </c:pt>
                <c:pt idx="701">
                  <c:v>6.40000030398368E-2</c:v>
                </c:pt>
                <c:pt idx="702">
                  <c:v>5.4000001400709097E-2</c:v>
                </c:pt>
                <c:pt idx="703">
                  <c:v>5.2999999374151202E-2</c:v>
                </c:pt>
                <c:pt idx="704">
                  <c:v>9.0999998152255998E-2</c:v>
                </c:pt>
                <c:pt idx="705">
                  <c:v>0.18600000441074299</c:v>
                </c:pt>
                <c:pt idx="706">
                  <c:v>0.19099999964237199</c:v>
                </c:pt>
                <c:pt idx="707">
                  <c:v>0.140000000596046</c:v>
                </c:pt>
                <c:pt idx="708">
                  <c:v>0.16200000047683699</c:v>
                </c:pt>
                <c:pt idx="709">
                  <c:v>0.18400000035762701</c:v>
                </c:pt>
                <c:pt idx="710">
                  <c:v>0.18500000238418501</c:v>
                </c:pt>
                <c:pt idx="711">
                  <c:v>0.178000003099441</c:v>
                </c:pt>
                <c:pt idx="712">
                  <c:v>0.17000000178813901</c:v>
                </c:pt>
                <c:pt idx="713">
                  <c:v>0.17399999499320901</c:v>
                </c:pt>
                <c:pt idx="714">
                  <c:v>0.17000000178813901</c:v>
                </c:pt>
                <c:pt idx="715">
                  <c:v>0.15999999642372101</c:v>
                </c:pt>
                <c:pt idx="716">
                  <c:v>0.152999997138977</c:v>
                </c:pt>
                <c:pt idx="717">
                  <c:v>0.15500000119209201</c:v>
                </c:pt>
                <c:pt idx="718">
                  <c:v>0.15500000119209201</c:v>
                </c:pt>
                <c:pt idx="719">
                  <c:v>0.15000000596046401</c:v>
                </c:pt>
                <c:pt idx="720">
                  <c:v>0.14800000190734799</c:v>
                </c:pt>
                <c:pt idx="721">
                  <c:v>0.15999999642372101</c:v>
                </c:pt>
                <c:pt idx="722">
                  <c:v>0.16099999845027901</c:v>
                </c:pt>
                <c:pt idx="723">
                  <c:v>0.15000000596046401</c:v>
                </c:pt>
                <c:pt idx="724">
                  <c:v>0.140000000596046</c:v>
                </c:pt>
                <c:pt idx="725">
                  <c:v>0.13099999725818601</c:v>
                </c:pt>
                <c:pt idx="726">
                  <c:v>0.12800000607967299</c:v>
                </c:pt>
                <c:pt idx="727">
                  <c:v>0.13699999451637199</c:v>
                </c:pt>
                <c:pt idx="728">
                  <c:v>0.15999999642372101</c:v>
                </c:pt>
                <c:pt idx="729">
                  <c:v>0.14599999785423201</c:v>
                </c:pt>
                <c:pt idx="730">
                  <c:v>0.140000000596046</c:v>
                </c:pt>
                <c:pt idx="731">
                  <c:v>0.14200000464916199</c:v>
                </c:pt>
                <c:pt idx="732">
                  <c:v>0.149000003933906</c:v>
                </c:pt>
                <c:pt idx="733">
                  <c:v>0.15000000596046401</c:v>
                </c:pt>
                <c:pt idx="734">
                  <c:v>0.15000000596046401</c:v>
                </c:pt>
                <c:pt idx="735">
                  <c:v>0.15000000596046401</c:v>
                </c:pt>
                <c:pt idx="736">
                  <c:v>0.149000003933906</c:v>
                </c:pt>
                <c:pt idx="737">
                  <c:v>0.14499999582767401</c:v>
                </c:pt>
                <c:pt idx="738">
                  <c:v>0.140000000596046</c:v>
                </c:pt>
                <c:pt idx="739">
                  <c:v>0.140000000596046</c:v>
                </c:pt>
                <c:pt idx="740">
                  <c:v>0.138999998569488</c:v>
                </c:pt>
                <c:pt idx="741">
                  <c:v>0.140000000596046</c:v>
                </c:pt>
                <c:pt idx="742">
                  <c:v>0.13799999654292999</c:v>
                </c:pt>
                <c:pt idx="743">
                  <c:v>0.13799999654292999</c:v>
                </c:pt>
                <c:pt idx="744">
                  <c:v>0.14300000667571999</c:v>
                </c:pt>
                <c:pt idx="745">
                  <c:v>0.14699999988078999</c:v>
                </c:pt>
                <c:pt idx="746">
                  <c:v>0.14499999582767401</c:v>
                </c:pt>
                <c:pt idx="747">
                  <c:v>0.14499999582767401</c:v>
                </c:pt>
                <c:pt idx="748">
                  <c:v>0.13699999451637199</c:v>
                </c:pt>
                <c:pt idx="749">
                  <c:v>0.129999995231628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BB-2E4D-9E93-58277ECB1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6347391"/>
        <c:axId val="1266349183"/>
      </c:lineChart>
      <c:dateAx>
        <c:axId val="126634739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266349183"/>
        <c:crosses val="autoZero"/>
        <c:auto val="1"/>
        <c:lblOffset val="100"/>
        <c:baseTimeUnit val="days"/>
      </c:dateAx>
      <c:valAx>
        <c:axId val="12663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26634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Rendimientos!$B$1</c:f>
              <c:strCache>
                <c:ptCount val="1"/>
                <c:pt idx="0">
                  <c:v>AGUAR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Rendimientos!$A$2:$A$750</c:f>
              <c:numCache>
                <c:formatCode>m/d/yy</c:formatCode>
                <c:ptCount val="749"/>
                <c:pt idx="0">
                  <c:v>44999</c:v>
                </c:pt>
                <c:pt idx="1">
                  <c:v>45000</c:v>
                </c:pt>
                <c:pt idx="2">
                  <c:v>45001</c:v>
                </c:pt>
                <c:pt idx="3">
                  <c:v>45002</c:v>
                </c:pt>
                <c:pt idx="4">
                  <c:v>45006</c:v>
                </c:pt>
                <c:pt idx="5">
                  <c:v>45007</c:v>
                </c:pt>
                <c:pt idx="6">
                  <c:v>45008</c:v>
                </c:pt>
                <c:pt idx="7">
                  <c:v>45009</c:v>
                </c:pt>
                <c:pt idx="8">
                  <c:v>45012</c:v>
                </c:pt>
                <c:pt idx="9">
                  <c:v>45013</c:v>
                </c:pt>
                <c:pt idx="10">
                  <c:v>45014</c:v>
                </c:pt>
                <c:pt idx="11">
                  <c:v>45015</c:v>
                </c:pt>
                <c:pt idx="12">
                  <c:v>45016</c:v>
                </c:pt>
                <c:pt idx="13">
                  <c:v>45019</c:v>
                </c:pt>
                <c:pt idx="14">
                  <c:v>45020</c:v>
                </c:pt>
                <c:pt idx="15">
                  <c:v>45021</c:v>
                </c:pt>
                <c:pt idx="16">
                  <c:v>45026</c:v>
                </c:pt>
                <c:pt idx="17">
                  <c:v>45027</c:v>
                </c:pt>
                <c:pt idx="18">
                  <c:v>45028</c:v>
                </c:pt>
                <c:pt idx="19">
                  <c:v>45029</c:v>
                </c:pt>
                <c:pt idx="20">
                  <c:v>45030</c:v>
                </c:pt>
                <c:pt idx="21">
                  <c:v>45033</c:v>
                </c:pt>
                <c:pt idx="22">
                  <c:v>45034</c:v>
                </c:pt>
                <c:pt idx="23">
                  <c:v>45035</c:v>
                </c:pt>
                <c:pt idx="24">
                  <c:v>45036</c:v>
                </c:pt>
                <c:pt idx="25">
                  <c:v>45037</c:v>
                </c:pt>
                <c:pt idx="26">
                  <c:v>45040</c:v>
                </c:pt>
                <c:pt idx="27">
                  <c:v>45041</c:v>
                </c:pt>
                <c:pt idx="28">
                  <c:v>45042</c:v>
                </c:pt>
                <c:pt idx="29">
                  <c:v>45043</c:v>
                </c:pt>
                <c:pt idx="30">
                  <c:v>45044</c:v>
                </c:pt>
                <c:pt idx="31">
                  <c:v>45048</c:v>
                </c:pt>
                <c:pt idx="32">
                  <c:v>45049</c:v>
                </c:pt>
                <c:pt idx="33">
                  <c:v>45050</c:v>
                </c:pt>
                <c:pt idx="34">
                  <c:v>45051</c:v>
                </c:pt>
                <c:pt idx="35">
                  <c:v>45054</c:v>
                </c:pt>
                <c:pt idx="36">
                  <c:v>45055</c:v>
                </c:pt>
                <c:pt idx="37">
                  <c:v>45056</c:v>
                </c:pt>
                <c:pt idx="38">
                  <c:v>45057</c:v>
                </c:pt>
                <c:pt idx="39">
                  <c:v>45058</c:v>
                </c:pt>
                <c:pt idx="40">
                  <c:v>45061</c:v>
                </c:pt>
                <c:pt idx="41">
                  <c:v>45062</c:v>
                </c:pt>
                <c:pt idx="42">
                  <c:v>45063</c:v>
                </c:pt>
                <c:pt idx="43">
                  <c:v>45064</c:v>
                </c:pt>
                <c:pt idx="44">
                  <c:v>45065</c:v>
                </c:pt>
                <c:pt idx="45">
                  <c:v>45068</c:v>
                </c:pt>
                <c:pt idx="46">
                  <c:v>45069</c:v>
                </c:pt>
                <c:pt idx="47">
                  <c:v>45070</c:v>
                </c:pt>
                <c:pt idx="48">
                  <c:v>45071</c:v>
                </c:pt>
                <c:pt idx="49">
                  <c:v>45072</c:v>
                </c:pt>
                <c:pt idx="50">
                  <c:v>45075</c:v>
                </c:pt>
                <c:pt idx="51">
                  <c:v>45076</c:v>
                </c:pt>
                <c:pt idx="52">
                  <c:v>45077</c:v>
                </c:pt>
                <c:pt idx="53">
                  <c:v>45078</c:v>
                </c:pt>
                <c:pt idx="54">
                  <c:v>45079</c:v>
                </c:pt>
                <c:pt idx="55">
                  <c:v>45082</c:v>
                </c:pt>
                <c:pt idx="56">
                  <c:v>45083</c:v>
                </c:pt>
                <c:pt idx="57">
                  <c:v>45084</c:v>
                </c:pt>
                <c:pt idx="58">
                  <c:v>45085</c:v>
                </c:pt>
                <c:pt idx="59">
                  <c:v>45086</c:v>
                </c:pt>
                <c:pt idx="60">
                  <c:v>45089</c:v>
                </c:pt>
                <c:pt idx="61">
                  <c:v>45090</c:v>
                </c:pt>
                <c:pt idx="62">
                  <c:v>45091</c:v>
                </c:pt>
                <c:pt idx="63">
                  <c:v>45092</c:v>
                </c:pt>
                <c:pt idx="64">
                  <c:v>45093</c:v>
                </c:pt>
                <c:pt idx="65">
                  <c:v>45096</c:v>
                </c:pt>
                <c:pt idx="66">
                  <c:v>45097</c:v>
                </c:pt>
                <c:pt idx="67">
                  <c:v>45098</c:v>
                </c:pt>
                <c:pt idx="68">
                  <c:v>45099</c:v>
                </c:pt>
                <c:pt idx="69">
                  <c:v>45100</c:v>
                </c:pt>
                <c:pt idx="70">
                  <c:v>45103</c:v>
                </c:pt>
                <c:pt idx="71">
                  <c:v>45104</c:v>
                </c:pt>
                <c:pt idx="72">
                  <c:v>45105</c:v>
                </c:pt>
                <c:pt idx="73">
                  <c:v>45106</c:v>
                </c:pt>
                <c:pt idx="74">
                  <c:v>45107</c:v>
                </c:pt>
                <c:pt idx="75">
                  <c:v>45110</c:v>
                </c:pt>
                <c:pt idx="76">
                  <c:v>45111</c:v>
                </c:pt>
                <c:pt idx="77">
                  <c:v>45112</c:v>
                </c:pt>
                <c:pt idx="78">
                  <c:v>45113</c:v>
                </c:pt>
                <c:pt idx="79">
                  <c:v>45114</c:v>
                </c:pt>
                <c:pt idx="80">
                  <c:v>45117</c:v>
                </c:pt>
                <c:pt idx="81">
                  <c:v>45118</c:v>
                </c:pt>
                <c:pt idx="82">
                  <c:v>45119</c:v>
                </c:pt>
                <c:pt idx="83">
                  <c:v>45120</c:v>
                </c:pt>
                <c:pt idx="84">
                  <c:v>45121</c:v>
                </c:pt>
                <c:pt idx="85">
                  <c:v>45124</c:v>
                </c:pt>
                <c:pt idx="86">
                  <c:v>45125</c:v>
                </c:pt>
                <c:pt idx="87">
                  <c:v>45126</c:v>
                </c:pt>
                <c:pt idx="88">
                  <c:v>45127</c:v>
                </c:pt>
                <c:pt idx="89">
                  <c:v>45128</c:v>
                </c:pt>
                <c:pt idx="90">
                  <c:v>45131</c:v>
                </c:pt>
                <c:pt idx="91">
                  <c:v>45132</c:v>
                </c:pt>
                <c:pt idx="92">
                  <c:v>45133</c:v>
                </c:pt>
                <c:pt idx="93">
                  <c:v>45134</c:v>
                </c:pt>
                <c:pt idx="94">
                  <c:v>45135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45145</c:v>
                </c:pt>
                <c:pt idx="101">
                  <c:v>45146</c:v>
                </c:pt>
                <c:pt idx="102">
                  <c:v>45147</c:v>
                </c:pt>
                <c:pt idx="103">
                  <c:v>45148</c:v>
                </c:pt>
                <c:pt idx="104">
                  <c:v>45149</c:v>
                </c:pt>
                <c:pt idx="105">
                  <c:v>45152</c:v>
                </c:pt>
                <c:pt idx="106">
                  <c:v>45153</c:v>
                </c:pt>
                <c:pt idx="107">
                  <c:v>45154</c:v>
                </c:pt>
                <c:pt idx="108">
                  <c:v>45155</c:v>
                </c:pt>
                <c:pt idx="109">
                  <c:v>45156</c:v>
                </c:pt>
                <c:pt idx="110">
                  <c:v>45159</c:v>
                </c:pt>
                <c:pt idx="111">
                  <c:v>45160</c:v>
                </c:pt>
                <c:pt idx="112">
                  <c:v>45161</c:v>
                </c:pt>
                <c:pt idx="113">
                  <c:v>45162</c:v>
                </c:pt>
                <c:pt idx="114">
                  <c:v>45163</c:v>
                </c:pt>
                <c:pt idx="115">
                  <c:v>45166</c:v>
                </c:pt>
                <c:pt idx="116">
                  <c:v>45167</c:v>
                </c:pt>
                <c:pt idx="117">
                  <c:v>45168</c:v>
                </c:pt>
                <c:pt idx="118">
                  <c:v>45169</c:v>
                </c:pt>
                <c:pt idx="119">
                  <c:v>45170</c:v>
                </c:pt>
                <c:pt idx="120">
                  <c:v>45173</c:v>
                </c:pt>
                <c:pt idx="121">
                  <c:v>45174</c:v>
                </c:pt>
                <c:pt idx="122">
                  <c:v>45175</c:v>
                </c:pt>
                <c:pt idx="123">
                  <c:v>45176</c:v>
                </c:pt>
                <c:pt idx="124">
                  <c:v>45177</c:v>
                </c:pt>
                <c:pt idx="125">
                  <c:v>45180</c:v>
                </c:pt>
                <c:pt idx="126">
                  <c:v>45181</c:v>
                </c:pt>
                <c:pt idx="127">
                  <c:v>45182</c:v>
                </c:pt>
                <c:pt idx="128">
                  <c:v>45183</c:v>
                </c:pt>
                <c:pt idx="129">
                  <c:v>45184</c:v>
                </c:pt>
                <c:pt idx="130">
                  <c:v>45187</c:v>
                </c:pt>
                <c:pt idx="131">
                  <c:v>45188</c:v>
                </c:pt>
                <c:pt idx="132">
                  <c:v>45189</c:v>
                </c:pt>
                <c:pt idx="133">
                  <c:v>45190</c:v>
                </c:pt>
                <c:pt idx="134">
                  <c:v>45191</c:v>
                </c:pt>
                <c:pt idx="135">
                  <c:v>45194</c:v>
                </c:pt>
                <c:pt idx="136">
                  <c:v>45195</c:v>
                </c:pt>
                <c:pt idx="137">
                  <c:v>45196</c:v>
                </c:pt>
                <c:pt idx="138">
                  <c:v>45197</c:v>
                </c:pt>
                <c:pt idx="139">
                  <c:v>45198</c:v>
                </c:pt>
                <c:pt idx="140">
                  <c:v>45201</c:v>
                </c:pt>
                <c:pt idx="141">
                  <c:v>45202</c:v>
                </c:pt>
                <c:pt idx="142">
                  <c:v>45203</c:v>
                </c:pt>
                <c:pt idx="143">
                  <c:v>45204</c:v>
                </c:pt>
                <c:pt idx="144">
                  <c:v>45205</c:v>
                </c:pt>
                <c:pt idx="145">
                  <c:v>45208</c:v>
                </c:pt>
                <c:pt idx="146">
                  <c:v>45209</c:v>
                </c:pt>
                <c:pt idx="147">
                  <c:v>45210</c:v>
                </c:pt>
                <c:pt idx="148">
                  <c:v>45211</c:v>
                </c:pt>
                <c:pt idx="149">
                  <c:v>45212</c:v>
                </c:pt>
                <c:pt idx="150">
                  <c:v>45215</c:v>
                </c:pt>
                <c:pt idx="151">
                  <c:v>45216</c:v>
                </c:pt>
                <c:pt idx="152">
                  <c:v>45217</c:v>
                </c:pt>
                <c:pt idx="153">
                  <c:v>45218</c:v>
                </c:pt>
                <c:pt idx="154">
                  <c:v>45219</c:v>
                </c:pt>
                <c:pt idx="155">
                  <c:v>45222</c:v>
                </c:pt>
                <c:pt idx="156">
                  <c:v>45223</c:v>
                </c:pt>
                <c:pt idx="157">
                  <c:v>45224</c:v>
                </c:pt>
                <c:pt idx="158">
                  <c:v>45225</c:v>
                </c:pt>
                <c:pt idx="159">
                  <c:v>45226</c:v>
                </c:pt>
                <c:pt idx="160">
                  <c:v>45229</c:v>
                </c:pt>
                <c:pt idx="161">
                  <c:v>45230</c:v>
                </c:pt>
                <c:pt idx="162">
                  <c:v>45231</c:v>
                </c:pt>
                <c:pt idx="163">
                  <c:v>45233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45243</c:v>
                </c:pt>
                <c:pt idx="170">
                  <c:v>45244</c:v>
                </c:pt>
                <c:pt idx="171">
                  <c:v>45245</c:v>
                </c:pt>
                <c:pt idx="172">
                  <c:v>45246</c:v>
                </c:pt>
                <c:pt idx="173">
                  <c:v>45247</c:v>
                </c:pt>
                <c:pt idx="174">
                  <c:v>45251</c:v>
                </c:pt>
                <c:pt idx="175">
                  <c:v>45252</c:v>
                </c:pt>
                <c:pt idx="176">
                  <c:v>45253</c:v>
                </c:pt>
                <c:pt idx="177">
                  <c:v>45254</c:v>
                </c:pt>
                <c:pt idx="178">
                  <c:v>45257</c:v>
                </c:pt>
                <c:pt idx="179">
                  <c:v>45258</c:v>
                </c:pt>
                <c:pt idx="180">
                  <c:v>45259</c:v>
                </c:pt>
                <c:pt idx="181">
                  <c:v>45260</c:v>
                </c:pt>
                <c:pt idx="182">
                  <c:v>45261</c:v>
                </c:pt>
                <c:pt idx="183">
                  <c:v>45264</c:v>
                </c:pt>
                <c:pt idx="184">
                  <c:v>45265</c:v>
                </c:pt>
                <c:pt idx="185">
                  <c:v>45266</c:v>
                </c:pt>
                <c:pt idx="186">
                  <c:v>45267</c:v>
                </c:pt>
                <c:pt idx="187">
                  <c:v>45268</c:v>
                </c:pt>
                <c:pt idx="188">
                  <c:v>45271</c:v>
                </c:pt>
                <c:pt idx="189">
                  <c:v>45273</c:v>
                </c:pt>
                <c:pt idx="190">
                  <c:v>45274</c:v>
                </c:pt>
                <c:pt idx="191">
                  <c:v>45275</c:v>
                </c:pt>
                <c:pt idx="192">
                  <c:v>45278</c:v>
                </c:pt>
                <c:pt idx="193">
                  <c:v>45279</c:v>
                </c:pt>
                <c:pt idx="194">
                  <c:v>45280</c:v>
                </c:pt>
                <c:pt idx="195">
                  <c:v>45281</c:v>
                </c:pt>
                <c:pt idx="196">
                  <c:v>45282</c:v>
                </c:pt>
                <c:pt idx="197">
                  <c:v>45286</c:v>
                </c:pt>
                <c:pt idx="198">
                  <c:v>45287</c:v>
                </c:pt>
                <c:pt idx="199">
                  <c:v>45288</c:v>
                </c:pt>
                <c:pt idx="200">
                  <c:v>45289</c:v>
                </c:pt>
                <c:pt idx="201">
                  <c:v>45293</c:v>
                </c:pt>
                <c:pt idx="202">
                  <c:v>45294</c:v>
                </c:pt>
                <c:pt idx="203">
                  <c:v>45295</c:v>
                </c:pt>
                <c:pt idx="204">
                  <c:v>45296</c:v>
                </c:pt>
                <c:pt idx="205">
                  <c:v>45299</c:v>
                </c:pt>
                <c:pt idx="206">
                  <c:v>45300</c:v>
                </c:pt>
                <c:pt idx="207">
                  <c:v>45301</c:v>
                </c:pt>
                <c:pt idx="208">
                  <c:v>45302</c:v>
                </c:pt>
                <c:pt idx="209">
                  <c:v>45303</c:v>
                </c:pt>
                <c:pt idx="210">
                  <c:v>45306</c:v>
                </c:pt>
                <c:pt idx="211">
                  <c:v>45307</c:v>
                </c:pt>
                <c:pt idx="212">
                  <c:v>45308</c:v>
                </c:pt>
                <c:pt idx="213">
                  <c:v>45309</c:v>
                </c:pt>
                <c:pt idx="214">
                  <c:v>45310</c:v>
                </c:pt>
                <c:pt idx="215">
                  <c:v>45313</c:v>
                </c:pt>
                <c:pt idx="216">
                  <c:v>45314</c:v>
                </c:pt>
                <c:pt idx="217">
                  <c:v>45315</c:v>
                </c:pt>
                <c:pt idx="218">
                  <c:v>45316</c:v>
                </c:pt>
                <c:pt idx="219">
                  <c:v>45317</c:v>
                </c:pt>
                <c:pt idx="220">
                  <c:v>45320</c:v>
                </c:pt>
                <c:pt idx="221">
                  <c:v>45321</c:v>
                </c:pt>
                <c:pt idx="222">
                  <c:v>45322</c:v>
                </c:pt>
                <c:pt idx="223">
                  <c:v>45323</c:v>
                </c:pt>
                <c:pt idx="224">
                  <c:v>45324</c:v>
                </c:pt>
                <c:pt idx="225">
                  <c:v>45328</c:v>
                </c:pt>
                <c:pt idx="226">
                  <c:v>45329</c:v>
                </c:pt>
                <c:pt idx="227">
                  <c:v>45330</c:v>
                </c:pt>
                <c:pt idx="228">
                  <c:v>45331</c:v>
                </c:pt>
                <c:pt idx="229">
                  <c:v>45334</c:v>
                </c:pt>
                <c:pt idx="230">
                  <c:v>45335</c:v>
                </c:pt>
                <c:pt idx="231">
                  <c:v>45336</c:v>
                </c:pt>
                <c:pt idx="232">
                  <c:v>45337</c:v>
                </c:pt>
                <c:pt idx="233">
                  <c:v>45338</c:v>
                </c:pt>
                <c:pt idx="234">
                  <c:v>45341</c:v>
                </c:pt>
                <c:pt idx="235">
                  <c:v>45342</c:v>
                </c:pt>
                <c:pt idx="236">
                  <c:v>45343</c:v>
                </c:pt>
                <c:pt idx="237">
                  <c:v>45344</c:v>
                </c:pt>
                <c:pt idx="238">
                  <c:v>45345</c:v>
                </c:pt>
                <c:pt idx="239">
                  <c:v>45348</c:v>
                </c:pt>
                <c:pt idx="240">
                  <c:v>45349</c:v>
                </c:pt>
                <c:pt idx="241">
                  <c:v>45350</c:v>
                </c:pt>
                <c:pt idx="242">
                  <c:v>45351</c:v>
                </c:pt>
                <c:pt idx="243">
                  <c:v>45352</c:v>
                </c:pt>
                <c:pt idx="244">
                  <c:v>45355</c:v>
                </c:pt>
                <c:pt idx="245">
                  <c:v>45356</c:v>
                </c:pt>
                <c:pt idx="246">
                  <c:v>45357</c:v>
                </c:pt>
                <c:pt idx="247">
                  <c:v>45358</c:v>
                </c:pt>
                <c:pt idx="248">
                  <c:v>45359</c:v>
                </c:pt>
                <c:pt idx="249">
                  <c:v>45362</c:v>
                </c:pt>
                <c:pt idx="250">
                  <c:v>45363</c:v>
                </c:pt>
                <c:pt idx="251">
                  <c:v>45364</c:v>
                </c:pt>
                <c:pt idx="252">
                  <c:v>45365</c:v>
                </c:pt>
                <c:pt idx="253">
                  <c:v>45366</c:v>
                </c:pt>
                <c:pt idx="254">
                  <c:v>45370</c:v>
                </c:pt>
                <c:pt idx="255">
                  <c:v>45371</c:v>
                </c:pt>
                <c:pt idx="256">
                  <c:v>45372</c:v>
                </c:pt>
                <c:pt idx="257">
                  <c:v>45373</c:v>
                </c:pt>
                <c:pt idx="258">
                  <c:v>45376</c:v>
                </c:pt>
                <c:pt idx="259">
                  <c:v>45377</c:v>
                </c:pt>
                <c:pt idx="260">
                  <c:v>45378</c:v>
                </c:pt>
                <c:pt idx="261">
                  <c:v>45383</c:v>
                </c:pt>
                <c:pt idx="262">
                  <c:v>45384</c:v>
                </c:pt>
                <c:pt idx="263">
                  <c:v>45385</c:v>
                </c:pt>
                <c:pt idx="264">
                  <c:v>45386</c:v>
                </c:pt>
                <c:pt idx="265">
                  <c:v>45387</c:v>
                </c:pt>
                <c:pt idx="266">
                  <c:v>45390</c:v>
                </c:pt>
                <c:pt idx="267">
                  <c:v>45391</c:v>
                </c:pt>
                <c:pt idx="268">
                  <c:v>45392</c:v>
                </c:pt>
                <c:pt idx="269">
                  <c:v>45393</c:v>
                </c:pt>
                <c:pt idx="270">
                  <c:v>45394</c:v>
                </c:pt>
                <c:pt idx="271">
                  <c:v>45397</c:v>
                </c:pt>
                <c:pt idx="272">
                  <c:v>45398</c:v>
                </c:pt>
                <c:pt idx="273">
                  <c:v>45399</c:v>
                </c:pt>
                <c:pt idx="274">
                  <c:v>45400</c:v>
                </c:pt>
                <c:pt idx="275">
                  <c:v>45401</c:v>
                </c:pt>
                <c:pt idx="276">
                  <c:v>45404</c:v>
                </c:pt>
                <c:pt idx="277">
                  <c:v>45405</c:v>
                </c:pt>
                <c:pt idx="278">
                  <c:v>45406</c:v>
                </c:pt>
                <c:pt idx="279">
                  <c:v>45407</c:v>
                </c:pt>
                <c:pt idx="280">
                  <c:v>45408</c:v>
                </c:pt>
                <c:pt idx="281">
                  <c:v>45411</c:v>
                </c:pt>
                <c:pt idx="282">
                  <c:v>45412</c:v>
                </c:pt>
                <c:pt idx="283">
                  <c:v>45414</c:v>
                </c:pt>
                <c:pt idx="284">
                  <c:v>45415</c:v>
                </c:pt>
                <c:pt idx="285">
                  <c:v>45418</c:v>
                </c:pt>
                <c:pt idx="286">
                  <c:v>45419</c:v>
                </c:pt>
                <c:pt idx="287">
                  <c:v>45420</c:v>
                </c:pt>
                <c:pt idx="288">
                  <c:v>45421</c:v>
                </c:pt>
                <c:pt idx="289">
                  <c:v>45422</c:v>
                </c:pt>
                <c:pt idx="290">
                  <c:v>45425</c:v>
                </c:pt>
                <c:pt idx="291">
                  <c:v>45426</c:v>
                </c:pt>
                <c:pt idx="292">
                  <c:v>45427</c:v>
                </c:pt>
                <c:pt idx="293">
                  <c:v>45428</c:v>
                </c:pt>
                <c:pt idx="294">
                  <c:v>45429</c:v>
                </c:pt>
                <c:pt idx="295">
                  <c:v>45432</c:v>
                </c:pt>
                <c:pt idx="296">
                  <c:v>45433</c:v>
                </c:pt>
                <c:pt idx="297">
                  <c:v>45434</c:v>
                </c:pt>
                <c:pt idx="298">
                  <c:v>45435</c:v>
                </c:pt>
                <c:pt idx="299">
                  <c:v>45436</c:v>
                </c:pt>
                <c:pt idx="300">
                  <c:v>45439</c:v>
                </c:pt>
                <c:pt idx="301">
                  <c:v>45440</c:v>
                </c:pt>
                <c:pt idx="302">
                  <c:v>45441</c:v>
                </c:pt>
                <c:pt idx="303">
                  <c:v>45442</c:v>
                </c:pt>
                <c:pt idx="304">
                  <c:v>45443</c:v>
                </c:pt>
                <c:pt idx="305">
                  <c:v>45446</c:v>
                </c:pt>
                <c:pt idx="306">
                  <c:v>45447</c:v>
                </c:pt>
                <c:pt idx="307">
                  <c:v>45448</c:v>
                </c:pt>
                <c:pt idx="308">
                  <c:v>45449</c:v>
                </c:pt>
                <c:pt idx="309">
                  <c:v>45450</c:v>
                </c:pt>
                <c:pt idx="310">
                  <c:v>45453</c:v>
                </c:pt>
                <c:pt idx="311">
                  <c:v>45454</c:v>
                </c:pt>
                <c:pt idx="312">
                  <c:v>45455</c:v>
                </c:pt>
                <c:pt idx="313">
                  <c:v>45456</c:v>
                </c:pt>
                <c:pt idx="314">
                  <c:v>45457</c:v>
                </c:pt>
                <c:pt idx="315">
                  <c:v>45460</c:v>
                </c:pt>
                <c:pt idx="316">
                  <c:v>45461</c:v>
                </c:pt>
                <c:pt idx="317">
                  <c:v>45462</c:v>
                </c:pt>
                <c:pt idx="318">
                  <c:v>45463</c:v>
                </c:pt>
                <c:pt idx="319">
                  <c:v>45464</c:v>
                </c:pt>
                <c:pt idx="320">
                  <c:v>45467</c:v>
                </c:pt>
                <c:pt idx="321">
                  <c:v>45468</c:v>
                </c:pt>
                <c:pt idx="322">
                  <c:v>45469</c:v>
                </c:pt>
                <c:pt idx="323">
                  <c:v>45470</c:v>
                </c:pt>
                <c:pt idx="324">
                  <c:v>45471</c:v>
                </c:pt>
                <c:pt idx="325">
                  <c:v>45474</c:v>
                </c:pt>
                <c:pt idx="326">
                  <c:v>45475</c:v>
                </c:pt>
                <c:pt idx="327">
                  <c:v>45476</c:v>
                </c:pt>
                <c:pt idx="328">
                  <c:v>45477</c:v>
                </c:pt>
                <c:pt idx="329">
                  <c:v>45478</c:v>
                </c:pt>
                <c:pt idx="330">
                  <c:v>45481</c:v>
                </c:pt>
                <c:pt idx="331">
                  <c:v>45482</c:v>
                </c:pt>
                <c:pt idx="332">
                  <c:v>45483</c:v>
                </c:pt>
                <c:pt idx="333">
                  <c:v>45484</c:v>
                </c:pt>
                <c:pt idx="334">
                  <c:v>45485</c:v>
                </c:pt>
                <c:pt idx="335">
                  <c:v>45488</c:v>
                </c:pt>
                <c:pt idx="336">
                  <c:v>45489</c:v>
                </c:pt>
                <c:pt idx="337">
                  <c:v>45490</c:v>
                </c:pt>
                <c:pt idx="338">
                  <c:v>45491</c:v>
                </c:pt>
                <c:pt idx="339">
                  <c:v>45492</c:v>
                </c:pt>
                <c:pt idx="340">
                  <c:v>45495</c:v>
                </c:pt>
                <c:pt idx="341">
                  <c:v>45496</c:v>
                </c:pt>
                <c:pt idx="342">
                  <c:v>45497</c:v>
                </c:pt>
                <c:pt idx="343">
                  <c:v>45498</c:v>
                </c:pt>
                <c:pt idx="344">
                  <c:v>45499</c:v>
                </c:pt>
                <c:pt idx="345">
                  <c:v>45502</c:v>
                </c:pt>
                <c:pt idx="346">
                  <c:v>45503</c:v>
                </c:pt>
                <c:pt idx="347">
                  <c:v>45504</c:v>
                </c:pt>
                <c:pt idx="348">
                  <c:v>45505</c:v>
                </c:pt>
                <c:pt idx="349">
                  <c:v>45506</c:v>
                </c:pt>
                <c:pt idx="350">
                  <c:v>45509</c:v>
                </c:pt>
                <c:pt idx="351">
                  <c:v>45510</c:v>
                </c:pt>
                <c:pt idx="352">
                  <c:v>45511</c:v>
                </c:pt>
                <c:pt idx="353">
                  <c:v>45512</c:v>
                </c:pt>
                <c:pt idx="354">
                  <c:v>45513</c:v>
                </c:pt>
                <c:pt idx="355">
                  <c:v>45516</c:v>
                </c:pt>
                <c:pt idx="356">
                  <c:v>45517</c:v>
                </c:pt>
                <c:pt idx="357">
                  <c:v>45518</c:v>
                </c:pt>
                <c:pt idx="358">
                  <c:v>45519</c:v>
                </c:pt>
                <c:pt idx="359">
                  <c:v>45520</c:v>
                </c:pt>
                <c:pt idx="360">
                  <c:v>45523</c:v>
                </c:pt>
                <c:pt idx="361">
                  <c:v>45524</c:v>
                </c:pt>
                <c:pt idx="362">
                  <c:v>45525</c:v>
                </c:pt>
                <c:pt idx="363">
                  <c:v>45526</c:v>
                </c:pt>
                <c:pt idx="364">
                  <c:v>45527</c:v>
                </c:pt>
                <c:pt idx="365">
                  <c:v>45530</c:v>
                </c:pt>
                <c:pt idx="366">
                  <c:v>45531</c:v>
                </c:pt>
                <c:pt idx="367">
                  <c:v>45532</c:v>
                </c:pt>
                <c:pt idx="368">
                  <c:v>45533</c:v>
                </c:pt>
                <c:pt idx="369">
                  <c:v>45534</c:v>
                </c:pt>
                <c:pt idx="370">
                  <c:v>45537</c:v>
                </c:pt>
                <c:pt idx="371">
                  <c:v>45538</c:v>
                </c:pt>
                <c:pt idx="372">
                  <c:v>45539</c:v>
                </c:pt>
                <c:pt idx="373">
                  <c:v>45540</c:v>
                </c:pt>
                <c:pt idx="374">
                  <c:v>45541</c:v>
                </c:pt>
                <c:pt idx="375">
                  <c:v>45544</c:v>
                </c:pt>
                <c:pt idx="376">
                  <c:v>45545</c:v>
                </c:pt>
                <c:pt idx="377">
                  <c:v>45546</c:v>
                </c:pt>
                <c:pt idx="378">
                  <c:v>45547</c:v>
                </c:pt>
                <c:pt idx="379">
                  <c:v>45548</c:v>
                </c:pt>
                <c:pt idx="380">
                  <c:v>45552</c:v>
                </c:pt>
                <c:pt idx="381">
                  <c:v>45553</c:v>
                </c:pt>
                <c:pt idx="382">
                  <c:v>45554</c:v>
                </c:pt>
                <c:pt idx="383">
                  <c:v>45555</c:v>
                </c:pt>
                <c:pt idx="384">
                  <c:v>45558</c:v>
                </c:pt>
                <c:pt idx="385">
                  <c:v>45559</c:v>
                </c:pt>
                <c:pt idx="386">
                  <c:v>45560</c:v>
                </c:pt>
                <c:pt idx="387">
                  <c:v>45561</c:v>
                </c:pt>
                <c:pt idx="388">
                  <c:v>45562</c:v>
                </c:pt>
                <c:pt idx="389">
                  <c:v>45565</c:v>
                </c:pt>
                <c:pt idx="390">
                  <c:v>45567</c:v>
                </c:pt>
                <c:pt idx="391">
                  <c:v>45568</c:v>
                </c:pt>
                <c:pt idx="392">
                  <c:v>45569</c:v>
                </c:pt>
                <c:pt idx="393">
                  <c:v>45572</c:v>
                </c:pt>
                <c:pt idx="394">
                  <c:v>45573</c:v>
                </c:pt>
                <c:pt idx="395">
                  <c:v>45574</c:v>
                </c:pt>
                <c:pt idx="396">
                  <c:v>45575</c:v>
                </c:pt>
                <c:pt idx="397">
                  <c:v>45576</c:v>
                </c:pt>
                <c:pt idx="398">
                  <c:v>45579</c:v>
                </c:pt>
                <c:pt idx="399">
                  <c:v>45580</c:v>
                </c:pt>
                <c:pt idx="400">
                  <c:v>45581</c:v>
                </c:pt>
                <c:pt idx="401">
                  <c:v>45582</c:v>
                </c:pt>
                <c:pt idx="402">
                  <c:v>45583</c:v>
                </c:pt>
                <c:pt idx="403">
                  <c:v>45586</c:v>
                </c:pt>
                <c:pt idx="404">
                  <c:v>45587</c:v>
                </c:pt>
                <c:pt idx="405">
                  <c:v>45588</c:v>
                </c:pt>
                <c:pt idx="406">
                  <c:v>45589</c:v>
                </c:pt>
                <c:pt idx="407">
                  <c:v>45590</c:v>
                </c:pt>
                <c:pt idx="408">
                  <c:v>45593</c:v>
                </c:pt>
                <c:pt idx="409">
                  <c:v>45594</c:v>
                </c:pt>
                <c:pt idx="410">
                  <c:v>45595</c:v>
                </c:pt>
                <c:pt idx="411">
                  <c:v>45596</c:v>
                </c:pt>
                <c:pt idx="412">
                  <c:v>45597</c:v>
                </c:pt>
                <c:pt idx="413">
                  <c:v>45600</c:v>
                </c:pt>
                <c:pt idx="414">
                  <c:v>45601</c:v>
                </c:pt>
                <c:pt idx="415">
                  <c:v>45602</c:v>
                </c:pt>
                <c:pt idx="416">
                  <c:v>45603</c:v>
                </c:pt>
                <c:pt idx="417">
                  <c:v>45604</c:v>
                </c:pt>
                <c:pt idx="418">
                  <c:v>45607</c:v>
                </c:pt>
                <c:pt idx="419">
                  <c:v>45608</c:v>
                </c:pt>
                <c:pt idx="420">
                  <c:v>45609</c:v>
                </c:pt>
                <c:pt idx="421">
                  <c:v>45610</c:v>
                </c:pt>
                <c:pt idx="422">
                  <c:v>45611</c:v>
                </c:pt>
                <c:pt idx="423">
                  <c:v>45615</c:v>
                </c:pt>
                <c:pt idx="424">
                  <c:v>45616</c:v>
                </c:pt>
                <c:pt idx="425">
                  <c:v>45617</c:v>
                </c:pt>
                <c:pt idx="426">
                  <c:v>45618</c:v>
                </c:pt>
                <c:pt idx="427">
                  <c:v>45621</c:v>
                </c:pt>
                <c:pt idx="428">
                  <c:v>45622</c:v>
                </c:pt>
                <c:pt idx="429">
                  <c:v>45623</c:v>
                </c:pt>
                <c:pt idx="430">
                  <c:v>45624</c:v>
                </c:pt>
                <c:pt idx="431">
                  <c:v>45625</c:v>
                </c:pt>
                <c:pt idx="432">
                  <c:v>45628</c:v>
                </c:pt>
                <c:pt idx="433">
                  <c:v>45629</c:v>
                </c:pt>
                <c:pt idx="434">
                  <c:v>45630</c:v>
                </c:pt>
                <c:pt idx="435">
                  <c:v>45631</c:v>
                </c:pt>
                <c:pt idx="436">
                  <c:v>45632</c:v>
                </c:pt>
                <c:pt idx="437">
                  <c:v>45635</c:v>
                </c:pt>
                <c:pt idx="438">
                  <c:v>45636</c:v>
                </c:pt>
                <c:pt idx="439">
                  <c:v>45637</c:v>
                </c:pt>
                <c:pt idx="440">
                  <c:v>45639</c:v>
                </c:pt>
                <c:pt idx="441">
                  <c:v>45642</c:v>
                </c:pt>
                <c:pt idx="442">
                  <c:v>45643</c:v>
                </c:pt>
                <c:pt idx="443">
                  <c:v>45644</c:v>
                </c:pt>
                <c:pt idx="444">
                  <c:v>45645</c:v>
                </c:pt>
                <c:pt idx="445">
                  <c:v>45646</c:v>
                </c:pt>
                <c:pt idx="446">
                  <c:v>45649</c:v>
                </c:pt>
                <c:pt idx="447">
                  <c:v>45650</c:v>
                </c:pt>
                <c:pt idx="448">
                  <c:v>45652</c:v>
                </c:pt>
                <c:pt idx="449">
                  <c:v>45653</c:v>
                </c:pt>
                <c:pt idx="450">
                  <c:v>45656</c:v>
                </c:pt>
                <c:pt idx="451">
                  <c:v>45657</c:v>
                </c:pt>
                <c:pt idx="452">
                  <c:v>45659</c:v>
                </c:pt>
                <c:pt idx="453">
                  <c:v>45660</c:v>
                </c:pt>
                <c:pt idx="454">
                  <c:v>45663</c:v>
                </c:pt>
                <c:pt idx="455">
                  <c:v>45664</c:v>
                </c:pt>
                <c:pt idx="456">
                  <c:v>45665</c:v>
                </c:pt>
                <c:pt idx="457">
                  <c:v>45666</c:v>
                </c:pt>
                <c:pt idx="458">
                  <c:v>45667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45677</c:v>
                </c:pt>
                <c:pt idx="465">
                  <c:v>45678</c:v>
                </c:pt>
                <c:pt idx="466">
                  <c:v>45679</c:v>
                </c:pt>
                <c:pt idx="467">
                  <c:v>45680</c:v>
                </c:pt>
                <c:pt idx="468">
                  <c:v>45681</c:v>
                </c:pt>
                <c:pt idx="469">
                  <c:v>45684</c:v>
                </c:pt>
                <c:pt idx="470">
                  <c:v>45685</c:v>
                </c:pt>
                <c:pt idx="471">
                  <c:v>45686</c:v>
                </c:pt>
                <c:pt idx="472">
                  <c:v>45687</c:v>
                </c:pt>
                <c:pt idx="473">
                  <c:v>45688</c:v>
                </c:pt>
                <c:pt idx="474">
                  <c:v>45692</c:v>
                </c:pt>
                <c:pt idx="475">
                  <c:v>45693</c:v>
                </c:pt>
                <c:pt idx="476">
                  <c:v>45694</c:v>
                </c:pt>
                <c:pt idx="477">
                  <c:v>45695</c:v>
                </c:pt>
                <c:pt idx="478">
                  <c:v>45698</c:v>
                </c:pt>
                <c:pt idx="479">
                  <c:v>45699</c:v>
                </c:pt>
                <c:pt idx="480">
                  <c:v>45700</c:v>
                </c:pt>
                <c:pt idx="481">
                  <c:v>45701</c:v>
                </c:pt>
                <c:pt idx="482">
                  <c:v>45702</c:v>
                </c:pt>
                <c:pt idx="483">
                  <c:v>45705</c:v>
                </c:pt>
                <c:pt idx="484">
                  <c:v>45706</c:v>
                </c:pt>
                <c:pt idx="485">
                  <c:v>45707</c:v>
                </c:pt>
                <c:pt idx="486">
                  <c:v>45708</c:v>
                </c:pt>
                <c:pt idx="487">
                  <c:v>45709</c:v>
                </c:pt>
                <c:pt idx="488">
                  <c:v>45712</c:v>
                </c:pt>
                <c:pt idx="489">
                  <c:v>45713</c:v>
                </c:pt>
                <c:pt idx="490">
                  <c:v>45714</c:v>
                </c:pt>
                <c:pt idx="491">
                  <c:v>45715</c:v>
                </c:pt>
                <c:pt idx="492">
                  <c:v>45716</c:v>
                </c:pt>
                <c:pt idx="493">
                  <c:v>45719</c:v>
                </c:pt>
                <c:pt idx="494">
                  <c:v>45720</c:v>
                </c:pt>
                <c:pt idx="495">
                  <c:v>45721</c:v>
                </c:pt>
                <c:pt idx="496">
                  <c:v>45722</c:v>
                </c:pt>
                <c:pt idx="497">
                  <c:v>45723</c:v>
                </c:pt>
                <c:pt idx="498">
                  <c:v>45726</c:v>
                </c:pt>
                <c:pt idx="499">
                  <c:v>45727</c:v>
                </c:pt>
                <c:pt idx="500">
                  <c:v>45728</c:v>
                </c:pt>
                <c:pt idx="501">
                  <c:v>45729</c:v>
                </c:pt>
                <c:pt idx="502">
                  <c:v>45730</c:v>
                </c:pt>
                <c:pt idx="503">
                  <c:v>45734</c:v>
                </c:pt>
                <c:pt idx="504">
                  <c:v>45735</c:v>
                </c:pt>
                <c:pt idx="505">
                  <c:v>45736</c:v>
                </c:pt>
                <c:pt idx="506">
                  <c:v>45737</c:v>
                </c:pt>
                <c:pt idx="507">
                  <c:v>45740</c:v>
                </c:pt>
                <c:pt idx="508">
                  <c:v>45741</c:v>
                </c:pt>
                <c:pt idx="509">
                  <c:v>45742</c:v>
                </c:pt>
                <c:pt idx="510">
                  <c:v>45743</c:v>
                </c:pt>
                <c:pt idx="511">
                  <c:v>45744</c:v>
                </c:pt>
                <c:pt idx="512">
                  <c:v>45747</c:v>
                </c:pt>
                <c:pt idx="513">
                  <c:v>45748</c:v>
                </c:pt>
                <c:pt idx="514">
                  <c:v>45749</c:v>
                </c:pt>
                <c:pt idx="515">
                  <c:v>45750</c:v>
                </c:pt>
                <c:pt idx="516">
                  <c:v>45751</c:v>
                </c:pt>
                <c:pt idx="517">
                  <c:v>45754</c:v>
                </c:pt>
                <c:pt idx="518">
                  <c:v>45755</c:v>
                </c:pt>
                <c:pt idx="519">
                  <c:v>45756</c:v>
                </c:pt>
                <c:pt idx="520">
                  <c:v>45757</c:v>
                </c:pt>
                <c:pt idx="521">
                  <c:v>45758</c:v>
                </c:pt>
                <c:pt idx="522">
                  <c:v>45761</c:v>
                </c:pt>
                <c:pt idx="523">
                  <c:v>45762</c:v>
                </c:pt>
                <c:pt idx="524">
                  <c:v>45763</c:v>
                </c:pt>
                <c:pt idx="525">
                  <c:v>45768</c:v>
                </c:pt>
                <c:pt idx="526">
                  <c:v>45769</c:v>
                </c:pt>
                <c:pt idx="527">
                  <c:v>45770</c:v>
                </c:pt>
                <c:pt idx="528">
                  <c:v>45771</c:v>
                </c:pt>
                <c:pt idx="529">
                  <c:v>45772</c:v>
                </c:pt>
                <c:pt idx="530">
                  <c:v>45775</c:v>
                </c:pt>
                <c:pt idx="531">
                  <c:v>45776</c:v>
                </c:pt>
                <c:pt idx="532">
                  <c:v>45777</c:v>
                </c:pt>
                <c:pt idx="533">
                  <c:v>45779</c:v>
                </c:pt>
                <c:pt idx="534">
                  <c:v>45782</c:v>
                </c:pt>
                <c:pt idx="535">
                  <c:v>45783</c:v>
                </c:pt>
                <c:pt idx="536">
                  <c:v>45784</c:v>
                </c:pt>
                <c:pt idx="537">
                  <c:v>45785</c:v>
                </c:pt>
                <c:pt idx="538">
                  <c:v>45786</c:v>
                </c:pt>
                <c:pt idx="539">
                  <c:v>45789</c:v>
                </c:pt>
                <c:pt idx="540">
                  <c:v>45790</c:v>
                </c:pt>
                <c:pt idx="541">
                  <c:v>45791</c:v>
                </c:pt>
                <c:pt idx="542">
                  <c:v>45792</c:v>
                </c:pt>
                <c:pt idx="543">
                  <c:v>45793</c:v>
                </c:pt>
                <c:pt idx="544">
                  <c:v>45796</c:v>
                </c:pt>
                <c:pt idx="545">
                  <c:v>45797</c:v>
                </c:pt>
                <c:pt idx="546">
                  <c:v>45798</c:v>
                </c:pt>
                <c:pt idx="547">
                  <c:v>45799</c:v>
                </c:pt>
                <c:pt idx="548">
                  <c:v>45800</c:v>
                </c:pt>
                <c:pt idx="549">
                  <c:v>45803</c:v>
                </c:pt>
                <c:pt idx="550">
                  <c:v>45804</c:v>
                </c:pt>
                <c:pt idx="551">
                  <c:v>45805</c:v>
                </c:pt>
                <c:pt idx="552">
                  <c:v>45806</c:v>
                </c:pt>
                <c:pt idx="553">
                  <c:v>45807</c:v>
                </c:pt>
                <c:pt idx="554">
                  <c:v>45810</c:v>
                </c:pt>
                <c:pt idx="555">
                  <c:v>45811</c:v>
                </c:pt>
                <c:pt idx="556">
                  <c:v>45812</c:v>
                </c:pt>
                <c:pt idx="557">
                  <c:v>45813</c:v>
                </c:pt>
                <c:pt idx="558">
                  <c:v>45814</c:v>
                </c:pt>
                <c:pt idx="559">
                  <c:v>45817</c:v>
                </c:pt>
                <c:pt idx="560">
                  <c:v>45818</c:v>
                </c:pt>
                <c:pt idx="561">
                  <c:v>45819</c:v>
                </c:pt>
                <c:pt idx="562">
                  <c:v>45820</c:v>
                </c:pt>
                <c:pt idx="563">
                  <c:v>45821</c:v>
                </c:pt>
                <c:pt idx="564">
                  <c:v>45824</c:v>
                </c:pt>
                <c:pt idx="565">
                  <c:v>45825</c:v>
                </c:pt>
                <c:pt idx="566">
                  <c:v>45826</c:v>
                </c:pt>
                <c:pt idx="567">
                  <c:v>45827</c:v>
                </c:pt>
                <c:pt idx="568">
                  <c:v>45828</c:v>
                </c:pt>
                <c:pt idx="569">
                  <c:v>45831</c:v>
                </c:pt>
                <c:pt idx="570">
                  <c:v>45832</c:v>
                </c:pt>
                <c:pt idx="571">
                  <c:v>45833</c:v>
                </c:pt>
                <c:pt idx="572">
                  <c:v>45834</c:v>
                </c:pt>
                <c:pt idx="573">
                  <c:v>45835</c:v>
                </c:pt>
                <c:pt idx="574">
                  <c:v>45838</c:v>
                </c:pt>
                <c:pt idx="575">
                  <c:v>45839</c:v>
                </c:pt>
                <c:pt idx="576">
                  <c:v>45840</c:v>
                </c:pt>
                <c:pt idx="577">
                  <c:v>45841</c:v>
                </c:pt>
                <c:pt idx="578">
                  <c:v>45842</c:v>
                </c:pt>
                <c:pt idx="579">
                  <c:v>45845</c:v>
                </c:pt>
                <c:pt idx="580">
                  <c:v>45846</c:v>
                </c:pt>
                <c:pt idx="581">
                  <c:v>45847</c:v>
                </c:pt>
                <c:pt idx="582">
                  <c:v>45848</c:v>
                </c:pt>
                <c:pt idx="583">
                  <c:v>45849</c:v>
                </c:pt>
                <c:pt idx="584">
                  <c:v>45852</c:v>
                </c:pt>
                <c:pt idx="585">
                  <c:v>45853</c:v>
                </c:pt>
                <c:pt idx="586">
                  <c:v>45854</c:v>
                </c:pt>
                <c:pt idx="587">
                  <c:v>45855</c:v>
                </c:pt>
                <c:pt idx="588">
                  <c:v>45856</c:v>
                </c:pt>
                <c:pt idx="589">
                  <c:v>45859</c:v>
                </c:pt>
                <c:pt idx="590">
                  <c:v>45860</c:v>
                </c:pt>
                <c:pt idx="591">
                  <c:v>45861</c:v>
                </c:pt>
                <c:pt idx="592">
                  <c:v>45862</c:v>
                </c:pt>
                <c:pt idx="593">
                  <c:v>45863</c:v>
                </c:pt>
                <c:pt idx="594">
                  <c:v>45866</c:v>
                </c:pt>
                <c:pt idx="595">
                  <c:v>45867</c:v>
                </c:pt>
                <c:pt idx="596">
                  <c:v>45868</c:v>
                </c:pt>
                <c:pt idx="597">
                  <c:v>45869</c:v>
                </c:pt>
                <c:pt idx="598">
                  <c:v>45870</c:v>
                </c:pt>
                <c:pt idx="599">
                  <c:v>45873</c:v>
                </c:pt>
                <c:pt idx="600">
                  <c:v>45874</c:v>
                </c:pt>
                <c:pt idx="601">
                  <c:v>45875</c:v>
                </c:pt>
                <c:pt idx="602">
                  <c:v>45876</c:v>
                </c:pt>
                <c:pt idx="603">
                  <c:v>45877</c:v>
                </c:pt>
                <c:pt idx="604">
                  <c:v>45880</c:v>
                </c:pt>
                <c:pt idx="605">
                  <c:v>45881</c:v>
                </c:pt>
                <c:pt idx="606">
                  <c:v>45882</c:v>
                </c:pt>
                <c:pt idx="607">
                  <c:v>45883</c:v>
                </c:pt>
                <c:pt idx="608">
                  <c:v>45884</c:v>
                </c:pt>
                <c:pt idx="609">
                  <c:v>45887</c:v>
                </c:pt>
                <c:pt idx="610">
                  <c:v>45888</c:v>
                </c:pt>
                <c:pt idx="611">
                  <c:v>45889</c:v>
                </c:pt>
                <c:pt idx="612">
                  <c:v>45890</c:v>
                </c:pt>
                <c:pt idx="613">
                  <c:v>45891</c:v>
                </c:pt>
                <c:pt idx="614">
                  <c:v>45894</c:v>
                </c:pt>
                <c:pt idx="615">
                  <c:v>45895</c:v>
                </c:pt>
                <c:pt idx="616">
                  <c:v>45896</c:v>
                </c:pt>
                <c:pt idx="617">
                  <c:v>45897</c:v>
                </c:pt>
                <c:pt idx="618">
                  <c:v>45898</c:v>
                </c:pt>
                <c:pt idx="619">
                  <c:v>45901</c:v>
                </c:pt>
                <c:pt idx="620">
                  <c:v>45902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45917</c:v>
                </c:pt>
                <c:pt idx="631">
                  <c:v>45918</c:v>
                </c:pt>
                <c:pt idx="632">
                  <c:v>45919</c:v>
                </c:pt>
                <c:pt idx="633">
                  <c:v>45922</c:v>
                </c:pt>
                <c:pt idx="634">
                  <c:v>45923</c:v>
                </c:pt>
                <c:pt idx="635">
                  <c:v>45924</c:v>
                </c:pt>
                <c:pt idx="636">
                  <c:v>45925</c:v>
                </c:pt>
                <c:pt idx="637">
                  <c:v>45926</c:v>
                </c:pt>
                <c:pt idx="638">
                  <c:v>45929</c:v>
                </c:pt>
                <c:pt idx="639">
                  <c:v>45930</c:v>
                </c:pt>
                <c:pt idx="640">
                  <c:v>45931</c:v>
                </c:pt>
                <c:pt idx="641">
                  <c:v>45932</c:v>
                </c:pt>
                <c:pt idx="642">
                  <c:v>45933</c:v>
                </c:pt>
                <c:pt idx="643">
                  <c:v>45936</c:v>
                </c:pt>
                <c:pt idx="644">
                  <c:v>45937</c:v>
                </c:pt>
                <c:pt idx="645">
                  <c:v>45938</c:v>
                </c:pt>
                <c:pt idx="646">
                  <c:v>45939</c:v>
                </c:pt>
                <c:pt idx="647">
                  <c:v>45940</c:v>
                </c:pt>
                <c:pt idx="648">
                  <c:v>45943</c:v>
                </c:pt>
                <c:pt idx="649">
                  <c:v>45944</c:v>
                </c:pt>
                <c:pt idx="650">
                  <c:v>45945</c:v>
                </c:pt>
                <c:pt idx="651">
                  <c:v>45946</c:v>
                </c:pt>
                <c:pt idx="652">
                  <c:v>45947</c:v>
                </c:pt>
                <c:pt idx="653">
                  <c:v>45950</c:v>
                </c:pt>
                <c:pt idx="654">
                  <c:v>45951</c:v>
                </c:pt>
                <c:pt idx="655">
                  <c:v>45952</c:v>
                </c:pt>
                <c:pt idx="656">
                  <c:v>45953</c:v>
                </c:pt>
                <c:pt idx="657">
                  <c:v>45954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45964</c:v>
                </c:pt>
                <c:pt idx="664">
                  <c:v>45965</c:v>
                </c:pt>
                <c:pt idx="665">
                  <c:v>45966</c:v>
                </c:pt>
                <c:pt idx="666">
                  <c:v>45967</c:v>
                </c:pt>
                <c:pt idx="667">
                  <c:v>45968</c:v>
                </c:pt>
                <c:pt idx="668">
                  <c:v>45971</c:v>
                </c:pt>
                <c:pt idx="669">
                  <c:v>45972</c:v>
                </c:pt>
                <c:pt idx="670">
                  <c:v>45973</c:v>
                </c:pt>
                <c:pt idx="671">
                  <c:v>45974</c:v>
                </c:pt>
                <c:pt idx="672">
                  <c:v>45975</c:v>
                </c:pt>
                <c:pt idx="673">
                  <c:v>45979</c:v>
                </c:pt>
                <c:pt idx="674">
                  <c:v>45980</c:v>
                </c:pt>
                <c:pt idx="675">
                  <c:v>45981</c:v>
                </c:pt>
                <c:pt idx="676">
                  <c:v>45982</c:v>
                </c:pt>
                <c:pt idx="677">
                  <c:v>45985</c:v>
                </c:pt>
                <c:pt idx="678">
                  <c:v>45986</c:v>
                </c:pt>
                <c:pt idx="679">
                  <c:v>45987</c:v>
                </c:pt>
                <c:pt idx="680">
                  <c:v>45988</c:v>
                </c:pt>
                <c:pt idx="681">
                  <c:v>45989</c:v>
                </c:pt>
                <c:pt idx="682">
                  <c:v>45992</c:v>
                </c:pt>
                <c:pt idx="683">
                  <c:v>45993</c:v>
                </c:pt>
                <c:pt idx="684">
                  <c:v>45994</c:v>
                </c:pt>
                <c:pt idx="685">
                  <c:v>45995</c:v>
                </c:pt>
                <c:pt idx="686">
                  <c:v>45996</c:v>
                </c:pt>
                <c:pt idx="687">
                  <c:v>45999</c:v>
                </c:pt>
                <c:pt idx="688">
                  <c:v>46000</c:v>
                </c:pt>
                <c:pt idx="689">
                  <c:v>46001</c:v>
                </c:pt>
                <c:pt idx="690">
                  <c:v>46002</c:v>
                </c:pt>
                <c:pt idx="691">
                  <c:v>46006</c:v>
                </c:pt>
                <c:pt idx="692">
                  <c:v>46007</c:v>
                </c:pt>
                <c:pt idx="693">
                  <c:v>46008</c:v>
                </c:pt>
                <c:pt idx="694">
                  <c:v>46009</c:v>
                </c:pt>
                <c:pt idx="695">
                  <c:v>46010</c:v>
                </c:pt>
                <c:pt idx="696">
                  <c:v>46013</c:v>
                </c:pt>
                <c:pt idx="697">
                  <c:v>46014</c:v>
                </c:pt>
                <c:pt idx="698">
                  <c:v>46015</c:v>
                </c:pt>
                <c:pt idx="699">
                  <c:v>46017</c:v>
                </c:pt>
                <c:pt idx="700">
                  <c:v>46020</c:v>
                </c:pt>
                <c:pt idx="701">
                  <c:v>46021</c:v>
                </c:pt>
                <c:pt idx="702">
                  <c:v>46022</c:v>
                </c:pt>
                <c:pt idx="703">
                  <c:v>46024</c:v>
                </c:pt>
                <c:pt idx="704">
                  <c:v>46027</c:v>
                </c:pt>
                <c:pt idx="705">
                  <c:v>46028</c:v>
                </c:pt>
                <c:pt idx="706">
                  <c:v>46029</c:v>
                </c:pt>
                <c:pt idx="707">
                  <c:v>46030</c:v>
                </c:pt>
                <c:pt idx="708">
                  <c:v>46031</c:v>
                </c:pt>
                <c:pt idx="709">
                  <c:v>46034</c:v>
                </c:pt>
                <c:pt idx="710">
                  <c:v>46035</c:v>
                </c:pt>
                <c:pt idx="711">
                  <c:v>46036</c:v>
                </c:pt>
                <c:pt idx="712">
                  <c:v>46037</c:v>
                </c:pt>
                <c:pt idx="713">
                  <c:v>46038</c:v>
                </c:pt>
                <c:pt idx="714">
                  <c:v>46041</c:v>
                </c:pt>
                <c:pt idx="715">
                  <c:v>46042</c:v>
                </c:pt>
                <c:pt idx="716">
                  <c:v>46043</c:v>
                </c:pt>
                <c:pt idx="717">
                  <c:v>46044</c:v>
                </c:pt>
                <c:pt idx="718">
                  <c:v>46045</c:v>
                </c:pt>
                <c:pt idx="719">
                  <c:v>46048</c:v>
                </c:pt>
                <c:pt idx="720">
                  <c:v>46049</c:v>
                </c:pt>
                <c:pt idx="721">
                  <c:v>46050</c:v>
                </c:pt>
                <c:pt idx="722">
                  <c:v>46051</c:v>
                </c:pt>
                <c:pt idx="723">
                  <c:v>46052</c:v>
                </c:pt>
                <c:pt idx="724">
                  <c:v>46056</c:v>
                </c:pt>
                <c:pt idx="725">
                  <c:v>46057</c:v>
                </c:pt>
                <c:pt idx="726">
                  <c:v>46058</c:v>
                </c:pt>
                <c:pt idx="727">
                  <c:v>46059</c:v>
                </c:pt>
                <c:pt idx="728">
                  <c:v>46062</c:v>
                </c:pt>
                <c:pt idx="729">
                  <c:v>46063</c:v>
                </c:pt>
                <c:pt idx="730">
                  <c:v>46064</c:v>
                </c:pt>
                <c:pt idx="731">
                  <c:v>46065</c:v>
                </c:pt>
                <c:pt idx="732">
                  <c:v>46066</c:v>
                </c:pt>
                <c:pt idx="733">
                  <c:v>46069</c:v>
                </c:pt>
                <c:pt idx="734">
                  <c:v>46070</c:v>
                </c:pt>
                <c:pt idx="735">
                  <c:v>46071</c:v>
                </c:pt>
                <c:pt idx="736">
                  <c:v>46072</c:v>
                </c:pt>
                <c:pt idx="737">
                  <c:v>46073</c:v>
                </c:pt>
                <c:pt idx="738">
                  <c:v>46076</c:v>
                </c:pt>
                <c:pt idx="739">
                  <c:v>46077</c:v>
                </c:pt>
                <c:pt idx="740">
                  <c:v>46078</c:v>
                </c:pt>
                <c:pt idx="741">
                  <c:v>46079</c:v>
                </c:pt>
                <c:pt idx="742">
                  <c:v>46080</c:v>
                </c:pt>
                <c:pt idx="743">
                  <c:v>46083</c:v>
                </c:pt>
                <c:pt idx="744">
                  <c:v>46084</c:v>
                </c:pt>
                <c:pt idx="745">
                  <c:v>46085</c:v>
                </c:pt>
                <c:pt idx="746">
                  <c:v>46086</c:v>
                </c:pt>
                <c:pt idx="747">
                  <c:v>46087</c:v>
                </c:pt>
                <c:pt idx="748">
                  <c:v>46090</c:v>
                </c:pt>
              </c:numCache>
            </c:numRef>
          </c:xVal>
          <c:yVal>
            <c:numRef>
              <c:f>Rendimientos!$B$2:$B$750</c:f>
              <c:numCache>
                <c:formatCode>0.0000%</c:formatCode>
                <c:ptCount val="749"/>
                <c:pt idx="0">
                  <c:v>1.6117775569163273E-2</c:v>
                </c:pt>
                <c:pt idx="1">
                  <c:v>-3.5862107882436933E-2</c:v>
                </c:pt>
                <c:pt idx="2">
                  <c:v>-3.9341193886549553E-3</c:v>
                </c:pt>
                <c:pt idx="3">
                  <c:v>-5.3860791255143647E-3</c:v>
                </c:pt>
                <c:pt idx="4">
                  <c:v>-2.3826650064198707E-2</c:v>
                </c:pt>
                <c:pt idx="5">
                  <c:v>1.3313523784373116E-2</c:v>
                </c:pt>
                <c:pt idx="6">
                  <c:v>-3.0656940691646817E-2</c:v>
                </c:pt>
                <c:pt idx="7">
                  <c:v>1.7319327136190887E-2</c:v>
                </c:pt>
                <c:pt idx="8">
                  <c:v>9.6225890189267638E-3</c:v>
                </c:pt>
                <c:pt idx="9">
                  <c:v>1.8328348016612317E-2</c:v>
                </c:pt>
                <c:pt idx="10">
                  <c:v>-2.1958150675386978E-2</c:v>
                </c:pt>
                <c:pt idx="11">
                  <c:v>1.5826263057969525E-2</c:v>
                </c:pt>
                <c:pt idx="12">
                  <c:v>1.8115471419621887E-3</c:v>
                </c:pt>
                <c:pt idx="13">
                  <c:v>-4.6292883019607878E-2</c:v>
                </c:pt>
                <c:pt idx="14">
                  <c:v>1.4410190844842408E-2</c:v>
                </c:pt>
                <c:pt idx="15">
                  <c:v>-9.7195600429945683E-3</c:v>
                </c:pt>
                <c:pt idx="16">
                  <c:v>1.3212580261527052E-2</c:v>
                </c:pt>
                <c:pt idx="17">
                  <c:v>4.2473862617381286E-2</c:v>
                </c:pt>
                <c:pt idx="18">
                  <c:v>-3.1451047856257186E-2</c:v>
                </c:pt>
                <c:pt idx="19">
                  <c:v>1.5129247061680395E-2</c:v>
                </c:pt>
                <c:pt idx="20">
                  <c:v>1.2359090965763819E-2</c:v>
                </c:pt>
                <c:pt idx="21">
                  <c:v>-1.9030560659105134E-2</c:v>
                </c:pt>
                <c:pt idx="22">
                  <c:v>-2.0863885017012418E-2</c:v>
                </c:pt>
                <c:pt idx="23">
                  <c:v>-2.2803719837342751E-2</c:v>
                </c:pt>
                <c:pt idx="24">
                  <c:v>7.651543643587555E-4</c:v>
                </c:pt>
                <c:pt idx="25">
                  <c:v>2.6758426573142646E-2</c:v>
                </c:pt>
                <c:pt idx="26">
                  <c:v>3.350666560101967E-3</c:v>
                </c:pt>
                <c:pt idx="27">
                  <c:v>-1.8181853031421169E-2</c:v>
                </c:pt>
                <c:pt idx="28">
                  <c:v>-2.6077016140902742E-2</c:v>
                </c:pt>
                <c:pt idx="29">
                  <c:v>-1.2417522071287213E-2</c:v>
                </c:pt>
                <c:pt idx="30">
                  <c:v>-1.3752504444635605E-2</c:v>
                </c:pt>
                <c:pt idx="31">
                  <c:v>-1.7928315877778545E-2</c:v>
                </c:pt>
                <c:pt idx="32">
                  <c:v>4.1785014035712109E-2</c:v>
                </c:pt>
                <c:pt idx="33">
                  <c:v>-4.5950107073187141E-2</c:v>
                </c:pt>
                <c:pt idx="34">
                  <c:v>4.0416609880407961E-2</c:v>
                </c:pt>
                <c:pt idx="35">
                  <c:v>-1.4817824837896287E-2</c:v>
                </c:pt>
                <c:pt idx="36">
                  <c:v>2.8455309303456522E-2</c:v>
                </c:pt>
                <c:pt idx="37">
                  <c:v>2.7668007589686017E-2</c:v>
                </c:pt>
                <c:pt idx="38">
                  <c:v>1.8461495824429797E-2</c:v>
                </c:pt>
                <c:pt idx="39">
                  <c:v>0</c:v>
                </c:pt>
                <c:pt idx="40">
                  <c:v>5.2114857431836192E-2</c:v>
                </c:pt>
                <c:pt idx="41">
                  <c:v>5.7430116181762525E-3</c:v>
                </c:pt>
                <c:pt idx="42">
                  <c:v>1.7844349268932191E-2</c:v>
                </c:pt>
                <c:pt idx="43">
                  <c:v>3.4712500808171676E-2</c:v>
                </c:pt>
                <c:pt idx="44">
                  <c:v>-2.0670977172720373E-2</c:v>
                </c:pt>
                <c:pt idx="45">
                  <c:v>6.2283769982731663E-3</c:v>
                </c:pt>
                <c:pt idx="46">
                  <c:v>-6.1898244381195511E-3</c:v>
                </c:pt>
                <c:pt idx="47">
                  <c:v>1.5224960460698878E-2</c:v>
                </c:pt>
                <c:pt idx="48">
                  <c:v>-3.0674861438823031E-3</c:v>
                </c:pt>
                <c:pt idx="49">
                  <c:v>-1.7435882815433401E-2</c:v>
                </c:pt>
                <c:pt idx="50">
                  <c:v>3.8273417775009921E-3</c:v>
                </c:pt>
                <c:pt idx="51">
                  <c:v>-3.9514729545281679E-2</c:v>
                </c:pt>
                <c:pt idx="52">
                  <c:v>1.0104766362568185E-2</c:v>
                </c:pt>
                <c:pt idx="53">
                  <c:v>-3.9300409752001109E-3</c:v>
                </c:pt>
                <c:pt idx="54">
                  <c:v>-2.2596854916798637E-2</c:v>
                </c:pt>
                <c:pt idx="55">
                  <c:v>2.752297462223674E-2</c:v>
                </c:pt>
                <c:pt idx="56">
                  <c:v>-4.642843279047737E-3</c:v>
                </c:pt>
                <c:pt idx="57">
                  <c:v>3.5163169254088134E-2</c:v>
                </c:pt>
                <c:pt idx="58">
                  <c:v>-4.506052726017562E-3</c:v>
                </c:pt>
                <c:pt idx="59">
                  <c:v>3.4815044722558142E-4</c:v>
                </c:pt>
                <c:pt idx="60">
                  <c:v>9.7460175305315033E-3</c:v>
                </c:pt>
                <c:pt idx="61">
                  <c:v>-3.1368539223145531E-2</c:v>
                </c:pt>
                <c:pt idx="62">
                  <c:v>-3.9145127182588224E-3</c:v>
                </c:pt>
                <c:pt idx="63">
                  <c:v>-1.0719805585648334E-3</c:v>
                </c:pt>
                <c:pt idx="64">
                  <c:v>1.4307447234771509E-3</c:v>
                </c:pt>
                <c:pt idx="65">
                  <c:v>0</c:v>
                </c:pt>
                <c:pt idx="66">
                  <c:v>3.5710286637224975E-4</c:v>
                </c:pt>
                <c:pt idx="67">
                  <c:v>-9.9964670998420324E-3</c:v>
                </c:pt>
                <c:pt idx="68">
                  <c:v>-1.298226377471845E-2</c:v>
                </c:pt>
                <c:pt idx="69">
                  <c:v>-1.278777106901996E-2</c:v>
                </c:pt>
                <c:pt idx="70">
                  <c:v>-1.9245022275949819E-2</c:v>
                </c:pt>
                <c:pt idx="71">
                  <c:v>5.2452842150043644E-2</c:v>
                </c:pt>
                <c:pt idx="72">
                  <c:v>-3.4420933810243914E-2</c:v>
                </c:pt>
                <c:pt idx="73">
                  <c:v>5.1986075214778271E-3</c:v>
                </c:pt>
                <c:pt idx="74">
                  <c:v>-6.316944811738856E-2</c:v>
                </c:pt>
                <c:pt idx="75">
                  <c:v>2.6025275429648831E-2</c:v>
                </c:pt>
                <c:pt idx="76">
                  <c:v>9.992283350395148E-3</c:v>
                </c:pt>
                <c:pt idx="77">
                  <c:v>2.4353088709032411E-2</c:v>
                </c:pt>
                <c:pt idx="78">
                  <c:v>-1.002972262566848E-2</c:v>
                </c:pt>
                <c:pt idx="79">
                  <c:v>5.0281493120381215E-2</c:v>
                </c:pt>
                <c:pt idx="80">
                  <c:v>-1.8578152003576265E-2</c:v>
                </c:pt>
                <c:pt idx="81">
                  <c:v>2.9123103894355129E-3</c:v>
                </c:pt>
                <c:pt idx="82">
                  <c:v>6.8965142297265913E-3</c:v>
                </c:pt>
                <c:pt idx="83">
                  <c:v>-1.3698556171886977E-2</c:v>
                </c:pt>
                <c:pt idx="84">
                  <c:v>-2.5950345015745335E-2</c:v>
                </c:pt>
                <c:pt idx="85">
                  <c:v>2.251382933781354E-3</c:v>
                </c:pt>
                <c:pt idx="86">
                  <c:v>-3.7434970946625956E-4</c:v>
                </c:pt>
                <c:pt idx="87">
                  <c:v>0</c:v>
                </c:pt>
                <c:pt idx="88">
                  <c:v>-1.6104885069124775E-2</c:v>
                </c:pt>
                <c:pt idx="89">
                  <c:v>-4.5679761809072073E-3</c:v>
                </c:pt>
                <c:pt idx="90">
                  <c:v>-5.7361148758645619E-3</c:v>
                </c:pt>
                <c:pt idx="91">
                  <c:v>2.6923176928654868E-3</c:v>
                </c:pt>
                <c:pt idx="92">
                  <c:v>-1.5343141494659207E-3</c:v>
                </c:pt>
                <c:pt idx="93">
                  <c:v>-8.0677218034473919E-3</c:v>
                </c:pt>
                <c:pt idx="94">
                  <c:v>2.4012529448696585E-2</c:v>
                </c:pt>
                <c:pt idx="95">
                  <c:v>1.0589900820060727E-2</c:v>
                </c:pt>
                <c:pt idx="96">
                  <c:v>-1.4970051488669922E-2</c:v>
                </c:pt>
                <c:pt idx="97">
                  <c:v>-4.5972575918778791E-2</c:v>
                </c:pt>
                <c:pt idx="98">
                  <c:v>1.9911768183904499E-3</c:v>
                </c:pt>
                <c:pt idx="99">
                  <c:v>3.6963561440465753E-2</c:v>
                </c:pt>
                <c:pt idx="100">
                  <c:v>1.7631163118049686E-2</c:v>
                </c:pt>
                <c:pt idx="101">
                  <c:v>-2.3728826222243482E-2</c:v>
                </c:pt>
                <c:pt idx="102">
                  <c:v>-1.7746879898374757E-2</c:v>
                </c:pt>
                <c:pt idx="103">
                  <c:v>-1.2568759377001748E-2</c:v>
                </c:pt>
                <c:pt idx="104">
                  <c:v>-9.5465176662837825E-3</c:v>
                </c:pt>
                <c:pt idx="105">
                  <c:v>1.9678706926538059E-2</c:v>
                </c:pt>
                <c:pt idx="106">
                  <c:v>-1.1815628491694041E-2</c:v>
                </c:pt>
                <c:pt idx="107">
                  <c:v>-7.971378803613538E-3</c:v>
                </c:pt>
                <c:pt idx="108">
                  <c:v>-6.8300198519345434E-3</c:v>
                </c:pt>
                <c:pt idx="109">
                  <c:v>8.0906099845501345E-3</c:v>
                </c:pt>
                <c:pt idx="110">
                  <c:v>-1.7255315972619756E-2</c:v>
                </c:pt>
                <c:pt idx="111">
                  <c:v>-1.6741390677381118E-2</c:v>
                </c:pt>
                <c:pt idx="112">
                  <c:v>5.3156162655464412E-2</c:v>
                </c:pt>
                <c:pt idx="113">
                  <c:v>-4.889585109012351E-2</c:v>
                </c:pt>
                <c:pt idx="114">
                  <c:v>-1.8242176994056614E-2</c:v>
                </c:pt>
                <c:pt idx="115">
                  <c:v>4.5185879754479741E-2</c:v>
                </c:pt>
                <c:pt idx="116">
                  <c:v>2.6262546134366183E-2</c:v>
                </c:pt>
                <c:pt idx="117">
                  <c:v>3.5432291245411918E-3</c:v>
                </c:pt>
                <c:pt idx="118">
                  <c:v>-8.6307434432911778E-3</c:v>
                </c:pt>
                <c:pt idx="119">
                  <c:v>3.9572189429399884E-3</c:v>
                </c:pt>
                <c:pt idx="120">
                  <c:v>1.1825262165094941E-3</c:v>
                </c:pt>
                <c:pt idx="121">
                  <c:v>1.4173314936121617E-2</c:v>
                </c:pt>
                <c:pt idx="122">
                  <c:v>1.9408548813195647E-3</c:v>
                </c:pt>
                <c:pt idx="123">
                  <c:v>-9.2987003087510178E-3</c:v>
                </c:pt>
                <c:pt idx="124">
                  <c:v>2.5420418944231304E-2</c:v>
                </c:pt>
                <c:pt idx="125">
                  <c:v>1.4492752504415618E-2</c:v>
                </c:pt>
                <c:pt idx="126">
                  <c:v>-1.052635503727184E-2</c:v>
                </c:pt>
                <c:pt idx="127">
                  <c:v>-3.0395042578806097E-2</c:v>
                </c:pt>
                <c:pt idx="128">
                  <c:v>3.0564250891400802E-2</c:v>
                </c:pt>
                <c:pt idx="129">
                  <c:v>-2.2433564689845031E-2</c:v>
                </c:pt>
                <c:pt idx="130">
                  <c:v>-9.3348682952462125E-3</c:v>
                </c:pt>
                <c:pt idx="131">
                  <c:v>7.0672212090883146E-3</c:v>
                </c:pt>
                <c:pt idx="132">
                  <c:v>-1.8323586652347679E-2</c:v>
                </c:pt>
                <c:pt idx="133">
                  <c:v>5.1627318380167431E-3</c:v>
                </c:pt>
                <c:pt idx="134">
                  <c:v>7.5068741038750719E-3</c:v>
                </c:pt>
                <c:pt idx="135">
                  <c:v>-1.0196049358291992E-2</c:v>
                </c:pt>
                <c:pt idx="136">
                  <c:v>1.8621238007672902E-2</c:v>
                </c:pt>
                <c:pt idx="137">
                  <c:v>-1.9447635721198564E-2</c:v>
                </c:pt>
                <c:pt idx="138">
                  <c:v>2.7766863046201351E-3</c:v>
                </c:pt>
                <c:pt idx="139">
                  <c:v>-7.1202568384645115E-3</c:v>
                </c:pt>
                <c:pt idx="140">
                  <c:v>2.0318708778829242E-2</c:v>
                </c:pt>
                <c:pt idx="141">
                  <c:v>-2.0304509151998551E-2</c:v>
                </c:pt>
                <c:pt idx="142">
                  <c:v>-2.6703941513318452E-2</c:v>
                </c:pt>
                <c:pt idx="143">
                  <c:v>2.7027152475416871E-2</c:v>
                </c:pt>
                <c:pt idx="144">
                  <c:v>2.7511946662826636E-2</c:v>
                </c:pt>
                <c:pt idx="145">
                  <c:v>-1.3193729153584077E-2</c:v>
                </c:pt>
                <c:pt idx="146">
                  <c:v>5.3873398119329341E-2</c:v>
                </c:pt>
                <c:pt idx="147">
                  <c:v>5.3358278674771942E-2</c:v>
                </c:pt>
                <c:pt idx="148">
                  <c:v>-0.10131071638701183</c:v>
                </c:pt>
                <c:pt idx="149">
                  <c:v>-7.4891199530113806E-3</c:v>
                </c:pt>
                <c:pt idx="150">
                  <c:v>1.3502795307481108E-2</c:v>
                </c:pt>
                <c:pt idx="151">
                  <c:v>-1.2539129011286398E-2</c:v>
                </c:pt>
                <c:pt idx="152">
                  <c:v>-2.301586441015635E-2</c:v>
                </c:pt>
                <c:pt idx="153">
                  <c:v>2.8431449360992733E-3</c:v>
                </c:pt>
                <c:pt idx="154">
                  <c:v>-1.6605939257069102E-2</c:v>
                </c:pt>
                <c:pt idx="155">
                  <c:v>7.0016971967319375E-3</c:v>
                </c:pt>
                <c:pt idx="156">
                  <c:v>-1.3906028592048925E-2</c:v>
                </c:pt>
                <c:pt idx="157">
                  <c:v>4.1488714473802979E-4</c:v>
                </c:pt>
                <c:pt idx="158">
                  <c:v>2.2802532430559852E-2</c:v>
                </c:pt>
                <c:pt idx="159">
                  <c:v>-1.2971245314376101E-2</c:v>
                </c:pt>
                <c:pt idx="160">
                  <c:v>2.0534908429969967E-3</c:v>
                </c:pt>
                <c:pt idx="161">
                  <c:v>-5.327935827192154E-3</c:v>
                </c:pt>
                <c:pt idx="162">
                  <c:v>2.5957986516577103E-2</c:v>
                </c:pt>
                <c:pt idx="163">
                  <c:v>5.4618456854536035E-2</c:v>
                </c:pt>
                <c:pt idx="164">
                  <c:v>3.1987933921445721E-2</c:v>
                </c:pt>
                <c:pt idx="165">
                  <c:v>-4.0221526787112771E-2</c:v>
                </c:pt>
                <c:pt idx="166">
                  <c:v>1.4609686967962388E-2</c:v>
                </c:pt>
                <c:pt idx="167">
                  <c:v>0</c:v>
                </c:pt>
                <c:pt idx="168">
                  <c:v>1.2125906515034313E-2</c:v>
                </c:pt>
                <c:pt idx="169">
                  <c:v>2.396110946038621E-2</c:v>
                </c:pt>
                <c:pt idx="170">
                  <c:v>2.6325349883842719E-2</c:v>
                </c:pt>
                <c:pt idx="171">
                  <c:v>-3.9188406917362029E-3</c:v>
                </c:pt>
                <c:pt idx="172">
                  <c:v>-3.6122974260857088E-2</c:v>
                </c:pt>
                <c:pt idx="173">
                  <c:v>5.93700689233434E-3</c:v>
                </c:pt>
                <c:pt idx="174">
                  <c:v>1.9180981705024136E-2</c:v>
                </c:pt>
                <c:pt idx="175">
                  <c:v>-1.5677383809104439E-2</c:v>
                </c:pt>
                <c:pt idx="176">
                  <c:v>2.3890692525915691E-2</c:v>
                </c:pt>
                <c:pt idx="177">
                  <c:v>-2.7036975226766735E-2</c:v>
                </c:pt>
                <c:pt idx="178">
                  <c:v>3.0453203189306777E-3</c:v>
                </c:pt>
                <c:pt idx="179">
                  <c:v>3.5673651931977135E-2</c:v>
                </c:pt>
                <c:pt idx="180">
                  <c:v>-3.1513451994107267E-2</c:v>
                </c:pt>
                <c:pt idx="181">
                  <c:v>2.6484871404559573E-3</c:v>
                </c:pt>
                <c:pt idx="182">
                  <c:v>7.547964045553357E-4</c:v>
                </c:pt>
                <c:pt idx="183">
                  <c:v>-4.9021062487849543E-3</c:v>
                </c:pt>
                <c:pt idx="184">
                  <c:v>-4.1680895443192423E-3</c:v>
                </c:pt>
                <c:pt idx="185">
                  <c:v>-6.4688803125689809E-3</c:v>
                </c:pt>
                <c:pt idx="186">
                  <c:v>-1.6851750297049328E-2</c:v>
                </c:pt>
                <c:pt idx="187">
                  <c:v>-2.3373753139903641E-3</c:v>
                </c:pt>
                <c:pt idx="188">
                  <c:v>5.4665767218511352E-3</c:v>
                </c:pt>
                <c:pt idx="189">
                  <c:v>4.9708863448234553E-2</c:v>
                </c:pt>
                <c:pt idx="190">
                  <c:v>1.2208633678548075E-2</c:v>
                </c:pt>
                <c:pt idx="191">
                  <c:v>-6.2135298349691448E-3</c:v>
                </c:pt>
                <c:pt idx="192">
                  <c:v>-7.3549759696711625E-4</c:v>
                </c:pt>
                <c:pt idx="193">
                  <c:v>-2.0979060378018222E-2</c:v>
                </c:pt>
                <c:pt idx="194">
                  <c:v>-2.2555812946983833E-3</c:v>
                </c:pt>
                <c:pt idx="195">
                  <c:v>6.4431019446199E-2</c:v>
                </c:pt>
                <c:pt idx="196">
                  <c:v>4.3893697993828473E-2</c:v>
                </c:pt>
                <c:pt idx="197">
                  <c:v>-1.695402302674065E-3</c:v>
                </c:pt>
                <c:pt idx="198">
                  <c:v>1.0190156073115908E-2</c:v>
                </c:pt>
                <c:pt idx="199">
                  <c:v>-2.1856076870992114E-2</c:v>
                </c:pt>
                <c:pt idx="200">
                  <c:v>3.918873371552456E-2</c:v>
                </c:pt>
                <c:pt idx="201">
                  <c:v>-2.5802107002740216E-2</c:v>
                </c:pt>
                <c:pt idx="202">
                  <c:v>-5.7725030190964866E-3</c:v>
                </c:pt>
                <c:pt idx="203">
                  <c:v>-4.6106580245652617E-2</c:v>
                </c:pt>
                <c:pt idx="204">
                  <c:v>6.4088718995034988E-2</c:v>
                </c:pt>
                <c:pt idx="205">
                  <c:v>-2.590843279041577E-2</c:v>
                </c:pt>
                <c:pt idx="206">
                  <c:v>-3.0397248580604108E-2</c:v>
                </c:pt>
                <c:pt idx="207">
                  <c:v>9.2625537065116337E-3</c:v>
                </c:pt>
                <c:pt idx="208">
                  <c:v>4.6240750807268416E-2</c:v>
                </c:pt>
                <c:pt idx="209">
                  <c:v>2.2267165597724237E-2</c:v>
                </c:pt>
                <c:pt idx="210">
                  <c:v>-2.4092354197142285E-2</c:v>
                </c:pt>
                <c:pt idx="211">
                  <c:v>0</c:v>
                </c:pt>
                <c:pt idx="212">
                  <c:v>-7.2370626510267044E-2</c:v>
                </c:pt>
                <c:pt idx="213">
                  <c:v>7.4735609390893964E-2</c:v>
                </c:pt>
                <c:pt idx="214">
                  <c:v>-1.7639069843363386E-2</c:v>
                </c:pt>
                <c:pt idx="215">
                  <c:v>-8.9778289011386292E-3</c:v>
                </c:pt>
                <c:pt idx="216">
                  <c:v>-2.125440252867139E-2</c:v>
                </c:pt>
                <c:pt idx="217">
                  <c:v>1.3883868256049148E-2</c:v>
                </c:pt>
                <c:pt idx="218">
                  <c:v>-3.1600316430394626E-3</c:v>
                </c:pt>
                <c:pt idx="219">
                  <c:v>1.4089567954485016E-3</c:v>
                </c:pt>
                <c:pt idx="220">
                  <c:v>-1.7587042305325151E-2</c:v>
                </c:pt>
                <c:pt idx="221">
                  <c:v>7.5187446892079901E-3</c:v>
                </c:pt>
                <c:pt idx="222">
                  <c:v>-1.3503865605059895E-2</c:v>
                </c:pt>
                <c:pt idx="223">
                  <c:v>-7.2046618849553878E-3</c:v>
                </c:pt>
                <c:pt idx="224">
                  <c:v>-1.0522464487535466E-2</c:v>
                </c:pt>
                <c:pt idx="225">
                  <c:v>4.7670692239767387E-3</c:v>
                </c:pt>
                <c:pt idx="226">
                  <c:v>2.1532965132142978E-2</c:v>
                </c:pt>
                <c:pt idx="227">
                  <c:v>-1.6434486563227435E-2</c:v>
                </c:pt>
                <c:pt idx="228">
                  <c:v>-2.978568575056173E-2</c:v>
                </c:pt>
                <c:pt idx="229">
                  <c:v>5.5409984317392968E-2</c:v>
                </c:pt>
                <c:pt idx="230">
                  <c:v>2.8733622465932918E-2</c:v>
                </c:pt>
                <c:pt idx="231">
                  <c:v>4.344824328547725E-2</c:v>
                </c:pt>
                <c:pt idx="232">
                  <c:v>4.26304800207844E-2</c:v>
                </c:pt>
                <c:pt idx="233">
                  <c:v>-3.7717834601089795E-2</c:v>
                </c:pt>
                <c:pt idx="234">
                  <c:v>3.0632400655494552E-2</c:v>
                </c:pt>
                <c:pt idx="235">
                  <c:v>1.6299095310773337E-2</c:v>
                </c:pt>
                <c:pt idx="236">
                  <c:v>-2.1069239349958635E-2</c:v>
                </c:pt>
                <c:pt idx="237">
                  <c:v>4.8185123127480134E-2</c:v>
                </c:pt>
                <c:pt idx="238">
                  <c:v>-2.3597932433042201E-2</c:v>
                </c:pt>
                <c:pt idx="239">
                  <c:v>6.9052592103997501E-3</c:v>
                </c:pt>
                <c:pt idx="240">
                  <c:v>-4.738163477137558E-2</c:v>
                </c:pt>
                <c:pt idx="241">
                  <c:v>-3.1413579615427789E-2</c:v>
                </c:pt>
                <c:pt idx="242">
                  <c:v>-1.3851283862509556E-2</c:v>
                </c:pt>
                <c:pt idx="243">
                  <c:v>1.4045836734201567E-2</c:v>
                </c:pt>
                <c:pt idx="244">
                  <c:v>1.1486501673154903E-2</c:v>
                </c:pt>
                <c:pt idx="245">
                  <c:v>4.642615384988602E-2</c:v>
                </c:pt>
                <c:pt idx="246">
                  <c:v>-1.6916719577092509E-2</c:v>
                </c:pt>
                <c:pt idx="247">
                  <c:v>-3.2458206395302724E-4</c:v>
                </c:pt>
                <c:pt idx="248">
                  <c:v>-2.4033882735437051E-2</c:v>
                </c:pt>
                <c:pt idx="249">
                  <c:v>-5.6571804302394391E-3</c:v>
                </c:pt>
                <c:pt idx="250">
                  <c:v>-1.4056258926785081E-2</c:v>
                </c:pt>
                <c:pt idx="251">
                  <c:v>4.5146049266031163E-2</c:v>
                </c:pt>
                <c:pt idx="252">
                  <c:v>-1.3640824800461138E-2</c:v>
                </c:pt>
                <c:pt idx="253">
                  <c:v>-1.2512371627801944E-2</c:v>
                </c:pt>
                <c:pt idx="254">
                  <c:v>5.6685637134434863E-3</c:v>
                </c:pt>
                <c:pt idx="255">
                  <c:v>-4.3103428642474739E-3</c:v>
                </c:pt>
                <c:pt idx="256">
                  <c:v>1.1654930916724204E-2</c:v>
                </c:pt>
                <c:pt idx="257">
                  <c:v>-1.7774785533192006E-2</c:v>
                </c:pt>
                <c:pt idx="258">
                  <c:v>3.8538851777957239E-2</c:v>
                </c:pt>
                <c:pt idx="259">
                  <c:v>-3.1945794910746339E-2</c:v>
                </c:pt>
                <c:pt idx="260">
                  <c:v>3.3333571017493124E-3</c:v>
                </c:pt>
                <c:pt idx="261">
                  <c:v>-9.3022612908378877E-3</c:v>
                </c:pt>
                <c:pt idx="262">
                  <c:v>-1.0060762080185137E-3</c:v>
                </c:pt>
                <c:pt idx="263">
                  <c:v>-1.3427419697521481E-3</c:v>
                </c:pt>
                <c:pt idx="264">
                  <c:v>-1.6806709939074516E-2</c:v>
                </c:pt>
                <c:pt idx="265">
                  <c:v>1.1282030499792928E-2</c:v>
                </c:pt>
                <c:pt idx="266">
                  <c:v>-1.1156166291432124E-2</c:v>
                </c:pt>
                <c:pt idx="267">
                  <c:v>-1.0256415761645821E-2</c:v>
                </c:pt>
                <c:pt idx="268">
                  <c:v>-3.2469802122757851E-2</c:v>
                </c:pt>
                <c:pt idx="269">
                  <c:v>3.5702489715463415E-3</c:v>
                </c:pt>
                <c:pt idx="270">
                  <c:v>-2.4902205140558631E-2</c:v>
                </c:pt>
                <c:pt idx="271">
                  <c:v>9.8503816264845501E-3</c:v>
                </c:pt>
                <c:pt idx="272">
                  <c:v>-1.5895924659274141E-2</c:v>
                </c:pt>
                <c:pt idx="273">
                  <c:v>-4.0382436828020341E-3</c:v>
                </c:pt>
                <c:pt idx="274">
                  <c:v>2.2852948493246927E-2</c:v>
                </c:pt>
                <c:pt idx="275">
                  <c:v>3.6036999381612311E-3</c:v>
                </c:pt>
                <c:pt idx="276">
                  <c:v>5.3859284717470146E-3</c:v>
                </c:pt>
                <c:pt idx="277">
                  <c:v>-3.5714538540210228E-3</c:v>
                </c:pt>
                <c:pt idx="278">
                  <c:v>-3.2257941985628369E-3</c:v>
                </c:pt>
                <c:pt idx="279">
                  <c:v>1.0427871734805194E-2</c:v>
                </c:pt>
                <c:pt idx="280">
                  <c:v>2.0996486093659117E-2</c:v>
                </c:pt>
                <c:pt idx="281">
                  <c:v>2.9627086496194721E-2</c:v>
                </c:pt>
                <c:pt idx="282">
                  <c:v>-2.9451632377646031E-2</c:v>
                </c:pt>
                <c:pt idx="283">
                  <c:v>3.1391578782344887E-3</c:v>
                </c:pt>
                <c:pt idx="284">
                  <c:v>2.0514646846297113E-2</c:v>
                </c:pt>
                <c:pt idx="285">
                  <c:v>-2.8279419040363907E-2</c:v>
                </c:pt>
                <c:pt idx="286">
                  <c:v>3.4712487655914392E-2</c:v>
                </c:pt>
                <c:pt idx="287">
                  <c:v>-2.7109513421615272E-2</c:v>
                </c:pt>
                <c:pt idx="288">
                  <c:v>3.0651423234113073E-2</c:v>
                </c:pt>
                <c:pt idx="289">
                  <c:v>-3.4809070853892843E-2</c:v>
                </c:pt>
                <c:pt idx="290">
                  <c:v>2.2759092934653502E-2</c:v>
                </c:pt>
                <c:pt idx="291">
                  <c:v>-2.327966218418176E-2</c:v>
                </c:pt>
                <c:pt idx="292">
                  <c:v>4.2060597113988685E-3</c:v>
                </c:pt>
                <c:pt idx="293">
                  <c:v>-1.7452062211306907E-2</c:v>
                </c:pt>
                <c:pt idx="294">
                  <c:v>3.9077004377532365E-3</c:v>
                </c:pt>
                <c:pt idx="295">
                  <c:v>2.2292977927925728E-2</c:v>
                </c:pt>
                <c:pt idx="296">
                  <c:v>-6.5766149178737576E-3</c:v>
                </c:pt>
                <c:pt idx="297">
                  <c:v>-3.4846870025173615E-4</c:v>
                </c:pt>
                <c:pt idx="298">
                  <c:v>3.8340814751569585E-3</c:v>
                </c:pt>
                <c:pt idx="299">
                  <c:v>-8.6805830022024244E-3</c:v>
                </c:pt>
                <c:pt idx="300">
                  <c:v>1.3660308001023802E-2</c:v>
                </c:pt>
                <c:pt idx="301">
                  <c:v>-1.4858330643950368E-2</c:v>
                </c:pt>
                <c:pt idx="302">
                  <c:v>3.8582881398478985E-3</c:v>
                </c:pt>
                <c:pt idx="303">
                  <c:v>1.0482117184286155E-2</c:v>
                </c:pt>
                <c:pt idx="304">
                  <c:v>2.7663393001162717E-3</c:v>
                </c:pt>
                <c:pt idx="305">
                  <c:v>-0.10172421097167716</c:v>
                </c:pt>
                <c:pt idx="306">
                  <c:v>1.7658399707150441E-2</c:v>
                </c:pt>
                <c:pt idx="307">
                  <c:v>1.3202547365186668E-2</c:v>
                </c:pt>
                <c:pt idx="308">
                  <c:v>-1.6753545997726049E-2</c:v>
                </c:pt>
                <c:pt idx="309">
                  <c:v>-4.9981050923228021E-2</c:v>
                </c:pt>
                <c:pt idx="310">
                  <c:v>3.3878005109145848E-2</c:v>
                </c:pt>
                <c:pt idx="311">
                  <c:v>-3.8550018751455362E-3</c:v>
                </c:pt>
                <c:pt idx="312">
                  <c:v>-9.2879153505615042E-3</c:v>
                </c:pt>
                <c:pt idx="313">
                  <c:v>-7.8125551003227489E-3</c:v>
                </c:pt>
                <c:pt idx="314">
                  <c:v>-8.2676594080374199E-3</c:v>
                </c:pt>
                <c:pt idx="315">
                  <c:v>1.7070269473492772E-2</c:v>
                </c:pt>
                <c:pt idx="316">
                  <c:v>4.2154557416216099E-2</c:v>
                </c:pt>
                <c:pt idx="317">
                  <c:v>0</c:v>
                </c:pt>
                <c:pt idx="318">
                  <c:v>7.8651872867172568E-3</c:v>
                </c:pt>
                <c:pt idx="319">
                  <c:v>2.9728205308459099E-3</c:v>
                </c:pt>
                <c:pt idx="320">
                  <c:v>2.000740656878075E-2</c:v>
                </c:pt>
                <c:pt idx="321">
                  <c:v>-3.5960704349328743E-2</c:v>
                </c:pt>
                <c:pt idx="322">
                  <c:v>1.092679468315616E-2</c:v>
                </c:pt>
                <c:pt idx="323">
                  <c:v>-1.416320480920108E-2</c:v>
                </c:pt>
                <c:pt idx="324">
                  <c:v>3.4026483542719976E-2</c:v>
                </c:pt>
                <c:pt idx="325">
                  <c:v>-1.8647118769433479E-2</c:v>
                </c:pt>
                <c:pt idx="326">
                  <c:v>7.824088312083699E-3</c:v>
                </c:pt>
                <c:pt idx="327">
                  <c:v>-5.5452894568245314E-3</c:v>
                </c:pt>
                <c:pt idx="328">
                  <c:v>-1.1152130497593671E-3</c:v>
                </c:pt>
                <c:pt idx="329">
                  <c:v>-2.2701948477275025E-2</c:v>
                </c:pt>
                <c:pt idx="330">
                  <c:v>3.6557537250699434E-2</c:v>
                </c:pt>
                <c:pt idx="331">
                  <c:v>-3.3431356482294339E-2</c:v>
                </c:pt>
                <c:pt idx="332">
                  <c:v>2.2044857720309841E-2</c:v>
                </c:pt>
                <c:pt idx="333">
                  <c:v>1.859477019716449E-3</c:v>
                </c:pt>
                <c:pt idx="334">
                  <c:v>-4.8256087557653204E-3</c:v>
                </c:pt>
                <c:pt idx="335">
                  <c:v>2.9839825054447378E-3</c:v>
                </c:pt>
                <c:pt idx="336">
                  <c:v>-3.3469564584002187E-3</c:v>
                </c:pt>
                <c:pt idx="337">
                  <c:v>-5.1119436566456677E-2</c:v>
                </c:pt>
                <c:pt idx="338">
                  <c:v>-3.6570892941097388E-2</c:v>
                </c:pt>
                <c:pt idx="339">
                  <c:v>6.5305781764923854E-3</c:v>
                </c:pt>
                <c:pt idx="340">
                  <c:v>4.0145991210476684E-2</c:v>
                </c:pt>
                <c:pt idx="341">
                  <c:v>-3.8986630695895252E-3</c:v>
                </c:pt>
                <c:pt idx="342">
                  <c:v>-1.3698535438063431E-2</c:v>
                </c:pt>
                <c:pt idx="343">
                  <c:v>-3.9683596600464943E-3</c:v>
                </c:pt>
                <c:pt idx="344">
                  <c:v>3.5857219772197357E-3</c:v>
                </c:pt>
                <c:pt idx="345">
                  <c:v>-1.587942915077023E-3</c:v>
                </c:pt>
                <c:pt idx="346">
                  <c:v>4.1351868562470528E-2</c:v>
                </c:pt>
                <c:pt idx="347">
                  <c:v>-1.1836625198011652E-2</c:v>
                </c:pt>
                <c:pt idx="348">
                  <c:v>-3.0139090896682208E-2</c:v>
                </c:pt>
                <c:pt idx="349">
                  <c:v>-7.1712875775611362E-3</c:v>
                </c:pt>
                <c:pt idx="350">
                  <c:v>-4.0132632996781048E-4</c:v>
                </c:pt>
                <c:pt idx="351">
                  <c:v>-1.2043048027239323E-3</c:v>
                </c:pt>
                <c:pt idx="352">
                  <c:v>-3.938911051488414E-2</c:v>
                </c:pt>
                <c:pt idx="353">
                  <c:v>3.3054506272621742E-2</c:v>
                </c:pt>
                <c:pt idx="354">
                  <c:v>-2.5111398800432894E-2</c:v>
                </c:pt>
                <c:pt idx="355">
                  <c:v>1.2463654062504048E-2</c:v>
                </c:pt>
                <c:pt idx="356">
                  <c:v>8.2067889517873915E-3</c:v>
                </c:pt>
                <c:pt idx="357">
                  <c:v>-8.1399858062052299E-3</c:v>
                </c:pt>
                <c:pt idx="358">
                  <c:v>1.6823961642972174E-2</c:v>
                </c:pt>
                <c:pt idx="359">
                  <c:v>4.035144964233961E-4</c:v>
                </c:pt>
                <c:pt idx="360">
                  <c:v>1.4522008398744068E-2</c:v>
                </c:pt>
                <c:pt idx="361">
                  <c:v>1.9881246268074193E-3</c:v>
                </c:pt>
                <c:pt idx="362">
                  <c:v>1.4682447897559125E-2</c:v>
                </c:pt>
                <c:pt idx="363">
                  <c:v>1.4470069730827761E-2</c:v>
                </c:pt>
                <c:pt idx="364">
                  <c:v>-1.0023125925796794E-2</c:v>
                </c:pt>
                <c:pt idx="365">
                  <c:v>-3.3878477978590227E-2</c:v>
                </c:pt>
                <c:pt idx="366">
                  <c:v>2.8214233902250641E-3</c:v>
                </c:pt>
                <c:pt idx="367">
                  <c:v>1.36656129900532E-2</c:v>
                </c:pt>
                <c:pt idx="368">
                  <c:v>-1.9429045441668014E-2</c:v>
                </c:pt>
                <c:pt idx="369">
                  <c:v>1.0109131898353718E-2</c:v>
                </c:pt>
                <c:pt idx="370">
                  <c:v>-1.2008515086010529E-3</c:v>
                </c:pt>
                <c:pt idx="371">
                  <c:v>-1.563133323889343E-2</c:v>
                </c:pt>
                <c:pt idx="372">
                  <c:v>-2.4429342091398798E-3</c:v>
                </c:pt>
                <c:pt idx="373">
                  <c:v>-4.8979937098136972E-3</c:v>
                </c:pt>
                <c:pt idx="374">
                  <c:v>2.0508597901222725E-2</c:v>
                </c:pt>
                <c:pt idx="375">
                  <c:v>-1.7684855248435882E-2</c:v>
                </c:pt>
                <c:pt idx="376">
                  <c:v>-1.4729974687861191E-2</c:v>
                </c:pt>
                <c:pt idx="377">
                  <c:v>-2.8239239888062206E-2</c:v>
                </c:pt>
                <c:pt idx="378">
                  <c:v>-1.7093300266637357E-3</c:v>
                </c:pt>
                <c:pt idx="379">
                  <c:v>4.7088113219146965E-3</c:v>
                </c:pt>
                <c:pt idx="380">
                  <c:v>2.2156018540929967E-2</c:v>
                </c:pt>
                <c:pt idx="381">
                  <c:v>2.9178621955583406E-3</c:v>
                </c:pt>
                <c:pt idx="382">
                  <c:v>-4.1563054714468528E-3</c:v>
                </c:pt>
                <c:pt idx="383">
                  <c:v>-1.6694609783731718E-3</c:v>
                </c:pt>
                <c:pt idx="384">
                  <c:v>-4.5986540096637496E-3</c:v>
                </c:pt>
                <c:pt idx="385">
                  <c:v>1.7639608123737771E-2</c:v>
                </c:pt>
                <c:pt idx="386">
                  <c:v>-2.3524522472629261E-2</c:v>
                </c:pt>
                <c:pt idx="387">
                  <c:v>5.9172019731119629E-3</c:v>
                </c:pt>
                <c:pt idx="388">
                  <c:v>1.008402266507713E-2</c:v>
                </c:pt>
                <c:pt idx="389">
                  <c:v>-2.038271781816503E-2</c:v>
                </c:pt>
                <c:pt idx="390">
                  <c:v>-2.1231157108451137E-3</c:v>
                </c:pt>
                <c:pt idx="391">
                  <c:v>-2.1276329217325696E-3</c:v>
                </c:pt>
                <c:pt idx="392">
                  <c:v>2.6865652405590135E-2</c:v>
                </c:pt>
                <c:pt idx="393">
                  <c:v>-2.1179429916047821E-2</c:v>
                </c:pt>
                <c:pt idx="394">
                  <c:v>-8.9095694191013708E-3</c:v>
                </c:pt>
                <c:pt idx="395">
                  <c:v>9.8458338752107633E-3</c:v>
                </c:pt>
                <c:pt idx="396">
                  <c:v>-2.1195156585982478E-3</c:v>
                </c:pt>
                <c:pt idx="397">
                  <c:v>2.2090049273337353E-2</c:v>
                </c:pt>
                <c:pt idx="398">
                  <c:v>-2.5768849218489209E-2</c:v>
                </c:pt>
                <c:pt idx="399">
                  <c:v>-2.6023948221364779E-2</c:v>
                </c:pt>
                <c:pt idx="400">
                  <c:v>1.4454638481882887E-2</c:v>
                </c:pt>
                <c:pt idx="401">
                  <c:v>-1.1226247329270245E-2</c:v>
                </c:pt>
                <c:pt idx="402">
                  <c:v>1.6593918796853568E-2</c:v>
                </c:pt>
                <c:pt idx="403">
                  <c:v>-3.5223448522369583E-2</c:v>
                </c:pt>
                <c:pt idx="404">
                  <c:v>9.3500661589296374E-3</c:v>
                </c:pt>
                <c:pt idx="405">
                  <c:v>-4.5875670491334786E-2</c:v>
                </c:pt>
                <c:pt idx="406">
                  <c:v>-2.5427601064393457E-2</c:v>
                </c:pt>
                <c:pt idx="407">
                  <c:v>-2.2296033287779848E-2</c:v>
                </c:pt>
                <c:pt idx="408">
                  <c:v>-9.704096012184138E-4</c:v>
                </c:pt>
                <c:pt idx="409">
                  <c:v>-2.0883929558617398E-2</c:v>
                </c:pt>
                <c:pt idx="410">
                  <c:v>1.1904749156848471E-2</c:v>
                </c:pt>
                <c:pt idx="411">
                  <c:v>1.4705506031569282E-3</c:v>
                </c:pt>
                <c:pt idx="412">
                  <c:v>1.4684873206920468E-3</c:v>
                </c:pt>
                <c:pt idx="413">
                  <c:v>-3.9100961802669421E-3</c:v>
                </c:pt>
                <c:pt idx="414">
                  <c:v>-2.2571116432049787E-2</c:v>
                </c:pt>
                <c:pt idx="415">
                  <c:v>2.5100382614505534E-2</c:v>
                </c:pt>
                <c:pt idx="416">
                  <c:v>7.5905985783484287E-2</c:v>
                </c:pt>
                <c:pt idx="417">
                  <c:v>-7.146109947766488E-2</c:v>
                </c:pt>
                <c:pt idx="418">
                  <c:v>-1.4215643172044046E-2</c:v>
                </c:pt>
                <c:pt idx="419">
                  <c:v>-1.0442590976578736E-2</c:v>
                </c:pt>
                <c:pt idx="420">
                  <c:v>-1.0050223999610863E-2</c:v>
                </c:pt>
                <c:pt idx="421">
                  <c:v>0</c:v>
                </c:pt>
                <c:pt idx="422">
                  <c:v>-1.1167591679032252E-2</c:v>
                </c:pt>
                <c:pt idx="423">
                  <c:v>-9.2402117557764951E-3</c:v>
                </c:pt>
                <c:pt idx="424">
                  <c:v>-5.0259069201550099E-2</c:v>
                </c:pt>
                <c:pt idx="425">
                  <c:v>-2.2913205963394745E-2</c:v>
                </c:pt>
                <c:pt idx="426">
                  <c:v>2.903404523527553E-2</c:v>
                </c:pt>
                <c:pt idx="427">
                  <c:v>-3.3640828287690439E-2</c:v>
                </c:pt>
                <c:pt idx="428">
                  <c:v>-2.2459452159955262E-3</c:v>
                </c:pt>
                <c:pt idx="429">
                  <c:v>2.2510008405647319E-3</c:v>
                </c:pt>
                <c:pt idx="430">
                  <c:v>-8.4222394636869202E-3</c:v>
                </c:pt>
                <c:pt idx="431">
                  <c:v>2.208379558172946E-2</c:v>
                </c:pt>
                <c:pt idx="432">
                  <c:v>4.4321319098444611E-2</c:v>
                </c:pt>
                <c:pt idx="433">
                  <c:v>-3.3952288554572996E-2</c:v>
                </c:pt>
                <c:pt idx="434">
                  <c:v>-3.075223096337909E-2</c:v>
                </c:pt>
                <c:pt idx="435">
                  <c:v>-1.0764892932601744E-2</c:v>
                </c:pt>
                <c:pt idx="436">
                  <c:v>-1.0309238952058486E-2</c:v>
                </c:pt>
                <c:pt idx="437">
                  <c:v>5.7876456479788452E-4</c:v>
                </c:pt>
                <c:pt idx="438">
                  <c:v>1.6194218017632434E-2</c:v>
                </c:pt>
                <c:pt idx="439">
                  <c:v>-1.5936144617338832E-2</c:v>
                </c:pt>
                <c:pt idx="440">
                  <c:v>-6.9404764418150577E-3</c:v>
                </c:pt>
                <c:pt idx="441">
                  <c:v>-1.8637174542386337E-2</c:v>
                </c:pt>
                <c:pt idx="442">
                  <c:v>9.4954994009330829E-3</c:v>
                </c:pt>
                <c:pt idx="443">
                  <c:v>-5.8201009670277637E-2</c:v>
                </c:pt>
                <c:pt idx="444">
                  <c:v>-2.5593066512179408E-2</c:v>
                </c:pt>
                <c:pt idx="445">
                  <c:v>-2.4983973510749879E-2</c:v>
                </c:pt>
                <c:pt idx="446">
                  <c:v>-2.1024987311893506E-2</c:v>
                </c:pt>
                <c:pt idx="447">
                  <c:v>2.5503339527815028E-2</c:v>
                </c:pt>
                <c:pt idx="448">
                  <c:v>1.4397944172830801E-2</c:v>
                </c:pt>
                <c:pt idx="449">
                  <c:v>2.5161342112129281E-2</c:v>
                </c:pt>
                <c:pt idx="450">
                  <c:v>-1.5733152765776359E-2</c:v>
                </c:pt>
                <c:pt idx="451">
                  <c:v>8.9513440693573809E-3</c:v>
                </c:pt>
                <c:pt idx="452">
                  <c:v>1.3941672816674355E-2</c:v>
                </c:pt>
                <c:pt idx="453">
                  <c:v>-3.1874981447957418E-2</c:v>
                </c:pt>
                <c:pt idx="454">
                  <c:v>1.2912280932915188E-3</c:v>
                </c:pt>
                <c:pt idx="455">
                  <c:v>-5.8027486804194117E-3</c:v>
                </c:pt>
                <c:pt idx="456">
                  <c:v>-2.594052045604367E-3</c:v>
                </c:pt>
                <c:pt idx="457">
                  <c:v>4.5513976421713842E-3</c:v>
                </c:pt>
                <c:pt idx="458">
                  <c:v>-2.5890785281202922E-3</c:v>
                </c:pt>
                <c:pt idx="459">
                  <c:v>9.1499042391093743E-2</c:v>
                </c:pt>
                <c:pt idx="460">
                  <c:v>-3.0321087162233695E-2</c:v>
                </c:pt>
                <c:pt idx="461">
                  <c:v>4.0466020856726015E-2</c:v>
                </c:pt>
                <c:pt idx="462">
                  <c:v>6.7177502676653011E-2</c:v>
                </c:pt>
                <c:pt idx="463">
                  <c:v>-3.9204970672590989E-2</c:v>
                </c:pt>
                <c:pt idx="464">
                  <c:v>2.298844351867313E-2</c:v>
                </c:pt>
                <c:pt idx="465">
                  <c:v>-1.4044879092167117E-2</c:v>
                </c:pt>
                <c:pt idx="466">
                  <c:v>3.9886882237814003E-3</c:v>
                </c:pt>
                <c:pt idx="467">
                  <c:v>3.0079276399033406E-2</c:v>
                </c:pt>
                <c:pt idx="468">
                  <c:v>-4.1322232729898212E-2</c:v>
                </c:pt>
                <c:pt idx="469">
                  <c:v>5.7471672742015478E-3</c:v>
                </c:pt>
                <c:pt idx="470">
                  <c:v>1.142753072707281E-3</c:v>
                </c:pt>
                <c:pt idx="471">
                  <c:v>4.5663547976466656E-3</c:v>
                </c:pt>
                <c:pt idx="472">
                  <c:v>1.2499864797315352E-2</c:v>
                </c:pt>
                <c:pt idx="473">
                  <c:v>-5.6111617957410598E-4</c:v>
                </c:pt>
                <c:pt idx="474">
                  <c:v>1.0106643279393035E-2</c:v>
                </c:pt>
                <c:pt idx="475">
                  <c:v>5.5592288598971251E-4</c:v>
                </c:pt>
                <c:pt idx="476">
                  <c:v>-4.5000046337510535E-2</c:v>
                </c:pt>
                <c:pt idx="477">
                  <c:v>-3.6649190750377758E-2</c:v>
                </c:pt>
                <c:pt idx="478">
                  <c:v>6.0386902814975052E-3</c:v>
                </c:pt>
                <c:pt idx="479">
                  <c:v>-9.6039094159414695E-3</c:v>
                </c:pt>
                <c:pt idx="480">
                  <c:v>-3.5757533587511658E-2</c:v>
                </c:pt>
                <c:pt idx="481">
                  <c:v>-2.4512812137532758E-2</c:v>
                </c:pt>
                <c:pt idx="482">
                  <c:v>-3.8659875453968318E-2</c:v>
                </c:pt>
                <c:pt idx="483">
                  <c:v>-6.7018027915410894E-4</c:v>
                </c:pt>
                <c:pt idx="484">
                  <c:v>6.0361281854395266E-3</c:v>
                </c:pt>
                <c:pt idx="485">
                  <c:v>-6.1999984168923938E-2</c:v>
                </c:pt>
                <c:pt idx="486">
                  <c:v>1.3503935346704354E-2</c:v>
                </c:pt>
                <c:pt idx="487">
                  <c:v>-2.805000157238613E-3</c:v>
                </c:pt>
                <c:pt idx="488">
                  <c:v>-3.516178449435492E-2</c:v>
                </c:pt>
                <c:pt idx="489">
                  <c:v>-2.6967906414790188E-2</c:v>
                </c:pt>
                <c:pt idx="490">
                  <c:v>-3.7453447801022444E-3</c:v>
                </c:pt>
                <c:pt idx="491">
                  <c:v>-1.4285741689459952E-2</c:v>
                </c:pt>
                <c:pt idx="492">
                  <c:v>-4.6529323505017262E-2</c:v>
                </c:pt>
                <c:pt idx="493">
                  <c:v>-8.0000565208617758E-3</c:v>
                </c:pt>
                <c:pt idx="494">
                  <c:v>-2.8225770075374412E-2</c:v>
                </c:pt>
                <c:pt idx="495">
                  <c:v>-1.4937783732141052E-2</c:v>
                </c:pt>
                <c:pt idx="496">
                  <c:v>1.6006853478458094E-2</c:v>
                </c:pt>
                <c:pt idx="497">
                  <c:v>3.3166914288251803E-3</c:v>
                </c:pt>
                <c:pt idx="498">
                  <c:v>-2.727275749951652E-2</c:v>
                </c:pt>
                <c:pt idx="499">
                  <c:v>-2.8886955445910911E-2</c:v>
                </c:pt>
                <c:pt idx="500">
                  <c:v>-8.7489679763335104E-3</c:v>
                </c:pt>
                <c:pt idx="501">
                  <c:v>-1.4121727604835876E-2</c:v>
                </c:pt>
                <c:pt idx="502">
                  <c:v>3.5810106184808399E-2</c:v>
                </c:pt>
                <c:pt idx="503">
                  <c:v>3.0250694115621979E-2</c:v>
                </c:pt>
                <c:pt idx="504">
                  <c:v>-4.1946605687764871E-3</c:v>
                </c:pt>
                <c:pt idx="505">
                  <c:v>-1.684923678336514E-2</c:v>
                </c:pt>
                <c:pt idx="506">
                  <c:v>1.0282849842413233E-2</c:v>
                </c:pt>
                <c:pt idx="507">
                  <c:v>8.4817409820134859E-3</c:v>
                </c:pt>
                <c:pt idx="508">
                  <c:v>8.4104886245506272E-4</c:v>
                </c:pt>
                <c:pt idx="509">
                  <c:v>1.6806841873864276E-3</c:v>
                </c:pt>
                <c:pt idx="510">
                  <c:v>1.7617492067971252E-2</c:v>
                </c:pt>
                <c:pt idx="511">
                  <c:v>-1.1541713545731302E-2</c:v>
                </c:pt>
                <c:pt idx="512">
                  <c:v>-5.0040420914345685E-3</c:v>
                </c:pt>
                <c:pt idx="513">
                  <c:v>-1.3411661242700768E-2</c:v>
                </c:pt>
                <c:pt idx="514">
                  <c:v>-3.2285450217187095E-2</c:v>
                </c:pt>
                <c:pt idx="515">
                  <c:v>1.8437183581905492E-2</c:v>
                </c:pt>
                <c:pt idx="516">
                  <c:v>-2.1551708094651567E-2</c:v>
                </c:pt>
                <c:pt idx="517">
                  <c:v>-5.5506655613100198E-2</c:v>
                </c:pt>
                <c:pt idx="518">
                  <c:v>3.5447831212169767E-2</c:v>
                </c:pt>
                <c:pt idx="519">
                  <c:v>9.0089843200897857E-3</c:v>
                </c:pt>
                <c:pt idx="520">
                  <c:v>0</c:v>
                </c:pt>
                <c:pt idx="521">
                  <c:v>-3.9285642630839557E-2</c:v>
                </c:pt>
                <c:pt idx="522">
                  <c:v>1.3940435946065755E-2</c:v>
                </c:pt>
                <c:pt idx="523">
                  <c:v>-1.0999071620824918E-2</c:v>
                </c:pt>
                <c:pt idx="524">
                  <c:v>5.560743800630874E-3</c:v>
                </c:pt>
                <c:pt idx="525">
                  <c:v>-4.9769574584134113E-2</c:v>
                </c:pt>
                <c:pt idx="526">
                  <c:v>2.9097216320015384E-3</c:v>
                </c:pt>
                <c:pt idx="527">
                  <c:v>3.4816305586782947E-2</c:v>
                </c:pt>
                <c:pt idx="528">
                  <c:v>5.1401865302040495E-2</c:v>
                </c:pt>
                <c:pt idx="529">
                  <c:v>1.7777903379692095E-3</c:v>
                </c:pt>
                <c:pt idx="530">
                  <c:v>2.6619531124305595E-3</c:v>
                </c:pt>
                <c:pt idx="531">
                  <c:v>6.106185537735942E-2</c:v>
                </c:pt>
                <c:pt idx="532">
                  <c:v>1.084244583933458E-2</c:v>
                </c:pt>
                <c:pt idx="533">
                  <c:v>3.2178201589212252E-2</c:v>
                </c:pt>
                <c:pt idx="534">
                  <c:v>-5.5955630825106351E-3</c:v>
                </c:pt>
                <c:pt idx="535">
                  <c:v>1.6880991020796099E-2</c:v>
                </c:pt>
                <c:pt idx="536">
                  <c:v>-3.9524422366503664E-3</c:v>
                </c:pt>
                <c:pt idx="537">
                  <c:v>0</c:v>
                </c:pt>
                <c:pt idx="538">
                  <c:v>-3.9683596600464943E-3</c:v>
                </c:pt>
                <c:pt idx="539">
                  <c:v>-3.9840139037845557E-3</c:v>
                </c:pt>
                <c:pt idx="540">
                  <c:v>0</c:v>
                </c:pt>
                <c:pt idx="541">
                  <c:v>1.9999905798564699E-2</c:v>
                </c:pt>
                <c:pt idx="542">
                  <c:v>1.5686386783729134E-2</c:v>
                </c:pt>
                <c:pt idx="543">
                  <c:v>8.4941925788759587E-3</c:v>
                </c:pt>
                <c:pt idx="544">
                  <c:v>3.9050436114394182E-2</c:v>
                </c:pt>
                <c:pt idx="545">
                  <c:v>9.5799520546886452E-3</c:v>
                </c:pt>
                <c:pt idx="546">
                  <c:v>-1.459721220467558E-3</c:v>
                </c:pt>
                <c:pt idx="547">
                  <c:v>-2.046790840667323E-2</c:v>
                </c:pt>
                <c:pt idx="548">
                  <c:v>-2.6865642787485933E-2</c:v>
                </c:pt>
                <c:pt idx="549">
                  <c:v>8.435567241107611E-3</c:v>
                </c:pt>
                <c:pt idx="550">
                  <c:v>-1.5209084050752053E-2</c:v>
                </c:pt>
                <c:pt idx="551">
                  <c:v>8.4941925788759587E-3</c:v>
                </c:pt>
                <c:pt idx="552">
                  <c:v>2.0673808912713643E-2</c:v>
                </c:pt>
                <c:pt idx="553">
                  <c:v>-9.7524334155130177E-3</c:v>
                </c:pt>
                <c:pt idx="554">
                  <c:v>1.4393966707614059E-2</c:v>
                </c:pt>
                <c:pt idx="555">
                  <c:v>2.9872956611165957E-2</c:v>
                </c:pt>
                <c:pt idx="556">
                  <c:v>-3.6983299781280121E-2</c:v>
                </c:pt>
                <c:pt idx="557">
                  <c:v>0</c:v>
                </c:pt>
                <c:pt idx="558">
                  <c:v>7.530100006262419E-3</c:v>
                </c:pt>
                <c:pt idx="559">
                  <c:v>3.2884916762258687E-2</c:v>
                </c:pt>
                <c:pt idx="560">
                  <c:v>5.7886821100667785E-3</c:v>
                </c:pt>
                <c:pt idx="561">
                  <c:v>1.8705098744546511E-2</c:v>
                </c:pt>
                <c:pt idx="562">
                  <c:v>1.6242914068499426E-2</c:v>
                </c:pt>
                <c:pt idx="563">
                  <c:v>-1.4593434798901406E-2</c:v>
                </c:pt>
                <c:pt idx="564">
                  <c:v>-5.6417195636226936E-3</c:v>
                </c:pt>
                <c:pt idx="565">
                  <c:v>1.347513283438273E-2</c:v>
                </c:pt>
                <c:pt idx="566">
                  <c:v>-7.6976764690656063E-3</c:v>
                </c:pt>
                <c:pt idx="567">
                  <c:v>-7.0529279615838547E-4</c:v>
                </c:pt>
                <c:pt idx="568">
                  <c:v>-1.1997124208063092E-2</c:v>
                </c:pt>
                <c:pt idx="569">
                  <c:v>-8.1428587148834719E-2</c:v>
                </c:pt>
                <c:pt idx="570">
                  <c:v>3.3436946059350436E-2</c:v>
                </c:pt>
                <c:pt idx="571">
                  <c:v>4.4394377861006307E-2</c:v>
                </c:pt>
                <c:pt idx="572">
                  <c:v>0</c:v>
                </c:pt>
                <c:pt idx="573">
                  <c:v>-1.5129719262088726E-2</c:v>
                </c:pt>
                <c:pt idx="574">
                  <c:v>2.1945879254303913E-2</c:v>
                </c:pt>
                <c:pt idx="575">
                  <c:v>3.5791234585831333E-3</c:v>
                </c:pt>
                <c:pt idx="576">
                  <c:v>3.4236836614706112E-2</c:v>
                </c:pt>
                <c:pt idx="577">
                  <c:v>-1.4482792877451578E-2</c:v>
                </c:pt>
                <c:pt idx="578">
                  <c:v>-4.8984964192444469E-3</c:v>
                </c:pt>
                <c:pt idx="579">
                  <c:v>-1.9690646240901888E-2</c:v>
                </c:pt>
                <c:pt idx="580">
                  <c:v>-1.7216694765986751E-2</c:v>
                </c:pt>
                <c:pt idx="581">
                  <c:v>-1.0948768655674734E-2</c:v>
                </c:pt>
                <c:pt idx="582">
                  <c:v>-2.2140304509302045E-2</c:v>
                </c:pt>
                <c:pt idx="583">
                  <c:v>3.0188153295678255E-3</c:v>
                </c:pt>
                <c:pt idx="584">
                  <c:v>-6.7719098606626726E-3</c:v>
                </c:pt>
                <c:pt idx="585">
                  <c:v>1.8181723569503205E-2</c:v>
                </c:pt>
                <c:pt idx="586">
                  <c:v>8.1846553810505096E-3</c:v>
                </c:pt>
                <c:pt idx="587">
                  <c:v>-3.1734395426422313E-2</c:v>
                </c:pt>
                <c:pt idx="588">
                  <c:v>1.5244758665284852E-3</c:v>
                </c:pt>
                <c:pt idx="589">
                  <c:v>-1.1415605247755312E-2</c:v>
                </c:pt>
                <c:pt idx="590">
                  <c:v>2.3094625591530971E-2</c:v>
                </c:pt>
                <c:pt idx="591">
                  <c:v>8.2769592037370554E-3</c:v>
                </c:pt>
                <c:pt idx="592">
                  <c:v>7.4626663472960875E-3</c:v>
                </c:pt>
                <c:pt idx="593">
                  <c:v>7.4074601722773359E-4</c:v>
                </c:pt>
                <c:pt idx="594">
                  <c:v>1.0362695429518398E-2</c:v>
                </c:pt>
                <c:pt idx="595">
                  <c:v>-1.2454229201638634E-2</c:v>
                </c:pt>
                <c:pt idx="596">
                  <c:v>1.4836901095331756E-2</c:v>
                </c:pt>
                <c:pt idx="597">
                  <c:v>2.1929261418882628E-3</c:v>
                </c:pt>
                <c:pt idx="598">
                  <c:v>1.8234922696222178E-2</c:v>
                </c:pt>
                <c:pt idx="599">
                  <c:v>-1.9341039870845789E-2</c:v>
                </c:pt>
                <c:pt idx="600">
                  <c:v>0</c:v>
                </c:pt>
                <c:pt idx="601">
                  <c:v>-7.3045820556860708E-3</c:v>
                </c:pt>
                <c:pt idx="602">
                  <c:v>-8.8300123520935747E-3</c:v>
                </c:pt>
                <c:pt idx="603">
                  <c:v>5.9391659466863089E-3</c:v>
                </c:pt>
                <c:pt idx="604">
                  <c:v>2.9519778389064388E-3</c:v>
                </c:pt>
                <c:pt idx="605">
                  <c:v>-8.0942441772643425E-3</c:v>
                </c:pt>
                <c:pt idx="606">
                  <c:v>1.4836901095338639E-3</c:v>
                </c:pt>
                <c:pt idx="607">
                  <c:v>2.8888949299274103E-2</c:v>
                </c:pt>
                <c:pt idx="608">
                  <c:v>-5.0396324346996257E-3</c:v>
                </c:pt>
                <c:pt idx="609">
                  <c:v>5.065158974152606E-3</c:v>
                </c:pt>
                <c:pt idx="610">
                  <c:v>-5.0396324346996257E-3</c:v>
                </c:pt>
                <c:pt idx="611">
                  <c:v>1.1053786241300489E-2</c:v>
                </c:pt>
                <c:pt idx="612">
                  <c:v>-5.8308757402454336E-3</c:v>
                </c:pt>
                <c:pt idx="613">
                  <c:v>1.099705838578191E-2</c:v>
                </c:pt>
                <c:pt idx="614">
                  <c:v>0</c:v>
                </c:pt>
                <c:pt idx="615">
                  <c:v>-1.0877438558862251E-2</c:v>
                </c:pt>
                <c:pt idx="616">
                  <c:v>0</c:v>
                </c:pt>
                <c:pt idx="617">
                  <c:v>-2.1994823160165211E-3</c:v>
                </c:pt>
                <c:pt idx="618">
                  <c:v>0</c:v>
                </c:pt>
                <c:pt idx="619">
                  <c:v>-7.3470610623305177E-4</c:v>
                </c:pt>
                <c:pt idx="620">
                  <c:v>1.8382361797006475E-2</c:v>
                </c:pt>
                <c:pt idx="621">
                  <c:v>-4.3321264478328736E-3</c:v>
                </c:pt>
                <c:pt idx="622">
                  <c:v>4.3509754235391274E-3</c:v>
                </c:pt>
                <c:pt idx="623">
                  <c:v>-8.6643224634783689E-3</c:v>
                </c:pt>
                <c:pt idx="624">
                  <c:v>-2.1849245469441891E-3</c:v>
                </c:pt>
                <c:pt idx="625">
                  <c:v>-4.3795584503213414E-3</c:v>
                </c:pt>
                <c:pt idx="626">
                  <c:v>3.6656625823061617E-3</c:v>
                </c:pt>
                <c:pt idx="627">
                  <c:v>3.6522745760525499E-3</c:v>
                </c:pt>
                <c:pt idx="628">
                  <c:v>-3.6389840072800217E-3</c:v>
                </c:pt>
                <c:pt idx="629">
                  <c:v>-5.1132407111655898E-3</c:v>
                </c:pt>
                <c:pt idx="630">
                  <c:v>8.8105658311141699E-3</c:v>
                </c:pt>
                <c:pt idx="631">
                  <c:v>7.2782485135980401E-4</c:v>
                </c:pt>
                <c:pt idx="632">
                  <c:v>-4.1454512532623E-2</c:v>
                </c:pt>
                <c:pt idx="633">
                  <c:v>3.8694960353366614E-2</c:v>
                </c:pt>
                <c:pt idx="634">
                  <c:v>-1.3878755998383618E-2</c:v>
                </c:pt>
                <c:pt idx="635">
                  <c:v>9.6296458600202417E-3</c:v>
                </c:pt>
                <c:pt idx="636">
                  <c:v>1.2472524295324083E-2</c:v>
                </c:pt>
                <c:pt idx="637">
                  <c:v>-1.086962593031171E-2</c:v>
                </c:pt>
                <c:pt idx="638">
                  <c:v>-1.0256378763693008E-2</c:v>
                </c:pt>
                <c:pt idx="639">
                  <c:v>1.7764604442149556E-2</c:v>
                </c:pt>
                <c:pt idx="640">
                  <c:v>2.1818164490834402E-3</c:v>
                </c:pt>
                <c:pt idx="641">
                  <c:v>-1.5965107642993082E-2</c:v>
                </c:pt>
                <c:pt idx="642">
                  <c:v>3.6872177493540992E-3</c:v>
                </c:pt>
                <c:pt idx="643">
                  <c:v>-8.0822627305623396E-3</c:v>
                </c:pt>
                <c:pt idx="644">
                  <c:v>1.4814850764861776E-2</c:v>
                </c:pt>
                <c:pt idx="645">
                  <c:v>-5.8394581534209067E-3</c:v>
                </c:pt>
                <c:pt idx="646">
                  <c:v>-6.6079243733374593E-3</c:v>
                </c:pt>
                <c:pt idx="647">
                  <c:v>-2.9564146221422449E-3</c:v>
                </c:pt>
                <c:pt idx="648">
                  <c:v>4.447807101751966E-3</c:v>
                </c:pt>
                <c:pt idx="649">
                  <c:v>1.1070101517408393E-2</c:v>
                </c:pt>
                <c:pt idx="650">
                  <c:v>-3.6496789282639552E-3</c:v>
                </c:pt>
                <c:pt idx="651">
                  <c:v>3.6630478769135166E-3</c:v>
                </c:pt>
                <c:pt idx="652">
                  <c:v>-1.4598575054056262E-2</c:v>
                </c:pt>
                <c:pt idx="653">
                  <c:v>2.9629844272558437E-3</c:v>
                </c:pt>
                <c:pt idx="654">
                  <c:v>1.2555357586850668E-2</c:v>
                </c:pt>
                <c:pt idx="655">
                  <c:v>-1.458764651164457E-3</c:v>
                </c:pt>
                <c:pt idx="656">
                  <c:v>-5.1132407111655898E-3</c:v>
                </c:pt>
                <c:pt idx="657">
                  <c:v>5.1395203156794356E-3</c:v>
                </c:pt>
                <c:pt idx="658">
                  <c:v>-1.0226411041460493E-2</c:v>
                </c:pt>
                <c:pt idx="659">
                  <c:v>3.6900101364476523E-3</c:v>
                </c:pt>
                <c:pt idx="660">
                  <c:v>-6.617641745320979E-3</c:v>
                </c:pt>
                <c:pt idx="661">
                  <c:v>2.2205755552668904E-3</c:v>
                </c:pt>
                <c:pt idx="662">
                  <c:v>-9.6011976608680882E-3</c:v>
                </c:pt>
                <c:pt idx="663">
                  <c:v>8.9485387887728862E-3</c:v>
                </c:pt>
                <c:pt idx="664">
                  <c:v>-7.390929735603291E-3</c:v>
                </c:pt>
                <c:pt idx="665">
                  <c:v>7.4455318593735775E-4</c:v>
                </c:pt>
                <c:pt idx="666">
                  <c:v>2.9761403358357086E-3</c:v>
                </c:pt>
                <c:pt idx="667">
                  <c:v>-7.4183444953469513E-3</c:v>
                </c:pt>
                <c:pt idx="668">
                  <c:v>1.4947431230225572E-3</c:v>
                </c:pt>
                <c:pt idx="669">
                  <c:v>3.7313883577587692E-3</c:v>
                </c:pt>
                <c:pt idx="670">
                  <c:v>-1.7843851683871703E-2</c:v>
                </c:pt>
                <c:pt idx="671">
                  <c:v>8.3269937849312914E-3</c:v>
                </c:pt>
                <c:pt idx="672">
                  <c:v>-8.2582275752378642E-3</c:v>
                </c:pt>
                <c:pt idx="673">
                  <c:v>-2.2710049357286266E-3</c:v>
                </c:pt>
                <c:pt idx="674">
                  <c:v>7.5867597664269759E-4</c:v>
                </c:pt>
                <c:pt idx="675">
                  <c:v>4.5488971378844223E-3</c:v>
                </c:pt>
                <c:pt idx="676">
                  <c:v>-2.7924458163272825E-2</c:v>
                </c:pt>
                <c:pt idx="677">
                  <c:v>2.6397518083472349E-2</c:v>
                </c:pt>
                <c:pt idx="678">
                  <c:v>-1.8154369095423117E-2</c:v>
                </c:pt>
                <c:pt idx="679">
                  <c:v>-6.1633728042558289E-3</c:v>
                </c:pt>
                <c:pt idx="680">
                  <c:v>6.9768136660675051E-3</c:v>
                </c:pt>
                <c:pt idx="681">
                  <c:v>-6.9284749870925921E-3</c:v>
                </c:pt>
                <c:pt idx="682">
                  <c:v>7.7521811645042682E-4</c:v>
                </c:pt>
                <c:pt idx="683">
                  <c:v>2.3237782233767046E-3</c:v>
                </c:pt>
                <c:pt idx="684">
                  <c:v>-1.0046310481644505E-2</c:v>
                </c:pt>
                <c:pt idx="685">
                  <c:v>1.405151062238974E-2</c:v>
                </c:pt>
                <c:pt idx="686">
                  <c:v>-2.3094669378608268E-3</c:v>
                </c:pt>
                <c:pt idx="687">
                  <c:v>-3.2407455249931494E-2</c:v>
                </c:pt>
                <c:pt idx="688">
                  <c:v>-2.3923426594439356E-2</c:v>
                </c:pt>
                <c:pt idx="689">
                  <c:v>2.5326803688241695E-2</c:v>
                </c:pt>
                <c:pt idx="690">
                  <c:v>-1.992032851301806E-2</c:v>
                </c:pt>
                <c:pt idx="691">
                  <c:v>4.0650896890681576E-3</c:v>
                </c:pt>
                <c:pt idx="692">
                  <c:v>4.8582955521339066E-3</c:v>
                </c:pt>
                <c:pt idx="693">
                  <c:v>-3.2232070097242382E-2</c:v>
                </c:pt>
                <c:pt idx="694">
                  <c:v>1.9150665125577282E-2</c:v>
                </c:pt>
                <c:pt idx="695">
                  <c:v>2.3524544184601037E-2</c:v>
                </c:pt>
                <c:pt idx="696">
                  <c:v>-3.1451564648888874E-2</c:v>
                </c:pt>
                <c:pt idx="697">
                  <c:v>1.6652773143512212E-2</c:v>
                </c:pt>
                <c:pt idx="698">
                  <c:v>-2.4569805796457178E-3</c:v>
                </c:pt>
                <c:pt idx="699">
                  <c:v>-9.0312485710495327E-3</c:v>
                </c:pt>
                <c:pt idx="700">
                  <c:v>-9.941995740940901E-3</c:v>
                </c:pt>
                <c:pt idx="701">
                  <c:v>-8.3683925032740358E-4</c:v>
                </c:pt>
                <c:pt idx="702">
                  <c:v>-2.3450564724576961E-2</c:v>
                </c:pt>
                <c:pt idx="703">
                  <c:v>8.5765257398517925E-4</c:v>
                </c:pt>
                <c:pt idx="704">
                  <c:v>-2.0565532951942966E-2</c:v>
                </c:pt>
                <c:pt idx="705">
                  <c:v>2.6246651710477575E-2</c:v>
                </c:pt>
                <c:pt idx="706">
                  <c:v>0</c:v>
                </c:pt>
                <c:pt idx="707">
                  <c:v>-2.5575220922371411E-3</c:v>
                </c:pt>
                <c:pt idx="708">
                  <c:v>8.5470412905914728E-3</c:v>
                </c:pt>
                <c:pt idx="709">
                  <c:v>-4.2373042310676068E-3</c:v>
                </c:pt>
                <c:pt idx="710">
                  <c:v>0</c:v>
                </c:pt>
                <c:pt idx="711">
                  <c:v>-2.5531687635064193E-3</c:v>
                </c:pt>
                <c:pt idx="712">
                  <c:v>2.5597041201097515E-3</c:v>
                </c:pt>
                <c:pt idx="713">
                  <c:v>1.7021260362987123E-2</c:v>
                </c:pt>
                <c:pt idx="714">
                  <c:v>8.3683925032751461E-4</c:v>
                </c:pt>
                <c:pt idx="715">
                  <c:v>-3.3444784051354093E-3</c:v>
                </c:pt>
                <c:pt idx="716">
                  <c:v>-1.0067104428778673E-2</c:v>
                </c:pt>
                <c:pt idx="717">
                  <c:v>4.2373042310761555E-3</c:v>
                </c:pt>
                <c:pt idx="718">
                  <c:v>-8.4390114430188401E-4</c:v>
                </c:pt>
                <c:pt idx="719">
                  <c:v>2.5337611980218444E-3</c:v>
                </c:pt>
                <c:pt idx="720">
                  <c:v>-8.4247927364911046E-4</c:v>
                </c:pt>
                <c:pt idx="721">
                  <c:v>-8.4310923245856095E-4</c:v>
                </c:pt>
                <c:pt idx="722">
                  <c:v>-8.4388504852771495E-3</c:v>
                </c:pt>
                <c:pt idx="723">
                  <c:v>3.4042520725958703E-3</c:v>
                </c:pt>
                <c:pt idx="724">
                  <c:v>6.7854049164413066E-3</c:v>
                </c:pt>
                <c:pt idx="725">
                  <c:v>-2.8643652558206223E-2</c:v>
                </c:pt>
                <c:pt idx="726">
                  <c:v>0</c:v>
                </c:pt>
                <c:pt idx="727">
                  <c:v>2.7753742923646962E-2</c:v>
                </c:pt>
                <c:pt idx="728">
                  <c:v>-1.3502176872213334E-2</c:v>
                </c:pt>
                <c:pt idx="729">
                  <c:v>2.566297703194298E-2</c:v>
                </c:pt>
                <c:pt idx="730">
                  <c:v>-8.3404746227677684E-4</c:v>
                </c:pt>
                <c:pt idx="731">
                  <c:v>-1.7529139607420974E-2</c:v>
                </c:pt>
                <c:pt idx="732">
                  <c:v>1.5293062404493796E-2</c:v>
                </c:pt>
                <c:pt idx="733">
                  <c:v>8.3682328925367422E-3</c:v>
                </c:pt>
                <c:pt idx="734">
                  <c:v>-4.1493933562959384E-3</c:v>
                </c:pt>
                <c:pt idx="735">
                  <c:v>1.4166673024491594E-2</c:v>
                </c:pt>
                <c:pt idx="736">
                  <c:v>5.1766648355909606E-2</c:v>
                </c:pt>
                <c:pt idx="737">
                  <c:v>2.7343704889063014E-2</c:v>
                </c:pt>
                <c:pt idx="738">
                  <c:v>-5.7034222186831407E-2</c:v>
                </c:pt>
                <c:pt idx="739">
                  <c:v>-1.9354820846885445E-2</c:v>
                </c:pt>
                <c:pt idx="740">
                  <c:v>-4.1118421568599794E-2</c:v>
                </c:pt>
                <c:pt idx="741">
                  <c:v>-1.1149238091101021E-2</c:v>
                </c:pt>
                <c:pt idx="742">
                  <c:v>-1.4744152665309262E-2</c:v>
                </c:pt>
                <c:pt idx="743">
                  <c:v>-1.8485919409651164E-2</c:v>
                </c:pt>
                <c:pt idx="744">
                  <c:v>-7.1748812953364993E-3</c:v>
                </c:pt>
                <c:pt idx="745">
                  <c:v>-1.8066399856135895E-3</c:v>
                </c:pt>
                <c:pt idx="746">
                  <c:v>-4.5249040607912017E-3</c:v>
                </c:pt>
                <c:pt idx="747">
                  <c:v>-4.5454718849909925E-3</c:v>
                </c:pt>
                <c:pt idx="748">
                  <c:v>-3.6529646164151774E-3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F5-1442-B930-7A7F8971F13C}"/>
            </c:ext>
          </c:extLst>
        </c:ser>
        <c:ser>
          <c:idx val="1"/>
          <c:order val="1"/>
          <c:tx>
            <c:strRef>
              <c:f>Rendimientos!$C$1</c:f>
              <c:strCache>
                <c:ptCount val="1"/>
                <c:pt idx="0">
                  <c:v>MARAR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Rendimientos!$A$2:$A$750</c:f>
              <c:numCache>
                <c:formatCode>m/d/yy</c:formatCode>
                <c:ptCount val="749"/>
                <c:pt idx="0">
                  <c:v>44999</c:v>
                </c:pt>
                <c:pt idx="1">
                  <c:v>45000</c:v>
                </c:pt>
                <c:pt idx="2">
                  <c:v>45001</c:v>
                </c:pt>
                <c:pt idx="3">
                  <c:v>45002</c:v>
                </c:pt>
                <c:pt idx="4">
                  <c:v>45006</c:v>
                </c:pt>
                <c:pt idx="5">
                  <c:v>45007</c:v>
                </c:pt>
                <c:pt idx="6">
                  <c:v>45008</c:v>
                </c:pt>
                <c:pt idx="7">
                  <c:v>45009</c:v>
                </c:pt>
                <c:pt idx="8">
                  <c:v>45012</c:v>
                </c:pt>
                <c:pt idx="9">
                  <c:v>45013</c:v>
                </c:pt>
                <c:pt idx="10">
                  <c:v>45014</c:v>
                </c:pt>
                <c:pt idx="11">
                  <c:v>45015</c:v>
                </c:pt>
                <c:pt idx="12">
                  <c:v>45016</c:v>
                </c:pt>
                <c:pt idx="13">
                  <c:v>45019</c:v>
                </c:pt>
                <c:pt idx="14">
                  <c:v>45020</c:v>
                </c:pt>
                <c:pt idx="15">
                  <c:v>45021</c:v>
                </c:pt>
                <c:pt idx="16">
                  <c:v>45026</c:v>
                </c:pt>
                <c:pt idx="17">
                  <c:v>45027</c:v>
                </c:pt>
                <c:pt idx="18">
                  <c:v>45028</c:v>
                </c:pt>
                <c:pt idx="19">
                  <c:v>45029</c:v>
                </c:pt>
                <c:pt idx="20">
                  <c:v>45030</c:v>
                </c:pt>
                <c:pt idx="21">
                  <c:v>45033</c:v>
                </c:pt>
                <c:pt idx="22">
                  <c:v>45034</c:v>
                </c:pt>
                <c:pt idx="23">
                  <c:v>45035</c:v>
                </c:pt>
                <c:pt idx="24">
                  <c:v>45036</c:v>
                </c:pt>
                <c:pt idx="25">
                  <c:v>45037</c:v>
                </c:pt>
                <c:pt idx="26">
                  <c:v>45040</c:v>
                </c:pt>
                <c:pt idx="27">
                  <c:v>45041</c:v>
                </c:pt>
                <c:pt idx="28">
                  <c:v>45042</c:v>
                </c:pt>
                <c:pt idx="29">
                  <c:v>45043</c:v>
                </c:pt>
                <c:pt idx="30">
                  <c:v>45044</c:v>
                </c:pt>
                <c:pt idx="31">
                  <c:v>45048</c:v>
                </c:pt>
                <c:pt idx="32">
                  <c:v>45049</c:v>
                </c:pt>
                <c:pt idx="33">
                  <c:v>45050</c:v>
                </c:pt>
                <c:pt idx="34">
                  <c:v>45051</c:v>
                </c:pt>
                <c:pt idx="35">
                  <c:v>45054</c:v>
                </c:pt>
                <c:pt idx="36">
                  <c:v>45055</c:v>
                </c:pt>
                <c:pt idx="37">
                  <c:v>45056</c:v>
                </c:pt>
                <c:pt idx="38">
                  <c:v>45057</c:v>
                </c:pt>
                <c:pt idx="39">
                  <c:v>45058</c:v>
                </c:pt>
                <c:pt idx="40">
                  <c:v>45061</c:v>
                </c:pt>
                <c:pt idx="41">
                  <c:v>45062</c:v>
                </c:pt>
                <c:pt idx="42">
                  <c:v>45063</c:v>
                </c:pt>
                <c:pt idx="43">
                  <c:v>45064</c:v>
                </c:pt>
                <c:pt idx="44">
                  <c:v>45065</c:v>
                </c:pt>
                <c:pt idx="45">
                  <c:v>45068</c:v>
                </c:pt>
                <c:pt idx="46">
                  <c:v>45069</c:v>
                </c:pt>
                <c:pt idx="47">
                  <c:v>45070</c:v>
                </c:pt>
                <c:pt idx="48">
                  <c:v>45071</c:v>
                </c:pt>
                <c:pt idx="49">
                  <c:v>45072</c:v>
                </c:pt>
                <c:pt idx="50">
                  <c:v>45075</c:v>
                </c:pt>
                <c:pt idx="51">
                  <c:v>45076</c:v>
                </c:pt>
                <c:pt idx="52">
                  <c:v>45077</c:v>
                </c:pt>
                <c:pt idx="53">
                  <c:v>45078</c:v>
                </c:pt>
                <c:pt idx="54">
                  <c:v>45079</c:v>
                </c:pt>
                <c:pt idx="55">
                  <c:v>45082</c:v>
                </c:pt>
                <c:pt idx="56">
                  <c:v>45083</c:v>
                </c:pt>
                <c:pt idx="57">
                  <c:v>45084</c:v>
                </c:pt>
                <c:pt idx="58">
                  <c:v>45085</c:v>
                </c:pt>
                <c:pt idx="59">
                  <c:v>45086</c:v>
                </c:pt>
                <c:pt idx="60">
                  <c:v>45089</c:v>
                </c:pt>
                <c:pt idx="61">
                  <c:v>45090</c:v>
                </c:pt>
                <c:pt idx="62">
                  <c:v>45091</c:v>
                </c:pt>
                <c:pt idx="63">
                  <c:v>45092</c:v>
                </c:pt>
                <c:pt idx="64">
                  <c:v>45093</c:v>
                </c:pt>
                <c:pt idx="65">
                  <c:v>45096</c:v>
                </c:pt>
                <c:pt idx="66">
                  <c:v>45097</c:v>
                </c:pt>
                <c:pt idx="67">
                  <c:v>45098</c:v>
                </c:pt>
                <c:pt idx="68">
                  <c:v>45099</c:v>
                </c:pt>
                <c:pt idx="69">
                  <c:v>45100</c:v>
                </c:pt>
                <c:pt idx="70">
                  <c:v>45103</c:v>
                </c:pt>
                <c:pt idx="71">
                  <c:v>45104</c:v>
                </c:pt>
                <c:pt idx="72">
                  <c:v>45105</c:v>
                </c:pt>
                <c:pt idx="73">
                  <c:v>45106</c:v>
                </c:pt>
                <c:pt idx="74">
                  <c:v>45107</c:v>
                </c:pt>
                <c:pt idx="75">
                  <c:v>45110</c:v>
                </c:pt>
                <c:pt idx="76">
                  <c:v>45111</c:v>
                </c:pt>
                <c:pt idx="77">
                  <c:v>45112</c:v>
                </c:pt>
                <c:pt idx="78">
                  <c:v>45113</c:v>
                </c:pt>
                <c:pt idx="79">
                  <c:v>45114</c:v>
                </c:pt>
                <c:pt idx="80">
                  <c:v>45117</c:v>
                </c:pt>
                <c:pt idx="81">
                  <c:v>45118</c:v>
                </c:pt>
                <c:pt idx="82">
                  <c:v>45119</c:v>
                </c:pt>
                <c:pt idx="83">
                  <c:v>45120</c:v>
                </c:pt>
                <c:pt idx="84">
                  <c:v>45121</c:v>
                </c:pt>
                <c:pt idx="85">
                  <c:v>45124</c:v>
                </c:pt>
                <c:pt idx="86">
                  <c:v>45125</c:v>
                </c:pt>
                <c:pt idx="87">
                  <c:v>45126</c:v>
                </c:pt>
                <c:pt idx="88">
                  <c:v>45127</c:v>
                </c:pt>
                <c:pt idx="89">
                  <c:v>45128</c:v>
                </c:pt>
                <c:pt idx="90">
                  <c:v>45131</c:v>
                </c:pt>
                <c:pt idx="91">
                  <c:v>45132</c:v>
                </c:pt>
                <c:pt idx="92">
                  <c:v>45133</c:v>
                </c:pt>
                <c:pt idx="93">
                  <c:v>45134</c:v>
                </c:pt>
                <c:pt idx="94">
                  <c:v>45135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45145</c:v>
                </c:pt>
                <c:pt idx="101">
                  <c:v>45146</c:v>
                </c:pt>
                <c:pt idx="102">
                  <c:v>45147</c:v>
                </c:pt>
                <c:pt idx="103">
                  <c:v>45148</c:v>
                </c:pt>
                <c:pt idx="104">
                  <c:v>45149</c:v>
                </c:pt>
                <c:pt idx="105">
                  <c:v>45152</c:v>
                </c:pt>
                <c:pt idx="106">
                  <c:v>45153</c:v>
                </c:pt>
                <c:pt idx="107">
                  <c:v>45154</c:v>
                </c:pt>
                <c:pt idx="108">
                  <c:v>45155</c:v>
                </c:pt>
                <c:pt idx="109">
                  <c:v>45156</c:v>
                </c:pt>
                <c:pt idx="110">
                  <c:v>45159</c:v>
                </c:pt>
                <c:pt idx="111">
                  <c:v>45160</c:v>
                </c:pt>
                <c:pt idx="112">
                  <c:v>45161</c:v>
                </c:pt>
                <c:pt idx="113">
                  <c:v>45162</c:v>
                </c:pt>
                <c:pt idx="114">
                  <c:v>45163</c:v>
                </c:pt>
                <c:pt idx="115">
                  <c:v>45166</c:v>
                </c:pt>
                <c:pt idx="116">
                  <c:v>45167</c:v>
                </c:pt>
                <c:pt idx="117">
                  <c:v>45168</c:v>
                </c:pt>
                <c:pt idx="118">
                  <c:v>45169</c:v>
                </c:pt>
                <c:pt idx="119">
                  <c:v>45170</c:v>
                </c:pt>
                <c:pt idx="120">
                  <c:v>45173</c:v>
                </c:pt>
                <c:pt idx="121">
                  <c:v>45174</c:v>
                </c:pt>
                <c:pt idx="122">
                  <c:v>45175</c:v>
                </c:pt>
                <c:pt idx="123">
                  <c:v>45176</c:v>
                </c:pt>
                <c:pt idx="124">
                  <c:v>45177</c:v>
                </c:pt>
                <c:pt idx="125">
                  <c:v>45180</c:v>
                </c:pt>
                <c:pt idx="126">
                  <c:v>45181</c:v>
                </c:pt>
                <c:pt idx="127">
                  <c:v>45182</c:v>
                </c:pt>
                <c:pt idx="128">
                  <c:v>45183</c:v>
                </c:pt>
                <c:pt idx="129">
                  <c:v>45184</c:v>
                </c:pt>
                <c:pt idx="130">
                  <c:v>45187</c:v>
                </c:pt>
                <c:pt idx="131">
                  <c:v>45188</c:v>
                </c:pt>
                <c:pt idx="132">
                  <c:v>45189</c:v>
                </c:pt>
                <c:pt idx="133">
                  <c:v>45190</c:v>
                </c:pt>
                <c:pt idx="134">
                  <c:v>45191</c:v>
                </c:pt>
                <c:pt idx="135">
                  <c:v>45194</c:v>
                </c:pt>
                <c:pt idx="136">
                  <c:v>45195</c:v>
                </c:pt>
                <c:pt idx="137">
                  <c:v>45196</c:v>
                </c:pt>
                <c:pt idx="138">
                  <c:v>45197</c:v>
                </c:pt>
                <c:pt idx="139">
                  <c:v>45198</c:v>
                </c:pt>
                <c:pt idx="140">
                  <c:v>45201</c:v>
                </c:pt>
                <c:pt idx="141">
                  <c:v>45202</c:v>
                </c:pt>
                <c:pt idx="142">
                  <c:v>45203</c:v>
                </c:pt>
                <c:pt idx="143">
                  <c:v>45204</c:v>
                </c:pt>
                <c:pt idx="144">
                  <c:v>45205</c:v>
                </c:pt>
                <c:pt idx="145">
                  <c:v>45208</c:v>
                </c:pt>
                <c:pt idx="146">
                  <c:v>45209</c:v>
                </c:pt>
                <c:pt idx="147">
                  <c:v>45210</c:v>
                </c:pt>
                <c:pt idx="148">
                  <c:v>45211</c:v>
                </c:pt>
                <c:pt idx="149">
                  <c:v>45212</c:v>
                </c:pt>
                <c:pt idx="150">
                  <c:v>45215</c:v>
                </c:pt>
                <c:pt idx="151">
                  <c:v>45216</c:v>
                </c:pt>
                <c:pt idx="152">
                  <c:v>45217</c:v>
                </c:pt>
                <c:pt idx="153">
                  <c:v>45218</c:v>
                </c:pt>
                <c:pt idx="154">
                  <c:v>45219</c:v>
                </c:pt>
                <c:pt idx="155">
                  <c:v>45222</c:v>
                </c:pt>
                <c:pt idx="156">
                  <c:v>45223</c:v>
                </c:pt>
                <c:pt idx="157">
                  <c:v>45224</c:v>
                </c:pt>
                <c:pt idx="158">
                  <c:v>45225</c:v>
                </c:pt>
                <c:pt idx="159">
                  <c:v>45226</c:v>
                </c:pt>
                <c:pt idx="160">
                  <c:v>45229</c:v>
                </c:pt>
                <c:pt idx="161">
                  <c:v>45230</c:v>
                </c:pt>
                <c:pt idx="162">
                  <c:v>45231</c:v>
                </c:pt>
                <c:pt idx="163">
                  <c:v>45233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45243</c:v>
                </c:pt>
                <c:pt idx="170">
                  <c:v>45244</c:v>
                </c:pt>
                <c:pt idx="171">
                  <c:v>45245</c:v>
                </c:pt>
                <c:pt idx="172">
                  <c:v>45246</c:v>
                </c:pt>
                <c:pt idx="173">
                  <c:v>45247</c:v>
                </c:pt>
                <c:pt idx="174">
                  <c:v>45251</c:v>
                </c:pt>
                <c:pt idx="175">
                  <c:v>45252</c:v>
                </c:pt>
                <c:pt idx="176">
                  <c:v>45253</c:v>
                </c:pt>
                <c:pt idx="177">
                  <c:v>45254</c:v>
                </c:pt>
                <c:pt idx="178">
                  <c:v>45257</c:v>
                </c:pt>
                <c:pt idx="179">
                  <c:v>45258</c:v>
                </c:pt>
                <c:pt idx="180">
                  <c:v>45259</c:v>
                </c:pt>
                <c:pt idx="181">
                  <c:v>45260</c:v>
                </c:pt>
                <c:pt idx="182">
                  <c:v>45261</c:v>
                </c:pt>
                <c:pt idx="183">
                  <c:v>45264</c:v>
                </c:pt>
                <c:pt idx="184">
                  <c:v>45265</c:v>
                </c:pt>
                <c:pt idx="185">
                  <c:v>45266</c:v>
                </c:pt>
                <c:pt idx="186">
                  <c:v>45267</c:v>
                </c:pt>
                <c:pt idx="187">
                  <c:v>45268</c:v>
                </c:pt>
                <c:pt idx="188">
                  <c:v>45271</c:v>
                </c:pt>
                <c:pt idx="189">
                  <c:v>45273</c:v>
                </c:pt>
                <c:pt idx="190">
                  <c:v>45274</c:v>
                </c:pt>
                <c:pt idx="191">
                  <c:v>45275</c:v>
                </c:pt>
                <c:pt idx="192">
                  <c:v>45278</c:v>
                </c:pt>
                <c:pt idx="193">
                  <c:v>45279</c:v>
                </c:pt>
                <c:pt idx="194">
                  <c:v>45280</c:v>
                </c:pt>
                <c:pt idx="195">
                  <c:v>45281</c:v>
                </c:pt>
                <c:pt idx="196">
                  <c:v>45282</c:v>
                </c:pt>
                <c:pt idx="197">
                  <c:v>45286</c:v>
                </c:pt>
                <c:pt idx="198">
                  <c:v>45287</c:v>
                </c:pt>
                <c:pt idx="199">
                  <c:v>45288</c:v>
                </c:pt>
                <c:pt idx="200">
                  <c:v>45289</c:v>
                </c:pt>
                <c:pt idx="201">
                  <c:v>45293</c:v>
                </c:pt>
                <c:pt idx="202">
                  <c:v>45294</c:v>
                </c:pt>
                <c:pt idx="203">
                  <c:v>45295</c:v>
                </c:pt>
                <c:pt idx="204">
                  <c:v>45296</c:v>
                </c:pt>
                <c:pt idx="205">
                  <c:v>45299</c:v>
                </c:pt>
                <c:pt idx="206">
                  <c:v>45300</c:v>
                </c:pt>
                <c:pt idx="207">
                  <c:v>45301</c:v>
                </c:pt>
                <c:pt idx="208">
                  <c:v>45302</c:v>
                </c:pt>
                <c:pt idx="209">
                  <c:v>45303</c:v>
                </c:pt>
                <c:pt idx="210">
                  <c:v>45306</c:v>
                </c:pt>
                <c:pt idx="211">
                  <c:v>45307</c:v>
                </c:pt>
                <c:pt idx="212">
                  <c:v>45308</c:v>
                </c:pt>
                <c:pt idx="213">
                  <c:v>45309</c:v>
                </c:pt>
                <c:pt idx="214">
                  <c:v>45310</c:v>
                </c:pt>
                <c:pt idx="215">
                  <c:v>45313</c:v>
                </c:pt>
                <c:pt idx="216">
                  <c:v>45314</c:v>
                </c:pt>
                <c:pt idx="217">
                  <c:v>45315</c:v>
                </c:pt>
                <c:pt idx="218">
                  <c:v>45316</c:v>
                </c:pt>
                <c:pt idx="219">
                  <c:v>45317</c:v>
                </c:pt>
                <c:pt idx="220">
                  <c:v>45320</c:v>
                </c:pt>
                <c:pt idx="221">
                  <c:v>45321</c:v>
                </c:pt>
                <c:pt idx="222">
                  <c:v>45322</c:v>
                </c:pt>
                <c:pt idx="223">
                  <c:v>45323</c:v>
                </c:pt>
                <c:pt idx="224">
                  <c:v>45324</c:v>
                </c:pt>
                <c:pt idx="225">
                  <c:v>45328</c:v>
                </c:pt>
                <c:pt idx="226">
                  <c:v>45329</c:v>
                </c:pt>
                <c:pt idx="227">
                  <c:v>45330</c:v>
                </c:pt>
                <c:pt idx="228">
                  <c:v>45331</c:v>
                </c:pt>
                <c:pt idx="229">
                  <c:v>45334</c:v>
                </c:pt>
                <c:pt idx="230">
                  <c:v>45335</c:v>
                </c:pt>
                <c:pt idx="231">
                  <c:v>45336</c:v>
                </c:pt>
                <c:pt idx="232">
                  <c:v>45337</c:v>
                </c:pt>
                <c:pt idx="233">
                  <c:v>45338</c:v>
                </c:pt>
                <c:pt idx="234">
                  <c:v>45341</c:v>
                </c:pt>
                <c:pt idx="235">
                  <c:v>45342</c:v>
                </c:pt>
                <c:pt idx="236">
                  <c:v>45343</c:v>
                </c:pt>
                <c:pt idx="237">
                  <c:v>45344</c:v>
                </c:pt>
                <c:pt idx="238">
                  <c:v>45345</c:v>
                </c:pt>
                <c:pt idx="239">
                  <c:v>45348</c:v>
                </c:pt>
                <c:pt idx="240">
                  <c:v>45349</c:v>
                </c:pt>
                <c:pt idx="241">
                  <c:v>45350</c:v>
                </c:pt>
                <c:pt idx="242">
                  <c:v>45351</c:v>
                </c:pt>
                <c:pt idx="243">
                  <c:v>45352</c:v>
                </c:pt>
                <c:pt idx="244">
                  <c:v>45355</c:v>
                </c:pt>
                <c:pt idx="245">
                  <c:v>45356</c:v>
                </c:pt>
                <c:pt idx="246">
                  <c:v>45357</c:v>
                </c:pt>
                <c:pt idx="247">
                  <c:v>45358</c:v>
                </c:pt>
                <c:pt idx="248">
                  <c:v>45359</c:v>
                </c:pt>
                <c:pt idx="249">
                  <c:v>45362</c:v>
                </c:pt>
                <c:pt idx="250">
                  <c:v>45363</c:v>
                </c:pt>
                <c:pt idx="251">
                  <c:v>45364</c:v>
                </c:pt>
                <c:pt idx="252">
                  <c:v>45365</c:v>
                </c:pt>
                <c:pt idx="253">
                  <c:v>45366</c:v>
                </c:pt>
                <c:pt idx="254">
                  <c:v>45370</c:v>
                </c:pt>
                <c:pt idx="255">
                  <c:v>45371</c:v>
                </c:pt>
                <c:pt idx="256">
                  <c:v>45372</c:v>
                </c:pt>
                <c:pt idx="257">
                  <c:v>45373</c:v>
                </c:pt>
                <c:pt idx="258">
                  <c:v>45376</c:v>
                </c:pt>
                <c:pt idx="259">
                  <c:v>45377</c:v>
                </c:pt>
                <c:pt idx="260">
                  <c:v>45378</c:v>
                </c:pt>
                <c:pt idx="261">
                  <c:v>45383</c:v>
                </c:pt>
                <c:pt idx="262">
                  <c:v>45384</c:v>
                </c:pt>
                <c:pt idx="263">
                  <c:v>45385</c:v>
                </c:pt>
                <c:pt idx="264">
                  <c:v>45386</c:v>
                </c:pt>
                <c:pt idx="265">
                  <c:v>45387</c:v>
                </c:pt>
                <c:pt idx="266">
                  <c:v>45390</c:v>
                </c:pt>
                <c:pt idx="267">
                  <c:v>45391</c:v>
                </c:pt>
                <c:pt idx="268">
                  <c:v>45392</c:v>
                </c:pt>
                <c:pt idx="269">
                  <c:v>45393</c:v>
                </c:pt>
                <c:pt idx="270">
                  <c:v>45394</c:v>
                </c:pt>
                <c:pt idx="271">
                  <c:v>45397</c:v>
                </c:pt>
                <c:pt idx="272">
                  <c:v>45398</c:v>
                </c:pt>
                <c:pt idx="273">
                  <c:v>45399</c:v>
                </c:pt>
                <c:pt idx="274">
                  <c:v>45400</c:v>
                </c:pt>
                <c:pt idx="275">
                  <c:v>45401</c:v>
                </c:pt>
                <c:pt idx="276">
                  <c:v>45404</c:v>
                </c:pt>
                <c:pt idx="277">
                  <c:v>45405</c:v>
                </c:pt>
                <c:pt idx="278">
                  <c:v>45406</c:v>
                </c:pt>
                <c:pt idx="279">
                  <c:v>45407</c:v>
                </c:pt>
                <c:pt idx="280">
                  <c:v>45408</c:v>
                </c:pt>
                <c:pt idx="281">
                  <c:v>45411</c:v>
                </c:pt>
                <c:pt idx="282">
                  <c:v>45412</c:v>
                </c:pt>
                <c:pt idx="283">
                  <c:v>45414</c:v>
                </c:pt>
                <c:pt idx="284">
                  <c:v>45415</c:v>
                </c:pt>
                <c:pt idx="285">
                  <c:v>45418</c:v>
                </c:pt>
                <c:pt idx="286">
                  <c:v>45419</c:v>
                </c:pt>
                <c:pt idx="287">
                  <c:v>45420</c:v>
                </c:pt>
                <c:pt idx="288">
                  <c:v>45421</c:v>
                </c:pt>
                <c:pt idx="289">
                  <c:v>45422</c:v>
                </c:pt>
                <c:pt idx="290">
                  <c:v>45425</c:v>
                </c:pt>
                <c:pt idx="291">
                  <c:v>45426</c:v>
                </c:pt>
                <c:pt idx="292">
                  <c:v>45427</c:v>
                </c:pt>
                <c:pt idx="293">
                  <c:v>45428</c:v>
                </c:pt>
                <c:pt idx="294">
                  <c:v>45429</c:v>
                </c:pt>
                <c:pt idx="295">
                  <c:v>45432</c:v>
                </c:pt>
                <c:pt idx="296">
                  <c:v>45433</c:v>
                </c:pt>
                <c:pt idx="297">
                  <c:v>45434</c:v>
                </c:pt>
                <c:pt idx="298">
                  <c:v>45435</c:v>
                </c:pt>
                <c:pt idx="299">
                  <c:v>45436</c:v>
                </c:pt>
                <c:pt idx="300">
                  <c:v>45439</c:v>
                </c:pt>
                <c:pt idx="301">
                  <c:v>45440</c:v>
                </c:pt>
                <c:pt idx="302">
                  <c:v>45441</c:v>
                </c:pt>
                <c:pt idx="303">
                  <c:v>45442</c:v>
                </c:pt>
                <c:pt idx="304">
                  <c:v>45443</c:v>
                </c:pt>
                <c:pt idx="305">
                  <c:v>45446</c:v>
                </c:pt>
                <c:pt idx="306">
                  <c:v>45447</c:v>
                </c:pt>
                <c:pt idx="307">
                  <c:v>45448</c:v>
                </c:pt>
                <c:pt idx="308">
                  <c:v>45449</c:v>
                </c:pt>
                <c:pt idx="309">
                  <c:v>45450</c:v>
                </c:pt>
                <c:pt idx="310">
                  <c:v>45453</c:v>
                </c:pt>
                <c:pt idx="311">
                  <c:v>45454</c:v>
                </c:pt>
                <c:pt idx="312">
                  <c:v>45455</c:v>
                </c:pt>
                <c:pt idx="313">
                  <c:v>45456</c:v>
                </c:pt>
                <c:pt idx="314">
                  <c:v>45457</c:v>
                </c:pt>
                <c:pt idx="315">
                  <c:v>45460</c:v>
                </c:pt>
                <c:pt idx="316">
                  <c:v>45461</c:v>
                </c:pt>
                <c:pt idx="317">
                  <c:v>45462</c:v>
                </c:pt>
                <c:pt idx="318">
                  <c:v>45463</c:v>
                </c:pt>
                <c:pt idx="319">
                  <c:v>45464</c:v>
                </c:pt>
                <c:pt idx="320">
                  <c:v>45467</c:v>
                </c:pt>
                <c:pt idx="321">
                  <c:v>45468</c:v>
                </c:pt>
                <c:pt idx="322">
                  <c:v>45469</c:v>
                </c:pt>
                <c:pt idx="323">
                  <c:v>45470</c:v>
                </c:pt>
                <c:pt idx="324">
                  <c:v>45471</c:v>
                </c:pt>
                <c:pt idx="325">
                  <c:v>45474</c:v>
                </c:pt>
                <c:pt idx="326">
                  <c:v>45475</c:v>
                </c:pt>
                <c:pt idx="327">
                  <c:v>45476</c:v>
                </c:pt>
                <c:pt idx="328">
                  <c:v>45477</c:v>
                </c:pt>
                <c:pt idx="329">
                  <c:v>45478</c:v>
                </c:pt>
                <c:pt idx="330">
                  <c:v>45481</c:v>
                </c:pt>
                <c:pt idx="331">
                  <c:v>45482</c:v>
                </c:pt>
                <c:pt idx="332">
                  <c:v>45483</c:v>
                </c:pt>
                <c:pt idx="333">
                  <c:v>45484</c:v>
                </c:pt>
                <c:pt idx="334">
                  <c:v>45485</c:v>
                </c:pt>
                <c:pt idx="335">
                  <c:v>45488</c:v>
                </c:pt>
                <c:pt idx="336">
                  <c:v>45489</c:v>
                </c:pt>
                <c:pt idx="337">
                  <c:v>45490</c:v>
                </c:pt>
                <c:pt idx="338">
                  <c:v>45491</c:v>
                </c:pt>
                <c:pt idx="339">
                  <c:v>45492</c:v>
                </c:pt>
                <c:pt idx="340">
                  <c:v>45495</c:v>
                </c:pt>
                <c:pt idx="341">
                  <c:v>45496</c:v>
                </c:pt>
                <c:pt idx="342">
                  <c:v>45497</c:v>
                </c:pt>
                <c:pt idx="343">
                  <c:v>45498</c:v>
                </c:pt>
                <c:pt idx="344">
                  <c:v>45499</c:v>
                </c:pt>
                <c:pt idx="345">
                  <c:v>45502</c:v>
                </c:pt>
                <c:pt idx="346">
                  <c:v>45503</c:v>
                </c:pt>
                <c:pt idx="347">
                  <c:v>45504</c:v>
                </c:pt>
                <c:pt idx="348">
                  <c:v>45505</c:v>
                </c:pt>
                <c:pt idx="349">
                  <c:v>45506</c:v>
                </c:pt>
                <c:pt idx="350">
                  <c:v>45509</c:v>
                </c:pt>
                <c:pt idx="351">
                  <c:v>45510</c:v>
                </c:pt>
                <c:pt idx="352">
                  <c:v>45511</c:v>
                </c:pt>
                <c:pt idx="353">
                  <c:v>45512</c:v>
                </c:pt>
                <c:pt idx="354">
                  <c:v>45513</c:v>
                </c:pt>
                <c:pt idx="355">
                  <c:v>45516</c:v>
                </c:pt>
                <c:pt idx="356">
                  <c:v>45517</c:v>
                </c:pt>
                <c:pt idx="357">
                  <c:v>45518</c:v>
                </c:pt>
                <c:pt idx="358">
                  <c:v>45519</c:v>
                </c:pt>
                <c:pt idx="359">
                  <c:v>45520</c:v>
                </c:pt>
                <c:pt idx="360">
                  <c:v>45523</c:v>
                </c:pt>
                <c:pt idx="361">
                  <c:v>45524</c:v>
                </c:pt>
                <c:pt idx="362">
                  <c:v>45525</c:v>
                </c:pt>
                <c:pt idx="363">
                  <c:v>45526</c:v>
                </c:pt>
                <c:pt idx="364">
                  <c:v>45527</c:v>
                </c:pt>
                <c:pt idx="365">
                  <c:v>45530</c:v>
                </c:pt>
                <c:pt idx="366">
                  <c:v>45531</c:v>
                </c:pt>
                <c:pt idx="367">
                  <c:v>45532</c:v>
                </c:pt>
                <c:pt idx="368">
                  <c:v>45533</c:v>
                </c:pt>
                <c:pt idx="369">
                  <c:v>45534</c:v>
                </c:pt>
                <c:pt idx="370">
                  <c:v>45537</c:v>
                </c:pt>
                <c:pt idx="371">
                  <c:v>45538</c:v>
                </c:pt>
                <c:pt idx="372">
                  <c:v>45539</c:v>
                </c:pt>
                <c:pt idx="373">
                  <c:v>45540</c:v>
                </c:pt>
                <c:pt idx="374">
                  <c:v>45541</c:v>
                </c:pt>
                <c:pt idx="375">
                  <c:v>45544</c:v>
                </c:pt>
                <c:pt idx="376">
                  <c:v>45545</c:v>
                </c:pt>
                <c:pt idx="377">
                  <c:v>45546</c:v>
                </c:pt>
                <c:pt idx="378">
                  <c:v>45547</c:v>
                </c:pt>
                <c:pt idx="379">
                  <c:v>45548</c:v>
                </c:pt>
                <c:pt idx="380">
                  <c:v>45552</c:v>
                </c:pt>
                <c:pt idx="381">
                  <c:v>45553</c:v>
                </c:pt>
                <c:pt idx="382">
                  <c:v>45554</c:v>
                </c:pt>
                <c:pt idx="383">
                  <c:v>45555</c:v>
                </c:pt>
                <c:pt idx="384">
                  <c:v>45558</c:v>
                </c:pt>
                <c:pt idx="385">
                  <c:v>45559</c:v>
                </c:pt>
                <c:pt idx="386">
                  <c:v>45560</c:v>
                </c:pt>
                <c:pt idx="387">
                  <c:v>45561</c:v>
                </c:pt>
                <c:pt idx="388">
                  <c:v>45562</c:v>
                </c:pt>
                <c:pt idx="389">
                  <c:v>45565</c:v>
                </c:pt>
                <c:pt idx="390">
                  <c:v>45567</c:v>
                </c:pt>
                <c:pt idx="391">
                  <c:v>45568</c:v>
                </c:pt>
                <c:pt idx="392">
                  <c:v>45569</c:v>
                </c:pt>
                <c:pt idx="393">
                  <c:v>45572</c:v>
                </c:pt>
                <c:pt idx="394">
                  <c:v>45573</c:v>
                </c:pt>
                <c:pt idx="395">
                  <c:v>45574</c:v>
                </c:pt>
                <c:pt idx="396">
                  <c:v>45575</c:v>
                </c:pt>
                <c:pt idx="397">
                  <c:v>45576</c:v>
                </c:pt>
                <c:pt idx="398">
                  <c:v>45579</c:v>
                </c:pt>
                <c:pt idx="399">
                  <c:v>45580</c:v>
                </c:pt>
                <c:pt idx="400">
                  <c:v>45581</c:v>
                </c:pt>
                <c:pt idx="401">
                  <c:v>45582</c:v>
                </c:pt>
                <c:pt idx="402">
                  <c:v>45583</c:v>
                </c:pt>
                <c:pt idx="403">
                  <c:v>45586</c:v>
                </c:pt>
                <c:pt idx="404">
                  <c:v>45587</c:v>
                </c:pt>
                <c:pt idx="405">
                  <c:v>45588</c:v>
                </c:pt>
                <c:pt idx="406">
                  <c:v>45589</c:v>
                </c:pt>
                <c:pt idx="407">
                  <c:v>45590</c:v>
                </c:pt>
                <c:pt idx="408">
                  <c:v>45593</c:v>
                </c:pt>
                <c:pt idx="409">
                  <c:v>45594</c:v>
                </c:pt>
                <c:pt idx="410">
                  <c:v>45595</c:v>
                </c:pt>
                <c:pt idx="411">
                  <c:v>45596</c:v>
                </c:pt>
                <c:pt idx="412">
                  <c:v>45597</c:v>
                </c:pt>
                <c:pt idx="413">
                  <c:v>45600</c:v>
                </c:pt>
                <c:pt idx="414">
                  <c:v>45601</c:v>
                </c:pt>
                <c:pt idx="415">
                  <c:v>45602</c:v>
                </c:pt>
                <c:pt idx="416">
                  <c:v>45603</c:v>
                </c:pt>
                <c:pt idx="417">
                  <c:v>45604</c:v>
                </c:pt>
                <c:pt idx="418">
                  <c:v>45607</c:v>
                </c:pt>
                <c:pt idx="419">
                  <c:v>45608</c:v>
                </c:pt>
                <c:pt idx="420">
                  <c:v>45609</c:v>
                </c:pt>
                <c:pt idx="421">
                  <c:v>45610</c:v>
                </c:pt>
                <c:pt idx="422">
                  <c:v>45611</c:v>
                </c:pt>
                <c:pt idx="423">
                  <c:v>45615</c:v>
                </c:pt>
                <c:pt idx="424">
                  <c:v>45616</c:v>
                </c:pt>
                <c:pt idx="425">
                  <c:v>45617</c:v>
                </c:pt>
                <c:pt idx="426">
                  <c:v>45618</c:v>
                </c:pt>
                <c:pt idx="427">
                  <c:v>45621</c:v>
                </c:pt>
                <c:pt idx="428">
                  <c:v>45622</c:v>
                </c:pt>
                <c:pt idx="429">
                  <c:v>45623</c:v>
                </c:pt>
                <c:pt idx="430">
                  <c:v>45624</c:v>
                </c:pt>
                <c:pt idx="431">
                  <c:v>45625</c:v>
                </c:pt>
                <c:pt idx="432">
                  <c:v>45628</c:v>
                </c:pt>
                <c:pt idx="433">
                  <c:v>45629</c:v>
                </c:pt>
                <c:pt idx="434">
                  <c:v>45630</c:v>
                </c:pt>
                <c:pt idx="435">
                  <c:v>45631</c:v>
                </c:pt>
                <c:pt idx="436">
                  <c:v>45632</c:v>
                </c:pt>
                <c:pt idx="437">
                  <c:v>45635</c:v>
                </c:pt>
                <c:pt idx="438">
                  <c:v>45636</c:v>
                </c:pt>
                <c:pt idx="439">
                  <c:v>45637</c:v>
                </c:pt>
                <c:pt idx="440">
                  <c:v>45639</c:v>
                </c:pt>
                <c:pt idx="441">
                  <c:v>45642</c:v>
                </c:pt>
                <c:pt idx="442">
                  <c:v>45643</c:v>
                </c:pt>
                <c:pt idx="443">
                  <c:v>45644</c:v>
                </c:pt>
                <c:pt idx="444">
                  <c:v>45645</c:v>
                </c:pt>
                <c:pt idx="445">
                  <c:v>45646</c:v>
                </c:pt>
                <c:pt idx="446">
                  <c:v>45649</c:v>
                </c:pt>
                <c:pt idx="447">
                  <c:v>45650</c:v>
                </c:pt>
                <c:pt idx="448">
                  <c:v>45652</c:v>
                </c:pt>
                <c:pt idx="449">
                  <c:v>45653</c:v>
                </c:pt>
                <c:pt idx="450">
                  <c:v>45656</c:v>
                </c:pt>
                <c:pt idx="451">
                  <c:v>45657</c:v>
                </c:pt>
                <c:pt idx="452">
                  <c:v>45659</c:v>
                </c:pt>
                <c:pt idx="453">
                  <c:v>45660</c:v>
                </c:pt>
                <c:pt idx="454">
                  <c:v>45663</c:v>
                </c:pt>
                <c:pt idx="455">
                  <c:v>45664</c:v>
                </c:pt>
                <c:pt idx="456">
                  <c:v>45665</c:v>
                </c:pt>
                <c:pt idx="457">
                  <c:v>45666</c:v>
                </c:pt>
                <c:pt idx="458">
                  <c:v>45667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45677</c:v>
                </c:pt>
                <c:pt idx="465">
                  <c:v>45678</c:v>
                </c:pt>
                <c:pt idx="466">
                  <c:v>45679</c:v>
                </c:pt>
                <c:pt idx="467">
                  <c:v>45680</c:v>
                </c:pt>
                <c:pt idx="468">
                  <c:v>45681</c:v>
                </c:pt>
                <c:pt idx="469">
                  <c:v>45684</c:v>
                </c:pt>
                <c:pt idx="470">
                  <c:v>45685</c:v>
                </c:pt>
                <c:pt idx="471">
                  <c:v>45686</c:v>
                </c:pt>
                <c:pt idx="472">
                  <c:v>45687</c:v>
                </c:pt>
                <c:pt idx="473">
                  <c:v>45688</c:v>
                </c:pt>
                <c:pt idx="474">
                  <c:v>45692</c:v>
                </c:pt>
                <c:pt idx="475">
                  <c:v>45693</c:v>
                </c:pt>
                <c:pt idx="476">
                  <c:v>45694</c:v>
                </c:pt>
                <c:pt idx="477">
                  <c:v>45695</c:v>
                </c:pt>
                <c:pt idx="478">
                  <c:v>45698</c:v>
                </c:pt>
                <c:pt idx="479">
                  <c:v>45699</c:v>
                </c:pt>
                <c:pt idx="480">
                  <c:v>45700</c:v>
                </c:pt>
                <c:pt idx="481">
                  <c:v>45701</c:v>
                </c:pt>
                <c:pt idx="482">
                  <c:v>45702</c:v>
                </c:pt>
                <c:pt idx="483">
                  <c:v>45705</c:v>
                </c:pt>
                <c:pt idx="484">
                  <c:v>45706</c:v>
                </c:pt>
                <c:pt idx="485">
                  <c:v>45707</c:v>
                </c:pt>
                <c:pt idx="486">
                  <c:v>45708</c:v>
                </c:pt>
                <c:pt idx="487">
                  <c:v>45709</c:v>
                </c:pt>
                <c:pt idx="488">
                  <c:v>45712</c:v>
                </c:pt>
                <c:pt idx="489">
                  <c:v>45713</c:v>
                </c:pt>
                <c:pt idx="490">
                  <c:v>45714</c:v>
                </c:pt>
                <c:pt idx="491">
                  <c:v>45715</c:v>
                </c:pt>
                <c:pt idx="492">
                  <c:v>45716</c:v>
                </c:pt>
                <c:pt idx="493">
                  <c:v>45719</c:v>
                </c:pt>
                <c:pt idx="494">
                  <c:v>45720</c:v>
                </c:pt>
                <c:pt idx="495">
                  <c:v>45721</c:v>
                </c:pt>
                <c:pt idx="496">
                  <c:v>45722</c:v>
                </c:pt>
                <c:pt idx="497">
                  <c:v>45723</c:v>
                </c:pt>
                <c:pt idx="498">
                  <c:v>45726</c:v>
                </c:pt>
                <c:pt idx="499">
                  <c:v>45727</c:v>
                </c:pt>
                <c:pt idx="500">
                  <c:v>45728</c:v>
                </c:pt>
                <c:pt idx="501">
                  <c:v>45729</c:v>
                </c:pt>
                <c:pt idx="502">
                  <c:v>45730</c:v>
                </c:pt>
                <c:pt idx="503">
                  <c:v>45734</c:v>
                </c:pt>
                <c:pt idx="504">
                  <c:v>45735</c:v>
                </c:pt>
                <c:pt idx="505">
                  <c:v>45736</c:v>
                </c:pt>
                <c:pt idx="506">
                  <c:v>45737</c:v>
                </c:pt>
                <c:pt idx="507">
                  <c:v>45740</c:v>
                </c:pt>
                <c:pt idx="508">
                  <c:v>45741</c:v>
                </c:pt>
                <c:pt idx="509">
                  <c:v>45742</c:v>
                </c:pt>
                <c:pt idx="510">
                  <c:v>45743</c:v>
                </c:pt>
                <c:pt idx="511">
                  <c:v>45744</c:v>
                </c:pt>
                <c:pt idx="512">
                  <c:v>45747</c:v>
                </c:pt>
                <c:pt idx="513">
                  <c:v>45748</c:v>
                </c:pt>
                <c:pt idx="514">
                  <c:v>45749</c:v>
                </c:pt>
                <c:pt idx="515">
                  <c:v>45750</c:v>
                </c:pt>
                <c:pt idx="516">
                  <c:v>45751</c:v>
                </c:pt>
                <c:pt idx="517">
                  <c:v>45754</c:v>
                </c:pt>
                <c:pt idx="518">
                  <c:v>45755</c:v>
                </c:pt>
                <c:pt idx="519">
                  <c:v>45756</c:v>
                </c:pt>
                <c:pt idx="520">
                  <c:v>45757</c:v>
                </c:pt>
                <c:pt idx="521">
                  <c:v>45758</c:v>
                </c:pt>
                <c:pt idx="522">
                  <c:v>45761</c:v>
                </c:pt>
                <c:pt idx="523">
                  <c:v>45762</c:v>
                </c:pt>
                <c:pt idx="524">
                  <c:v>45763</c:v>
                </c:pt>
                <c:pt idx="525">
                  <c:v>45768</c:v>
                </c:pt>
                <c:pt idx="526">
                  <c:v>45769</c:v>
                </c:pt>
                <c:pt idx="527">
                  <c:v>45770</c:v>
                </c:pt>
                <c:pt idx="528">
                  <c:v>45771</c:v>
                </c:pt>
                <c:pt idx="529">
                  <c:v>45772</c:v>
                </c:pt>
                <c:pt idx="530">
                  <c:v>45775</c:v>
                </c:pt>
                <c:pt idx="531">
                  <c:v>45776</c:v>
                </c:pt>
                <c:pt idx="532">
                  <c:v>45777</c:v>
                </c:pt>
                <c:pt idx="533">
                  <c:v>45779</c:v>
                </c:pt>
                <c:pt idx="534">
                  <c:v>45782</c:v>
                </c:pt>
                <c:pt idx="535">
                  <c:v>45783</c:v>
                </c:pt>
                <c:pt idx="536">
                  <c:v>45784</c:v>
                </c:pt>
                <c:pt idx="537">
                  <c:v>45785</c:v>
                </c:pt>
                <c:pt idx="538">
                  <c:v>45786</c:v>
                </c:pt>
                <c:pt idx="539">
                  <c:v>45789</c:v>
                </c:pt>
                <c:pt idx="540">
                  <c:v>45790</c:v>
                </c:pt>
                <c:pt idx="541">
                  <c:v>45791</c:v>
                </c:pt>
                <c:pt idx="542">
                  <c:v>45792</c:v>
                </c:pt>
                <c:pt idx="543">
                  <c:v>45793</c:v>
                </c:pt>
                <c:pt idx="544">
                  <c:v>45796</c:v>
                </c:pt>
                <c:pt idx="545">
                  <c:v>45797</c:v>
                </c:pt>
                <c:pt idx="546">
                  <c:v>45798</c:v>
                </c:pt>
                <c:pt idx="547">
                  <c:v>45799</c:v>
                </c:pt>
                <c:pt idx="548">
                  <c:v>45800</c:v>
                </c:pt>
                <c:pt idx="549">
                  <c:v>45803</c:v>
                </c:pt>
                <c:pt idx="550">
                  <c:v>45804</c:v>
                </c:pt>
                <c:pt idx="551">
                  <c:v>45805</c:v>
                </c:pt>
                <c:pt idx="552">
                  <c:v>45806</c:v>
                </c:pt>
                <c:pt idx="553">
                  <c:v>45807</c:v>
                </c:pt>
                <c:pt idx="554">
                  <c:v>45810</c:v>
                </c:pt>
                <c:pt idx="555">
                  <c:v>45811</c:v>
                </c:pt>
                <c:pt idx="556">
                  <c:v>45812</c:v>
                </c:pt>
                <c:pt idx="557">
                  <c:v>45813</c:v>
                </c:pt>
                <c:pt idx="558">
                  <c:v>45814</c:v>
                </c:pt>
                <c:pt idx="559">
                  <c:v>45817</c:v>
                </c:pt>
                <c:pt idx="560">
                  <c:v>45818</c:v>
                </c:pt>
                <c:pt idx="561">
                  <c:v>45819</c:v>
                </c:pt>
                <c:pt idx="562">
                  <c:v>45820</c:v>
                </c:pt>
                <c:pt idx="563">
                  <c:v>45821</c:v>
                </c:pt>
                <c:pt idx="564">
                  <c:v>45824</c:v>
                </c:pt>
                <c:pt idx="565">
                  <c:v>45825</c:v>
                </c:pt>
                <c:pt idx="566">
                  <c:v>45826</c:v>
                </c:pt>
                <c:pt idx="567">
                  <c:v>45827</c:v>
                </c:pt>
                <c:pt idx="568">
                  <c:v>45828</c:v>
                </c:pt>
                <c:pt idx="569">
                  <c:v>45831</c:v>
                </c:pt>
                <c:pt idx="570">
                  <c:v>45832</c:v>
                </c:pt>
                <c:pt idx="571">
                  <c:v>45833</c:v>
                </c:pt>
                <c:pt idx="572">
                  <c:v>45834</c:v>
                </c:pt>
                <c:pt idx="573">
                  <c:v>45835</c:v>
                </c:pt>
                <c:pt idx="574">
                  <c:v>45838</c:v>
                </c:pt>
                <c:pt idx="575">
                  <c:v>45839</c:v>
                </c:pt>
                <c:pt idx="576">
                  <c:v>45840</c:v>
                </c:pt>
                <c:pt idx="577">
                  <c:v>45841</c:v>
                </c:pt>
                <c:pt idx="578">
                  <c:v>45842</c:v>
                </c:pt>
                <c:pt idx="579">
                  <c:v>45845</c:v>
                </c:pt>
                <c:pt idx="580">
                  <c:v>45846</c:v>
                </c:pt>
                <c:pt idx="581">
                  <c:v>45847</c:v>
                </c:pt>
                <c:pt idx="582">
                  <c:v>45848</c:v>
                </c:pt>
                <c:pt idx="583">
                  <c:v>45849</c:v>
                </c:pt>
                <c:pt idx="584">
                  <c:v>45852</c:v>
                </c:pt>
                <c:pt idx="585">
                  <c:v>45853</c:v>
                </c:pt>
                <c:pt idx="586">
                  <c:v>45854</c:v>
                </c:pt>
                <c:pt idx="587">
                  <c:v>45855</c:v>
                </c:pt>
                <c:pt idx="588">
                  <c:v>45856</c:v>
                </c:pt>
                <c:pt idx="589">
                  <c:v>45859</c:v>
                </c:pt>
                <c:pt idx="590">
                  <c:v>45860</c:v>
                </c:pt>
                <c:pt idx="591">
                  <c:v>45861</c:v>
                </c:pt>
                <c:pt idx="592">
                  <c:v>45862</c:v>
                </c:pt>
                <c:pt idx="593">
                  <c:v>45863</c:v>
                </c:pt>
                <c:pt idx="594">
                  <c:v>45866</c:v>
                </c:pt>
                <c:pt idx="595">
                  <c:v>45867</c:v>
                </c:pt>
                <c:pt idx="596">
                  <c:v>45868</c:v>
                </c:pt>
                <c:pt idx="597">
                  <c:v>45869</c:v>
                </c:pt>
                <c:pt idx="598">
                  <c:v>45870</c:v>
                </c:pt>
                <c:pt idx="599">
                  <c:v>45873</c:v>
                </c:pt>
                <c:pt idx="600">
                  <c:v>45874</c:v>
                </c:pt>
                <c:pt idx="601">
                  <c:v>45875</c:v>
                </c:pt>
                <c:pt idx="602">
                  <c:v>45876</c:v>
                </c:pt>
                <c:pt idx="603">
                  <c:v>45877</c:v>
                </c:pt>
                <c:pt idx="604">
                  <c:v>45880</c:v>
                </c:pt>
                <c:pt idx="605">
                  <c:v>45881</c:v>
                </c:pt>
                <c:pt idx="606">
                  <c:v>45882</c:v>
                </c:pt>
                <c:pt idx="607">
                  <c:v>45883</c:v>
                </c:pt>
                <c:pt idx="608">
                  <c:v>45884</c:v>
                </c:pt>
                <c:pt idx="609">
                  <c:v>45887</c:v>
                </c:pt>
                <c:pt idx="610">
                  <c:v>45888</c:v>
                </c:pt>
                <c:pt idx="611">
                  <c:v>45889</c:v>
                </c:pt>
                <c:pt idx="612">
                  <c:v>45890</c:v>
                </c:pt>
                <c:pt idx="613">
                  <c:v>45891</c:v>
                </c:pt>
                <c:pt idx="614">
                  <c:v>45894</c:v>
                </c:pt>
                <c:pt idx="615">
                  <c:v>45895</c:v>
                </c:pt>
                <c:pt idx="616">
                  <c:v>45896</c:v>
                </c:pt>
                <c:pt idx="617">
                  <c:v>45897</c:v>
                </c:pt>
                <c:pt idx="618">
                  <c:v>45898</c:v>
                </c:pt>
                <c:pt idx="619">
                  <c:v>45901</c:v>
                </c:pt>
                <c:pt idx="620">
                  <c:v>45902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45917</c:v>
                </c:pt>
                <c:pt idx="631">
                  <c:v>45918</c:v>
                </c:pt>
                <c:pt idx="632">
                  <c:v>45919</c:v>
                </c:pt>
                <c:pt idx="633">
                  <c:v>45922</c:v>
                </c:pt>
                <c:pt idx="634">
                  <c:v>45923</c:v>
                </c:pt>
                <c:pt idx="635">
                  <c:v>45924</c:v>
                </c:pt>
                <c:pt idx="636">
                  <c:v>45925</c:v>
                </c:pt>
                <c:pt idx="637">
                  <c:v>45926</c:v>
                </c:pt>
                <c:pt idx="638">
                  <c:v>45929</c:v>
                </c:pt>
                <c:pt idx="639">
                  <c:v>45930</c:v>
                </c:pt>
                <c:pt idx="640">
                  <c:v>45931</c:v>
                </c:pt>
                <c:pt idx="641">
                  <c:v>45932</c:v>
                </c:pt>
                <c:pt idx="642">
                  <c:v>45933</c:v>
                </c:pt>
                <c:pt idx="643">
                  <c:v>45936</c:v>
                </c:pt>
                <c:pt idx="644">
                  <c:v>45937</c:v>
                </c:pt>
                <c:pt idx="645">
                  <c:v>45938</c:v>
                </c:pt>
                <c:pt idx="646">
                  <c:v>45939</c:v>
                </c:pt>
                <c:pt idx="647">
                  <c:v>45940</c:v>
                </c:pt>
                <c:pt idx="648">
                  <c:v>45943</c:v>
                </c:pt>
                <c:pt idx="649">
                  <c:v>45944</c:v>
                </c:pt>
                <c:pt idx="650">
                  <c:v>45945</c:v>
                </c:pt>
                <c:pt idx="651">
                  <c:v>45946</c:v>
                </c:pt>
                <c:pt idx="652">
                  <c:v>45947</c:v>
                </c:pt>
                <c:pt idx="653">
                  <c:v>45950</c:v>
                </c:pt>
                <c:pt idx="654">
                  <c:v>45951</c:v>
                </c:pt>
                <c:pt idx="655">
                  <c:v>45952</c:v>
                </c:pt>
                <c:pt idx="656">
                  <c:v>45953</c:v>
                </c:pt>
                <c:pt idx="657">
                  <c:v>45954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45964</c:v>
                </c:pt>
                <c:pt idx="664">
                  <c:v>45965</c:v>
                </c:pt>
                <c:pt idx="665">
                  <c:v>45966</c:v>
                </c:pt>
                <c:pt idx="666">
                  <c:v>45967</c:v>
                </c:pt>
                <c:pt idx="667">
                  <c:v>45968</c:v>
                </c:pt>
                <c:pt idx="668">
                  <c:v>45971</c:v>
                </c:pt>
                <c:pt idx="669">
                  <c:v>45972</c:v>
                </c:pt>
                <c:pt idx="670">
                  <c:v>45973</c:v>
                </c:pt>
                <c:pt idx="671">
                  <c:v>45974</c:v>
                </c:pt>
                <c:pt idx="672">
                  <c:v>45975</c:v>
                </c:pt>
                <c:pt idx="673">
                  <c:v>45979</c:v>
                </c:pt>
                <c:pt idx="674">
                  <c:v>45980</c:v>
                </c:pt>
                <c:pt idx="675">
                  <c:v>45981</c:v>
                </c:pt>
                <c:pt idx="676">
                  <c:v>45982</c:v>
                </c:pt>
                <c:pt idx="677">
                  <c:v>45985</c:v>
                </c:pt>
                <c:pt idx="678">
                  <c:v>45986</c:v>
                </c:pt>
                <c:pt idx="679">
                  <c:v>45987</c:v>
                </c:pt>
                <c:pt idx="680">
                  <c:v>45988</c:v>
                </c:pt>
                <c:pt idx="681">
                  <c:v>45989</c:v>
                </c:pt>
                <c:pt idx="682">
                  <c:v>45992</c:v>
                </c:pt>
                <c:pt idx="683">
                  <c:v>45993</c:v>
                </c:pt>
                <c:pt idx="684">
                  <c:v>45994</c:v>
                </c:pt>
                <c:pt idx="685">
                  <c:v>45995</c:v>
                </c:pt>
                <c:pt idx="686">
                  <c:v>45996</c:v>
                </c:pt>
                <c:pt idx="687">
                  <c:v>45999</c:v>
                </c:pt>
                <c:pt idx="688">
                  <c:v>46000</c:v>
                </c:pt>
                <c:pt idx="689">
                  <c:v>46001</c:v>
                </c:pt>
                <c:pt idx="690">
                  <c:v>46002</c:v>
                </c:pt>
                <c:pt idx="691">
                  <c:v>46006</c:v>
                </c:pt>
                <c:pt idx="692">
                  <c:v>46007</c:v>
                </c:pt>
                <c:pt idx="693">
                  <c:v>46008</c:v>
                </c:pt>
                <c:pt idx="694">
                  <c:v>46009</c:v>
                </c:pt>
                <c:pt idx="695">
                  <c:v>46010</c:v>
                </c:pt>
                <c:pt idx="696">
                  <c:v>46013</c:v>
                </c:pt>
                <c:pt idx="697">
                  <c:v>46014</c:v>
                </c:pt>
                <c:pt idx="698">
                  <c:v>46015</c:v>
                </c:pt>
                <c:pt idx="699">
                  <c:v>46017</c:v>
                </c:pt>
                <c:pt idx="700">
                  <c:v>46020</c:v>
                </c:pt>
                <c:pt idx="701">
                  <c:v>46021</c:v>
                </c:pt>
                <c:pt idx="702">
                  <c:v>46022</c:v>
                </c:pt>
                <c:pt idx="703">
                  <c:v>46024</c:v>
                </c:pt>
                <c:pt idx="704">
                  <c:v>46027</c:v>
                </c:pt>
                <c:pt idx="705">
                  <c:v>46028</c:v>
                </c:pt>
                <c:pt idx="706">
                  <c:v>46029</c:v>
                </c:pt>
                <c:pt idx="707">
                  <c:v>46030</c:v>
                </c:pt>
                <c:pt idx="708">
                  <c:v>46031</c:v>
                </c:pt>
                <c:pt idx="709">
                  <c:v>46034</c:v>
                </c:pt>
                <c:pt idx="710">
                  <c:v>46035</c:v>
                </c:pt>
                <c:pt idx="711">
                  <c:v>46036</c:v>
                </c:pt>
                <c:pt idx="712">
                  <c:v>46037</c:v>
                </c:pt>
                <c:pt idx="713">
                  <c:v>46038</c:v>
                </c:pt>
                <c:pt idx="714">
                  <c:v>46041</c:v>
                </c:pt>
                <c:pt idx="715">
                  <c:v>46042</c:v>
                </c:pt>
                <c:pt idx="716">
                  <c:v>46043</c:v>
                </c:pt>
                <c:pt idx="717">
                  <c:v>46044</c:v>
                </c:pt>
                <c:pt idx="718">
                  <c:v>46045</c:v>
                </c:pt>
                <c:pt idx="719">
                  <c:v>46048</c:v>
                </c:pt>
                <c:pt idx="720">
                  <c:v>46049</c:v>
                </c:pt>
                <c:pt idx="721">
                  <c:v>46050</c:v>
                </c:pt>
                <c:pt idx="722">
                  <c:v>46051</c:v>
                </c:pt>
                <c:pt idx="723">
                  <c:v>46052</c:v>
                </c:pt>
                <c:pt idx="724">
                  <c:v>46056</c:v>
                </c:pt>
                <c:pt idx="725">
                  <c:v>46057</c:v>
                </c:pt>
                <c:pt idx="726">
                  <c:v>46058</c:v>
                </c:pt>
                <c:pt idx="727">
                  <c:v>46059</c:v>
                </c:pt>
                <c:pt idx="728">
                  <c:v>46062</c:v>
                </c:pt>
                <c:pt idx="729">
                  <c:v>46063</c:v>
                </c:pt>
                <c:pt idx="730">
                  <c:v>46064</c:v>
                </c:pt>
                <c:pt idx="731">
                  <c:v>46065</c:v>
                </c:pt>
                <c:pt idx="732">
                  <c:v>46066</c:v>
                </c:pt>
                <c:pt idx="733">
                  <c:v>46069</c:v>
                </c:pt>
                <c:pt idx="734">
                  <c:v>46070</c:v>
                </c:pt>
                <c:pt idx="735">
                  <c:v>46071</c:v>
                </c:pt>
                <c:pt idx="736">
                  <c:v>46072</c:v>
                </c:pt>
                <c:pt idx="737">
                  <c:v>46073</c:v>
                </c:pt>
                <c:pt idx="738">
                  <c:v>46076</c:v>
                </c:pt>
                <c:pt idx="739">
                  <c:v>46077</c:v>
                </c:pt>
                <c:pt idx="740">
                  <c:v>46078</c:v>
                </c:pt>
                <c:pt idx="741">
                  <c:v>46079</c:v>
                </c:pt>
                <c:pt idx="742">
                  <c:v>46080</c:v>
                </c:pt>
                <c:pt idx="743">
                  <c:v>46083</c:v>
                </c:pt>
                <c:pt idx="744">
                  <c:v>46084</c:v>
                </c:pt>
                <c:pt idx="745">
                  <c:v>46085</c:v>
                </c:pt>
                <c:pt idx="746">
                  <c:v>46086</c:v>
                </c:pt>
                <c:pt idx="747">
                  <c:v>46087</c:v>
                </c:pt>
                <c:pt idx="748">
                  <c:v>46090</c:v>
                </c:pt>
              </c:numCache>
            </c:numRef>
          </c:xVal>
          <c:yVal>
            <c:numRef>
              <c:f>Rendimientos!$C$2:$C$750</c:f>
              <c:numCache>
                <c:formatCode>0.0000%</c:formatCode>
                <c:ptCount val="749"/>
                <c:pt idx="0">
                  <c:v>3.9212564783771775E-2</c:v>
                </c:pt>
                <c:pt idx="1">
                  <c:v>7.7284763258116396E-3</c:v>
                </c:pt>
                <c:pt idx="2">
                  <c:v>8.0451104873999979E-2</c:v>
                </c:pt>
                <c:pt idx="3">
                  <c:v>7.8636070227809718E-2</c:v>
                </c:pt>
                <c:pt idx="4">
                  <c:v>6.4903210055438754E-2</c:v>
                </c:pt>
                <c:pt idx="5">
                  <c:v>-0.1240155187415205</c:v>
                </c:pt>
                <c:pt idx="6">
                  <c:v>9.0808529050168341E-2</c:v>
                </c:pt>
                <c:pt idx="7">
                  <c:v>-8.3692599835653025E-2</c:v>
                </c:pt>
                <c:pt idx="8">
                  <c:v>-8.2618337174248935E-2</c:v>
                </c:pt>
                <c:pt idx="9">
                  <c:v>1.2822308538102956E-3</c:v>
                </c:pt>
                <c:pt idx="10">
                  <c:v>8.7080960893356041E-2</c:v>
                </c:pt>
                <c:pt idx="11">
                  <c:v>-3.3331007137187729E-2</c:v>
                </c:pt>
                <c:pt idx="12">
                  <c:v>0.11949819475946244</c:v>
                </c:pt>
                <c:pt idx="13">
                  <c:v>-1.5175738906163971E-2</c:v>
                </c:pt>
                <c:pt idx="14">
                  <c:v>2.2756231325251619E-3</c:v>
                </c:pt>
                <c:pt idx="15">
                  <c:v>-6.2082338270194937E-2</c:v>
                </c:pt>
                <c:pt idx="16">
                  <c:v>0.13231432176330271</c:v>
                </c:pt>
                <c:pt idx="17">
                  <c:v>0.1426913423269216</c:v>
                </c:pt>
                <c:pt idx="18">
                  <c:v>-4.8110331146786978E-2</c:v>
                </c:pt>
                <c:pt idx="19">
                  <c:v>0.16864153166804985</c:v>
                </c:pt>
                <c:pt idx="20">
                  <c:v>2.5852904691160195E-2</c:v>
                </c:pt>
                <c:pt idx="21">
                  <c:v>-3.0307295063662809E-2</c:v>
                </c:pt>
                <c:pt idx="22">
                  <c:v>1.8743079975710453E-2</c:v>
                </c:pt>
                <c:pt idx="23">
                  <c:v>-8.4973200345244249E-2</c:v>
                </c:pt>
                <c:pt idx="24">
                  <c:v>-0.1080997070964107</c:v>
                </c:pt>
                <c:pt idx="25">
                  <c:v>-6.6294832500411904E-2</c:v>
                </c:pt>
                <c:pt idx="26">
                  <c:v>3.1113877379913557E-3</c:v>
                </c:pt>
                <c:pt idx="27">
                  <c:v>1.1166272244632625E-2</c:v>
                </c:pt>
                <c:pt idx="28">
                  <c:v>5.5889574296631883E-2</c:v>
                </c:pt>
                <c:pt idx="29">
                  <c:v>4.7527701160725133E-2</c:v>
                </c:pt>
                <c:pt idx="30">
                  <c:v>6.7114468851727782E-3</c:v>
                </c:pt>
                <c:pt idx="31">
                  <c:v>-5.4325072233344263E-2</c:v>
                </c:pt>
                <c:pt idx="32">
                  <c:v>-1.8061093652642968E-2</c:v>
                </c:pt>
                <c:pt idx="33">
                  <c:v>9.1729009906992287E-2</c:v>
                </c:pt>
                <c:pt idx="34">
                  <c:v>1.0869565217391353E-2</c:v>
                </c:pt>
                <c:pt idx="35">
                  <c:v>-0.10629034555086558</c:v>
                </c:pt>
                <c:pt idx="36">
                  <c:v>4.872752086937604E-3</c:v>
                </c:pt>
                <c:pt idx="37">
                  <c:v>8.3632673504560273E-2</c:v>
                </c:pt>
                <c:pt idx="38">
                  <c:v>-0.15728413946572417</c:v>
                </c:pt>
                <c:pt idx="39">
                  <c:v>2.4059352230669351E-2</c:v>
                </c:pt>
                <c:pt idx="40">
                  <c:v>5.255739774799717E-2</c:v>
                </c:pt>
                <c:pt idx="41">
                  <c:v>-1.7820172171333803E-2</c:v>
                </c:pt>
                <c:pt idx="42">
                  <c:v>9.6290713134109307E-2</c:v>
                </c:pt>
                <c:pt idx="43">
                  <c:v>-6.6143198707380724E-2</c:v>
                </c:pt>
                <c:pt idx="44">
                  <c:v>-1.9778650192011193E-2</c:v>
                </c:pt>
                <c:pt idx="45">
                  <c:v>7.0406046118720367E-2</c:v>
                </c:pt>
                <c:pt idx="46">
                  <c:v>-3.0264598853149915E-2</c:v>
                </c:pt>
                <c:pt idx="47">
                  <c:v>4.6367778720535213E-3</c:v>
                </c:pt>
                <c:pt idx="48">
                  <c:v>-3.9940828402366901E-2</c:v>
                </c:pt>
                <c:pt idx="49">
                  <c:v>9.2446161161174878E-4</c:v>
                </c:pt>
                <c:pt idx="50">
                  <c:v>-2.4630166965337041E-3</c:v>
                </c:pt>
                <c:pt idx="51">
                  <c:v>2.395064742476527E-2</c:v>
                </c:pt>
                <c:pt idx="52">
                  <c:v>3.9365798089469717E-2</c:v>
                </c:pt>
                <c:pt idx="53">
                  <c:v>2.1866416876020978E-2</c:v>
                </c:pt>
                <c:pt idx="54">
                  <c:v>-3.8029185878045713E-3</c:v>
                </c:pt>
                <c:pt idx="55">
                  <c:v>-8.7231485600649306E-2</c:v>
                </c:pt>
                <c:pt idx="56">
                  <c:v>9.3445702283874388E-2</c:v>
                </c:pt>
                <c:pt idx="57">
                  <c:v>-5.0921951602362792E-2</c:v>
                </c:pt>
                <c:pt idx="58">
                  <c:v>2.195485050516699E-2</c:v>
                </c:pt>
                <c:pt idx="59">
                  <c:v>-5.0735699981484195E-2</c:v>
                </c:pt>
                <c:pt idx="60">
                  <c:v>-1.1160260239542197E-3</c:v>
                </c:pt>
                <c:pt idx="61">
                  <c:v>3.0415851712237041E-2</c:v>
                </c:pt>
                <c:pt idx="62">
                  <c:v>-4.8192954925181386E-3</c:v>
                </c:pt>
                <c:pt idx="63">
                  <c:v>-2.8450345248580811E-2</c:v>
                </c:pt>
                <c:pt idx="64">
                  <c:v>5.6074766355140193E-2</c:v>
                </c:pt>
                <c:pt idx="65">
                  <c:v>1.4749262536873253E-2</c:v>
                </c:pt>
                <c:pt idx="66">
                  <c:v>0.15918607490006975</c:v>
                </c:pt>
                <c:pt idx="67">
                  <c:v>4.734678608797549E-2</c:v>
                </c:pt>
                <c:pt idx="68">
                  <c:v>-3.2659740853418939E-2</c:v>
                </c:pt>
                <c:pt idx="69">
                  <c:v>7.9554491704049601E-2</c:v>
                </c:pt>
                <c:pt idx="70">
                  <c:v>-7.2453810799699703E-2</c:v>
                </c:pt>
                <c:pt idx="71">
                  <c:v>0.12952981853380163</c:v>
                </c:pt>
                <c:pt idx="72">
                  <c:v>-2.0921778586938111E-2</c:v>
                </c:pt>
                <c:pt idx="73">
                  <c:v>5.4629179164607189E-2</c:v>
                </c:pt>
                <c:pt idx="74">
                  <c:v>8.859295093244457E-3</c:v>
                </c:pt>
                <c:pt idx="75">
                  <c:v>0.10294117647058831</c:v>
                </c:pt>
                <c:pt idx="76">
                  <c:v>3.0400041852678195E-2</c:v>
                </c:pt>
                <c:pt idx="77">
                  <c:v>-1.9557853926549074E-2</c:v>
                </c:pt>
                <c:pt idx="78">
                  <c:v>-4.5251034955443581E-3</c:v>
                </c:pt>
                <c:pt idx="79">
                  <c:v>1.1401984457640513E-2</c:v>
                </c:pt>
                <c:pt idx="80">
                  <c:v>7.9026240088071242E-2</c:v>
                </c:pt>
                <c:pt idx="81">
                  <c:v>2.8392893101300221E-2</c:v>
                </c:pt>
                <c:pt idx="82">
                  <c:v>-3.8240808083386368E-2</c:v>
                </c:pt>
                <c:pt idx="83">
                  <c:v>0.1399542820031856</c:v>
                </c:pt>
                <c:pt idx="84">
                  <c:v>-6.4125811757933082E-2</c:v>
                </c:pt>
                <c:pt idx="85">
                  <c:v>-4.7598688225999886E-2</c:v>
                </c:pt>
                <c:pt idx="86">
                  <c:v>-2.6836559411565375E-2</c:v>
                </c:pt>
                <c:pt idx="87">
                  <c:v>4.9652149877522422E-2</c:v>
                </c:pt>
                <c:pt idx="88">
                  <c:v>-3.2730321811604401E-2</c:v>
                </c:pt>
                <c:pt idx="89">
                  <c:v>3.6353969333293712E-3</c:v>
                </c:pt>
                <c:pt idx="90">
                  <c:v>-4.2144043061131287E-2</c:v>
                </c:pt>
                <c:pt idx="91">
                  <c:v>-3.636453218602842E-4</c:v>
                </c:pt>
                <c:pt idx="92">
                  <c:v>2.942779902558379E-2</c:v>
                </c:pt>
                <c:pt idx="93">
                  <c:v>-4.770318021201414E-2</c:v>
                </c:pt>
                <c:pt idx="94">
                  <c:v>3.7031580654278251E-2</c:v>
                </c:pt>
                <c:pt idx="95">
                  <c:v>4.0897353035885375E-2</c:v>
                </c:pt>
                <c:pt idx="96">
                  <c:v>-2.2790570277238298E-2</c:v>
                </c:pt>
                <c:pt idx="97">
                  <c:v>-1.3156009041911498E-2</c:v>
                </c:pt>
                <c:pt idx="98">
                  <c:v>2.3062668509429285E-2</c:v>
                </c:pt>
                <c:pt idx="99">
                  <c:v>-5.4214128529177175E-2</c:v>
                </c:pt>
                <c:pt idx="100">
                  <c:v>-6.2000428561439946E-2</c:v>
                </c:pt>
                <c:pt idx="101">
                  <c:v>5.9461216474652412E-2</c:v>
                </c:pt>
                <c:pt idx="102">
                  <c:v>-1.3567628742636506E-2</c:v>
                </c:pt>
                <c:pt idx="103">
                  <c:v>-7.6662941327920286E-2</c:v>
                </c:pt>
                <c:pt idx="104">
                  <c:v>9.7680471513339473E-3</c:v>
                </c:pt>
                <c:pt idx="105">
                  <c:v>1.8339329629321277E-2</c:v>
                </c:pt>
                <c:pt idx="106">
                  <c:v>-4.9792150707196448E-2</c:v>
                </c:pt>
                <c:pt idx="107">
                  <c:v>-3.3115391196262278E-2</c:v>
                </c:pt>
                <c:pt idx="108">
                  <c:v>-9.3486116684116882E-2</c:v>
                </c:pt>
                <c:pt idx="109">
                  <c:v>-8.7539199359538467E-2</c:v>
                </c:pt>
                <c:pt idx="110">
                  <c:v>-2.083333333333337E-2</c:v>
                </c:pt>
                <c:pt idx="111">
                  <c:v>-1.14361377472606E-2</c:v>
                </c:pt>
                <c:pt idx="112">
                  <c:v>6.8657487693214891E-2</c:v>
                </c:pt>
                <c:pt idx="113">
                  <c:v>-0.11132370244400813</c:v>
                </c:pt>
                <c:pt idx="114">
                  <c:v>3.0594520460736074E-3</c:v>
                </c:pt>
                <c:pt idx="115">
                  <c:v>-1.694463422652337E-4</c:v>
                </c:pt>
                <c:pt idx="116">
                  <c:v>0.29930519535880373</c:v>
                </c:pt>
                <c:pt idx="117">
                  <c:v>-1.7348603843059585E-2</c:v>
                </c:pt>
                <c:pt idx="118">
                  <c:v>-5.3805325938539816E-2</c:v>
                </c:pt>
                <c:pt idx="119">
                  <c:v>-4.1339302699584191E-2</c:v>
                </c:pt>
                <c:pt idx="120">
                  <c:v>4.9756082674351054E-2</c:v>
                </c:pt>
                <c:pt idx="121">
                  <c:v>-2.5139422578203674E-2</c:v>
                </c:pt>
                <c:pt idx="122">
                  <c:v>1.8351714699113453E-2</c:v>
                </c:pt>
                <c:pt idx="123">
                  <c:v>1.9003920474597757E-2</c:v>
                </c:pt>
                <c:pt idx="124">
                  <c:v>-0.12168116952556951</c:v>
                </c:pt>
                <c:pt idx="125">
                  <c:v>-9.0476452300147003E-2</c:v>
                </c:pt>
                <c:pt idx="126">
                  <c:v>6.2675884936944648E-3</c:v>
                </c:pt>
                <c:pt idx="127">
                  <c:v>-1.7142857142857126E-2</c:v>
                </c:pt>
                <c:pt idx="128">
                  <c:v>2.3251910541843834E-4</c:v>
                </c:pt>
                <c:pt idx="129">
                  <c:v>-2.9295474789688081E-2</c:v>
                </c:pt>
                <c:pt idx="130">
                  <c:v>0</c:v>
                </c:pt>
                <c:pt idx="131">
                  <c:v>-1.514969328920357E-2</c:v>
                </c:pt>
                <c:pt idx="132">
                  <c:v>-3.2832698099386048E-2</c:v>
                </c:pt>
                <c:pt idx="133">
                  <c:v>5.8464363673942366E-3</c:v>
                </c:pt>
                <c:pt idx="134">
                  <c:v>-6.4875030517581367E-2</c:v>
                </c:pt>
                <c:pt idx="135">
                  <c:v>-8.0199920534018698E-4</c:v>
                </c:pt>
                <c:pt idx="136">
                  <c:v>-3.0769271595424752E-2</c:v>
                </c:pt>
                <c:pt idx="137">
                  <c:v>-1.614904372986159E-2</c:v>
                </c:pt>
                <c:pt idx="138">
                  <c:v>6.6217751143879511E-2</c:v>
                </c:pt>
                <c:pt idx="139">
                  <c:v>-3.289473684210531E-2</c:v>
                </c:pt>
                <c:pt idx="140">
                  <c:v>2.7619031010836848E-2</c:v>
                </c:pt>
                <c:pt idx="141">
                  <c:v>-0.13504563899235644</c:v>
                </c:pt>
                <c:pt idx="142">
                  <c:v>3.4517024188205125E-2</c:v>
                </c:pt>
                <c:pt idx="143">
                  <c:v>7.3241511176660445E-3</c:v>
                </c:pt>
                <c:pt idx="144">
                  <c:v>5.963568521441398E-2</c:v>
                </c:pt>
                <c:pt idx="145">
                  <c:v>5.3714999068270819E-2</c:v>
                </c:pt>
                <c:pt idx="146">
                  <c:v>1.1379305014995511E-2</c:v>
                </c:pt>
                <c:pt idx="147">
                  <c:v>-8.0189921120905838E-2</c:v>
                </c:pt>
                <c:pt idx="148">
                  <c:v>-1.0110957716438218E-2</c:v>
                </c:pt>
                <c:pt idx="149">
                  <c:v>-6.9999694824285363E-3</c:v>
                </c:pt>
                <c:pt idx="150">
                  <c:v>4.5173346182532548E-2</c:v>
                </c:pt>
                <c:pt idx="151">
                  <c:v>4.3977971475835709E-2</c:v>
                </c:pt>
                <c:pt idx="152">
                  <c:v>-7.3966649351442815E-2</c:v>
                </c:pt>
                <c:pt idx="153">
                  <c:v>-1.9221490006026132E-3</c:v>
                </c:pt>
                <c:pt idx="154">
                  <c:v>5.7061559855335897E-3</c:v>
                </c:pt>
                <c:pt idx="155">
                  <c:v>0.13085104218611332</c:v>
                </c:pt>
                <c:pt idx="156">
                  <c:v>0.11984948871811008</c:v>
                </c:pt>
                <c:pt idx="157">
                  <c:v>-2.6657675693986693E-2</c:v>
                </c:pt>
                <c:pt idx="158">
                  <c:v>-6.6570811973878263E-2</c:v>
                </c:pt>
                <c:pt idx="159">
                  <c:v>1.2821314712646137E-2</c:v>
                </c:pt>
                <c:pt idx="160">
                  <c:v>-2.5378846271712607E-2</c:v>
                </c:pt>
                <c:pt idx="161">
                  <c:v>-1.7547131068464616E-2</c:v>
                </c:pt>
                <c:pt idx="162">
                  <c:v>1.1440454693076862E-3</c:v>
                </c:pt>
                <c:pt idx="163">
                  <c:v>4.8504854651096219E-2</c:v>
                </c:pt>
                <c:pt idx="164">
                  <c:v>-1.6045982406423964E-2</c:v>
                </c:pt>
                <c:pt idx="165">
                  <c:v>-9.2307692307692646E-3</c:v>
                </c:pt>
                <c:pt idx="166">
                  <c:v>-7.1304321289068273E-2</c:v>
                </c:pt>
                <c:pt idx="167">
                  <c:v>0.11035312686276533</c:v>
                </c:pt>
                <c:pt idx="168">
                  <c:v>2.0298729252273828E-2</c:v>
                </c:pt>
                <c:pt idx="169">
                  <c:v>-5.5434201685355622E-2</c:v>
                </c:pt>
                <c:pt idx="170">
                  <c:v>-1.0437488555912422E-2</c:v>
                </c:pt>
                <c:pt idx="171">
                  <c:v>0.12031834037420963</c:v>
                </c:pt>
                <c:pt idx="172">
                  <c:v>-5.4290250409983698E-2</c:v>
                </c:pt>
                <c:pt idx="173">
                  <c:v>2.2950856056721314E-2</c:v>
                </c:pt>
                <c:pt idx="174">
                  <c:v>2.8962710046204432E-2</c:v>
                </c:pt>
                <c:pt idx="175">
                  <c:v>6.6715740446601224E-2</c:v>
                </c:pt>
                <c:pt idx="176">
                  <c:v>-1.2211324540621238E-2</c:v>
                </c:pt>
                <c:pt idx="177">
                  <c:v>4.5955403985559196E-2</c:v>
                </c:pt>
                <c:pt idx="178">
                  <c:v>-3.4943880433810914E-3</c:v>
                </c:pt>
                <c:pt idx="179">
                  <c:v>9.3543727108765129E-2</c:v>
                </c:pt>
                <c:pt idx="180">
                  <c:v>9.1483658575020055E-3</c:v>
                </c:pt>
                <c:pt idx="181">
                  <c:v>-2.8457926812574752E-2</c:v>
                </c:pt>
                <c:pt idx="182">
                  <c:v>0.12736277841913624</c:v>
                </c:pt>
                <c:pt idx="183">
                  <c:v>0.11369942926178456</c:v>
                </c:pt>
                <c:pt idx="184">
                  <c:v>2.0265008635385717E-2</c:v>
                </c:pt>
                <c:pt idx="185">
                  <c:v>1.6220506672262491E-2</c:v>
                </c:pt>
                <c:pt idx="186">
                  <c:v>-4.4337029983895215E-3</c:v>
                </c:pt>
                <c:pt idx="187">
                  <c:v>7.4967455091196511E-2</c:v>
                </c:pt>
                <c:pt idx="188">
                  <c:v>-0.11790089630966338</c:v>
                </c:pt>
                <c:pt idx="189">
                  <c:v>0.12332684839774943</c:v>
                </c:pt>
                <c:pt idx="190">
                  <c:v>6.2785228391115444E-2</c:v>
                </c:pt>
                <c:pt idx="191">
                  <c:v>2.1801114392347332E-2</c:v>
                </c:pt>
                <c:pt idx="192">
                  <c:v>9.7279286565431722E-2</c:v>
                </c:pt>
                <c:pt idx="193">
                  <c:v>9.5935665376003065E-2</c:v>
                </c:pt>
                <c:pt idx="194">
                  <c:v>4.6957141533463531E-2</c:v>
                </c:pt>
                <c:pt idx="195">
                  <c:v>8.2209957607000783E-2</c:v>
                </c:pt>
                <c:pt idx="196">
                  <c:v>7.4104599396345838E-2</c:v>
                </c:pt>
                <c:pt idx="197">
                  <c:v>9.6455454399690943E-4</c:v>
                </c:pt>
                <c:pt idx="198">
                  <c:v>0.14950291797864224</c:v>
                </c:pt>
                <c:pt idx="199">
                  <c:v>-8.6026259629194524E-2</c:v>
                </c:pt>
                <c:pt idx="200">
                  <c:v>-0.16933855317580904</c:v>
                </c:pt>
                <c:pt idx="201">
                  <c:v>-2.1482702761035144E-2</c:v>
                </c:pt>
                <c:pt idx="202">
                  <c:v>3.2957184674713424E-2</c:v>
                </c:pt>
                <c:pt idx="203">
                  <c:v>0.12211047219312476</c:v>
                </c:pt>
                <c:pt idx="204">
                  <c:v>-0.10510477456643819</c:v>
                </c:pt>
                <c:pt idx="205">
                  <c:v>8.523107050652512E-2</c:v>
                </c:pt>
                <c:pt idx="206">
                  <c:v>-1.0503498326888239E-2</c:v>
                </c:pt>
                <c:pt idx="207">
                  <c:v>-4.9505948886264806E-3</c:v>
                </c:pt>
                <c:pt idx="208">
                  <c:v>-0.12077104797588489</c:v>
                </c:pt>
                <c:pt idx="209">
                  <c:v>-0.15557313849205134</c:v>
                </c:pt>
                <c:pt idx="210">
                  <c:v>-4.363051130057416E-4</c:v>
                </c:pt>
                <c:pt idx="211">
                  <c:v>-4.8581280002528371E-2</c:v>
                </c:pt>
                <c:pt idx="212">
                  <c:v>-2.6481340789097363E-2</c:v>
                </c:pt>
                <c:pt idx="213">
                  <c:v>-6.4738790846822547E-2</c:v>
                </c:pt>
                <c:pt idx="214">
                  <c:v>-6.5152355008795126E-3</c:v>
                </c:pt>
                <c:pt idx="215">
                  <c:v>2.9782613118489065E-2</c:v>
                </c:pt>
                <c:pt idx="216">
                  <c:v>-1.3053238474223794E-2</c:v>
                </c:pt>
                <c:pt idx="217">
                  <c:v>-4.0996754481626541E-2</c:v>
                </c:pt>
                <c:pt idx="218">
                  <c:v>3.8288492691933129E-2</c:v>
                </c:pt>
                <c:pt idx="219">
                  <c:v>8.8432252418213064E-2</c:v>
                </c:pt>
                <c:pt idx="220">
                  <c:v>4.8814170129894086E-2</c:v>
                </c:pt>
                <c:pt idx="221">
                  <c:v>-1.6967237128898249E-2</c:v>
                </c:pt>
                <c:pt idx="222">
                  <c:v>-2.7086492369339799E-2</c:v>
                </c:pt>
                <c:pt idx="223">
                  <c:v>4.5482848211104931E-2</c:v>
                </c:pt>
                <c:pt idx="224">
                  <c:v>-2.722537004070158E-2</c:v>
                </c:pt>
                <c:pt idx="225">
                  <c:v>-6.2552471457296921E-2</c:v>
                </c:pt>
                <c:pt idx="226">
                  <c:v>3.1746616552086326E-2</c:v>
                </c:pt>
                <c:pt idx="227">
                  <c:v>0.22652269203758379</c:v>
                </c:pt>
                <c:pt idx="228">
                  <c:v>0.10757769386752924</c:v>
                </c:pt>
                <c:pt idx="229">
                  <c:v>0.14561962291506747</c:v>
                </c:pt>
                <c:pt idx="230">
                  <c:v>-5.832835918073187E-2</c:v>
                </c:pt>
                <c:pt idx="231">
                  <c:v>0.1427629304539908</c:v>
                </c:pt>
                <c:pt idx="232">
                  <c:v>-8.384257723704569E-2</c:v>
                </c:pt>
                <c:pt idx="233">
                  <c:v>-1.1406844106463865E-2</c:v>
                </c:pt>
                <c:pt idx="234">
                  <c:v>-2.19780219780219E-3</c:v>
                </c:pt>
                <c:pt idx="235">
                  <c:v>-7.8502234908453761E-2</c:v>
                </c:pt>
                <c:pt idx="236">
                  <c:v>-6.7119197713589651E-2</c:v>
                </c:pt>
                <c:pt idx="237">
                  <c:v>7.8020939587661431E-2</c:v>
                </c:pt>
                <c:pt idx="238">
                  <c:v>-2.7761326476279269E-2</c:v>
                </c:pt>
                <c:pt idx="239">
                  <c:v>0.22366464608784864</c:v>
                </c:pt>
                <c:pt idx="240">
                  <c:v>3.8758128351979559E-2</c:v>
                </c:pt>
                <c:pt idx="241">
                  <c:v>1.5963356837319642E-2</c:v>
                </c:pt>
                <c:pt idx="242">
                  <c:v>-0.16501965871891011</c:v>
                </c:pt>
                <c:pt idx="243">
                  <c:v>2.7864007579889716E-2</c:v>
                </c:pt>
                <c:pt idx="244">
                  <c:v>-3.5534643268239408E-2</c:v>
                </c:pt>
                <c:pt idx="245">
                  <c:v>-0.13678672969375405</c:v>
                </c:pt>
                <c:pt idx="246">
                  <c:v>1.0862669767366606E-2</c:v>
                </c:pt>
                <c:pt idx="247">
                  <c:v>-3.6745869940922216E-2</c:v>
                </c:pt>
                <c:pt idx="248">
                  <c:v>7.6948192274366445E-2</c:v>
                </c:pt>
                <c:pt idx="249">
                  <c:v>-0.11965635879790548</c:v>
                </c:pt>
                <c:pt idx="250">
                  <c:v>-2.5341571082467484E-2</c:v>
                </c:pt>
                <c:pt idx="251">
                  <c:v>-2.8414929809835732E-2</c:v>
                </c:pt>
                <c:pt idx="252">
                  <c:v>-9.789061895210549E-2</c:v>
                </c:pt>
                <c:pt idx="253">
                  <c:v>8.6172121147995551E-2</c:v>
                </c:pt>
                <c:pt idx="254">
                  <c:v>4.9797899270009882E-3</c:v>
                </c:pt>
                <c:pt idx="255">
                  <c:v>0.14335831788529063</c:v>
                </c:pt>
                <c:pt idx="256">
                  <c:v>-1.1763109332942112E-2</c:v>
                </c:pt>
                <c:pt idx="257">
                  <c:v>-4.1756372091508398E-2</c:v>
                </c:pt>
                <c:pt idx="258">
                  <c:v>-1.5918066458904256E-3</c:v>
                </c:pt>
                <c:pt idx="259">
                  <c:v>-2.9039921344513608E-2</c:v>
                </c:pt>
                <c:pt idx="260">
                  <c:v>6.3452919272401598E-2</c:v>
                </c:pt>
                <c:pt idx="261">
                  <c:v>-5.0182181564286665E-3</c:v>
                </c:pt>
                <c:pt idx="262">
                  <c:v>-9.5216944926956426E-2</c:v>
                </c:pt>
                <c:pt idx="263">
                  <c:v>-1.0934172509093343E-2</c:v>
                </c:pt>
                <c:pt idx="264">
                  <c:v>-4.9267655600152005E-2</c:v>
                </c:pt>
                <c:pt idx="265">
                  <c:v>-1.1921059843260084E-2</c:v>
                </c:pt>
                <c:pt idx="266">
                  <c:v>-3.3854132085911592E-2</c:v>
                </c:pt>
                <c:pt idx="267">
                  <c:v>5.9708622671055256E-3</c:v>
                </c:pt>
                <c:pt idx="268">
                  <c:v>-3.2865291553935472E-2</c:v>
                </c:pt>
                <c:pt idx="269">
                  <c:v>1.3501687483513214E-2</c:v>
                </c:pt>
                <c:pt idx="270">
                  <c:v>-7.3529411764705843E-2</c:v>
                </c:pt>
                <c:pt idx="271">
                  <c:v>-5.1353874883286688E-2</c:v>
                </c:pt>
                <c:pt idx="272">
                  <c:v>-1.7204705185779545E-2</c:v>
                </c:pt>
                <c:pt idx="273">
                  <c:v>-5.8887200735067147E-3</c:v>
                </c:pt>
                <c:pt idx="274">
                  <c:v>3.8765292453353917E-2</c:v>
                </c:pt>
                <c:pt idx="275">
                  <c:v>9.6283681595751514E-2</c:v>
                </c:pt>
                <c:pt idx="276">
                  <c:v>5.8846442051107006E-2</c:v>
                </c:pt>
                <c:pt idx="277">
                  <c:v>0.10232929182556494</c:v>
                </c:pt>
                <c:pt idx="278">
                  <c:v>-1.1732590709646606E-2</c:v>
                </c:pt>
                <c:pt idx="279">
                  <c:v>6.1319752740374156E-5</c:v>
                </c:pt>
                <c:pt idx="280">
                  <c:v>1.438651055646023E-2</c:v>
                </c:pt>
                <c:pt idx="281">
                  <c:v>-7.7958204327223113E-2</c:v>
                </c:pt>
                <c:pt idx="282">
                  <c:v>-9.1436832337284168E-2</c:v>
                </c:pt>
                <c:pt idx="283">
                  <c:v>4.6781906335724877E-2</c:v>
                </c:pt>
                <c:pt idx="284">
                  <c:v>2.3966386568770481E-2</c:v>
                </c:pt>
                <c:pt idx="285">
                  <c:v>0.17744326129249988</c:v>
                </c:pt>
                <c:pt idx="286">
                  <c:v>-2.903067172362972E-2</c:v>
                </c:pt>
                <c:pt idx="287">
                  <c:v>6.2448304718369929E-3</c:v>
                </c:pt>
                <c:pt idx="288">
                  <c:v>-3.627053403705871E-2</c:v>
                </c:pt>
                <c:pt idx="289">
                  <c:v>-0.12135106080127689</c:v>
                </c:pt>
                <c:pt idx="290">
                  <c:v>-3.9411415679675432E-3</c:v>
                </c:pt>
                <c:pt idx="291">
                  <c:v>5.5115941801797241E-2</c:v>
                </c:pt>
                <c:pt idx="292">
                  <c:v>0.10062498795358543</c:v>
                </c:pt>
                <c:pt idx="293">
                  <c:v>-2.089121106692049E-2</c:v>
                </c:pt>
                <c:pt idx="294">
                  <c:v>-1.7796144631333721E-2</c:v>
                </c:pt>
                <c:pt idx="295">
                  <c:v>0.15411628812836242</c:v>
                </c:pt>
                <c:pt idx="296">
                  <c:v>-4.0607462212144174E-2</c:v>
                </c:pt>
                <c:pt idx="297">
                  <c:v>-8.9817340799233092E-3</c:v>
                </c:pt>
                <c:pt idx="298">
                  <c:v>-4.7949454286942306E-2</c:v>
                </c:pt>
                <c:pt idx="299">
                  <c:v>4.8936523890274808E-2</c:v>
                </c:pt>
                <c:pt idx="300">
                  <c:v>-2.83624792353665E-4</c:v>
                </c:pt>
                <c:pt idx="301">
                  <c:v>-9.3333575742468033E-3</c:v>
                </c:pt>
                <c:pt idx="302">
                  <c:v>-1.4060318382217885E-2</c:v>
                </c:pt>
                <c:pt idx="303">
                  <c:v>-1.5393517225899433E-2</c:v>
                </c:pt>
                <c:pt idx="304">
                  <c:v>-3.3598863269728607E-2</c:v>
                </c:pt>
                <c:pt idx="305">
                  <c:v>5.2074200540208393E-2</c:v>
                </c:pt>
                <c:pt idx="306">
                  <c:v>6.5715011501088938E-2</c:v>
                </c:pt>
                <c:pt idx="307">
                  <c:v>5.09091549575591E-3</c:v>
                </c:pt>
                <c:pt idx="308">
                  <c:v>1.083684407958696E-4</c:v>
                </c:pt>
                <c:pt idx="309">
                  <c:v>-3.7835497670909213E-2</c:v>
                </c:pt>
                <c:pt idx="310">
                  <c:v>1.407076270729668E-4</c:v>
                </c:pt>
                <c:pt idx="311">
                  <c:v>3.0564903728468984E-2</c:v>
                </c:pt>
                <c:pt idx="312">
                  <c:v>4.4815174762445897E-2</c:v>
                </c:pt>
                <c:pt idx="313">
                  <c:v>-3.8344877999479499E-2</c:v>
                </c:pt>
                <c:pt idx="314">
                  <c:v>-2.8621126564875365E-2</c:v>
                </c:pt>
                <c:pt idx="315">
                  <c:v>3.5116647886006547E-2</c:v>
                </c:pt>
                <c:pt idx="316">
                  <c:v>4.0818798029940151E-3</c:v>
                </c:pt>
                <c:pt idx="317">
                  <c:v>4.1998641727880592E-3</c:v>
                </c:pt>
                <c:pt idx="318">
                  <c:v>1.8632740501423717E-2</c:v>
                </c:pt>
                <c:pt idx="319">
                  <c:v>-8.7616811357760005E-2</c:v>
                </c:pt>
                <c:pt idx="320">
                  <c:v>-3.1846790596825603E-2</c:v>
                </c:pt>
                <c:pt idx="321">
                  <c:v>2.7948289789879288E-2</c:v>
                </c:pt>
                <c:pt idx="322">
                  <c:v>3.3449300130205861E-2</c:v>
                </c:pt>
                <c:pt idx="323">
                  <c:v>1.4079735494928469E-2</c:v>
                </c:pt>
                <c:pt idx="324">
                  <c:v>1.7784026770660599E-2</c:v>
                </c:pt>
                <c:pt idx="325">
                  <c:v>0.12695997842481188</c:v>
                </c:pt>
                <c:pt idx="326">
                  <c:v>-2.7947231985478882E-2</c:v>
                </c:pt>
                <c:pt idx="327">
                  <c:v>-6.0106124137321304E-2</c:v>
                </c:pt>
                <c:pt idx="328">
                  <c:v>-2.3490052892072288E-3</c:v>
                </c:pt>
                <c:pt idx="329">
                  <c:v>-3.4232810691552928E-2</c:v>
                </c:pt>
                <c:pt idx="330">
                  <c:v>-4.1089136307224328E-2</c:v>
                </c:pt>
                <c:pt idx="331">
                  <c:v>-2.6195460704192985E-2</c:v>
                </c:pt>
                <c:pt idx="332">
                  <c:v>-1.2878096922153803E-2</c:v>
                </c:pt>
                <c:pt idx="333">
                  <c:v>7.429420505200568E-3</c:v>
                </c:pt>
                <c:pt idx="334">
                  <c:v>7.5014727657171099E-2</c:v>
                </c:pt>
                <c:pt idx="335">
                  <c:v>0.19534616763758228</c:v>
                </c:pt>
                <c:pt idx="336">
                  <c:v>7.4330850846509922E-2</c:v>
                </c:pt>
                <c:pt idx="337">
                  <c:v>-3.4081222664598232E-2</c:v>
                </c:pt>
                <c:pt idx="338">
                  <c:v>-6.499275557704387E-2</c:v>
                </c:pt>
                <c:pt idx="339">
                  <c:v>5.8721877630632191E-2</c:v>
                </c:pt>
                <c:pt idx="340">
                  <c:v>-2.326309836932372E-2</c:v>
                </c:pt>
                <c:pt idx="341">
                  <c:v>-0.10224666719312059</c:v>
                </c:pt>
                <c:pt idx="342">
                  <c:v>-3.0760230570681446E-2</c:v>
                </c:pt>
                <c:pt idx="343">
                  <c:v>-9.8864369299920263E-3</c:v>
                </c:pt>
                <c:pt idx="344">
                  <c:v>5.2740641592049942E-2</c:v>
                </c:pt>
                <c:pt idx="345">
                  <c:v>-3.7157586618701832E-2</c:v>
                </c:pt>
                <c:pt idx="346">
                  <c:v>-2.2924362556085653E-2</c:v>
                </c:pt>
                <c:pt idx="347">
                  <c:v>-1.5873903011155543E-2</c:v>
                </c:pt>
                <c:pt idx="348">
                  <c:v>-7.2094142681946471E-2</c:v>
                </c:pt>
                <c:pt idx="349">
                  <c:v>-3.6410600144988092E-2</c:v>
                </c:pt>
                <c:pt idx="350">
                  <c:v>-6.704083930033744E-3</c:v>
                </c:pt>
                <c:pt idx="351">
                  <c:v>3.2335282921905906E-2</c:v>
                </c:pt>
                <c:pt idx="352">
                  <c:v>-8.3744406168742902E-2</c:v>
                </c:pt>
                <c:pt idx="353">
                  <c:v>7.2619303317917661E-2</c:v>
                </c:pt>
                <c:pt idx="354">
                  <c:v>-2.6639647383592147E-2</c:v>
                </c:pt>
                <c:pt idx="355">
                  <c:v>-9.8664118826483405E-2</c:v>
                </c:pt>
                <c:pt idx="356">
                  <c:v>1.6784982668071491E-2</c:v>
                </c:pt>
                <c:pt idx="357">
                  <c:v>-3.7320800654771169E-2</c:v>
                </c:pt>
                <c:pt idx="358">
                  <c:v>1.7605633802816989E-2</c:v>
                </c:pt>
                <c:pt idx="359">
                  <c:v>4.9480926619266397E-2</c:v>
                </c:pt>
                <c:pt idx="360">
                  <c:v>2.0441847862071372E-2</c:v>
                </c:pt>
                <c:pt idx="361">
                  <c:v>1.7770597738287597E-2</c:v>
                </c:pt>
                <c:pt idx="362">
                  <c:v>8.0126953124999956E-2</c:v>
                </c:pt>
                <c:pt idx="363">
                  <c:v>-3.0125794422164343E-2</c:v>
                </c:pt>
                <c:pt idx="364">
                  <c:v>7.6669047726498407E-2</c:v>
                </c:pt>
                <c:pt idx="365">
                  <c:v>1.2018319994867355E-2</c:v>
                </c:pt>
                <c:pt idx="366">
                  <c:v>-2.6671477369579311E-2</c:v>
                </c:pt>
                <c:pt idx="367">
                  <c:v>-3.8174745899765661E-2</c:v>
                </c:pt>
                <c:pt idx="368">
                  <c:v>8.8827452603053025E-3</c:v>
                </c:pt>
                <c:pt idx="369">
                  <c:v>-3.3156683048447211E-2</c:v>
                </c:pt>
                <c:pt idx="370">
                  <c:v>2.1806675220711558E-2</c:v>
                </c:pt>
                <c:pt idx="371">
                  <c:v>-0.10247393407693894</c:v>
                </c:pt>
                <c:pt idx="372">
                  <c:v>-1.7302044166978781E-2</c:v>
                </c:pt>
                <c:pt idx="373">
                  <c:v>-6.3465237899632876E-2</c:v>
                </c:pt>
                <c:pt idx="374">
                  <c:v>-3.5218163293982307E-2</c:v>
                </c:pt>
                <c:pt idx="375">
                  <c:v>8.2133342768896167E-2</c:v>
                </c:pt>
                <c:pt idx="376">
                  <c:v>9.750120375307203E-2</c:v>
                </c:pt>
                <c:pt idx="377">
                  <c:v>-1.9840077284795976E-2</c:v>
                </c:pt>
                <c:pt idx="378">
                  <c:v>-1.8474489719878306E-2</c:v>
                </c:pt>
                <c:pt idx="379">
                  <c:v>1.7414669855913889E-2</c:v>
                </c:pt>
                <c:pt idx="380">
                  <c:v>-2.19426896746856E-2</c:v>
                </c:pt>
                <c:pt idx="381">
                  <c:v>-2.881667005315891E-2</c:v>
                </c:pt>
                <c:pt idx="382">
                  <c:v>9.9244404929981211E-3</c:v>
                </c:pt>
                <c:pt idx="383">
                  <c:v>1.3214389566050144E-2</c:v>
                </c:pt>
                <c:pt idx="384">
                  <c:v>2.8070110219873046E-2</c:v>
                </c:pt>
                <c:pt idx="385">
                  <c:v>1.0013574613950249E-2</c:v>
                </c:pt>
                <c:pt idx="386">
                  <c:v>8.9897902460112089E-3</c:v>
                </c:pt>
                <c:pt idx="387">
                  <c:v>8.6853462406232484E-2</c:v>
                </c:pt>
                <c:pt idx="388">
                  <c:v>-1.7674379570540744E-2</c:v>
                </c:pt>
                <c:pt idx="389">
                  <c:v>-5.693661217869106E-2</c:v>
                </c:pt>
                <c:pt idx="390">
                  <c:v>-7.4683031065532535E-2</c:v>
                </c:pt>
                <c:pt idx="391">
                  <c:v>1.0580558415372865E-2</c:v>
                </c:pt>
                <c:pt idx="392">
                  <c:v>5.2047012636325496E-2</c:v>
                </c:pt>
                <c:pt idx="393">
                  <c:v>-2.0764918384876374E-2</c:v>
                </c:pt>
                <c:pt idx="394">
                  <c:v>9.4465324078507606E-4</c:v>
                </c:pt>
                <c:pt idx="395">
                  <c:v>-2.313780361036577E-2</c:v>
                </c:pt>
                <c:pt idx="396">
                  <c:v>-1.1459799204943999E-2</c:v>
                </c:pt>
                <c:pt idx="397">
                  <c:v>4.2495168444199871E-2</c:v>
                </c:pt>
                <c:pt idx="398">
                  <c:v>6.3520263484041051E-2</c:v>
                </c:pt>
                <c:pt idx="399">
                  <c:v>1.7173233727914905E-2</c:v>
                </c:pt>
                <c:pt idx="400">
                  <c:v>6.860897018925427E-2</c:v>
                </c:pt>
                <c:pt idx="401">
                  <c:v>1.0906145365447983E-3</c:v>
                </c:pt>
                <c:pt idx="402">
                  <c:v>4.4832368136782152E-2</c:v>
                </c:pt>
                <c:pt idx="403">
                  <c:v>-5.9617177958157797E-3</c:v>
                </c:pt>
                <c:pt idx="404">
                  <c:v>1.2721156407878853E-2</c:v>
                </c:pt>
                <c:pt idx="405">
                  <c:v>-5.1865620534915058E-2</c:v>
                </c:pt>
                <c:pt idx="406">
                  <c:v>9.9154351404857621E-3</c:v>
                </c:pt>
                <c:pt idx="407">
                  <c:v>-5.1503237879849006E-2</c:v>
                </c:pt>
                <c:pt idx="408">
                  <c:v>0.11523730163885859</c:v>
                </c:pt>
                <c:pt idx="409">
                  <c:v>-1.8091307090928321E-3</c:v>
                </c:pt>
                <c:pt idx="410">
                  <c:v>-2.2221616571563629E-2</c:v>
                </c:pt>
                <c:pt idx="411">
                  <c:v>-9.1202181885915334E-2</c:v>
                </c:pt>
                <c:pt idx="412">
                  <c:v>-2.9382213420264924E-2</c:v>
                </c:pt>
                <c:pt idx="413">
                  <c:v>-4.6930118869484394E-2</c:v>
                </c:pt>
                <c:pt idx="414">
                  <c:v>3.8760101907934885E-2</c:v>
                </c:pt>
                <c:pt idx="415">
                  <c:v>0.19081457284823578</c:v>
                </c:pt>
                <c:pt idx="416">
                  <c:v>-1.3691167868366105E-2</c:v>
                </c:pt>
                <c:pt idx="417">
                  <c:v>1.2257386411323123E-2</c:v>
                </c:pt>
                <c:pt idx="418">
                  <c:v>0.31905094743544438</c:v>
                </c:pt>
                <c:pt idx="419">
                  <c:v>1.9811763167785212E-2</c:v>
                </c:pt>
                <c:pt idx="420">
                  <c:v>-0.14304678234739954</c:v>
                </c:pt>
                <c:pt idx="421">
                  <c:v>-5.0591449749013973E-2</c:v>
                </c:pt>
                <c:pt idx="422">
                  <c:v>1.3948378331110955E-2</c:v>
                </c:pt>
                <c:pt idx="423">
                  <c:v>-6.9318496516403649E-2</c:v>
                </c:pt>
                <c:pt idx="424">
                  <c:v>0.15878345601094734</c:v>
                </c:pt>
                <c:pt idx="425">
                  <c:v>5.9886671807253711E-2</c:v>
                </c:pt>
                <c:pt idx="426">
                  <c:v>8.9303259972619786E-2</c:v>
                </c:pt>
                <c:pt idx="427">
                  <c:v>-3.2209124665248945E-3</c:v>
                </c:pt>
                <c:pt idx="428">
                  <c:v>-3.7873330089896462E-2</c:v>
                </c:pt>
                <c:pt idx="429">
                  <c:v>7.9255603271258357E-2</c:v>
                </c:pt>
                <c:pt idx="430">
                  <c:v>6.3322058214243526E-3</c:v>
                </c:pt>
                <c:pt idx="431">
                  <c:v>6.7778071366684234E-3</c:v>
                </c:pt>
                <c:pt idx="432">
                  <c:v>-7.8553553989955338E-2</c:v>
                </c:pt>
                <c:pt idx="433">
                  <c:v>-1.3895105311991229E-2</c:v>
                </c:pt>
                <c:pt idx="434">
                  <c:v>3.5551443416563799E-2</c:v>
                </c:pt>
                <c:pt idx="435">
                  <c:v>-4.8507387914661804E-2</c:v>
                </c:pt>
                <c:pt idx="436">
                  <c:v>5.512897643979997E-2</c:v>
                </c:pt>
                <c:pt idx="437">
                  <c:v>-8.4497479030379963E-2</c:v>
                </c:pt>
                <c:pt idx="438">
                  <c:v>-5.0133176894328946E-2</c:v>
                </c:pt>
                <c:pt idx="439">
                  <c:v>2.6476518288159445E-2</c:v>
                </c:pt>
                <c:pt idx="440">
                  <c:v>-3.326907888303865E-2</c:v>
                </c:pt>
                <c:pt idx="441">
                  <c:v>8.43373493975903E-2</c:v>
                </c:pt>
                <c:pt idx="442">
                  <c:v>9.0909090909090384E-3</c:v>
                </c:pt>
                <c:pt idx="443">
                  <c:v>-0.10138141070758355</c:v>
                </c:pt>
                <c:pt idx="444">
                  <c:v>-7.5680550309064842E-2</c:v>
                </c:pt>
                <c:pt idx="445">
                  <c:v>-3.4177788552888222E-2</c:v>
                </c:pt>
                <c:pt idx="446">
                  <c:v>-2.602878115893259E-2</c:v>
                </c:pt>
                <c:pt idx="447">
                  <c:v>3.2591988471069921E-2</c:v>
                </c:pt>
                <c:pt idx="448">
                  <c:v>-2.7617878121124151E-2</c:v>
                </c:pt>
                <c:pt idx="449">
                  <c:v>-4.2667214711611057E-2</c:v>
                </c:pt>
                <c:pt idx="450">
                  <c:v>-3.9370889654732344E-2</c:v>
                </c:pt>
                <c:pt idx="451">
                  <c:v>-2.6222354400888381E-2</c:v>
                </c:pt>
                <c:pt idx="452">
                  <c:v>6.5540659349454522E-3</c:v>
                </c:pt>
                <c:pt idx="453">
                  <c:v>0.13467139067207179</c:v>
                </c:pt>
                <c:pt idx="454">
                  <c:v>3.737527805032248E-2</c:v>
                </c:pt>
                <c:pt idx="455">
                  <c:v>-6.7006554989074041E-2</c:v>
                </c:pt>
                <c:pt idx="456">
                  <c:v>-3.3099676250297305E-2</c:v>
                </c:pt>
                <c:pt idx="457">
                  <c:v>-1.4476892583376588E-2</c:v>
                </c:pt>
                <c:pt idx="458">
                  <c:v>3.7332744639473336E-3</c:v>
                </c:pt>
                <c:pt idx="459">
                  <c:v>-4.3716144985762595E-2</c:v>
                </c:pt>
                <c:pt idx="460">
                  <c:v>5.0729313441144619E-4</c:v>
                </c:pt>
                <c:pt idx="461">
                  <c:v>5.5241038926739483E-2</c:v>
                </c:pt>
                <c:pt idx="462">
                  <c:v>1.70848739781293E-2</c:v>
                </c:pt>
                <c:pt idx="463">
                  <c:v>8.7926509186351698E-2</c:v>
                </c:pt>
                <c:pt idx="464">
                  <c:v>1.3510268042255635E-2</c:v>
                </c:pt>
                <c:pt idx="465">
                  <c:v>-4.2251844184992282E-2</c:v>
                </c:pt>
                <c:pt idx="466">
                  <c:v>2.5102006529786891E-3</c:v>
                </c:pt>
                <c:pt idx="467">
                  <c:v>1.6436942492038309E-2</c:v>
                </c:pt>
                <c:pt idx="468">
                  <c:v>-8.7318877473556711E-3</c:v>
                </c:pt>
                <c:pt idx="469">
                  <c:v>-7.7286492406873353E-2</c:v>
                </c:pt>
                <c:pt idx="470">
                  <c:v>-2.666666666666706E-3</c:v>
                </c:pt>
                <c:pt idx="471">
                  <c:v>1.0695187165775444E-2</c:v>
                </c:pt>
                <c:pt idx="472">
                  <c:v>4.4179926473627118E-2</c:v>
                </c:pt>
                <c:pt idx="473">
                  <c:v>-4.9911354440743794E-2</c:v>
                </c:pt>
                <c:pt idx="474">
                  <c:v>-3.2799967447917244E-2</c:v>
                </c:pt>
                <c:pt idx="475">
                  <c:v>-3.2533823858300615E-2</c:v>
                </c:pt>
                <c:pt idx="476">
                  <c:v>-1.8894286116085901E-2</c:v>
                </c:pt>
                <c:pt idx="477">
                  <c:v>2.0333233490306135E-3</c:v>
                </c:pt>
                <c:pt idx="478">
                  <c:v>3.1306680825677891E-3</c:v>
                </c:pt>
                <c:pt idx="479">
                  <c:v>-4.5918175672254535E-2</c:v>
                </c:pt>
                <c:pt idx="480">
                  <c:v>1.2327378480357476E-2</c:v>
                </c:pt>
                <c:pt idx="481">
                  <c:v>2.9530547206279234E-2</c:v>
                </c:pt>
                <c:pt idx="482">
                  <c:v>-3.6326648585526256E-3</c:v>
                </c:pt>
                <c:pt idx="483">
                  <c:v>1.3562764514231995E-2</c:v>
                </c:pt>
                <c:pt idx="484">
                  <c:v>-6.1812981255622956E-2</c:v>
                </c:pt>
                <c:pt idx="485">
                  <c:v>-5.3677690294217095E-3</c:v>
                </c:pt>
                <c:pt idx="486">
                  <c:v>-3.2996479566134163E-3</c:v>
                </c:pt>
                <c:pt idx="487">
                  <c:v>-6.9152243995583063E-2</c:v>
                </c:pt>
                <c:pt idx="488">
                  <c:v>-5.2783794451205956E-2</c:v>
                </c:pt>
                <c:pt idx="489">
                  <c:v>-0.1081868326455101</c:v>
                </c:pt>
                <c:pt idx="490">
                  <c:v>-7.6335974111324534E-3</c:v>
                </c:pt>
                <c:pt idx="491">
                  <c:v>6.6613811479172336E-2</c:v>
                </c:pt>
                <c:pt idx="492">
                  <c:v>5.0966510985420044E-2</c:v>
                </c:pt>
                <c:pt idx="493">
                  <c:v>-2.5113773001929074E-3</c:v>
                </c:pt>
                <c:pt idx="494">
                  <c:v>2.812054140347886E-2</c:v>
                </c:pt>
                <c:pt idx="495">
                  <c:v>5.5220260649364583E-2</c:v>
                </c:pt>
                <c:pt idx="496">
                  <c:v>-1.4087721527751174E-2</c:v>
                </c:pt>
                <c:pt idx="497">
                  <c:v>7.9899233210831477E-2</c:v>
                </c:pt>
                <c:pt idx="498">
                  <c:v>-0.16083877101099231</c:v>
                </c:pt>
                <c:pt idx="499">
                  <c:v>-1.4670409816893493E-2</c:v>
                </c:pt>
                <c:pt idx="500">
                  <c:v>-1.1584284233979503E-2</c:v>
                </c:pt>
                <c:pt idx="501">
                  <c:v>-7.9936889907785247E-2</c:v>
                </c:pt>
                <c:pt idx="502">
                  <c:v>7.1204029571387384E-2</c:v>
                </c:pt>
                <c:pt idx="503">
                  <c:v>-8.0878155336417623E-2</c:v>
                </c:pt>
                <c:pt idx="504">
                  <c:v>4.379022635147134E-2</c:v>
                </c:pt>
                <c:pt idx="505">
                  <c:v>-2.7412594771861754E-3</c:v>
                </c:pt>
                <c:pt idx="506">
                  <c:v>2.2308881725066065E-3</c:v>
                </c:pt>
                <c:pt idx="507">
                  <c:v>0.15291352922299506</c:v>
                </c:pt>
                <c:pt idx="508">
                  <c:v>-5.3783748465678904E-3</c:v>
                </c:pt>
                <c:pt idx="509">
                  <c:v>-3.9342701549946568E-2</c:v>
                </c:pt>
                <c:pt idx="510">
                  <c:v>7.5770889795334639E-4</c:v>
                </c:pt>
                <c:pt idx="511">
                  <c:v>-8.4189672217999223E-2</c:v>
                </c:pt>
                <c:pt idx="512">
                  <c:v>-7.3661443755385858E-2</c:v>
                </c:pt>
                <c:pt idx="513">
                  <c:v>1.5767804920442829E-2</c:v>
                </c:pt>
                <c:pt idx="514">
                  <c:v>5.9163177362544062E-2</c:v>
                </c:pt>
                <c:pt idx="515">
                  <c:v>-0.11116378074384548</c:v>
                </c:pt>
                <c:pt idx="516">
                  <c:v>2.2266642252599889E-2</c:v>
                </c:pt>
                <c:pt idx="517">
                  <c:v>1.5303701389186353E-2</c:v>
                </c:pt>
                <c:pt idx="518">
                  <c:v>-8.1402794528346312E-2</c:v>
                </c:pt>
                <c:pt idx="519">
                  <c:v>0.16553232239234461</c:v>
                </c:pt>
                <c:pt idx="520">
                  <c:v>-5.4073528530451442E-2</c:v>
                </c:pt>
                <c:pt idx="521">
                  <c:v>6.7523578671608631E-2</c:v>
                </c:pt>
                <c:pt idx="522">
                  <c:v>3.1804555505266618E-2</c:v>
                </c:pt>
                <c:pt idx="523">
                  <c:v>-3.996009086743213E-2</c:v>
                </c:pt>
                <c:pt idx="524">
                  <c:v>-8.4766506366998895E-3</c:v>
                </c:pt>
                <c:pt idx="525">
                  <c:v>-1.903379829835139E-2</c:v>
                </c:pt>
                <c:pt idx="526">
                  <c:v>0.12809347868345644</c:v>
                </c:pt>
                <c:pt idx="527">
                  <c:v>1.3264280856897459E-2</c:v>
                </c:pt>
                <c:pt idx="528">
                  <c:v>-1.2407438097254642E-2</c:v>
                </c:pt>
                <c:pt idx="529">
                  <c:v>9.8321705366044565E-3</c:v>
                </c:pt>
                <c:pt idx="530">
                  <c:v>-6.6712564271114161E-3</c:v>
                </c:pt>
                <c:pt idx="531">
                  <c:v>2.3742135873799031E-2</c:v>
                </c:pt>
                <c:pt idx="532">
                  <c:v>-6.7092246197641869E-2</c:v>
                </c:pt>
                <c:pt idx="533">
                  <c:v>7.7923069204539841E-2</c:v>
                </c:pt>
                <c:pt idx="534">
                  <c:v>-8.73121532564054E-2</c:v>
                </c:pt>
                <c:pt idx="535">
                  <c:v>6.9543571087415934E-4</c:v>
                </c:pt>
                <c:pt idx="536">
                  <c:v>4.7876070825290107E-3</c:v>
                </c:pt>
                <c:pt idx="537">
                  <c:v>6.832154721218342E-2</c:v>
                </c:pt>
                <c:pt idx="538">
                  <c:v>8.9813690408699909E-2</c:v>
                </c:pt>
                <c:pt idx="539">
                  <c:v>2.9736988204314585E-2</c:v>
                </c:pt>
                <c:pt idx="540">
                  <c:v>1.4807676657650592E-2</c:v>
                </c:pt>
                <c:pt idx="541">
                  <c:v>-2.7225049744557528E-2</c:v>
                </c:pt>
                <c:pt idx="542">
                  <c:v>-1.4415592342230443E-2</c:v>
                </c:pt>
                <c:pt idx="543">
                  <c:v>4.0815702820153454E-2</c:v>
                </c:pt>
                <c:pt idx="544">
                  <c:v>-6.1719010339941205E-3</c:v>
                </c:pt>
                <c:pt idx="545">
                  <c:v>-8.9490368108088303E-3</c:v>
                </c:pt>
                <c:pt idx="546">
                  <c:v>-8.0979112243380058E-3</c:v>
                </c:pt>
                <c:pt idx="547">
                  <c:v>-2.1576451784709016E-2</c:v>
                </c:pt>
                <c:pt idx="548">
                  <c:v>-5.4633950751515892E-2</c:v>
                </c:pt>
                <c:pt idx="549">
                  <c:v>-1.7863113312337475E-3</c:v>
                </c:pt>
                <c:pt idx="550">
                  <c:v>0.10101757384182819</c:v>
                </c:pt>
                <c:pt idx="551">
                  <c:v>-8.0467826611456017E-2</c:v>
                </c:pt>
                <c:pt idx="552">
                  <c:v>-2.4121514405418987E-2</c:v>
                </c:pt>
                <c:pt idx="553">
                  <c:v>-2.2231619953715809E-2</c:v>
                </c:pt>
                <c:pt idx="554">
                  <c:v>-8.717882666273713E-4</c:v>
                </c:pt>
                <c:pt idx="555">
                  <c:v>7.5941601236591882E-2</c:v>
                </c:pt>
                <c:pt idx="556">
                  <c:v>1.6116461107539948E-2</c:v>
                </c:pt>
                <c:pt idx="557">
                  <c:v>-5.2005003121371796E-2</c:v>
                </c:pt>
                <c:pt idx="558">
                  <c:v>5.5033329026689781E-2</c:v>
                </c:pt>
                <c:pt idx="559">
                  <c:v>2.9422540151277321E-2</c:v>
                </c:pt>
                <c:pt idx="560">
                  <c:v>2.2703780024293074E-2</c:v>
                </c:pt>
                <c:pt idx="561">
                  <c:v>-3.1736564513205723E-2</c:v>
                </c:pt>
                <c:pt idx="562">
                  <c:v>-1.4904466104607272E-2</c:v>
                </c:pt>
                <c:pt idx="563">
                  <c:v>-5.9592785060258335E-2</c:v>
                </c:pt>
                <c:pt idx="564">
                  <c:v>2.0735838414226659E-2</c:v>
                </c:pt>
                <c:pt idx="565">
                  <c:v>-4.0146287336775277E-2</c:v>
                </c:pt>
                <c:pt idx="566">
                  <c:v>-2.5144380060859728E-4</c:v>
                </c:pt>
                <c:pt idx="567">
                  <c:v>9.5963152957183606E-3</c:v>
                </c:pt>
                <c:pt idx="568">
                  <c:v>-2.1751461318345822E-2</c:v>
                </c:pt>
                <c:pt idx="569">
                  <c:v>-1.706758723230406E-2</c:v>
                </c:pt>
                <c:pt idx="570">
                  <c:v>4.4242804218498355E-2</c:v>
                </c:pt>
                <c:pt idx="571">
                  <c:v>6.2045739256848531E-3</c:v>
                </c:pt>
                <c:pt idx="572">
                  <c:v>1.5222013777429932E-2</c:v>
                </c:pt>
                <c:pt idx="573">
                  <c:v>-2.1206391278317471E-2</c:v>
                </c:pt>
                <c:pt idx="574">
                  <c:v>4.5813916041113734E-2</c:v>
                </c:pt>
                <c:pt idx="575">
                  <c:v>1.2545184497181339E-3</c:v>
                </c:pt>
                <c:pt idx="576">
                  <c:v>0.12851342287774958</c:v>
                </c:pt>
                <c:pt idx="577">
                  <c:v>-1.5753938484621144E-2</c:v>
                </c:pt>
                <c:pt idx="578">
                  <c:v>4.5426531535823766E-3</c:v>
                </c:pt>
                <c:pt idx="579">
                  <c:v>-5.9485799771932468E-2</c:v>
                </c:pt>
                <c:pt idx="580">
                  <c:v>3.6077292417648454E-2</c:v>
                </c:pt>
                <c:pt idx="581">
                  <c:v>6.5125994908004525E-2</c:v>
                </c:pt>
                <c:pt idx="582">
                  <c:v>2.5761732486011324E-2</c:v>
                </c:pt>
                <c:pt idx="583">
                  <c:v>1.2685599877580778E-2</c:v>
                </c:pt>
                <c:pt idx="584">
                  <c:v>7.0938509191698085E-3</c:v>
                </c:pt>
                <c:pt idx="585">
                  <c:v>-1.1655895890842705E-2</c:v>
                </c:pt>
                <c:pt idx="586">
                  <c:v>3.1844819939037317E-2</c:v>
                </c:pt>
                <c:pt idx="587">
                  <c:v>2.453057842875217E-2</c:v>
                </c:pt>
                <c:pt idx="588">
                  <c:v>-2.3033669429466941E-2</c:v>
                </c:pt>
                <c:pt idx="589">
                  <c:v>-4.0499489159194768E-2</c:v>
                </c:pt>
                <c:pt idx="590">
                  <c:v>5.4651810017272373E-2</c:v>
                </c:pt>
                <c:pt idx="591">
                  <c:v>-0.12374504662240493</c:v>
                </c:pt>
                <c:pt idx="592">
                  <c:v>-7.2571368363971711E-3</c:v>
                </c:pt>
                <c:pt idx="593">
                  <c:v>-8.3989554135046607E-3</c:v>
                </c:pt>
                <c:pt idx="594">
                  <c:v>5.270330493025055E-3</c:v>
                </c:pt>
                <c:pt idx="595">
                  <c:v>-2.4528056076536964E-2</c:v>
                </c:pt>
                <c:pt idx="596">
                  <c:v>-5.7581073575518893E-4</c:v>
                </c:pt>
                <c:pt idx="597">
                  <c:v>-2.2982595280612639E-2</c:v>
                </c:pt>
                <c:pt idx="598">
                  <c:v>-3.6923038776009554E-2</c:v>
                </c:pt>
                <c:pt idx="599">
                  <c:v>3.6399552721670725E-2</c:v>
                </c:pt>
                <c:pt idx="600">
                  <c:v>-4.4738412390783244E-2</c:v>
                </c:pt>
                <c:pt idx="601">
                  <c:v>2.5529989028438838E-2</c:v>
                </c:pt>
                <c:pt idx="602">
                  <c:v>-5.2602588339795142E-3</c:v>
                </c:pt>
                <c:pt idx="603">
                  <c:v>-3.1830010242079765E-2</c:v>
                </c:pt>
                <c:pt idx="604">
                  <c:v>1.5377062596069857E-2</c:v>
                </c:pt>
                <c:pt idx="605">
                  <c:v>7.6749841169723165E-3</c:v>
                </c:pt>
                <c:pt idx="606">
                  <c:v>9.0105196922447561E-3</c:v>
                </c:pt>
                <c:pt idx="607">
                  <c:v>-6.1331333587834047E-3</c:v>
                </c:pt>
                <c:pt idx="608">
                  <c:v>2.9160000355930027E-3</c:v>
                </c:pt>
                <c:pt idx="609">
                  <c:v>1.7647659048332098E-2</c:v>
                </c:pt>
                <c:pt idx="610">
                  <c:v>-4.9300673919268845E-2</c:v>
                </c:pt>
                <c:pt idx="611">
                  <c:v>5.276511085003488E-3</c:v>
                </c:pt>
                <c:pt idx="612">
                  <c:v>1.4600022192274853E-3</c:v>
                </c:pt>
                <c:pt idx="613">
                  <c:v>5.2308250624626185E-2</c:v>
                </c:pt>
                <c:pt idx="614">
                  <c:v>-4.8421751964787374E-2</c:v>
                </c:pt>
                <c:pt idx="615">
                  <c:v>2.9082515624270888E-2</c:v>
                </c:pt>
                <c:pt idx="616">
                  <c:v>-5.5914970183466028E-3</c:v>
                </c:pt>
                <c:pt idx="617">
                  <c:v>1.0466758096040918E-2</c:v>
                </c:pt>
                <c:pt idx="618">
                  <c:v>-3.7880221650634649E-3</c:v>
                </c:pt>
                <c:pt idx="619">
                  <c:v>-1.4065525199542406E-2</c:v>
                </c:pt>
                <c:pt idx="620">
                  <c:v>2.6348127033116064E-2</c:v>
                </c:pt>
                <c:pt idx="621">
                  <c:v>-1.7192116941834756E-2</c:v>
                </c:pt>
                <c:pt idx="622">
                  <c:v>-4.0771403453445543E-2</c:v>
                </c:pt>
                <c:pt idx="623">
                  <c:v>2.8571342454779547E-3</c:v>
                </c:pt>
                <c:pt idx="624">
                  <c:v>-3.6580090529797493E-3</c:v>
                </c:pt>
                <c:pt idx="625">
                  <c:v>4.9528715795656986E-2</c:v>
                </c:pt>
                <c:pt idx="626">
                  <c:v>-7.5007755139999688E-3</c:v>
                </c:pt>
                <c:pt idx="627">
                  <c:v>-9.7264887855358362E-3</c:v>
                </c:pt>
                <c:pt idx="628">
                  <c:v>3.4770611636156801E-2</c:v>
                </c:pt>
                <c:pt idx="629">
                  <c:v>-1.6834226036797517E-2</c:v>
                </c:pt>
                <c:pt idx="630">
                  <c:v>7.2459411783849514E-2</c:v>
                </c:pt>
                <c:pt idx="631">
                  <c:v>7.1735501685403769E-2</c:v>
                </c:pt>
                <c:pt idx="632">
                  <c:v>-1.3638503166709781E-2</c:v>
                </c:pt>
                <c:pt idx="633">
                  <c:v>-9.7026559856020489E-3</c:v>
                </c:pt>
                <c:pt idx="634">
                  <c:v>-2.426968120903672E-2</c:v>
                </c:pt>
                <c:pt idx="635">
                  <c:v>7.3705130186274559E-4</c:v>
                </c:pt>
                <c:pt idx="636">
                  <c:v>-8.9876974526265863E-2</c:v>
                </c:pt>
                <c:pt idx="637">
                  <c:v>-5.3607427686129805E-3</c:v>
                </c:pt>
                <c:pt idx="638">
                  <c:v>0.15887594849552245</c:v>
                </c:pt>
                <c:pt idx="639">
                  <c:v>-2.1440321121899308E-2</c:v>
                </c:pt>
                <c:pt idx="640">
                  <c:v>2.0774211509859475E-2</c:v>
                </c:pt>
                <c:pt idx="641">
                  <c:v>1.859445418306005E-2</c:v>
                </c:pt>
                <c:pt idx="642">
                  <c:v>-4.5134606775075747E-3</c:v>
                </c:pt>
                <c:pt idx="643">
                  <c:v>8.7241514270460341E-2</c:v>
                </c:pt>
                <c:pt idx="644">
                  <c:v>-1.0730638614930954E-2</c:v>
                </c:pt>
                <c:pt idx="645">
                  <c:v>-1.5304263808217922E-3</c:v>
                </c:pt>
                <c:pt idx="646">
                  <c:v>3.5226351010908541E-3</c:v>
                </c:pt>
                <c:pt idx="647">
                  <c:v>-8.2263758423837152E-2</c:v>
                </c:pt>
                <c:pt idx="648">
                  <c:v>9.4455333078134807E-2</c:v>
                </c:pt>
                <c:pt idx="649">
                  <c:v>9.6948022337331574E-2</c:v>
                </c:pt>
                <c:pt idx="650">
                  <c:v>2.7968286893442995E-2</c:v>
                </c:pt>
                <c:pt idx="651">
                  <c:v>-0.11592694437653617</c:v>
                </c:pt>
                <c:pt idx="652">
                  <c:v>-4.1987804401985351E-2</c:v>
                </c:pt>
                <c:pt idx="653">
                  <c:v>6.8940539865935957E-2</c:v>
                </c:pt>
                <c:pt idx="654">
                  <c:v>-4.079236763109706E-2</c:v>
                </c:pt>
                <c:pt idx="655">
                  <c:v>-3.9720990217512409E-2</c:v>
                </c:pt>
                <c:pt idx="656">
                  <c:v>9.4473061406996628E-3</c:v>
                </c:pt>
                <c:pt idx="657">
                  <c:v>4.5529780734203662E-3</c:v>
                </c:pt>
                <c:pt idx="658">
                  <c:v>1.1135078387051189E-2</c:v>
                </c:pt>
                <c:pt idx="659">
                  <c:v>-4.1670118164946923E-2</c:v>
                </c:pt>
                <c:pt idx="660">
                  <c:v>6.2075757430257728E-3</c:v>
                </c:pt>
                <c:pt idx="661">
                  <c:v>-4.5451926364106221E-2</c:v>
                </c:pt>
                <c:pt idx="662">
                  <c:v>1.4880002509952472E-2</c:v>
                </c:pt>
                <c:pt idx="663">
                  <c:v>-2.1474483322672988E-2</c:v>
                </c:pt>
                <c:pt idx="664">
                  <c:v>-5.5424380586253097E-2</c:v>
                </c:pt>
                <c:pt idx="665">
                  <c:v>2.5540783632367114E-2</c:v>
                </c:pt>
                <c:pt idx="666">
                  <c:v>-6.402721997937344E-2</c:v>
                </c:pt>
                <c:pt idx="667">
                  <c:v>-3.0213961305546433E-2</c:v>
                </c:pt>
                <c:pt idx="668">
                  <c:v>-1.1601575004500542E-2</c:v>
                </c:pt>
                <c:pt idx="669">
                  <c:v>-6.9206910699592949E-2</c:v>
                </c:pt>
                <c:pt idx="670">
                  <c:v>-1.5042617724040364E-2</c:v>
                </c:pt>
                <c:pt idx="671">
                  <c:v>-0.10941418934045966</c:v>
                </c:pt>
                <c:pt idx="672">
                  <c:v>-5.7418273015160892E-2</c:v>
                </c:pt>
                <c:pt idx="673">
                  <c:v>-5.7929670492070651E-3</c:v>
                </c:pt>
                <c:pt idx="674">
                  <c:v>-6.8190077508093916E-2</c:v>
                </c:pt>
                <c:pt idx="675">
                  <c:v>-6.6634096692721578E-2</c:v>
                </c:pt>
                <c:pt idx="676">
                  <c:v>-2.4651897389633248E-2</c:v>
                </c:pt>
                <c:pt idx="677">
                  <c:v>0.11183254980047952</c:v>
                </c:pt>
                <c:pt idx="678">
                  <c:v>-1.3079814093025055E-2</c:v>
                </c:pt>
                <c:pt idx="679">
                  <c:v>2.8364722377383078E-3</c:v>
                </c:pt>
                <c:pt idx="680">
                  <c:v>3.3551179970374934E-2</c:v>
                </c:pt>
                <c:pt idx="681">
                  <c:v>1.9439440736658709E-2</c:v>
                </c:pt>
                <c:pt idx="682">
                  <c:v>-2.9482528877005754E-2</c:v>
                </c:pt>
                <c:pt idx="683">
                  <c:v>4.5495699246790755E-2</c:v>
                </c:pt>
                <c:pt idx="684">
                  <c:v>4.1554535364188849E-2</c:v>
                </c:pt>
                <c:pt idx="685">
                  <c:v>3.9413304429514184E-4</c:v>
                </c:pt>
                <c:pt idx="686">
                  <c:v>-6.5972037598492572E-2</c:v>
                </c:pt>
                <c:pt idx="687">
                  <c:v>2.5075019161096002E-2</c:v>
                </c:pt>
                <c:pt idx="688">
                  <c:v>1.7831803652158751E-2</c:v>
                </c:pt>
                <c:pt idx="689">
                  <c:v>-2.2056527777937984E-2</c:v>
                </c:pt>
                <c:pt idx="690">
                  <c:v>-2.5493813181253655E-2</c:v>
                </c:pt>
                <c:pt idx="691">
                  <c:v>-9.2953107650453837E-2</c:v>
                </c:pt>
                <c:pt idx="692">
                  <c:v>-2.2864792358969765E-3</c:v>
                </c:pt>
                <c:pt idx="693">
                  <c:v>-6.1201102473109614E-2</c:v>
                </c:pt>
                <c:pt idx="694">
                  <c:v>-2.635374975163407E-2</c:v>
                </c:pt>
                <c:pt idx="695">
                  <c:v>3.2879302712744751E-2</c:v>
                </c:pt>
                <c:pt idx="696">
                  <c:v>-6.0685803710786024E-3</c:v>
                </c:pt>
                <c:pt idx="697">
                  <c:v>-1.7539984446467982E-2</c:v>
                </c:pt>
                <c:pt idx="698">
                  <c:v>5.6497175141243527E-3</c:v>
                </c:pt>
                <c:pt idx="699">
                  <c:v>-3.4101164742803447E-2</c:v>
                </c:pt>
                <c:pt idx="700">
                  <c:v>-1.0469306518051003E-2</c:v>
                </c:pt>
                <c:pt idx="701">
                  <c:v>-1.2696194675341443E-2</c:v>
                </c:pt>
                <c:pt idx="702">
                  <c:v>-3.5422973775091293E-2</c:v>
                </c:pt>
                <c:pt idx="703">
                  <c:v>9.2766315164526603E-2</c:v>
                </c:pt>
                <c:pt idx="704">
                  <c:v>7.1448707587918214E-2</c:v>
                </c:pt>
                <c:pt idx="705">
                  <c:v>-1.9240874829749566E-2</c:v>
                </c:pt>
                <c:pt idx="706">
                  <c:v>-3.2625677101060679E-2</c:v>
                </c:pt>
                <c:pt idx="707">
                  <c:v>3.90043584793065E-2</c:v>
                </c:pt>
                <c:pt idx="708">
                  <c:v>-2.0802135773524077E-2</c:v>
                </c:pt>
                <c:pt idx="709">
                  <c:v>4.636560245133925E-2</c:v>
                </c:pt>
                <c:pt idx="710">
                  <c:v>1.3569889153982162E-2</c:v>
                </c:pt>
                <c:pt idx="711">
                  <c:v>1.2924870262968957E-2</c:v>
                </c:pt>
                <c:pt idx="712">
                  <c:v>-3.8076382682752263E-2</c:v>
                </c:pt>
                <c:pt idx="713">
                  <c:v>5.6072299661258596E-2</c:v>
                </c:pt>
                <c:pt idx="714">
                  <c:v>-1.4112031718856555E-2</c:v>
                </c:pt>
                <c:pt idx="715">
                  <c:v>-6.9285794005798151E-2</c:v>
                </c:pt>
                <c:pt idx="716">
                  <c:v>1.1016602670904208E-2</c:v>
                </c:pt>
                <c:pt idx="717">
                  <c:v>-3.8353654240361967E-2</c:v>
                </c:pt>
                <c:pt idx="718">
                  <c:v>2.2718365146657815E-2</c:v>
                </c:pt>
                <c:pt idx="719">
                  <c:v>-4.8376519141607233E-2</c:v>
                </c:pt>
                <c:pt idx="720">
                  <c:v>3.1469779330645542E-2</c:v>
                </c:pt>
                <c:pt idx="721">
                  <c:v>-9.2758359400607615E-3</c:v>
                </c:pt>
                <c:pt idx="722">
                  <c:v>-5.5950355319786316E-2</c:v>
                </c:pt>
                <c:pt idx="723">
                  <c:v>-1.4159459354994741E-2</c:v>
                </c:pt>
                <c:pt idx="724">
                  <c:v>-6.1571957708896008E-2</c:v>
                </c:pt>
                <c:pt idx="725">
                  <c:v>-7.6654891237402101E-2</c:v>
                </c:pt>
                <c:pt idx="726">
                  <c:v>-0.18072455665148712</c:v>
                </c:pt>
                <c:pt idx="727">
                  <c:v>0.22579816532404262</c:v>
                </c:pt>
                <c:pt idx="728">
                  <c:v>-4.3248078650722444E-2</c:v>
                </c:pt>
                <c:pt idx="729">
                  <c:v>-3.9307096836102895E-2</c:v>
                </c:pt>
                <c:pt idx="730">
                  <c:v>-2.3715636652130168E-2</c:v>
                </c:pt>
                <c:pt idx="731">
                  <c:v>-3.1897617734252259E-2</c:v>
                </c:pt>
                <c:pt idx="732">
                  <c:v>8.4335392201586368E-2</c:v>
                </c:pt>
                <c:pt idx="733">
                  <c:v>1.6560739199585006E-2</c:v>
                </c:pt>
                <c:pt idx="734">
                  <c:v>-5.6654496626421857E-2</c:v>
                </c:pt>
                <c:pt idx="735">
                  <c:v>1.1563787581545526E-3</c:v>
                </c:pt>
                <c:pt idx="736">
                  <c:v>6.3221982714303238E-2</c:v>
                </c:pt>
                <c:pt idx="737">
                  <c:v>-1.1950525586620908E-2</c:v>
                </c:pt>
                <c:pt idx="738">
                  <c:v>-6.6706030957648377E-3</c:v>
                </c:pt>
                <c:pt idx="739">
                  <c:v>1.9039199584093058E-2</c:v>
                </c:pt>
                <c:pt idx="740">
                  <c:v>6.4088683744049524E-2</c:v>
                </c:pt>
                <c:pt idx="741">
                  <c:v>-1.0004091440580787E-2</c:v>
                </c:pt>
                <c:pt idx="742">
                  <c:v>6.8398961055524676E-2</c:v>
                </c:pt>
                <c:pt idx="743">
                  <c:v>6.5950328920078904E-2</c:v>
                </c:pt>
                <c:pt idx="744">
                  <c:v>-6.4646535724327769E-2</c:v>
                </c:pt>
                <c:pt idx="745">
                  <c:v>6.220959584396657E-2</c:v>
                </c:pt>
                <c:pt idx="746">
                  <c:v>-6.1360909653692342E-2</c:v>
                </c:pt>
                <c:pt idx="747">
                  <c:v>-8.1423960071553392E-2</c:v>
                </c:pt>
                <c:pt idx="748">
                  <c:v>7.2082834410418739E-2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F5-1442-B930-7A7F8971F13C}"/>
            </c:ext>
          </c:extLst>
        </c:ser>
        <c:ser>
          <c:idx val="2"/>
          <c:order val="2"/>
          <c:tx>
            <c:strRef>
              <c:f>Rendimientos!$D$1</c:f>
              <c:strCache>
                <c:ptCount val="1"/>
                <c:pt idx="0">
                  <c:v>NKER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Rendimientos!$A$2:$A$750</c:f>
              <c:numCache>
                <c:formatCode>m/d/yy</c:formatCode>
                <c:ptCount val="749"/>
                <c:pt idx="0">
                  <c:v>44999</c:v>
                </c:pt>
                <c:pt idx="1">
                  <c:v>45000</c:v>
                </c:pt>
                <c:pt idx="2">
                  <c:v>45001</c:v>
                </c:pt>
                <c:pt idx="3">
                  <c:v>45002</c:v>
                </c:pt>
                <c:pt idx="4">
                  <c:v>45006</c:v>
                </c:pt>
                <c:pt idx="5">
                  <c:v>45007</c:v>
                </c:pt>
                <c:pt idx="6">
                  <c:v>45008</c:v>
                </c:pt>
                <c:pt idx="7">
                  <c:v>45009</c:v>
                </c:pt>
                <c:pt idx="8">
                  <c:v>45012</c:v>
                </c:pt>
                <c:pt idx="9">
                  <c:v>45013</c:v>
                </c:pt>
                <c:pt idx="10">
                  <c:v>45014</c:v>
                </c:pt>
                <c:pt idx="11">
                  <c:v>45015</c:v>
                </c:pt>
                <c:pt idx="12">
                  <c:v>45016</c:v>
                </c:pt>
                <c:pt idx="13">
                  <c:v>45019</c:v>
                </c:pt>
                <c:pt idx="14">
                  <c:v>45020</c:v>
                </c:pt>
                <c:pt idx="15">
                  <c:v>45021</c:v>
                </c:pt>
                <c:pt idx="16">
                  <c:v>45026</c:v>
                </c:pt>
                <c:pt idx="17">
                  <c:v>45027</c:v>
                </c:pt>
                <c:pt idx="18">
                  <c:v>45028</c:v>
                </c:pt>
                <c:pt idx="19">
                  <c:v>45029</c:v>
                </c:pt>
                <c:pt idx="20">
                  <c:v>45030</c:v>
                </c:pt>
                <c:pt idx="21">
                  <c:v>45033</c:v>
                </c:pt>
                <c:pt idx="22">
                  <c:v>45034</c:v>
                </c:pt>
                <c:pt idx="23">
                  <c:v>45035</c:v>
                </c:pt>
                <c:pt idx="24">
                  <c:v>45036</c:v>
                </c:pt>
                <c:pt idx="25">
                  <c:v>45037</c:v>
                </c:pt>
                <c:pt idx="26">
                  <c:v>45040</c:v>
                </c:pt>
                <c:pt idx="27">
                  <c:v>45041</c:v>
                </c:pt>
                <c:pt idx="28">
                  <c:v>45042</c:v>
                </c:pt>
                <c:pt idx="29">
                  <c:v>45043</c:v>
                </c:pt>
                <c:pt idx="30">
                  <c:v>45044</c:v>
                </c:pt>
                <c:pt idx="31">
                  <c:v>45048</c:v>
                </c:pt>
                <c:pt idx="32">
                  <c:v>45049</c:v>
                </c:pt>
                <c:pt idx="33">
                  <c:v>45050</c:v>
                </c:pt>
                <c:pt idx="34">
                  <c:v>45051</c:v>
                </c:pt>
                <c:pt idx="35">
                  <c:v>45054</c:v>
                </c:pt>
                <c:pt idx="36">
                  <c:v>45055</c:v>
                </c:pt>
                <c:pt idx="37">
                  <c:v>45056</c:v>
                </c:pt>
                <c:pt idx="38">
                  <c:v>45057</c:v>
                </c:pt>
                <c:pt idx="39">
                  <c:v>45058</c:v>
                </c:pt>
                <c:pt idx="40">
                  <c:v>45061</c:v>
                </c:pt>
                <c:pt idx="41">
                  <c:v>45062</c:v>
                </c:pt>
                <c:pt idx="42">
                  <c:v>45063</c:v>
                </c:pt>
                <c:pt idx="43">
                  <c:v>45064</c:v>
                </c:pt>
                <c:pt idx="44">
                  <c:v>45065</c:v>
                </c:pt>
                <c:pt idx="45">
                  <c:v>45068</c:v>
                </c:pt>
                <c:pt idx="46">
                  <c:v>45069</c:v>
                </c:pt>
                <c:pt idx="47">
                  <c:v>45070</c:v>
                </c:pt>
                <c:pt idx="48">
                  <c:v>45071</c:v>
                </c:pt>
                <c:pt idx="49">
                  <c:v>45072</c:v>
                </c:pt>
                <c:pt idx="50">
                  <c:v>45075</c:v>
                </c:pt>
                <c:pt idx="51">
                  <c:v>45076</c:v>
                </c:pt>
                <c:pt idx="52">
                  <c:v>45077</c:v>
                </c:pt>
                <c:pt idx="53">
                  <c:v>45078</c:v>
                </c:pt>
                <c:pt idx="54">
                  <c:v>45079</c:v>
                </c:pt>
                <c:pt idx="55">
                  <c:v>45082</c:v>
                </c:pt>
                <c:pt idx="56">
                  <c:v>45083</c:v>
                </c:pt>
                <c:pt idx="57">
                  <c:v>45084</c:v>
                </c:pt>
                <c:pt idx="58">
                  <c:v>45085</c:v>
                </c:pt>
                <c:pt idx="59">
                  <c:v>45086</c:v>
                </c:pt>
                <c:pt idx="60">
                  <c:v>45089</c:v>
                </c:pt>
                <c:pt idx="61">
                  <c:v>45090</c:v>
                </c:pt>
                <c:pt idx="62">
                  <c:v>45091</c:v>
                </c:pt>
                <c:pt idx="63">
                  <c:v>45092</c:v>
                </c:pt>
                <c:pt idx="64">
                  <c:v>45093</c:v>
                </c:pt>
                <c:pt idx="65">
                  <c:v>45096</c:v>
                </c:pt>
                <c:pt idx="66">
                  <c:v>45097</c:v>
                </c:pt>
                <c:pt idx="67">
                  <c:v>45098</c:v>
                </c:pt>
                <c:pt idx="68">
                  <c:v>45099</c:v>
                </c:pt>
                <c:pt idx="69">
                  <c:v>45100</c:v>
                </c:pt>
                <c:pt idx="70">
                  <c:v>45103</c:v>
                </c:pt>
                <c:pt idx="71">
                  <c:v>45104</c:v>
                </c:pt>
                <c:pt idx="72">
                  <c:v>45105</c:v>
                </c:pt>
                <c:pt idx="73">
                  <c:v>45106</c:v>
                </c:pt>
                <c:pt idx="74">
                  <c:v>45107</c:v>
                </c:pt>
                <c:pt idx="75">
                  <c:v>45110</c:v>
                </c:pt>
                <c:pt idx="76">
                  <c:v>45111</c:v>
                </c:pt>
                <c:pt idx="77">
                  <c:v>45112</c:v>
                </c:pt>
                <c:pt idx="78">
                  <c:v>45113</c:v>
                </c:pt>
                <c:pt idx="79">
                  <c:v>45114</c:v>
                </c:pt>
                <c:pt idx="80">
                  <c:v>45117</c:v>
                </c:pt>
                <c:pt idx="81">
                  <c:v>45118</c:v>
                </c:pt>
                <c:pt idx="82">
                  <c:v>45119</c:v>
                </c:pt>
                <c:pt idx="83">
                  <c:v>45120</c:v>
                </c:pt>
                <c:pt idx="84">
                  <c:v>45121</c:v>
                </c:pt>
                <c:pt idx="85">
                  <c:v>45124</c:v>
                </c:pt>
                <c:pt idx="86">
                  <c:v>45125</c:v>
                </c:pt>
                <c:pt idx="87">
                  <c:v>45126</c:v>
                </c:pt>
                <c:pt idx="88">
                  <c:v>45127</c:v>
                </c:pt>
                <c:pt idx="89">
                  <c:v>45128</c:v>
                </c:pt>
                <c:pt idx="90">
                  <c:v>45131</c:v>
                </c:pt>
                <c:pt idx="91">
                  <c:v>45132</c:v>
                </c:pt>
                <c:pt idx="92">
                  <c:v>45133</c:v>
                </c:pt>
                <c:pt idx="93">
                  <c:v>45134</c:v>
                </c:pt>
                <c:pt idx="94">
                  <c:v>45135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45145</c:v>
                </c:pt>
                <c:pt idx="101">
                  <c:v>45146</c:v>
                </c:pt>
                <c:pt idx="102">
                  <c:v>45147</c:v>
                </c:pt>
                <c:pt idx="103">
                  <c:v>45148</c:v>
                </c:pt>
                <c:pt idx="104">
                  <c:v>45149</c:v>
                </c:pt>
                <c:pt idx="105">
                  <c:v>45152</c:v>
                </c:pt>
                <c:pt idx="106">
                  <c:v>45153</c:v>
                </c:pt>
                <c:pt idx="107">
                  <c:v>45154</c:v>
                </c:pt>
                <c:pt idx="108">
                  <c:v>45155</c:v>
                </c:pt>
                <c:pt idx="109">
                  <c:v>45156</c:v>
                </c:pt>
                <c:pt idx="110">
                  <c:v>45159</c:v>
                </c:pt>
                <c:pt idx="111">
                  <c:v>45160</c:v>
                </c:pt>
                <c:pt idx="112">
                  <c:v>45161</c:v>
                </c:pt>
                <c:pt idx="113">
                  <c:v>45162</c:v>
                </c:pt>
                <c:pt idx="114">
                  <c:v>45163</c:v>
                </c:pt>
                <c:pt idx="115">
                  <c:v>45166</c:v>
                </c:pt>
                <c:pt idx="116">
                  <c:v>45167</c:v>
                </c:pt>
                <c:pt idx="117">
                  <c:v>45168</c:v>
                </c:pt>
                <c:pt idx="118">
                  <c:v>45169</c:v>
                </c:pt>
                <c:pt idx="119">
                  <c:v>45170</c:v>
                </c:pt>
                <c:pt idx="120">
                  <c:v>45173</c:v>
                </c:pt>
                <c:pt idx="121">
                  <c:v>45174</c:v>
                </c:pt>
                <c:pt idx="122">
                  <c:v>45175</c:v>
                </c:pt>
                <c:pt idx="123">
                  <c:v>45176</c:v>
                </c:pt>
                <c:pt idx="124">
                  <c:v>45177</c:v>
                </c:pt>
                <c:pt idx="125">
                  <c:v>45180</c:v>
                </c:pt>
                <c:pt idx="126">
                  <c:v>45181</c:v>
                </c:pt>
                <c:pt idx="127">
                  <c:v>45182</c:v>
                </c:pt>
                <c:pt idx="128">
                  <c:v>45183</c:v>
                </c:pt>
                <c:pt idx="129">
                  <c:v>45184</c:v>
                </c:pt>
                <c:pt idx="130">
                  <c:v>45187</c:v>
                </c:pt>
                <c:pt idx="131">
                  <c:v>45188</c:v>
                </c:pt>
                <c:pt idx="132">
                  <c:v>45189</c:v>
                </c:pt>
                <c:pt idx="133">
                  <c:v>45190</c:v>
                </c:pt>
                <c:pt idx="134">
                  <c:v>45191</c:v>
                </c:pt>
                <c:pt idx="135">
                  <c:v>45194</c:v>
                </c:pt>
                <c:pt idx="136">
                  <c:v>45195</c:v>
                </c:pt>
                <c:pt idx="137">
                  <c:v>45196</c:v>
                </c:pt>
                <c:pt idx="138">
                  <c:v>45197</c:v>
                </c:pt>
                <c:pt idx="139">
                  <c:v>45198</c:v>
                </c:pt>
                <c:pt idx="140">
                  <c:v>45201</c:v>
                </c:pt>
                <c:pt idx="141">
                  <c:v>45202</c:v>
                </c:pt>
                <c:pt idx="142">
                  <c:v>45203</c:v>
                </c:pt>
                <c:pt idx="143">
                  <c:v>45204</c:v>
                </c:pt>
                <c:pt idx="144">
                  <c:v>45205</c:v>
                </c:pt>
                <c:pt idx="145">
                  <c:v>45208</c:v>
                </c:pt>
                <c:pt idx="146">
                  <c:v>45209</c:v>
                </c:pt>
                <c:pt idx="147">
                  <c:v>45210</c:v>
                </c:pt>
                <c:pt idx="148">
                  <c:v>45211</c:v>
                </c:pt>
                <c:pt idx="149">
                  <c:v>45212</c:v>
                </c:pt>
                <c:pt idx="150">
                  <c:v>45215</c:v>
                </c:pt>
                <c:pt idx="151">
                  <c:v>45216</c:v>
                </c:pt>
                <c:pt idx="152">
                  <c:v>45217</c:v>
                </c:pt>
                <c:pt idx="153">
                  <c:v>45218</c:v>
                </c:pt>
                <c:pt idx="154">
                  <c:v>45219</c:v>
                </c:pt>
                <c:pt idx="155">
                  <c:v>45222</c:v>
                </c:pt>
                <c:pt idx="156">
                  <c:v>45223</c:v>
                </c:pt>
                <c:pt idx="157">
                  <c:v>45224</c:v>
                </c:pt>
                <c:pt idx="158">
                  <c:v>45225</c:v>
                </c:pt>
                <c:pt idx="159">
                  <c:v>45226</c:v>
                </c:pt>
                <c:pt idx="160">
                  <c:v>45229</c:v>
                </c:pt>
                <c:pt idx="161">
                  <c:v>45230</c:v>
                </c:pt>
                <c:pt idx="162">
                  <c:v>45231</c:v>
                </c:pt>
                <c:pt idx="163">
                  <c:v>45233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45243</c:v>
                </c:pt>
                <c:pt idx="170">
                  <c:v>45244</c:v>
                </c:pt>
                <c:pt idx="171">
                  <c:v>45245</c:v>
                </c:pt>
                <c:pt idx="172">
                  <c:v>45246</c:v>
                </c:pt>
                <c:pt idx="173">
                  <c:v>45247</c:v>
                </c:pt>
                <c:pt idx="174">
                  <c:v>45251</c:v>
                </c:pt>
                <c:pt idx="175">
                  <c:v>45252</c:v>
                </c:pt>
                <c:pt idx="176">
                  <c:v>45253</c:v>
                </c:pt>
                <c:pt idx="177">
                  <c:v>45254</c:v>
                </c:pt>
                <c:pt idx="178">
                  <c:v>45257</c:v>
                </c:pt>
                <c:pt idx="179">
                  <c:v>45258</c:v>
                </c:pt>
                <c:pt idx="180">
                  <c:v>45259</c:v>
                </c:pt>
                <c:pt idx="181">
                  <c:v>45260</c:v>
                </c:pt>
                <c:pt idx="182">
                  <c:v>45261</c:v>
                </c:pt>
                <c:pt idx="183">
                  <c:v>45264</c:v>
                </c:pt>
                <c:pt idx="184">
                  <c:v>45265</c:v>
                </c:pt>
                <c:pt idx="185">
                  <c:v>45266</c:v>
                </c:pt>
                <c:pt idx="186">
                  <c:v>45267</c:v>
                </c:pt>
                <c:pt idx="187">
                  <c:v>45268</c:v>
                </c:pt>
                <c:pt idx="188">
                  <c:v>45271</c:v>
                </c:pt>
                <c:pt idx="189">
                  <c:v>45273</c:v>
                </c:pt>
                <c:pt idx="190">
                  <c:v>45274</c:v>
                </c:pt>
                <c:pt idx="191">
                  <c:v>45275</c:v>
                </c:pt>
                <c:pt idx="192">
                  <c:v>45278</c:v>
                </c:pt>
                <c:pt idx="193">
                  <c:v>45279</c:v>
                </c:pt>
                <c:pt idx="194">
                  <c:v>45280</c:v>
                </c:pt>
                <c:pt idx="195">
                  <c:v>45281</c:v>
                </c:pt>
                <c:pt idx="196">
                  <c:v>45282</c:v>
                </c:pt>
                <c:pt idx="197">
                  <c:v>45286</c:v>
                </c:pt>
                <c:pt idx="198">
                  <c:v>45287</c:v>
                </c:pt>
                <c:pt idx="199">
                  <c:v>45288</c:v>
                </c:pt>
                <c:pt idx="200">
                  <c:v>45289</c:v>
                </c:pt>
                <c:pt idx="201">
                  <c:v>45293</c:v>
                </c:pt>
                <c:pt idx="202">
                  <c:v>45294</c:v>
                </c:pt>
                <c:pt idx="203">
                  <c:v>45295</c:v>
                </c:pt>
                <c:pt idx="204">
                  <c:v>45296</c:v>
                </c:pt>
                <c:pt idx="205">
                  <c:v>45299</c:v>
                </c:pt>
                <c:pt idx="206">
                  <c:v>45300</c:v>
                </c:pt>
                <c:pt idx="207">
                  <c:v>45301</c:v>
                </c:pt>
                <c:pt idx="208">
                  <c:v>45302</c:v>
                </c:pt>
                <c:pt idx="209">
                  <c:v>45303</c:v>
                </c:pt>
                <c:pt idx="210">
                  <c:v>45306</c:v>
                </c:pt>
                <c:pt idx="211">
                  <c:v>45307</c:v>
                </c:pt>
                <c:pt idx="212">
                  <c:v>45308</c:v>
                </c:pt>
                <c:pt idx="213">
                  <c:v>45309</c:v>
                </c:pt>
                <c:pt idx="214">
                  <c:v>45310</c:v>
                </c:pt>
                <c:pt idx="215">
                  <c:v>45313</c:v>
                </c:pt>
                <c:pt idx="216">
                  <c:v>45314</c:v>
                </c:pt>
                <c:pt idx="217">
                  <c:v>45315</c:v>
                </c:pt>
                <c:pt idx="218">
                  <c:v>45316</c:v>
                </c:pt>
                <c:pt idx="219">
                  <c:v>45317</c:v>
                </c:pt>
                <c:pt idx="220">
                  <c:v>45320</c:v>
                </c:pt>
                <c:pt idx="221">
                  <c:v>45321</c:v>
                </c:pt>
                <c:pt idx="222">
                  <c:v>45322</c:v>
                </c:pt>
                <c:pt idx="223">
                  <c:v>45323</c:v>
                </c:pt>
                <c:pt idx="224">
                  <c:v>45324</c:v>
                </c:pt>
                <c:pt idx="225">
                  <c:v>45328</c:v>
                </c:pt>
                <c:pt idx="226">
                  <c:v>45329</c:v>
                </c:pt>
                <c:pt idx="227">
                  <c:v>45330</c:v>
                </c:pt>
                <c:pt idx="228">
                  <c:v>45331</c:v>
                </c:pt>
                <c:pt idx="229">
                  <c:v>45334</c:v>
                </c:pt>
                <c:pt idx="230">
                  <c:v>45335</c:v>
                </c:pt>
                <c:pt idx="231">
                  <c:v>45336</c:v>
                </c:pt>
                <c:pt idx="232">
                  <c:v>45337</c:v>
                </c:pt>
                <c:pt idx="233">
                  <c:v>45338</c:v>
                </c:pt>
                <c:pt idx="234">
                  <c:v>45341</c:v>
                </c:pt>
                <c:pt idx="235">
                  <c:v>45342</c:v>
                </c:pt>
                <c:pt idx="236">
                  <c:v>45343</c:v>
                </c:pt>
                <c:pt idx="237">
                  <c:v>45344</c:v>
                </c:pt>
                <c:pt idx="238">
                  <c:v>45345</c:v>
                </c:pt>
                <c:pt idx="239">
                  <c:v>45348</c:v>
                </c:pt>
                <c:pt idx="240">
                  <c:v>45349</c:v>
                </c:pt>
                <c:pt idx="241">
                  <c:v>45350</c:v>
                </c:pt>
                <c:pt idx="242">
                  <c:v>45351</c:v>
                </c:pt>
                <c:pt idx="243">
                  <c:v>45352</c:v>
                </c:pt>
                <c:pt idx="244">
                  <c:v>45355</c:v>
                </c:pt>
                <c:pt idx="245">
                  <c:v>45356</c:v>
                </c:pt>
                <c:pt idx="246">
                  <c:v>45357</c:v>
                </c:pt>
                <c:pt idx="247">
                  <c:v>45358</c:v>
                </c:pt>
                <c:pt idx="248">
                  <c:v>45359</c:v>
                </c:pt>
                <c:pt idx="249">
                  <c:v>45362</c:v>
                </c:pt>
                <c:pt idx="250">
                  <c:v>45363</c:v>
                </c:pt>
                <c:pt idx="251">
                  <c:v>45364</c:v>
                </c:pt>
                <c:pt idx="252">
                  <c:v>45365</c:v>
                </c:pt>
                <c:pt idx="253">
                  <c:v>45366</c:v>
                </c:pt>
                <c:pt idx="254">
                  <c:v>45370</c:v>
                </c:pt>
                <c:pt idx="255">
                  <c:v>45371</c:v>
                </c:pt>
                <c:pt idx="256">
                  <c:v>45372</c:v>
                </c:pt>
                <c:pt idx="257">
                  <c:v>45373</c:v>
                </c:pt>
                <c:pt idx="258">
                  <c:v>45376</c:v>
                </c:pt>
                <c:pt idx="259">
                  <c:v>45377</c:v>
                </c:pt>
                <c:pt idx="260">
                  <c:v>45378</c:v>
                </c:pt>
                <c:pt idx="261">
                  <c:v>45383</c:v>
                </c:pt>
                <c:pt idx="262">
                  <c:v>45384</c:v>
                </c:pt>
                <c:pt idx="263">
                  <c:v>45385</c:v>
                </c:pt>
                <c:pt idx="264">
                  <c:v>45386</c:v>
                </c:pt>
                <c:pt idx="265">
                  <c:v>45387</c:v>
                </c:pt>
                <c:pt idx="266">
                  <c:v>45390</c:v>
                </c:pt>
                <c:pt idx="267">
                  <c:v>45391</c:v>
                </c:pt>
                <c:pt idx="268">
                  <c:v>45392</c:v>
                </c:pt>
                <c:pt idx="269">
                  <c:v>45393</c:v>
                </c:pt>
                <c:pt idx="270">
                  <c:v>45394</c:v>
                </c:pt>
                <c:pt idx="271">
                  <c:v>45397</c:v>
                </c:pt>
                <c:pt idx="272">
                  <c:v>45398</c:v>
                </c:pt>
                <c:pt idx="273">
                  <c:v>45399</c:v>
                </c:pt>
                <c:pt idx="274">
                  <c:v>45400</c:v>
                </c:pt>
                <c:pt idx="275">
                  <c:v>45401</c:v>
                </c:pt>
                <c:pt idx="276">
                  <c:v>45404</c:v>
                </c:pt>
                <c:pt idx="277">
                  <c:v>45405</c:v>
                </c:pt>
                <c:pt idx="278">
                  <c:v>45406</c:v>
                </c:pt>
                <c:pt idx="279">
                  <c:v>45407</c:v>
                </c:pt>
                <c:pt idx="280">
                  <c:v>45408</c:v>
                </c:pt>
                <c:pt idx="281">
                  <c:v>45411</c:v>
                </c:pt>
                <c:pt idx="282">
                  <c:v>45412</c:v>
                </c:pt>
                <c:pt idx="283">
                  <c:v>45414</c:v>
                </c:pt>
                <c:pt idx="284">
                  <c:v>45415</c:v>
                </c:pt>
                <c:pt idx="285">
                  <c:v>45418</c:v>
                </c:pt>
                <c:pt idx="286">
                  <c:v>45419</c:v>
                </c:pt>
                <c:pt idx="287">
                  <c:v>45420</c:v>
                </c:pt>
                <c:pt idx="288">
                  <c:v>45421</c:v>
                </c:pt>
                <c:pt idx="289">
                  <c:v>45422</c:v>
                </c:pt>
                <c:pt idx="290">
                  <c:v>45425</c:v>
                </c:pt>
                <c:pt idx="291">
                  <c:v>45426</c:v>
                </c:pt>
                <c:pt idx="292">
                  <c:v>45427</c:v>
                </c:pt>
                <c:pt idx="293">
                  <c:v>45428</c:v>
                </c:pt>
                <c:pt idx="294">
                  <c:v>45429</c:v>
                </c:pt>
                <c:pt idx="295">
                  <c:v>45432</c:v>
                </c:pt>
                <c:pt idx="296">
                  <c:v>45433</c:v>
                </c:pt>
                <c:pt idx="297">
                  <c:v>45434</c:v>
                </c:pt>
                <c:pt idx="298">
                  <c:v>45435</c:v>
                </c:pt>
                <c:pt idx="299">
                  <c:v>45436</c:v>
                </c:pt>
                <c:pt idx="300">
                  <c:v>45439</c:v>
                </c:pt>
                <c:pt idx="301">
                  <c:v>45440</c:v>
                </c:pt>
                <c:pt idx="302">
                  <c:v>45441</c:v>
                </c:pt>
                <c:pt idx="303">
                  <c:v>45442</c:v>
                </c:pt>
                <c:pt idx="304">
                  <c:v>45443</c:v>
                </c:pt>
                <c:pt idx="305">
                  <c:v>45446</c:v>
                </c:pt>
                <c:pt idx="306">
                  <c:v>45447</c:v>
                </c:pt>
                <c:pt idx="307">
                  <c:v>45448</c:v>
                </c:pt>
                <c:pt idx="308">
                  <c:v>45449</c:v>
                </c:pt>
                <c:pt idx="309">
                  <c:v>45450</c:v>
                </c:pt>
                <c:pt idx="310">
                  <c:v>45453</c:v>
                </c:pt>
                <c:pt idx="311">
                  <c:v>45454</c:v>
                </c:pt>
                <c:pt idx="312">
                  <c:v>45455</c:v>
                </c:pt>
                <c:pt idx="313">
                  <c:v>45456</c:v>
                </c:pt>
                <c:pt idx="314">
                  <c:v>45457</c:v>
                </c:pt>
                <c:pt idx="315">
                  <c:v>45460</c:v>
                </c:pt>
                <c:pt idx="316">
                  <c:v>45461</c:v>
                </c:pt>
                <c:pt idx="317">
                  <c:v>45462</c:v>
                </c:pt>
                <c:pt idx="318">
                  <c:v>45463</c:v>
                </c:pt>
                <c:pt idx="319">
                  <c:v>45464</c:v>
                </c:pt>
                <c:pt idx="320">
                  <c:v>45467</c:v>
                </c:pt>
                <c:pt idx="321">
                  <c:v>45468</c:v>
                </c:pt>
                <c:pt idx="322">
                  <c:v>45469</c:v>
                </c:pt>
                <c:pt idx="323">
                  <c:v>45470</c:v>
                </c:pt>
                <c:pt idx="324">
                  <c:v>45471</c:v>
                </c:pt>
                <c:pt idx="325">
                  <c:v>45474</c:v>
                </c:pt>
                <c:pt idx="326">
                  <c:v>45475</c:v>
                </c:pt>
                <c:pt idx="327">
                  <c:v>45476</c:v>
                </c:pt>
                <c:pt idx="328">
                  <c:v>45477</c:v>
                </c:pt>
                <c:pt idx="329">
                  <c:v>45478</c:v>
                </c:pt>
                <c:pt idx="330">
                  <c:v>45481</c:v>
                </c:pt>
                <c:pt idx="331">
                  <c:v>45482</c:v>
                </c:pt>
                <c:pt idx="332">
                  <c:v>45483</c:v>
                </c:pt>
                <c:pt idx="333">
                  <c:v>45484</c:v>
                </c:pt>
                <c:pt idx="334">
                  <c:v>45485</c:v>
                </c:pt>
                <c:pt idx="335">
                  <c:v>45488</c:v>
                </c:pt>
                <c:pt idx="336">
                  <c:v>45489</c:v>
                </c:pt>
                <c:pt idx="337">
                  <c:v>45490</c:v>
                </c:pt>
                <c:pt idx="338">
                  <c:v>45491</c:v>
                </c:pt>
                <c:pt idx="339">
                  <c:v>45492</c:v>
                </c:pt>
                <c:pt idx="340">
                  <c:v>45495</c:v>
                </c:pt>
                <c:pt idx="341">
                  <c:v>45496</c:v>
                </c:pt>
                <c:pt idx="342">
                  <c:v>45497</c:v>
                </c:pt>
                <c:pt idx="343">
                  <c:v>45498</c:v>
                </c:pt>
                <c:pt idx="344">
                  <c:v>45499</c:v>
                </c:pt>
                <c:pt idx="345">
                  <c:v>45502</c:v>
                </c:pt>
                <c:pt idx="346">
                  <c:v>45503</c:v>
                </c:pt>
                <c:pt idx="347">
                  <c:v>45504</c:v>
                </c:pt>
                <c:pt idx="348">
                  <c:v>45505</c:v>
                </c:pt>
                <c:pt idx="349">
                  <c:v>45506</c:v>
                </c:pt>
                <c:pt idx="350">
                  <c:v>45509</c:v>
                </c:pt>
                <c:pt idx="351">
                  <c:v>45510</c:v>
                </c:pt>
                <c:pt idx="352">
                  <c:v>45511</c:v>
                </c:pt>
                <c:pt idx="353">
                  <c:v>45512</c:v>
                </c:pt>
                <c:pt idx="354">
                  <c:v>45513</c:v>
                </c:pt>
                <c:pt idx="355">
                  <c:v>45516</c:v>
                </c:pt>
                <c:pt idx="356">
                  <c:v>45517</c:v>
                </c:pt>
                <c:pt idx="357">
                  <c:v>45518</c:v>
                </c:pt>
                <c:pt idx="358">
                  <c:v>45519</c:v>
                </c:pt>
                <c:pt idx="359">
                  <c:v>45520</c:v>
                </c:pt>
                <c:pt idx="360">
                  <c:v>45523</c:v>
                </c:pt>
                <c:pt idx="361">
                  <c:v>45524</c:v>
                </c:pt>
                <c:pt idx="362">
                  <c:v>45525</c:v>
                </c:pt>
                <c:pt idx="363">
                  <c:v>45526</c:v>
                </c:pt>
                <c:pt idx="364">
                  <c:v>45527</c:v>
                </c:pt>
                <c:pt idx="365">
                  <c:v>45530</c:v>
                </c:pt>
                <c:pt idx="366">
                  <c:v>45531</c:v>
                </c:pt>
                <c:pt idx="367">
                  <c:v>45532</c:v>
                </c:pt>
                <c:pt idx="368">
                  <c:v>45533</c:v>
                </c:pt>
                <c:pt idx="369">
                  <c:v>45534</c:v>
                </c:pt>
                <c:pt idx="370">
                  <c:v>45537</c:v>
                </c:pt>
                <c:pt idx="371">
                  <c:v>45538</c:v>
                </c:pt>
                <c:pt idx="372">
                  <c:v>45539</c:v>
                </c:pt>
                <c:pt idx="373">
                  <c:v>45540</c:v>
                </c:pt>
                <c:pt idx="374">
                  <c:v>45541</c:v>
                </c:pt>
                <c:pt idx="375">
                  <c:v>45544</c:v>
                </c:pt>
                <c:pt idx="376">
                  <c:v>45545</c:v>
                </c:pt>
                <c:pt idx="377">
                  <c:v>45546</c:v>
                </c:pt>
                <c:pt idx="378">
                  <c:v>45547</c:v>
                </c:pt>
                <c:pt idx="379">
                  <c:v>45548</c:v>
                </c:pt>
                <c:pt idx="380">
                  <c:v>45552</c:v>
                </c:pt>
                <c:pt idx="381">
                  <c:v>45553</c:v>
                </c:pt>
                <c:pt idx="382">
                  <c:v>45554</c:v>
                </c:pt>
                <c:pt idx="383">
                  <c:v>45555</c:v>
                </c:pt>
                <c:pt idx="384">
                  <c:v>45558</c:v>
                </c:pt>
                <c:pt idx="385">
                  <c:v>45559</c:v>
                </c:pt>
                <c:pt idx="386">
                  <c:v>45560</c:v>
                </c:pt>
                <c:pt idx="387">
                  <c:v>45561</c:v>
                </c:pt>
                <c:pt idx="388">
                  <c:v>45562</c:v>
                </c:pt>
                <c:pt idx="389">
                  <c:v>45565</c:v>
                </c:pt>
                <c:pt idx="390">
                  <c:v>45567</c:v>
                </c:pt>
                <c:pt idx="391">
                  <c:v>45568</c:v>
                </c:pt>
                <c:pt idx="392">
                  <c:v>45569</c:v>
                </c:pt>
                <c:pt idx="393">
                  <c:v>45572</c:v>
                </c:pt>
                <c:pt idx="394">
                  <c:v>45573</c:v>
                </c:pt>
                <c:pt idx="395">
                  <c:v>45574</c:v>
                </c:pt>
                <c:pt idx="396">
                  <c:v>45575</c:v>
                </c:pt>
                <c:pt idx="397">
                  <c:v>45576</c:v>
                </c:pt>
                <c:pt idx="398">
                  <c:v>45579</c:v>
                </c:pt>
                <c:pt idx="399">
                  <c:v>45580</c:v>
                </c:pt>
                <c:pt idx="400">
                  <c:v>45581</c:v>
                </c:pt>
                <c:pt idx="401">
                  <c:v>45582</c:v>
                </c:pt>
                <c:pt idx="402">
                  <c:v>45583</c:v>
                </c:pt>
                <c:pt idx="403">
                  <c:v>45586</c:v>
                </c:pt>
                <c:pt idx="404">
                  <c:v>45587</c:v>
                </c:pt>
                <c:pt idx="405">
                  <c:v>45588</c:v>
                </c:pt>
                <c:pt idx="406">
                  <c:v>45589</c:v>
                </c:pt>
                <c:pt idx="407">
                  <c:v>45590</c:v>
                </c:pt>
                <c:pt idx="408">
                  <c:v>45593</c:v>
                </c:pt>
                <c:pt idx="409">
                  <c:v>45594</c:v>
                </c:pt>
                <c:pt idx="410">
                  <c:v>45595</c:v>
                </c:pt>
                <c:pt idx="411">
                  <c:v>45596</c:v>
                </c:pt>
                <c:pt idx="412">
                  <c:v>45597</c:v>
                </c:pt>
                <c:pt idx="413">
                  <c:v>45600</c:v>
                </c:pt>
                <c:pt idx="414">
                  <c:v>45601</c:v>
                </c:pt>
                <c:pt idx="415">
                  <c:v>45602</c:v>
                </c:pt>
                <c:pt idx="416">
                  <c:v>45603</c:v>
                </c:pt>
                <c:pt idx="417">
                  <c:v>45604</c:v>
                </c:pt>
                <c:pt idx="418">
                  <c:v>45607</c:v>
                </c:pt>
                <c:pt idx="419">
                  <c:v>45608</c:v>
                </c:pt>
                <c:pt idx="420">
                  <c:v>45609</c:v>
                </c:pt>
                <c:pt idx="421">
                  <c:v>45610</c:v>
                </c:pt>
                <c:pt idx="422">
                  <c:v>45611</c:v>
                </c:pt>
                <c:pt idx="423">
                  <c:v>45615</c:v>
                </c:pt>
                <c:pt idx="424">
                  <c:v>45616</c:v>
                </c:pt>
                <c:pt idx="425">
                  <c:v>45617</c:v>
                </c:pt>
                <c:pt idx="426">
                  <c:v>45618</c:v>
                </c:pt>
                <c:pt idx="427">
                  <c:v>45621</c:v>
                </c:pt>
                <c:pt idx="428">
                  <c:v>45622</c:v>
                </c:pt>
                <c:pt idx="429">
                  <c:v>45623</c:v>
                </c:pt>
                <c:pt idx="430">
                  <c:v>45624</c:v>
                </c:pt>
                <c:pt idx="431">
                  <c:v>45625</c:v>
                </c:pt>
                <c:pt idx="432">
                  <c:v>45628</c:v>
                </c:pt>
                <c:pt idx="433">
                  <c:v>45629</c:v>
                </c:pt>
                <c:pt idx="434">
                  <c:v>45630</c:v>
                </c:pt>
                <c:pt idx="435">
                  <c:v>45631</c:v>
                </c:pt>
                <c:pt idx="436">
                  <c:v>45632</c:v>
                </c:pt>
                <c:pt idx="437">
                  <c:v>45635</c:v>
                </c:pt>
                <c:pt idx="438">
                  <c:v>45636</c:v>
                </c:pt>
                <c:pt idx="439">
                  <c:v>45637</c:v>
                </c:pt>
                <c:pt idx="440">
                  <c:v>45639</c:v>
                </c:pt>
                <c:pt idx="441">
                  <c:v>45642</c:v>
                </c:pt>
                <c:pt idx="442">
                  <c:v>45643</c:v>
                </c:pt>
                <c:pt idx="443">
                  <c:v>45644</c:v>
                </c:pt>
                <c:pt idx="444">
                  <c:v>45645</c:v>
                </c:pt>
                <c:pt idx="445">
                  <c:v>45646</c:v>
                </c:pt>
                <c:pt idx="446">
                  <c:v>45649</c:v>
                </c:pt>
                <c:pt idx="447">
                  <c:v>45650</c:v>
                </c:pt>
                <c:pt idx="448">
                  <c:v>45652</c:v>
                </c:pt>
                <c:pt idx="449">
                  <c:v>45653</c:v>
                </c:pt>
                <c:pt idx="450">
                  <c:v>45656</c:v>
                </c:pt>
                <c:pt idx="451">
                  <c:v>45657</c:v>
                </c:pt>
                <c:pt idx="452">
                  <c:v>45659</c:v>
                </c:pt>
                <c:pt idx="453">
                  <c:v>45660</c:v>
                </c:pt>
                <c:pt idx="454">
                  <c:v>45663</c:v>
                </c:pt>
                <c:pt idx="455">
                  <c:v>45664</c:v>
                </c:pt>
                <c:pt idx="456">
                  <c:v>45665</c:v>
                </c:pt>
                <c:pt idx="457">
                  <c:v>45666</c:v>
                </c:pt>
                <c:pt idx="458">
                  <c:v>45667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45677</c:v>
                </c:pt>
                <c:pt idx="465">
                  <c:v>45678</c:v>
                </c:pt>
                <c:pt idx="466">
                  <c:v>45679</c:v>
                </c:pt>
                <c:pt idx="467">
                  <c:v>45680</c:v>
                </c:pt>
                <c:pt idx="468">
                  <c:v>45681</c:v>
                </c:pt>
                <c:pt idx="469">
                  <c:v>45684</c:v>
                </c:pt>
                <c:pt idx="470">
                  <c:v>45685</c:v>
                </c:pt>
                <c:pt idx="471">
                  <c:v>45686</c:v>
                </c:pt>
                <c:pt idx="472">
                  <c:v>45687</c:v>
                </c:pt>
                <c:pt idx="473">
                  <c:v>45688</c:v>
                </c:pt>
                <c:pt idx="474">
                  <c:v>45692</c:v>
                </c:pt>
                <c:pt idx="475">
                  <c:v>45693</c:v>
                </c:pt>
                <c:pt idx="476">
                  <c:v>45694</c:v>
                </c:pt>
                <c:pt idx="477">
                  <c:v>45695</c:v>
                </c:pt>
                <c:pt idx="478">
                  <c:v>45698</c:v>
                </c:pt>
                <c:pt idx="479">
                  <c:v>45699</c:v>
                </c:pt>
                <c:pt idx="480">
                  <c:v>45700</c:v>
                </c:pt>
                <c:pt idx="481">
                  <c:v>45701</c:v>
                </c:pt>
                <c:pt idx="482">
                  <c:v>45702</c:v>
                </c:pt>
                <c:pt idx="483">
                  <c:v>45705</c:v>
                </c:pt>
                <c:pt idx="484">
                  <c:v>45706</c:v>
                </c:pt>
                <c:pt idx="485">
                  <c:v>45707</c:v>
                </c:pt>
                <c:pt idx="486">
                  <c:v>45708</c:v>
                </c:pt>
                <c:pt idx="487">
                  <c:v>45709</c:v>
                </c:pt>
                <c:pt idx="488">
                  <c:v>45712</c:v>
                </c:pt>
                <c:pt idx="489">
                  <c:v>45713</c:v>
                </c:pt>
                <c:pt idx="490">
                  <c:v>45714</c:v>
                </c:pt>
                <c:pt idx="491">
                  <c:v>45715</c:v>
                </c:pt>
                <c:pt idx="492">
                  <c:v>45716</c:v>
                </c:pt>
                <c:pt idx="493">
                  <c:v>45719</c:v>
                </c:pt>
                <c:pt idx="494">
                  <c:v>45720</c:v>
                </c:pt>
                <c:pt idx="495">
                  <c:v>45721</c:v>
                </c:pt>
                <c:pt idx="496">
                  <c:v>45722</c:v>
                </c:pt>
                <c:pt idx="497">
                  <c:v>45723</c:v>
                </c:pt>
                <c:pt idx="498">
                  <c:v>45726</c:v>
                </c:pt>
                <c:pt idx="499">
                  <c:v>45727</c:v>
                </c:pt>
                <c:pt idx="500">
                  <c:v>45728</c:v>
                </c:pt>
                <c:pt idx="501">
                  <c:v>45729</c:v>
                </c:pt>
                <c:pt idx="502">
                  <c:v>45730</c:v>
                </c:pt>
                <c:pt idx="503">
                  <c:v>45734</c:v>
                </c:pt>
                <c:pt idx="504">
                  <c:v>45735</c:v>
                </c:pt>
                <c:pt idx="505">
                  <c:v>45736</c:v>
                </c:pt>
                <c:pt idx="506">
                  <c:v>45737</c:v>
                </c:pt>
                <c:pt idx="507">
                  <c:v>45740</c:v>
                </c:pt>
                <c:pt idx="508">
                  <c:v>45741</c:v>
                </c:pt>
                <c:pt idx="509">
                  <c:v>45742</c:v>
                </c:pt>
                <c:pt idx="510">
                  <c:v>45743</c:v>
                </c:pt>
                <c:pt idx="511">
                  <c:v>45744</c:v>
                </c:pt>
                <c:pt idx="512">
                  <c:v>45747</c:v>
                </c:pt>
                <c:pt idx="513">
                  <c:v>45748</c:v>
                </c:pt>
                <c:pt idx="514">
                  <c:v>45749</c:v>
                </c:pt>
                <c:pt idx="515">
                  <c:v>45750</c:v>
                </c:pt>
                <c:pt idx="516">
                  <c:v>45751</c:v>
                </c:pt>
                <c:pt idx="517">
                  <c:v>45754</c:v>
                </c:pt>
                <c:pt idx="518">
                  <c:v>45755</c:v>
                </c:pt>
                <c:pt idx="519">
                  <c:v>45756</c:v>
                </c:pt>
                <c:pt idx="520">
                  <c:v>45757</c:v>
                </c:pt>
                <c:pt idx="521">
                  <c:v>45758</c:v>
                </c:pt>
                <c:pt idx="522">
                  <c:v>45761</c:v>
                </c:pt>
                <c:pt idx="523">
                  <c:v>45762</c:v>
                </c:pt>
                <c:pt idx="524">
                  <c:v>45763</c:v>
                </c:pt>
                <c:pt idx="525">
                  <c:v>45768</c:v>
                </c:pt>
                <c:pt idx="526">
                  <c:v>45769</c:v>
                </c:pt>
                <c:pt idx="527">
                  <c:v>45770</c:v>
                </c:pt>
                <c:pt idx="528">
                  <c:v>45771</c:v>
                </c:pt>
                <c:pt idx="529">
                  <c:v>45772</c:v>
                </c:pt>
                <c:pt idx="530">
                  <c:v>45775</c:v>
                </c:pt>
                <c:pt idx="531">
                  <c:v>45776</c:v>
                </c:pt>
                <c:pt idx="532">
                  <c:v>45777</c:v>
                </c:pt>
                <c:pt idx="533">
                  <c:v>45779</c:v>
                </c:pt>
                <c:pt idx="534">
                  <c:v>45782</c:v>
                </c:pt>
                <c:pt idx="535">
                  <c:v>45783</c:v>
                </c:pt>
                <c:pt idx="536">
                  <c:v>45784</c:v>
                </c:pt>
                <c:pt idx="537">
                  <c:v>45785</c:v>
                </c:pt>
                <c:pt idx="538">
                  <c:v>45786</c:v>
                </c:pt>
                <c:pt idx="539">
                  <c:v>45789</c:v>
                </c:pt>
                <c:pt idx="540">
                  <c:v>45790</c:v>
                </c:pt>
                <c:pt idx="541">
                  <c:v>45791</c:v>
                </c:pt>
                <c:pt idx="542">
                  <c:v>45792</c:v>
                </c:pt>
                <c:pt idx="543">
                  <c:v>45793</c:v>
                </c:pt>
                <c:pt idx="544">
                  <c:v>45796</c:v>
                </c:pt>
                <c:pt idx="545">
                  <c:v>45797</c:v>
                </c:pt>
                <c:pt idx="546">
                  <c:v>45798</c:v>
                </c:pt>
                <c:pt idx="547">
                  <c:v>45799</c:v>
                </c:pt>
                <c:pt idx="548">
                  <c:v>45800</c:v>
                </c:pt>
                <c:pt idx="549">
                  <c:v>45803</c:v>
                </c:pt>
                <c:pt idx="550">
                  <c:v>45804</c:v>
                </c:pt>
                <c:pt idx="551">
                  <c:v>45805</c:v>
                </c:pt>
                <c:pt idx="552">
                  <c:v>45806</c:v>
                </c:pt>
                <c:pt idx="553">
                  <c:v>45807</c:v>
                </c:pt>
                <c:pt idx="554">
                  <c:v>45810</c:v>
                </c:pt>
                <c:pt idx="555">
                  <c:v>45811</c:v>
                </c:pt>
                <c:pt idx="556">
                  <c:v>45812</c:v>
                </c:pt>
                <c:pt idx="557">
                  <c:v>45813</c:v>
                </c:pt>
                <c:pt idx="558">
                  <c:v>45814</c:v>
                </c:pt>
                <c:pt idx="559">
                  <c:v>45817</c:v>
                </c:pt>
                <c:pt idx="560">
                  <c:v>45818</c:v>
                </c:pt>
                <c:pt idx="561">
                  <c:v>45819</c:v>
                </c:pt>
                <c:pt idx="562">
                  <c:v>45820</c:v>
                </c:pt>
                <c:pt idx="563">
                  <c:v>45821</c:v>
                </c:pt>
                <c:pt idx="564">
                  <c:v>45824</c:v>
                </c:pt>
                <c:pt idx="565">
                  <c:v>45825</c:v>
                </c:pt>
                <c:pt idx="566">
                  <c:v>45826</c:v>
                </c:pt>
                <c:pt idx="567">
                  <c:v>45827</c:v>
                </c:pt>
                <c:pt idx="568">
                  <c:v>45828</c:v>
                </c:pt>
                <c:pt idx="569">
                  <c:v>45831</c:v>
                </c:pt>
                <c:pt idx="570">
                  <c:v>45832</c:v>
                </c:pt>
                <c:pt idx="571">
                  <c:v>45833</c:v>
                </c:pt>
                <c:pt idx="572">
                  <c:v>45834</c:v>
                </c:pt>
                <c:pt idx="573">
                  <c:v>45835</c:v>
                </c:pt>
                <c:pt idx="574">
                  <c:v>45838</c:v>
                </c:pt>
                <c:pt idx="575">
                  <c:v>45839</c:v>
                </c:pt>
                <c:pt idx="576">
                  <c:v>45840</c:v>
                </c:pt>
                <c:pt idx="577">
                  <c:v>45841</c:v>
                </c:pt>
                <c:pt idx="578">
                  <c:v>45842</c:v>
                </c:pt>
                <c:pt idx="579">
                  <c:v>45845</c:v>
                </c:pt>
                <c:pt idx="580">
                  <c:v>45846</c:v>
                </c:pt>
                <c:pt idx="581">
                  <c:v>45847</c:v>
                </c:pt>
                <c:pt idx="582">
                  <c:v>45848</c:v>
                </c:pt>
                <c:pt idx="583">
                  <c:v>45849</c:v>
                </c:pt>
                <c:pt idx="584">
                  <c:v>45852</c:v>
                </c:pt>
                <c:pt idx="585">
                  <c:v>45853</c:v>
                </c:pt>
                <c:pt idx="586">
                  <c:v>45854</c:v>
                </c:pt>
                <c:pt idx="587">
                  <c:v>45855</c:v>
                </c:pt>
                <c:pt idx="588">
                  <c:v>45856</c:v>
                </c:pt>
                <c:pt idx="589">
                  <c:v>45859</c:v>
                </c:pt>
                <c:pt idx="590">
                  <c:v>45860</c:v>
                </c:pt>
                <c:pt idx="591">
                  <c:v>45861</c:v>
                </c:pt>
                <c:pt idx="592">
                  <c:v>45862</c:v>
                </c:pt>
                <c:pt idx="593">
                  <c:v>45863</c:v>
                </c:pt>
                <c:pt idx="594">
                  <c:v>45866</c:v>
                </c:pt>
                <c:pt idx="595">
                  <c:v>45867</c:v>
                </c:pt>
                <c:pt idx="596">
                  <c:v>45868</c:v>
                </c:pt>
                <c:pt idx="597">
                  <c:v>45869</c:v>
                </c:pt>
                <c:pt idx="598">
                  <c:v>45870</c:v>
                </c:pt>
                <c:pt idx="599">
                  <c:v>45873</c:v>
                </c:pt>
                <c:pt idx="600">
                  <c:v>45874</c:v>
                </c:pt>
                <c:pt idx="601">
                  <c:v>45875</c:v>
                </c:pt>
                <c:pt idx="602">
                  <c:v>45876</c:v>
                </c:pt>
                <c:pt idx="603">
                  <c:v>45877</c:v>
                </c:pt>
                <c:pt idx="604">
                  <c:v>45880</c:v>
                </c:pt>
                <c:pt idx="605">
                  <c:v>45881</c:v>
                </c:pt>
                <c:pt idx="606">
                  <c:v>45882</c:v>
                </c:pt>
                <c:pt idx="607">
                  <c:v>45883</c:v>
                </c:pt>
                <c:pt idx="608">
                  <c:v>45884</c:v>
                </c:pt>
                <c:pt idx="609">
                  <c:v>45887</c:v>
                </c:pt>
                <c:pt idx="610">
                  <c:v>45888</c:v>
                </c:pt>
                <c:pt idx="611">
                  <c:v>45889</c:v>
                </c:pt>
                <c:pt idx="612">
                  <c:v>45890</c:v>
                </c:pt>
                <c:pt idx="613">
                  <c:v>45891</c:v>
                </c:pt>
                <c:pt idx="614">
                  <c:v>45894</c:v>
                </c:pt>
                <c:pt idx="615">
                  <c:v>45895</c:v>
                </c:pt>
                <c:pt idx="616">
                  <c:v>45896</c:v>
                </c:pt>
                <c:pt idx="617">
                  <c:v>45897</c:v>
                </c:pt>
                <c:pt idx="618">
                  <c:v>45898</c:v>
                </c:pt>
                <c:pt idx="619">
                  <c:v>45901</c:v>
                </c:pt>
                <c:pt idx="620">
                  <c:v>45902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45917</c:v>
                </c:pt>
                <c:pt idx="631">
                  <c:v>45918</c:v>
                </c:pt>
                <c:pt idx="632">
                  <c:v>45919</c:v>
                </c:pt>
                <c:pt idx="633">
                  <c:v>45922</c:v>
                </c:pt>
                <c:pt idx="634">
                  <c:v>45923</c:v>
                </c:pt>
                <c:pt idx="635">
                  <c:v>45924</c:v>
                </c:pt>
                <c:pt idx="636">
                  <c:v>45925</c:v>
                </c:pt>
                <c:pt idx="637">
                  <c:v>45926</c:v>
                </c:pt>
                <c:pt idx="638">
                  <c:v>45929</c:v>
                </c:pt>
                <c:pt idx="639">
                  <c:v>45930</c:v>
                </c:pt>
                <c:pt idx="640">
                  <c:v>45931</c:v>
                </c:pt>
                <c:pt idx="641">
                  <c:v>45932</c:v>
                </c:pt>
                <c:pt idx="642">
                  <c:v>45933</c:v>
                </c:pt>
                <c:pt idx="643">
                  <c:v>45936</c:v>
                </c:pt>
                <c:pt idx="644">
                  <c:v>45937</c:v>
                </c:pt>
                <c:pt idx="645">
                  <c:v>45938</c:v>
                </c:pt>
                <c:pt idx="646">
                  <c:v>45939</c:v>
                </c:pt>
                <c:pt idx="647">
                  <c:v>45940</c:v>
                </c:pt>
                <c:pt idx="648">
                  <c:v>45943</c:v>
                </c:pt>
                <c:pt idx="649">
                  <c:v>45944</c:v>
                </c:pt>
                <c:pt idx="650">
                  <c:v>45945</c:v>
                </c:pt>
                <c:pt idx="651">
                  <c:v>45946</c:v>
                </c:pt>
                <c:pt idx="652">
                  <c:v>45947</c:v>
                </c:pt>
                <c:pt idx="653">
                  <c:v>45950</c:v>
                </c:pt>
                <c:pt idx="654">
                  <c:v>45951</c:v>
                </c:pt>
                <c:pt idx="655">
                  <c:v>45952</c:v>
                </c:pt>
                <c:pt idx="656">
                  <c:v>45953</c:v>
                </c:pt>
                <c:pt idx="657">
                  <c:v>45954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45964</c:v>
                </c:pt>
                <c:pt idx="664">
                  <c:v>45965</c:v>
                </c:pt>
                <c:pt idx="665">
                  <c:v>45966</c:v>
                </c:pt>
                <c:pt idx="666">
                  <c:v>45967</c:v>
                </c:pt>
                <c:pt idx="667">
                  <c:v>45968</c:v>
                </c:pt>
                <c:pt idx="668">
                  <c:v>45971</c:v>
                </c:pt>
                <c:pt idx="669">
                  <c:v>45972</c:v>
                </c:pt>
                <c:pt idx="670">
                  <c:v>45973</c:v>
                </c:pt>
                <c:pt idx="671">
                  <c:v>45974</c:v>
                </c:pt>
                <c:pt idx="672">
                  <c:v>45975</c:v>
                </c:pt>
                <c:pt idx="673">
                  <c:v>45979</c:v>
                </c:pt>
                <c:pt idx="674">
                  <c:v>45980</c:v>
                </c:pt>
                <c:pt idx="675">
                  <c:v>45981</c:v>
                </c:pt>
                <c:pt idx="676">
                  <c:v>45982</c:v>
                </c:pt>
                <c:pt idx="677">
                  <c:v>45985</c:v>
                </c:pt>
                <c:pt idx="678">
                  <c:v>45986</c:v>
                </c:pt>
                <c:pt idx="679">
                  <c:v>45987</c:v>
                </c:pt>
                <c:pt idx="680">
                  <c:v>45988</c:v>
                </c:pt>
                <c:pt idx="681">
                  <c:v>45989</c:v>
                </c:pt>
                <c:pt idx="682">
                  <c:v>45992</c:v>
                </c:pt>
                <c:pt idx="683">
                  <c:v>45993</c:v>
                </c:pt>
                <c:pt idx="684">
                  <c:v>45994</c:v>
                </c:pt>
                <c:pt idx="685">
                  <c:v>45995</c:v>
                </c:pt>
                <c:pt idx="686">
                  <c:v>45996</c:v>
                </c:pt>
                <c:pt idx="687">
                  <c:v>45999</c:v>
                </c:pt>
                <c:pt idx="688">
                  <c:v>46000</c:v>
                </c:pt>
                <c:pt idx="689">
                  <c:v>46001</c:v>
                </c:pt>
                <c:pt idx="690">
                  <c:v>46002</c:v>
                </c:pt>
                <c:pt idx="691">
                  <c:v>46006</c:v>
                </c:pt>
                <c:pt idx="692">
                  <c:v>46007</c:v>
                </c:pt>
                <c:pt idx="693">
                  <c:v>46008</c:v>
                </c:pt>
                <c:pt idx="694">
                  <c:v>46009</c:v>
                </c:pt>
                <c:pt idx="695">
                  <c:v>46010</c:v>
                </c:pt>
                <c:pt idx="696">
                  <c:v>46013</c:v>
                </c:pt>
                <c:pt idx="697">
                  <c:v>46014</c:v>
                </c:pt>
                <c:pt idx="698">
                  <c:v>46015</c:v>
                </c:pt>
                <c:pt idx="699">
                  <c:v>46017</c:v>
                </c:pt>
                <c:pt idx="700">
                  <c:v>46020</c:v>
                </c:pt>
                <c:pt idx="701">
                  <c:v>46021</c:v>
                </c:pt>
                <c:pt idx="702">
                  <c:v>46022</c:v>
                </c:pt>
                <c:pt idx="703">
                  <c:v>46024</c:v>
                </c:pt>
                <c:pt idx="704">
                  <c:v>46027</c:v>
                </c:pt>
                <c:pt idx="705">
                  <c:v>46028</c:v>
                </c:pt>
                <c:pt idx="706">
                  <c:v>46029</c:v>
                </c:pt>
                <c:pt idx="707">
                  <c:v>46030</c:v>
                </c:pt>
                <c:pt idx="708">
                  <c:v>46031</c:v>
                </c:pt>
                <c:pt idx="709">
                  <c:v>46034</c:v>
                </c:pt>
                <c:pt idx="710">
                  <c:v>46035</c:v>
                </c:pt>
                <c:pt idx="711">
                  <c:v>46036</c:v>
                </c:pt>
                <c:pt idx="712">
                  <c:v>46037</c:v>
                </c:pt>
                <c:pt idx="713">
                  <c:v>46038</c:v>
                </c:pt>
                <c:pt idx="714">
                  <c:v>46041</c:v>
                </c:pt>
                <c:pt idx="715">
                  <c:v>46042</c:v>
                </c:pt>
                <c:pt idx="716">
                  <c:v>46043</c:v>
                </c:pt>
                <c:pt idx="717">
                  <c:v>46044</c:v>
                </c:pt>
                <c:pt idx="718">
                  <c:v>46045</c:v>
                </c:pt>
                <c:pt idx="719">
                  <c:v>46048</c:v>
                </c:pt>
                <c:pt idx="720">
                  <c:v>46049</c:v>
                </c:pt>
                <c:pt idx="721">
                  <c:v>46050</c:v>
                </c:pt>
                <c:pt idx="722">
                  <c:v>46051</c:v>
                </c:pt>
                <c:pt idx="723">
                  <c:v>46052</c:v>
                </c:pt>
                <c:pt idx="724">
                  <c:v>46056</c:v>
                </c:pt>
                <c:pt idx="725">
                  <c:v>46057</c:v>
                </c:pt>
                <c:pt idx="726">
                  <c:v>46058</c:v>
                </c:pt>
                <c:pt idx="727">
                  <c:v>46059</c:v>
                </c:pt>
                <c:pt idx="728">
                  <c:v>46062</c:v>
                </c:pt>
                <c:pt idx="729">
                  <c:v>46063</c:v>
                </c:pt>
                <c:pt idx="730">
                  <c:v>46064</c:v>
                </c:pt>
                <c:pt idx="731">
                  <c:v>46065</c:v>
                </c:pt>
                <c:pt idx="732">
                  <c:v>46066</c:v>
                </c:pt>
                <c:pt idx="733">
                  <c:v>46069</c:v>
                </c:pt>
                <c:pt idx="734">
                  <c:v>46070</c:v>
                </c:pt>
                <c:pt idx="735">
                  <c:v>46071</c:v>
                </c:pt>
                <c:pt idx="736">
                  <c:v>46072</c:v>
                </c:pt>
                <c:pt idx="737">
                  <c:v>46073</c:v>
                </c:pt>
                <c:pt idx="738">
                  <c:v>46076</c:v>
                </c:pt>
                <c:pt idx="739">
                  <c:v>46077</c:v>
                </c:pt>
                <c:pt idx="740">
                  <c:v>46078</c:v>
                </c:pt>
                <c:pt idx="741">
                  <c:v>46079</c:v>
                </c:pt>
                <c:pt idx="742">
                  <c:v>46080</c:v>
                </c:pt>
                <c:pt idx="743">
                  <c:v>46083</c:v>
                </c:pt>
                <c:pt idx="744">
                  <c:v>46084</c:v>
                </c:pt>
                <c:pt idx="745">
                  <c:v>46085</c:v>
                </c:pt>
                <c:pt idx="746">
                  <c:v>46086</c:v>
                </c:pt>
                <c:pt idx="747">
                  <c:v>46087</c:v>
                </c:pt>
                <c:pt idx="748">
                  <c:v>46090</c:v>
                </c:pt>
              </c:numCache>
            </c:numRef>
          </c:xVal>
          <c:yVal>
            <c:numRef>
              <c:f>Rendimientos!$D$2:$D$750</c:f>
              <c:numCache>
                <c:formatCode>0.0000%</c:formatCode>
                <c:ptCount val="749"/>
                <c:pt idx="0">
                  <c:v>-1.2162664384218314E-2</c:v>
                </c:pt>
                <c:pt idx="1">
                  <c:v>2.389416789514498E-2</c:v>
                </c:pt>
                <c:pt idx="2">
                  <c:v>5.6118380181904293E-3</c:v>
                </c:pt>
                <c:pt idx="3">
                  <c:v>-1.109510052096363E-4</c:v>
                </c:pt>
                <c:pt idx="4">
                  <c:v>3.6580798269883585E-2</c:v>
                </c:pt>
                <c:pt idx="5">
                  <c:v>-4.7147123045220285E-2</c:v>
                </c:pt>
                <c:pt idx="6">
                  <c:v>4.4843211838765384E-3</c:v>
                </c:pt>
                <c:pt idx="7">
                  <c:v>-7.3656497590464109E-3</c:v>
                </c:pt>
                <c:pt idx="8">
                  <c:v>-2.5185994994609273E-2</c:v>
                </c:pt>
                <c:pt idx="9">
                  <c:v>-1.2207570962734504E-2</c:v>
                </c:pt>
                <c:pt idx="10">
                  <c:v>1.3059251436430719E-2</c:v>
                </c:pt>
                <c:pt idx="11">
                  <c:v>0</c:v>
                </c:pt>
                <c:pt idx="12">
                  <c:v>1.8902514479163246E-2</c:v>
                </c:pt>
                <c:pt idx="13">
                  <c:v>-6.167250332738905E-3</c:v>
                </c:pt>
                <c:pt idx="14">
                  <c:v>1.9864469763816617E-2</c:v>
                </c:pt>
                <c:pt idx="15">
                  <c:v>0</c:v>
                </c:pt>
                <c:pt idx="16">
                  <c:v>4.9098136470494769E-2</c:v>
                </c:pt>
                <c:pt idx="17">
                  <c:v>-4.7481036899925777E-2</c:v>
                </c:pt>
                <c:pt idx="18">
                  <c:v>1.4117336602681885E-2</c:v>
                </c:pt>
                <c:pt idx="19">
                  <c:v>4.8499954743013163E-3</c:v>
                </c:pt>
                <c:pt idx="20">
                  <c:v>-1.3581457988585899E-2</c:v>
                </c:pt>
                <c:pt idx="21">
                  <c:v>0</c:v>
                </c:pt>
                <c:pt idx="22">
                  <c:v>1.3750603793617477E-2</c:v>
                </c:pt>
                <c:pt idx="23">
                  <c:v>-4.6777571888728664E-3</c:v>
                </c:pt>
                <c:pt idx="24">
                  <c:v>-8.9413635280065629E-3</c:v>
                </c:pt>
                <c:pt idx="25">
                  <c:v>2.2221208781079138E-3</c:v>
                </c:pt>
                <c:pt idx="26">
                  <c:v>1.0199353065013295E-2</c:v>
                </c:pt>
                <c:pt idx="27">
                  <c:v>-1.4481800645905318E-2</c:v>
                </c:pt>
                <c:pt idx="28">
                  <c:v>-4.4587019738324685E-3</c:v>
                </c:pt>
                <c:pt idx="29">
                  <c:v>1.2527765700438565E-2</c:v>
                </c:pt>
                <c:pt idx="30">
                  <c:v>4.4189288236899937E-3</c:v>
                </c:pt>
                <c:pt idx="31">
                  <c:v>6.5993394411592021E-3</c:v>
                </c:pt>
                <c:pt idx="32">
                  <c:v>-1.2237890042874788E-2</c:v>
                </c:pt>
                <c:pt idx="33">
                  <c:v>-2.0619495081027228E-2</c:v>
                </c:pt>
                <c:pt idx="34">
                  <c:v>2.0601969536958142E-2</c:v>
                </c:pt>
                <c:pt idx="35">
                  <c:v>-2.545539971349764E-3</c:v>
                </c:pt>
                <c:pt idx="36">
                  <c:v>0</c:v>
                </c:pt>
                <c:pt idx="37">
                  <c:v>-4.1384483758524215E-2</c:v>
                </c:pt>
                <c:pt idx="38">
                  <c:v>-6.9444680647008372E-3</c:v>
                </c:pt>
                <c:pt idx="39">
                  <c:v>-1.9445217946667315E-2</c:v>
                </c:pt>
                <c:pt idx="40">
                  <c:v>-1.1073237667146185E-2</c:v>
                </c:pt>
                <c:pt idx="41">
                  <c:v>-1.8269271751078175E-2</c:v>
                </c:pt>
                <c:pt idx="42">
                  <c:v>1.3763041819330191E-3</c:v>
                </c:pt>
                <c:pt idx="43">
                  <c:v>3.7260042188094644E-2</c:v>
                </c:pt>
                <c:pt idx="44">
                  <c:v>-4.7619053117236354E-2</c:v>
                </c:pt>
                <c:pt idx="45">
                  <c:v>-1.9802049818153478E-2</c:v>
                </c:pt>
                <c:pt idx="46">
                  <c:v>-1.2626184230429716E-2</c:v>
                </c:pt>
                <c:pt idx="47">
                  <c:v>-1.2276245365319904E-2</c:v>
                </c:pt>
                <c:pt idx="48">
                  <c:v>-4.5312518329831963E-3</c:v>
                </c:pt>
                <c:pt idx="49">
                  <c:v>-1.4176125645017357E-2</c:v>
                </c:pt>
                <c:pt idx="50">
                  <c:v>2.8490765591593581E-2</c:v>
                </c:pt>
                <c:pt idx="51">
                  <c:v>-3.2832345581656486E-2</c:v>
                </c:pt>
                <c:pt idx="52">
                  <c:v>-9.0186896309123465E-3</c:v>
                </c:pt>
                <c:pt idx="53">
                  <c:v>-2.5064160348958087E-2</c:v>
                </c:pt>
                <c:pt idx="54">
                  <c:v>4.2710961039151174E-2</c:v>
                </c:pt>
                <c:pt idx="55">
                  <c:v>-3.1923328300364595E-2</c:v>
                </c:pt>
                <c:pt idx="56">
                  <c:v>6.5233371308466293E-3</c:v>
                </c:pt>
                <c:pt idx="57">
                  <c:v>8.8433364116080604E-3</c:v>
                </c:pt>
                <c:pt idx="58">
                  <c:v>-8.7604384915899169E-3</c:v>
                </c:pt>
                <c:pt idx="59">
                  <c:v>-9.735134796384437E-3</c:v>
                </c:pt>
                <c:pt idx="60">
                  <c:v>6.5557640229649827E-3</c:v>
                </c:pt>
                <c:pt idx="61">
                  <c:v>-2.174562806913416E-3</c:v>
                </c:pt>
                <c:pt idx="62">
                  <c:v>5.1967639290614986E-2</c:v>
                </c:pt>
                <c:pt idx="63">
                  <c:v>-4.9648224144849262E-3</c:v>
                </c:pt>
                <c:pt idx="64">
                  <c:v>6.2149209335133904E-3</c:v>
                </c:pt>
                <c:pt idx="65">
                  <c:v>1.1367529309859181E-2</c:v>
                </c:pt>
                <c:pt idx="66">
                  <c:v>-3.8265294012567286E-2</c:v>
                </c:pt>
                <c:pt idx="67">
                  <c:v>-4.7638414110348082E-3</c:v>
                </c:pt>
                <c:pt idx="68">
                  <c:v>1.1289758839267083E-2</c:v>
                </c:pt>
                <c:pt idx="69">
                  <c:v>-9.0606561019239695E-3</c:v>
                </c:pt>
                <c:pt idx="70">
                  <c:v>2.135098807480551E-2</c:v>
                </c:pt>
                <c:pt idx="71">
                  <c:v>1.3993689890342331E-2</c:v>
                </c:pt>
                <c:pt idx="72">
                  <c:v>-8.7416011620328193E-3</c:v>
                </c:pt>
                <c:pt idx="73">
                  <c:v>4.3006538866392496E-3</c:v>
                </c:pt>
                <c:pt idx="74">
                  <c:v>-2.5434718253354416E-2</c:v>
                </c:pt>
                <c:pt idx="75">
                  <c:v>1.556262825330279E-3</c:v>
                </c:pt>
                <c:pt idx="76">
                  <c:v>1.0612190067371685E-5</c:v>
                </c:pt>
                <c:pt idx="77">
                  <c:v>-3.7828497181003895E-2</c:v>
                </c:pt>
                <c:pt idx="78">
                  <c:v>-4.8781111114487574E-3</c:v>
                </c:pt>
                <c:pt idx="79">
                  <c:v>-1.0217916530092963E-2</c:v>
                </c:pt>
                <c:pt idx="80">
                  <c:v>3.9207945291412916E-3</c:v>
                </c:pt>
                <c:pt idx="81">
                  <c:v>2.0649615977607505E-2</c:v>
                </c:pt>
                <c:pt idx="82">
                  <c:v>-9.4002089986722215E-3</c:v>
                </c:pt>
                <c:pt idx="83">
                  <c:v>3.854503718936364E-5</c:v>
                </c:pt>
                <c:pt idx="84">
                  <c:v>-4.9451443869691358E-3</c:v>
                </c:pt>
                <c:pt idx="85">
                  <c:v>5.5218814795106042E-3</c:v>
                </c:pt>
                <c:pt idx="86">
                  <c:v>8.3908883329446571E-3</c:v>
                </c:pt>
                <c:pt idx="87">
                  <c:v>3.3709622556525876E-3</c:v>
                </c:pt>
                <c:pt idx="88">
                  <c:v>-1.3943071820036734E-2</c:v>
                </c:pt>
                <c:pt idx="89">
                  <c:v>1.4277763765350837E-2</c:v>
                </c:pt>
                <c:pt idx="90">
                  <c:v>2.8654890375507946E-3</c:v>
                </c:pt>
                <c:pt idx="91">
                  <c:v>-7.2349727181402201E-3</c:v>
                </c:pt>
                <c:pt idx="92">
                  <c:v>4.0172029521265973E-3</c:v>
                </c:pt>
                <c:pt idx="93">
                  <c:v>-1.2486374286432733E-2</c:v>
                </c:pt>
                <c:pt idx="94">
                  <c:v>-6.0418097000194404E-3</c:v>
                </c:pt>
                <c:pt idx="95">
                  <c:v>2.184169252092083E-2</c:v>
                </c:pt>
                <c:pt idx="96">
                  <c:v>2.706924498450114E-4</c:v>
                </c:pt>
                <c:pt idx="97">
                  <c:v>-4.3289796656035273E-3</c:v>
                </c:pt>
                <c:pt idx="98">
                  <c:v>1.6586862276248837E-2</c:v>
                </c:pt>
                <c:pt idx="99">
                  <c:v>-2.7789847752346386E-4</c:v>
                </c:pt>
                <c:pt idx="100">
                  <c:v>4.8127902877428408E-3</c:v>
                </c:pt>
                <c:pt idx="101">
                  <c:v>-7.450761908751824E-3</c:v>
                </c:pt>
                <c:pt idx="102">
                  <c:v>-2.6702992732065001E-3</c:v>
                </c:pt>
                <c:pt idx="103">
                  <c:v>-1.0704200841509803E-2</c:v>
                </c:pt>
                <c:pt idx="104">
                  <c:v>-5.9678403262708457E-5</c:v>
                </c:pt>
                <c:pt idx="105">
                  <c:v>-5.4185502192810597E-3</c:v>
                </c:pt>
                <c:pt idx="106">
                  <c:v>-5.4807168769873682E-3</c:v>
                </c:pt>
                <c:pt idx="107">
                  <c:v>-4.3682691725580591E-3</c:v>
                </c:pt>
                <c:pt idx="108">
                  <c:v>9.8950366723058458E-3</c:v>
                </c:pt>
                <c:pt idx="109">
                  <c:v>-2.4781874547594285E-2</c:v>
                </c:pt>
                <c:pt idx="110">
                  <c:v>-1.8463188013486675E-2</c:v>
                </c:pt>
                <c:pt idx="111">
                  <c:v>-2.0654322264654579E-2</c:v>
                </c:pt>
                <c:pt idx="112">
                  <c:v>-2.6074251288813355E-2</c:v>
                </c:pt>
                <c:pt idx="113">
                  <c:v>-1.7572506060151483E-2</c:v>
                </c:pt>
                <c:pt idx="114">
                  <c:v>8.3404661442321171E-3</c:v>
                </c:pt>
                <c:pt idx="115">
                  <c:v>1.745498248473365E-2</c:v>
                </c:pt>
                <c:pt idx="116">
                  <c:v>1.940629700678187E-2</c:v>
                </c:pt>
                <c:pt idx="117">
                  <c:v>-3.3028178249882023E-3</c:v>
                </c:pt>
                <c:pt idx="118">
                  <c:v>1.1104499756581898E-2</c:v>
                </c:pt>
                <c:pt idx="119">
                  <c:v>9.1752604458561482E-3</c:v>
                </c:pt>
                <c:pt idx="120">
                  <c:v>-8.6678813242657693E-3</c:v>
                </c:pt>
                <c:pt idx="121">
                  <c:v>6.4322505775218364E-3</c:v>
                </c:pt>
                <c:pt idx="122">
                  <c:v>-2.872478270528056E-4</c:v>
                </c:pt>
                <c:pt idx="123">
                  <c:v>-8.8568336222221156E-3</c:v>
                </c:pt>
                <c:pt idx="124">
                  <c:v>-2.6716432361447717E-3</c:v>
                </c:pt>
                <c:pt idx="125">
                  <c:v>-2.9250305823448897E-2</c:v>
                </c:pt>
                <c:pt idx="126">
                  <c:v>-7.7454759201133205E-3</c:v>
                </c:pt>
                <c:pt idx="127">
                  <c:v>1.8911485364471847E-2</c:v>
                </c:pt>
                <c:pt idx="128">
                  <c:v>-1.3036597752273726E-2</c:v>
                </c:pt>
                <c:pt idx="129">
                  <c:v>-1.5086819127409945E-2</c:v>
                </c:pt>
                <c:pt idx="130">
                  <c:v>-2.5945717063162732E-3</c:v>
                </c:pt>
                <c:pt idx="131">
                  <c:v>-1.3763666950790565E-2</c:v>
                </c:pt>
                <c:pt idx="132">
                  <c:v>-5.5413302724193203E-3</c:v>
                </c:pt>
                <c:pt idx="133">
                  <c:v>-1.5664961247025766E-2</c:v>
                </c:pt>
                <c:pt idx="134">
                  <c:v>-1.2953865089623484E-2</c:v>
                </c:pt>
                <c:pt idx="135">
                  <c:v>3.2604917072516892E-2</c:v>
                </c:pt>
                <c:pt idx="136">
                  <c:v>-1.699777567605798E-2</c:v>
                </c:pt>
                <c:pt idx="137">
                  <c:v>-2.5253600440440227E-3</c:v>
                </c:pt>
                <c:pt idx="138">
                  <c:v>-9.4294866213151529E-4</c:v>
                </c:pt>
                <c:pt idx="139">
                  <c:v>5.7959618097380261E-2</c:v>
                </c:pt>
                <c:pt idx="140">
                  <c:v>3.7731603552848547E-4</c:v>
                </c:pt>
                <c:pt idx="141">
                  <c:v>2.0603004656132073E-2</c:v>
                </c:pt>
                <c:pt idx="142">
                  <c:v>1.3290006504625307E-2</c:v>
                </c:pt>
                <c:pt idx="143">
                  <c:v>5.9731260337243519E-3</c:v>
                </c:pt>
                <c:pt idx="144">
                  <c:v>1.7243734900031171E-2</c:v>
                </c:pt>
                <c:pt idx="145">
                  <c:v>-1.6968529020967571E-3</c:v>
                </c:pt>
                <c:pt idx="146">
                  <c:v>-8.430723784956129E-3</c:v>
                </c:pt>
                <c:pt idx="147">
                  <c:v>1.6457193148826654E-3</c:v>
                </c:pt>
                <c:pt idx="148">
                  <c:v>1.7683973244217777E-2</c:v>
                </c:pt>
                <c:pt idx="149">
                  <c:v>1.2965258226267373E-2</c:v>
                </c:pt>
                <c:pt idx="150">
                  <c:v>1.2666421702680397E-2</c:v>
                </c:pt>
                <c:pt idx="151">
                  <c:v>5.4590025351368698E-3</c:v>
                </c:pt>
                <c:pt idx="152">
                  <c:v>3.2570527412207673E-2</c:v>
                </c:pt>
                <c:pt idx="153">
                  <c:v>-7.7581810558818853E-3</c:v>
                </c:pt>
                <c:pt idx="154">
                  <c:v>-1.0704459235837072E-2</c:v>
                </c:pt>
                <c:pt idx="155">
                  <c:v>-2.6648237878379444E-3</c:v>
                </c:pt>
                <c:pt idx="156">
                  <c:v>3.2068987800160542E-2</c:v>
                </c:pt>
                <c:pt idx="157">
                  <c:v>-1.0168161206242643E-2</c:v>
                </c:pt>
                <c:pt idx="158">
                  <c:v>-3.9038384054403852E-2</c:v>
                </c:pt>
                <c:pt idx="159">
                  <c:v>-7.6781164965684656E-3</c:v>
                </c:pt>
                <c:pt idx="160">
                  <c:v>1.3808171444729567E-2</c:v>
                </c:pt>
                <c:pt idx="161">
                  <c:v>3.8050760555472518E-3</c:v>
                </c:pt>
                <c:pt idx="162">
                  <c:v>-2.8628130613716385E-2</c:v>
                </c:pt>
                <c:pt idx="163">
                  <c:v>4.5611950530299206E-2</c:v>
                </c:pt>
                <c:pt idx="164">
                  <c:v>-1.5484193940283886E-3</c:v>
                </c:pt>
                <c:pt idx="165">
                  <c:v>2.290361838748689E-2</c:v>
                </c:pt>
                <c:pt idx="166">
                  <c:v>2.6035294406687726E-3</c:v>
                </c:pt>
                <c:pt idx="167">
                  <c:v>-6.1580313752840343E-3</c:v>
                </c:pt>
                <c:pt idx="168">
                  <c:v>-1.8625424508469934E-2</c:v>
                </c:pt>
                <c:pt idx="169">
                  <c:v>-1.7642292292645467E-2</c:v>
                </c:pt>
                <c:pt idx="170">
                  <c:v>1.3604939184443943E-3</c:v>
                </c:pt>
                <c:pt idx="171">
                  <c:v>1.9021835117353891E-2</c:v>
                </c:pt>
                <c:pt idx="172">
                  <c:v>-1.1200133798413336E-2</c:v>
                </c:pt>
                <c:pt idx="173">
                  <c:v>-1.1898662157256656E-2</c:v>
                </c:pt>
                <c:pt idx="174">
                  <c:v>3.8429806622231055E-3</c:v>
                </c:pt>
                <c:pt idx="175">
                  <c:v>2.2844215215563235E-2</c:v>
                </c:pt>
                <c:pt idx="176">
                  <c:v>-1.38172089506019E-2</c:v>
                </c:pt>
                <c:pt idx="177">
                  <c:v>-1.0776258684579321E-2</c:v>
                </c:pt>
                <c:pt idx="178">
                  <c:v>2.5602108772293741E-2</c:v>
                </c:pt>
                <c:pt idx="179">
                  <c:v>-5.8395488874192214E-3</c:v>
                </c:pt>
                <c:pt idx="180">
                  <c:v>2.0309845284087302E-2</c:v>
                </c:pt>
                <c:pt idx="181">
                  <c:v>5.2396905145890571E-4</c:v>
                </c:pt>
                <c:pt idx="182">
                  <c:v>2.0616535741937003E-2</c:v>
                </c:pt>
                <c:pt idx="183">
                  <c:v>3.1867691927477626E-2</c:v>
                </c:pt>
                <c:pt idx="184">
                  <c:v>-9.249863512675871E-4</c:v>
                </c:pt>
                <c:pt idx="185">
                  <c:v>5.499631362199775E-3</c:v>
                </c:pt>
                <c:pt idx="186">
                  <c:v>-5.098234880183905E-3</c:v>
                </c:pt>
                <c:pt idx="187">
                  <c:v>9.9496580908309262E-4</c:v>
                </c:pt>
                <c:pt idx="188">
                  <c:v>2.8812007911672488E-2</c:v>
                </c:pt>
                <c:pt idx="189">
                  <c:v>1.1029324388703854E-2</c:v>
                </c:pt>
                <c:pt idx="190">
                  <c:v>-4.682806273496265E-3</c:v>
                </c:pt>
                <c:pt idx="191">
                  <c:v>1.0226069815775229E-3</c:v>
                </c:pt>
                <c:pt idx="192">
                  <c:v>-2.4506696791193328E-3</c:v>
                </c:pt>
                <c:pt idx="193">
                  <c:v>4.4374099392028299E-3</c:v>
                </c:pt>
                <c:pt idx="194">
                  <c:v>-3.4700708294606031E-3</c:v>
                </c:pt>
                <c:pt idx="195">
                  <c:v>2.4639934845240852E-3</c:v>
                </c:pt>
                <c:pt idx="196">
                  <c:v>-0.12075442956392146</c:v>
                </c:pt>
                <c:pt idx="197">
                  <c:v>-7.9017085869204085E-4</c:v>
                </c:pt>
                <c:pt idx="198">
                  <c:v>-1.1807009270509816E-2</c:v>
                </c:pt>
                <c:pt idx="199">
                  <c:v>2.0965804063423965E-2</c:v>
                </c:pt>
                <c:pt idx="200">
                  <c:v>-2.6972649964474016E-3</c:v>
                </c:pt>
                <c:pt idx="201">
                  <c:v>-1.5712846377679335E-2</c:v>
                </c:pt>
                <c:pt idx="202">
                  <c:v>-2.0743290692400218E-2</c:v>
                </c:pt>
                <c:pt idx="203">
                  <c:v>-1.5188336487247822E-2</c:v>
                </c:pt>
                <c:pt idx="204">
                  <c:v>-1.3880824947863468E-2</c:v>
                </c:pt>
                <c:pt idx="205">
                  <c:v>9.7682754717016707E-3</c:v>
                </c:pt>
                <c:pt idx="206">
                  <c:v>-2.9187020225022176E-3</c:v>
                </c:pt>
                <c:pt idx="207">
                  <c:v>1.430290912996357E-2</c:v>
                </c:pt>
                <c:pt idx="208">
                  <c:v>1.8325397476321337E-2</c:v>
                </c:pt>
                <c:pt idx="209">
                  <c:v>-1.1999056412474562E-2</c:v>
                </c:pt>
                <c:pt idx="210">
                  <c:v>0</c:v>
                </c:pt>
                <c:pt idx="211">
                  <c:v>-9.5576444569228647E-3</c:v>
                </c:pt>
                <c:pt idx="212">
                  <c:v>-1.2244918138239358E-2</c:v>
                </c:pt>
                <c:pt idx="213">
                  <c:v>-5.7037634052281572E-4</c:v>
                </c:pt>
                <c:pt idx="214">
                  <c:v>2.1210697679623358E-3</c:v>
                </c:pt>
                <c:pt idx="215">
                  <c:v>-2.0935640993173799E-3</c:v>
                </c:pt>
                <c:pt idx="216">
                  <c:v>1.7861476905098428E-2</c:v>
                </c:pt>
                <c:pt idx="217">
                  <c:v>-1.4269301024752656E-2</c:v>
                </c:pt>
                <c:pt idx="218">
                  <c:v>-9.076394232602536E-3</c:v>
                </c:pt>
                <c:pt idx="219">
                  <c:v>2.3182632059981723E-2</c:v>
                </c:pt>
                <c:pt idx="220">
                  <c:v>1.2187062946880101E-2</c:v>
                </c:pt>
                <c:pt idx="221">
                  <c:v>1.7344416406284147E-4</c:v>
                </c:pt>
                <c:pt idx="222">
                  <c:v>-2.6191896521375102E-2</c:v>
                </c:pt>
                <c:pt idx="223">
                  <c:v>-2.8735872683894881E-3</c:v>
                </c:pt>
                <c:pt idx="224">
                  <c:v>-5.7693798396302176E-3</c:v>
                </c:pt>
                <c:pt idx="225">
                  <c:v>1.284062335966496E-2</c:v>
                </c:pt>
                <c:pt idx="226">
                  <c:v>7.3605378232237673E-3</c:v>
                </c:pt>
                <c:pt idx="227">
                  <c:v>9.3692799175630892E-3</c:v>
                </c:pt>
                <c:pt idx="228">
                  <c:v>5.3475862153571363E-3</c:v>
                </c:pt>
                <c:pt idx="229">
                  <c:v>2.5414354343950896E-2</c:v>
                </c:pt>
                <c:pt idx="230">
                  <c:v>-1.549644320922261E-2</c:v>
                </c:pt>
                <c:pt idx="231">
                  <c:v>6.0953886065597818E-3</c:v>
                </c:pt>
                <c:pt idx="232">
                  <c:v>-3.8588487111378411E-3</c:v>
                </c:pt>
                <c:pt idx="233">
                  <c:v>-2.1582806408884436E-2</c:v>
                </c:pt>
                <c:pt idx="234">
                  <c:v>0</c:v>
                </c:pt>
                <c:pt idx="235">
                  <c:v>-6.8551070675691994E-3</c:v>
                </c:pt>
                <c:pt idx="236">
                  <c:v>1.9431636752004433E-2</c:v>
                </c:pt>
                <c:pt idx="237">
                  <c:v>-1.1171839171500997E-3</c:v>
                </c:pt>
                <c:pt idx="238">
                  <c:v>1.2136450108367169E-2</c:v>
                </c:pt>
                <c:pt idx="239">
                  <c:v>-1.1852769717155986E-2</c:v>
                </c:pt>
                <c:pt idx="240">
                  <c:v>-1.8174653783014083E-3</c:v>
                </c:pt>
                <c:pt idx="241">
                  <c:v>1.1204502917119274E-3</c:v>
                </c:pt>
                <c:pt idx="242">
                  <c:v>-1.0576380952144748E-2</c:v>
                </c:pt>
                <c:pt idx="243">
                  <c:v>-1.8515293671746424E-2</c:v>
                </c:pt>
                <c:pt idx="244">
                  <c:v>-1.8737641914140735E-2</c:v>
                </c:pt>
                <c:pt idx="245">
                  <c:v>-1.9506734707488094E-2</c:v>
                </c:pt>
                <c:pt idx="246">
                  <c:v>-1.2148993883619008E-2</c:v>
                </c:pt>
                <c:pt idx="247">
                  <c:v>1.147964114380029E-2</c:v>
                </c:pt>
                <c:pt idx="248">
                  <c:v>-3.8364718191641334E-4</c:v>
                </c:pt>
                <c:pt idx="249">
                  <c:v>2.2311444845108941E-2</c:v>
                </c:pt>
                <c:pt idx="250">
                  <c:v>-1.2020994424927656E-2</c:v>
                </c:pt>
                <c:pt idx="251">
                  <c:v>7.7196757461566179E-3</c:v>
                </c:pt>
                <c:pt idx="252">
                  <c:v>-1.4378317612977032E-2</c:v>
                </c:pt>
                <c:pt idx="253">
                  <c:v>-4.5379513208235744E-3</c:v>
                </c:pt>
                <c:pt idx="254">
                  <c:v>3.0331154540010896E-3</c:v>
                </c:pt>
                <c:pt idx="255">
                  <c:v>1.5508736219305153E-3</c:v>
                </c:pt>
                <c:pt idx="256">
                  <c:v>1.0229249804056151E-2</c:v>
                </c:pt>
                <c:pt idx="257">
                  <c:v>-6.5790401642545238E-2</c:v>
                </c:pt>
                <c:pt idx="258">
                  <c:v>-4.6561325871647963E-3</c:v>
                </c:pt>
                <c:pt idx="259">
                  <c:v>-1.9220373694229576E-2</c:v>
                </c:pt>
                <c:pt idx="260">
                  <c:v>1.0492789288891524E-2</c:v>
                </c:pt>
                <c:pt idx="261">
                  <c:v>-1.1186591427300829E-2</c:v>
                </c:pt>
                <c:pt idx="262">
                  <c:v>-1.9398801939200072E-2</c:v>
                </c:pt>
                <c:pt idx="263">
                  <c:v>-9.0732663094255095E-3</c:v>
                </c:pt>
                <c:pt idx="264">
                  <c:v>-1.0753708142790863E-2</c:v>
                </c:pt>
                <c:pt idx="265">
                  <c:v>-1.0613857929047898E-2</c:v>
                </c:pt>
                <c:pt idx="266">
                  <c:v>3.0181321869042765E-3</c:v>
                </c:pt>
                <c:pt idx="267">
                  <c:v>1.7129113954415631E-2</c:v>
                </c:pt>
                <c:pt idx="268">
                  <c:v>-1.8962385038824414E-2</c:v>
                </c:pt>
                <c:pt idx="269">
                  <c:v>3.2749493956526932E-2</c:v>
                </c:pt>
                <c:pt idx="270">
                  <c:v>9.467065528964369E-3</c:v>
                </c:pt>
                <c:pt idx="271">
                  <c:v>1.8874268405305594E-2</c:v>
                </c:pt>
                <c:pt idx="272">
                  <c:v>2.1331686937108074E-2</c:v>
                </c:pt>
                <c:pt idx="273">
                  <c:v>9.4526003769375144E-3</c:v>
                </c:pt>
                <c:pt idx="274">
                  <c:v>1.6728038660734024E-2</c:v>
                </c:pt>
                <c:pt idx="275">
                  <c:v>-3.6337308467604412E-3</c:v>
                </c:pt>
                <c:pt idx="276">
                  <c:v>-4.3050156080518542E-3</c:v>
                </c:pt>
                <c:pt idx="277">
                  <c:v>-1.1334146942166168E-2</c:v>
                </c:pt>
                <c:pt idx="278">
                  <c:v>5.4603026579520542E-3</c:v>
                </c:pt>
                <c:pt idx="279">
                  <c:v>5.2877258301189389E-3</c:v>
                </c:pt>
                <c:pt idx="280">
                  <c:v>-4.5430026272370583E-3</c:v>
                </c:pt>
                <c:pt idx="281">
                  <c:v>-5.0416539450954811E-3</c:v>
                </c:pt>
                <c:pt idx="282">
                  <c:v>-1.274332529025568E-2</c:v>
                </c:pt>
                <c:pt idx="283">
                  <c:v>-3.1731447806745416E-3</c:v>
                </c:pt>
                <c:pt idx="284">
                  <c:v>-7.1020772212326833E-3</c:v>
                </c:pt>
                <c:pt idx="285">
                  <c:v>3.3274449468962963E-3</c:v>
                </c:pt>
                <c:pt idx="286">
                  <c:v>7.568404894359837E-3</c:v>
                </c:pt>
                <c:pt idx="287">
                  <c:v>-2.5649926580331162E-3</c:v>
                </c:pt>
                <c:pt idx="288">
                  <c:v>-1.1590903190717983E-3</c:v>
                </c:pt>
                <c:pt idx="289">
                  <c:v>-3.0634035134110005E-2</c:v>
                </c:pt>
                <c:pt idx="290">
                  <c:v>1.7276142798760219E-2</c:v>
                </c:pt>
                <c:pt idx="291">
                  <c:v>3.7876859687202558E-3</c:v>
                </c:pt>
                <c:pt idx="292">
                  <c:v>-2.4196213955853252E-2</c:v>
                </c:pt>
                <c:pt idx="293">
                  <c:v>1.1002865559672781E-2</c:v>
                </c:pt>
                <c:pt idx="294">
                  <c:v>-7.8637873616930198E-3</c:v>
                </c:pt>
                <c:pt idx="295">
                  <c:v>-8.6458719216776503E-3</c:v>
                </c:pt>
                <c:pt idx="296">
                  <c:v>1.5079309432314947E-2</c:v>
                </c:pt>
                <c:pt idx="297">
                  <c:v>2.1787659171856877E-3</c:v>
                </c:pt>
                <c:pt idx="298">
                  <c:v>-8.4565520114148196E-3</c:v>
                </c:pt>
                <c:pt idx="299">
                  <c:v>3.1419453954619758E-3</c:v>
                </c:pt>
                <c:pt idx="300">
                  <c:v>0</c:v>
                </c:pt>
                <c:pt idx="301">
                  <c:v>9.8458440021309546E-3</c:v>
                </c:pt>
                <c:pt idx="302">
                  <c:v>6.6486768299889309E-3</c:v>
                </c:pt>
                <c:pt idx="303">
                  <c:v>1.7150130451627499E-2</c:v>
                </c:pt>
                <c:pt idx="304">
                  <c:v>1.3964549414131611E-2</c:v>
                </c:pt>
                <c:pt idx="305">
                  <c:v>4.1363812255114762E-2</c:v>
                </c:pt>
                <c:pt idx="306">
                  <c:v>8.7152016552975997E-3</c:v>
                </c:pt>
                <c:pt idx="307">
                  <c:v>-2.2423503273706569E-2</c:v>
                </c:pt>
                <c:pt idx="308">
                  <c:v>3.4024902972899396E-2</c:v>
                </c:pt>
                <c:pt idx="309">
                  <c:v>4.6980838429590444E-2</c:v>
                </c:pt>
                <c:pt idx="310">
                  <c:v>-1.4524530045723294E-2</c:v>
                </c:pt>
                <c:pt idx="311">
                  <c:v>1.7727105164948576E-3</c:v>
                </c:pt>
                <c:pt idx="312">
                  <c:v>-7.4299056407811648E-3</c:v>
                </c:pt>
                <c:pt idx="313">
                  <c:v>-2.4629278197748627E-3</c:v>
                </c:pt>
                <c:pt idx="314">
                  <c:v>-8.9991713446960775E-3</c:v>
                </c:pt>
                <c:pt idx="315">
                  <c:v>1.8618409088270838E-2</c:v>
                </c:pt>
                <c:pt idx="316">
                  <c:v>-1.2523911576414082E-2</c:v>
                </c:pt>
                <c:pt idx="317">
                  <c:v>0</c:v>
                </c:pt>
                <c:pt idx="318">
                  <c:v>7.9647653766599102E-3</c:v>
                </c:pt>
                <c:pt idx="319">
                  <c:v>1.852907629739331E-3</c:v>
                </c:pt>
                <c:pt idx="320">
                  <c:v>-4.3760625168878242E-3</c:v>
                </c:pt>
                <c:pt idx="321">
                  <c:v>-1.5403918774165026E-2</c:v>
                </c:pt>
                <c:pt idx="322">
                  <c:v>3.6224469144958693E-3</c:v>
                </c:pt>
                <c:pt idx="323">
                  <c:v>4.8412694874999662E-3</c:v>
                </c:pt>
                <c:pt idx="324">
                  <c:v>-0.20375073572865898</c:v>
                </c:pt>
                <c:pt idx="325">
                  <c:v>1.9070930288292098E-2</c:v>
                </c:pt>
                <c:pt idx="326">
                  <c:v>-1.4131219445612131E-2</c:v>
                </c:pt>
                <c:pt idx="327">
                  <c:v>-1.4190124697763595E-2</c:v>
                </c:pt>
                <c:pt idx="328">
                  <c:v>9.4892299944990821E-3</c:v>
                </c:pt>
                <c:pt idx="329">
                  <c:v>-1.031095247154612E-2</c:v>
                </c:pt>
                <c:pt idx="330">
                  <c:v>-3.8320019132126459E-2</c:v>
                </c:pt>
                <c:pt idx="331">
                  <c:v>-1.2831421388725617E-2</c:v>
                </c:pt>
                <c:pt idx="332">
                  <c:v>-5.7257592611160701E-3</c:v>
                </c:pt>
                <c:pt idx="333">
                  <c:v>5.5884027387944624E-3</c:v>
                </c:pt>
                <c:pt idx="334">
                  <c:v>-1.3084582215587837E-3</c:v>
                </c:pt>
                <c:pt idx="335">
                  <c:v>-2.1009993400590288E-2</c:v>
                </c:pt>
                <c:pt idx="336">
                  <c:v>1.2596219988032065E-2</c:v>
                </c:pt>
                <c:pt idx="337">
                  <c:v>7.1216709773553877E-3</c:v>
                </c:pt>
                <c:pt idx="338">
                  <c:v>8.9856005269961514E-3</c:v>
                </c:pt>
                <c:pt idx="339">
                  <c:v>6.1054818217838314E-3</c:v>
                </c:pt>
                <c:pt idx="340">
                  <c:v>2.2699803957591635E-2</c:v>
                </c:pt>
                <c:pt idx="341">
                  <c:v>-1.055133077254089E-2</c:v>
                </c:pt>
                <c:pt idx="342">
                  <c:v>-1.5548733992025832E-2</c:v>
                </c:pt>
                <c:pt idx="343">
                  <c:v>5.3665544070644611E-3</c:v>
                </c:pt>
                <c:pt idx="344">
                  <c:v>1.5763041494057051E-2</c:v>
                </c:pt>
                <c:pt idx="345">
                  <c:v>2.2747017247437995E-2</c:v>
                </c:pt>
                <c:pt idx="346">
                  <c:v>1.8637809599400645E-2</c:v>
                </c:pt>
                <c:pt idx="347">
                  <c:v>-2.0810067192733595E-4</c:v>
                </c:pt>
                <c:pt idx="348">
                  <c:v>-1.0578472609399592E-2</c:v>
                </c:pt>
                <c:pt idx="349">
                  <c:v>2.6431478853219836E-2</c:v>
                </c:pt>
                <c:pt idx="350">
                  <c:v>-1.7489915764744013E-2</c:v>
                </c:pt>
                <c:pt idx="351">
                  <c:v>2.1771443960390213E-2</c:v>
                </c:pt>
                <c:pt idx="352">
                  <c:v>-1.240296140464725E-2</c:v>
                </c:pt>
                <c:pt idx="353">
                  <c:v>2.0098287355987399E-3</c:v>
                </c:pt>
                <c:pt idx="354">
                  <c:v>-4.1041754729921331E-3</c:v>
                </c:pt>
                <c:pt idx="355">
                  <c:v>1.2449502067099161E-2</c:v>
                </c:pt>
                <c:pt idx="356">
                  <c:v>5.3877331299968967E-2</c:v>
                </c:pt>
                <c:pt idx="357">
                  <c:v>-9.0438032350917963E-3</c:v>
                </c:pt>
                <c:pt idx="358">
                  <c:v>3.8963901022433411E-2</c:v>
                </c:pt>
                <c:pt idx="359">
                  <c:v>9.0832804506582043E-3</c:v>
                </c:pt>
                <c:pt idx="360">
                  <c:v>4.5167583976830628E-3</c:v>
                </c:pt>
                <c:pt idx="361">
                  <c:v>1.9454613617037042E-2</c:v>
                </c:pt>
                <c:pt idx="362">
                  <c:v>2.0593641416609909E-2</c:v>
                </c:pt>
                <c:pt idx="363">
                  <c:v>-5.3633111659356913E-4</c:v>
                </c:pt>
                <c:pt idx="364">
                  <c:v>-1.0788364272802609E-2</c:v>
                </c:pt>
                <c:pt idx="365">
                  <c:v>1.6568028471510177E-2</c:v>
                </c:pt>
                <c:pt idx="366">
                  <c:v>2.9025815931829735E-2</c:v>
                </c:pt>
                <c:pt idx="367">
                  <c:v>-3.0084885785981119E-2</c:v>
                </c:pt>
                <c:pt idx="368">
                  <c:v>1.5733247550661522E-2</c:v>
                </c:pt>
                <c:pt idx="369">
                  <c:v>-1.0860764088112207E-2</c:v>
                </c:pt>
                <c:pt idx="370">
                  <c:v>-2.9178327958673256E-3</c:v>
                </c:pt>
                <c:pt idx="371">
                  <c:v>-1.2831232679667792E-2</c:v>
                </c:pt>
                <c:pt idx="372">
                  <c:v>2.6605556545962195E-3</c:v>
                </c:pt>
                <c:pt idx="373">
                  <c:v>-9.3613102589484853E-4</c:v>
                </c:pt>
                <c:pt idx="374">
                  <c:v>2.7987304590133544E-3</c:v>
                </c:pt>
                <c:pt idx="375">
                  <c:v>-2.0532203716913888E-2</c:v>
                </c:pt>
                <c:pt idx="376">
                  <c:v>-8.5796424122686066E-3</c:v>
                </c:pt>
                <c:pt idx="377">
                  <c:v>-1.3821924065259061E-2</c:v>
                </c:pt>
                <c:pt idx="378">
                  <c:v>-1.0390688825079097E-2</c:v>
                </c:pt>
                <c:pt idx="379">
                  <c:v>-8.6386927832338145E-3</c:v>
                </c:pt>
                <c:pt idx="380">
                  <c:v>1.3107283487081345E-2</c:v>
                </c:pt>
                <c:pt idx="381">
                  <c:v>2.3957426687782668E-2</c:v>
                </c:pt>
                <c:pt idx="382">
                  <c:v>-9.7968038111058142E-3</c:v>
                </c:pt>
                <c:pt idx="383">
                  <c:v>7.4777420660351979E-2</c:v>
                </c:pt>
                <c:pt idx="384">
                  <c:v>-3.597399447778149E-3</c:v>
                </c:pt>
                <c:pt idx="385">
                  <c:v>8.8913095149036891E-3</c:v>
                </c:pt>
                <c:pt idx="386">
                  <c:v>2.2688489266903478E-2</c:v>
                </c:pt>
                <c:pt idx="387">
                  <c:v>1.5534744563041603E-2</c:v>
                </c:pt>
                <c:pt idx="388">
                  <c:v>8.2972079018350797E-3</c:v>
                </c:pt>
                <c:pt idx="389">
                  <c:v>-1.263809345522704E-2</c:v>
                </c:pt>
                <c:pt idx="390">
                  <c:v>-7.3371811459428393E-2</c:v>
                </c:pt>
                <c:pt idx="391">
                  <c:v>-1.4618628018391422E-2</c:v>
                </c:pt>
                <c:pt idx="392">
                  <c:v>-3.5767048081890573E-3</c:v>
                </c:pt>
                <c:pt idx="393">
                  <c:v>-1.6465839967074181E-2</c:v>
                </c:pt>
                <c:pt idx="394">
                  <c:v>2.9441066094286761E-3</c:v>
                </c:pt>
                <c:pt idx="395">
                  <c:v>3.0960853619346862E-2</c:v>
                </c:pt>
                <c:pt idx="396">
                  <c:v>-7.438084055517824E-3</c:v>
                </c:pt>
                <c:pt idx="397">
                  <c:v>-1.3105994004207311E-2</c:v>
                </c:pt>
                <c:pt idx="398">
                  <c:v>-3.8188601878016426E-3</c:v>
                </c:pt>
                <c:pt idx="399">
                  <c:v>2.9707368719269933E-2</c:v>
                </c:pt>
                <c:pt idx="400">
                  <c:v>3.352393815216681E-2</c:v>
                </c:pt>
                <c:pt idx="401">
                  <c:v>-7.0489024593889393E-3</c:v>
                </c:pt>
                <c:pt idx="402">
                  <c:v>-1.1051259838028571E-2</c:v>
                </c:pt>
                <c:pt idx="403">
                  <c:v>-6.2171658948494413E-3</c:v>
                </c:pt>
                <c:pt idx="404">
                  <c:v>-7.7066255554824048E-3</c:v>
                </c:pt>
                <c:pt idx="405">
                  <c:v>-1.9160261869606954E-2</c:v>
                </c:pt>
                <c:pt idx="406">
                  <c:v>-1.1201320727027508E-2</c:v>
                </c:pt>
                <c:pt idx="407">
                  <c:v>5.1525814401909287E-4</c:v>
                </c:pt>
                <c:pt idx="408">
                  <c:v>9.5359187256758293E-3</c:v>
                </c:pt>
                <c:pt idx="409">
                  <c:v>-6.4293564020539984E-3</c:v>
                </c:pt>
                <c:pt idx="410">
                  <c:v>-2.1739357911127355E-2</c:v>
                </c:pt>
                <c:pt idx="411">
                  <c:v>-3.557003933517211E-3</c:v>
                </c:pt>
                <c:pt idx="412">
                  <c:v>2.7061203763766084E-2</c:v>
                </c:pt>
                <c:pt idx="413">
                  <c:v>-1.7282616496623215E-2</c:v>
                </c:pt>
                <c:pt idx="414">
                  <c:v>5.5917266678715549E-3</c:v>
                </c:pt>
                <c:pt idx="415">
                  <c:v>-2.814231748592666E-2</c:v>
                </c:pt>
                <c:pt idx="416">
                  <c:v>-2.5971021315682741E-3</c:v>
                </c:pt>
                <c:pt idx="417">
                  <c:v>1.3098691052275235E-2</c:v>
                </c:pt>
                <c:pt idx="418">
                  <c:v>1.4690745706167574E-2</c:v>
                </c:pt>
                <c:pt idx="419">
                  <c:v>1.3301385268751131E-2</c:v>
                </c:pt>
                <c:pt idx="420">
                  <c:v>-3.4641883602294365E-3</c:v>
                </c:pt>
                <c:pt idx="421">
                  <c:v>-1.2624898693962883E-2</c:v>
                </c:pt>
                <c:pt idx="422">
                  <c:v>1.3624641708411378E-2</c:v>
                </c:pt>
                <c:pt idx="423">
                  <c:v>-5.5025384817654066E-2</c:v>
                </c:pt>
                <c:pt idx="424">
                  <c:v>-5.0623882630834727E-3</c:v>
                </c:pt>
                <c:pt idx="425">
                  <c:v>4.1962727746926998E-2</c:v>
                </c:pt>
                <c:pt idx="426">
                  <c:v>2.8448014759288931E-2</c:v>
                </c:pt>
                <c:pt idx="427">
                  <c:v>1.9693053098484459E-2</c:v>
                </c:pt>
                <c:pt idx="428">
                  <c:v>-4.3344761690137235E-3</c:v>
                </c:pt>
                <c:pt idx="429">
                  <c:v>4.9752412973380622E-3</c:v>
                </c:pt>
                <c:pt idx="430">
                  <c:v>-9.9011459501987531E-3</c:v>
                </c:pt>
                <c:pt idx="431">
                  <c:v>0</c:v>
                </c:pt>
                <c:pt idx="432">
                  <c:v>7.8895722815370828E-3</c:v>
                </c:pt>
                <c:pt idx="433">
                  <c:v>-4.0378993004307473E-3</c:v>
                </c:pt>
                <c:pt idx="434">
                  <c:v>-1.0730547556026315E-2</c:v>
                </c:pt>
                <c:pt idx="435">
                  <c:v>-1.5611744391356153E-3</c:v>
                </c:pt>
                <c:pt idx="436">
                  <c:v>5.7187639797826595E-3</c:v>
                </c:pt>
                <c:pt idx="437">
                  <c:v>-1.3046409018152794E-2</c:v>
                </c:pt>
                <c:pt idx="438">
                  <c:v>-1.5442257039891327E-2</c:v>
                </c:pt>
                <c:pt idx="439">
                  <c:v>2.0032884736347123E-2</c:v>
                </c:pt>
                <c:pt idx="440">
                  <c:v>-1.6445178908949032E-2</c:v>
                </c:pt>
                <c:pt idx="441">
                  <c:v>3.4662621475494149E-3</c:v>
                </c:pt>
                <c:pt idx="442">
                  <c:v>8.7926279673455898E-3</c:v>
                </c:pt>
                <c:pt idx="443">
                  <c:v>2.4902499966843461E-3</c:v>
                </c:pt>
                <c:pt idx="444">
                  <c:v>-6.387703972023151E-3</c:v>
                </c:pt>
                <c:pt idx="445">
                  <c:v>-1.8661318248557435E-2</c:v>
                </c:pt>
                <c:pt idx="446">
                  <c:v>2.8075685239301595E-3</c:v>
                </c:pt>
                <c:pt idx="447">
                  <c:v>1.4128886889934744E-3</c:v>
                </c:pt>
                <c:pt idx="448">
                  <c:v>7.8113953272205272E-3</c:v>
                </c:pt>
                <c:pt idx="449">
                  <c:v>-1.7660642441035268E-3</c:v>
                </c:pt>
                <c:pt idx="450">
                  <c:v>-3.5443550106014632E-3</c:v>
                </c:pt>
                <c:pt idx="451">
                  <c:v>2.3105257001253099E-2</c:v>
                </c:pt>
                <c:pt idx="452">
                  <c:v>-4.277553926241584E-2</c:v>
                </c:pt>
                <c:pt idx="453">
                  <c:v>1.9775927625746981E-3</c:v>
                </c:pt>
                <c:pt idx="454">
                  <c:v>-3.6026250224621248E-2</c:v>
                </c:pt>
                <c:pt idx="455">
                  <c:v>-1.570405483334314E-4</c:v>
                </c:pt>
                <c:pt idx="456">
                  <c:v>-8.8805272851203432E-3</c:v>
                </c:pt>
                <c:pt idx="457">
                  <c:v>1.9283884345369318E-2</c:v>
                </c:pt>
                <c:pt idx="458">
                  <c:v>-3.3784699205808844E-3</c:v>
                </c:pt>
                <c:pt idx="459">
                  <c:v>1.6949116013999177E-2</c:v>
                </c:pt>
                <c:pt idx="460">
                  <c:v>-2.8999958103970047E-2</c:v>
                </c:pt>
                <c:pt idx="461">
                  <c:v>-1.3937248886308762E-3</c:v>
                </c:pt>
                <c:pt idx="462">
                  <c:v>1.4115072211197788E-2</c:v>
                </c:pt>
                <c:pt idx="463">
                  <c:v>1.3967184328338433E-3</c:v>
                </c:pt>
                <c:pt idx="464">
                  <c:v>-7.1766520909377629E-4</c:v>
                </c:pt>
                <c:pt idx="465">
                  <c:v>2.2818429028347076E-2</c:v>
                </c:pt>
                <c:pt idx="466">
                  <c:v>4.7095639328649241E-3</c:v>
                </c:pt>
                <c:pt idx="467">
                  <c:v>-1.1801745507309391E-3</c:v>
                </c:pt>
                <c:pt idx="468">
                  <c:v>-1.9141886012038811E-2</c:v>
                </c:pt>
                <c:pt idx="469">
                  <c:v>5.0854614392787711E-2</c:v>
                </c:pt>
                <c:pt idx="470">
                  <c:v>-2.1497573685531735E-2</c:v>
                </c:pt>
                <c:pt idx="471">
                  <c:v>3.2067990037668359E-2</c:v>
                </c:pt>
                <c:pt idx="472">
                  <c:v>2.0919664509450042E-2</c:v>
                </c:pt>
                <c:pt idx="473">
                  <c:v>-1.2361716679264445E-3</c:v>
                </c:pt>
                <c:pt idx="474">
                  <c:v>-2.3009861162692991E-2</c:v>
                </c:pt>
                <c:pt idx="475">
                  <c:v>-2.4825017948621686E-2</c:v>
                </c:pt>
                <c:pt idx="476">
                  <c:v>-4.0306718315775703E-2</c:v>
                </c:pt>
                <c:pt idx="477">
                  <c:v>-3.3524923570552256E-2</c:v>
                </c:pt>
                <c:pt idx="478">
                  <c:v>2.2548096493879122E-2</c:v>
                </c:pt>
                <c:pt idx="479">
                  <c:v>8.9539302872683191E-3</c:v>
                </c:pt>
                <c:pt idx="480">
                  <c:v>1.3424167738626203E-2</c:v>
                </c:pt>
                <c:pt idx="481">
                  <c:v>9.0665079143814609E-3</c:v>
                </c:pt>
                <c:pt idx="482">
                  <c:v>-9.9323114272994451E-3</c:v>
                </c:pt>
                <c:pt idx="483">
                  <c:v>3.8605213870332999E-3</c:v>
                </c:pt>
                <c:pt idx="484">
                  <c:v>5.2986552445753787E-2</c:v>
                </c:pt>
                <c:pt idx="485">
                  <c:v>1.9441403315838546E-3</c:v>
                </c:pt>
                <c:pt idx="486">
                  <c:v>-4.0904213969358283E-3</c:v>
                </c:pt>
                <c:pt idx="487">
                  <c:v>-6.7515501848804949E-3</c:v>
                </c:pt>
                <c:pt idx="488">
                  <c:v>6.1086727632309268E-2</c:v>
                </c:pt>
                <c:pt idx="489">
                  <c:v>1.4891112275145391E-2</c:v>
                </c:pt>
                <c:pt idx="490">
                  <c:v>-1.4069460192941197E-2</c:v>
                </c:pt>
                <c:pt idx="491">
                  <c:v>-1.2089539505782732E-2</c:v>
                </c:pt>
                <c:pt idx="492">
                  <c:v>-3.4518117026521855E-3</c:v>
                </c:pt>
                <c:pt idx="493">
                  <c:v>-5.4277081730330634E-3</c:v>
                </c:pt>
                <c:pt idx="494">
                  <c:v>-3.8299699078114813E-3</c:v>
                </c:pt>
                <c:pt idx="495">
                  <c:v>-2.8962761426351458E-2</c:v>
                </c:pt>
                <c:pt idx="496">
                  <c:v>8.718352802312257E-3</c:v>
                </c:pt>
                <c:pt idx="497">
                  <c:v>2.5364643884631111E-3</c:v>
                </c:pt>
                <c:pt idx="498">
                  <c:v>-1.9607864360899896E-2</c:v>
                </c:pt>
                <c:pt idx="499">
                  <c:v>-3.2251633527163204E-2</c:v>
                </c:pt>
                <c:pt idx="500">
                  <c:v>-8.6732192658706131E-3</c:v>
                </c:pt>
                <c:pt idx="501">
                  <c:v>-1.8628154856326296E-2</c:v>
                </c:pt>
                <c:pt idx="502">
                  <c:v>-2.349746869796776E-2</c:v>
                </c:pt>
                <c:pt idx="503">
                  <c:v>2.1073520789811839E-2</c:v>
                </c:pt>
                <c:pt idx="504">
                  <c:v>8.9342194466257574E-4</c:v>
                </c:pt>
                <c:pt idx="505">
                  <c:v>-8.2947347747133193E-3</c:v>
                </c:pt>
                <c:pt idx="506">
                  <c:v>-4.9409338377220391E-2</c:v>
                </c:pt>
                <c:pt idx="507">
                  <c:v>-1.0503411598832391E-2</c:v>
                </c:pt>
                <c:pt idx="508">
                  <c:v>-1.5752881147819808E-2</c:v>
                </c:pt>
                <c:pt idx="509">
                  <c:v>-9.2889061162996223E-3</c:v>
                </c:pt>
                <c:pt idx="510">
                  <c:v>1.3135515332976633E-2</c:v>
                </c:pt>
                <c:pt idx="511">
                  <c:v>-3.5065543761931273E-2</c:v>
                </c:pt>
                <c:pt idx="512">
                  <c:v>8.2547508189205754E-3</c:v>
                </c:pt>
                <c:pt idx="513">
                  <c:v>9.3283571610054405E-3</c:v>
                </c:pt>
                <c:pt idx="514">
                  <c:v>9.9631015476331353E-3</c:v>
                </c:pt>
                <c:pt idx="515">
                  <c:v>-0.16236655331268934</c:v>
                </c:pt>
                <c:pt idx="516">
                  <c:v>5.937787320689436E-2</c:v>
                </c:pt>
                <c:pt idx="517">
                  <c:v>-2.6323039433118978E-2</c:v>
                </c:pt>
                <c:pt idx="518">
                  <c:v>-4.7478247560095888E-2</c:v>
                </c:pt>
                <c:pt idx="519">
                  <c:v>8.9099898699517732E-2</c:v>
                </c:pt>
                <c:pt idx="520">
                  <c:v>-6.957247511071174E-2</c:v>
                </c:pt>
                <c:pt idx="521">
                  <c:v>-6.5316205957954843E-3</c:v>
                </c:pt>
                <c:pt idx="522">
                  <c:v>1.3584193824849766E-2</c:v>
                </c:pt>
                <c:pt idx="523">
                  <c:v>-1.5960934102158819E-2</c:v>
                </c:pt>
                <c:pt idx="524">
                  <c:v>-2.8366482592612652E-2</c:v>
                </c:pt>
                <c:pt idx="525">
                  <c:v>3.3040476187483181E-2</c:v>
                </c:pt>
                <c:pt idx="526">
                  <c:v>1.4492769669526062E-2</c:v>
                </c:pt>
                <c:pt idx="527">
                  <c:v>6.6785918139984357E-3</c:v>
                </c:pt>
                <c:pt idx="528">
                  <c:v>1.287827800462793E-2</c:v>
                </c:pt>
                <c:pt idx="529">
                  <c:v>-1.4868519694323679E-2</c:v>
                </c:pt>
                <c:pt idx="530">
                  <c:v>-1.9556095430377507E-3</c:v>
                </c:pt>
                <c:pt idx="531">
                  <c:v>4.7023764228670828E-3</c:v>
                </c:pt>
                <c:pt idx="532">
                  <c:v>-2.0707281067804284E-2</c:v>
                </c:pt>
                <c:pt idx="533">
                  <c:v>4.0814931041819769E-2</c:v>
                </c:pt>
                <c:pt idx="534">
                  <c:v>-1.6428630125030486E-2</c:v>
                </c:pt>
                <c:pt idx="535">
                  <c:v>-5.2431803042949365E-3</c:v>
                </c:pt>
                <c:pt idx="536">
                  <c:v>2.0435372825138298E-2</c:v>
                </c:pt>
                <c:pt idx="537">
                  <c:v>1.1332677227609667E-2</c:v>
                </c:pt>
                <c:pt idx="538">
                  <c:v>-1.8613080165713392E-2</c:v>
                </c:pt>
                <c:pt idx="539">
                  <c:v>7.4065308919609496E-2</c:v>
                </c:pt>
                <c:pt idx="540">
                  <c:v>-7.3460199428375672E-3</c:v>
                </c:pt>
                <c:pt idx="541">
                  <c:v>-1.3195658117126974E-2</c:v>
                </c:pt>
                <c:pt idx="542">
                  <c:v>1.5974810971655762E-2</c:v>
                </c:pt>
                <c:pt idx="543">
                  <c:v>9.9184105974070569E-3</c:v>
                </c:pt>
                <c:pt idx="544">
                  <c:v>-2.5707323312145647E-2</c:v>
                </c:pt>
                <c:pt idx="545">
                  <c:v>5.5241078685090983E-3</c:v>
                </c:pt>
                <c:pt idx="546">
                  <c:v>-3.3410718136787976E-2</c:v>
                </c:pt>
                <c:pt idx="547">
                  <c:v>1.788381408305062E-2</c:v>
                </c:pt>
                <c:pt idx="548">
                  <c:v>-2.4890871745509857E-2</c:v>
                </c:pt>
                <c:pt idx="549">
                  <c:v>1.7299099000391838E-3</c:v>
                </c:pt>
                <c:pt idx="550">
                  <c:v>3.8262188862898672E-2</c:v>
                </c:pt>
                <c:pt idx="551">
                  <c:v>-3.2102627560071095E-3</c:v>
                </c:pt>
                <c:pt idx="552">
                  <c:v>-1.1147169811324908E-2</c:v>
                </c:pt>
                <c:pt idx="553">
                  <c:v>-2.6494213621665041E-3</c:v>
                </c:pt>
                <c:pt idx="554">
                  <c:v>-2.2004104647582734E-3</c:v>
                </c:pt>
                <c:pt idx="555">
                  <c:v>1.6242438387778391E-2</c:v>
                </c:pt>
                <c:pt idx="556">
                  <c:v>4.2565082395524811E-3</c:v>
                </c:pt>
                <c:pt idx="557">
                  <c:v>-3.5402985947711185E-3</c:v>
                </c:pt>
                <c:pt idx="558">
                  <c:v>8.3395075379866235E-4</c:v>
                </c:pt>
                <c:pt idx="559">
                  <c:v>-1.4783341766361979E-2</c:v>
                </c:pt>
                <c:pt idx="560">
                  <c:v>3.1076036349345415E-2</c:v>
                </c:pt>
                <c:pt idx="561">
                  <c:v>-2.1328981022866622E-2</c:v>
                </c:pt>
                <c:pt idx="562">
                  <c:v>-6.0266965037990561E-3</c:v>
                </c:pt>
                <c:pt idx="563">
                  <c:v>-3.694525341428323E-2</c:v>
                </c:pt>
                <c:pt idx="564">
                  <c:v>2.5358942547264229E-2</c:v>
                </c:pt>
                <c:pt idx="565">
                  <c:v>-2.6960751575528352E-2</c:v>
                </c:pt>
                <c:pt idx="566">
                  <c:v>-7.3635086940343486E-3</c:v>
                </c:pt>
                <c:pt idx="567">
                  <c:v>0</c:v>
                </c:pt>
                <c:pt idx="568">
                  <c:v>1.6746086846417318E-2</c:v>
                </c:pt>
                <c:pt idx="569">
                  <c:v>1.44791645967981E-2</c:v>
                </c:pt>
                <c:pt idx="570">
                  <c:v>-1.9115764440947869E-3</c:v>
                </c:pt>
                <c:pt idx="571">
                  <c:v>-1.0039832743615085E-2</c:v>
                </c:pt>
                <c:pt idx="572">
                  <c:v>2.2200582285325732E-2</c:v>
                </c:pt>
                <c:pt idx="573">
                  <c:v>0.15626431797737994</c:v>
                </c:pt>
                <c:pt idx="574">
                  <c:v>-2.3767125597526917E-2</c:v>
                </c:pt>
                <c:pt idx="575">
                  <c:v>3.4180377187436273E-2</c:v>
                </c:pt>
                <c:pt idx="576">
                  <c:v>4.4741426149447205E-2</c:v>
                </c:pt>
                <c:pt idx="577">
                  <c:v>-7.6548896626031926E-3</c:v>
                </c:pt>
                <c:pt idx="578">
                  <c:v>2.1038482891622134E-3</c:v>
                </c:pt>
                <c:pt idx="579">
                  <c:v>-1.1127362683341913E-3</c:v>
                </c:pt>
                <c:pt idx="580">
                  <c:v>-3.6856908593375648E-2</c:v>
                </c:pt>
                <c:pt idx="581">
                  <c:v>-3.5278532152820397E-3</c:v>
                </c:pt>
                <c:pt idx="582">
                  <c:v>1.5146535076133283E-2</c:v>
                </c:pt>
                <c:pt idx="583">
                  <c:v>-2.5670503066648087E-2</c:v>
                </c:pt>
                <c:pt idx="584">
                  <c:v>-3.6900545369500382E-3</c:v>
                </c:pt>
                <c:pt idx="585">
                  <c:v>5.1851557515356639E-3</c:v>
                </c:pt>
                <c:pt idx="586">
                  <c:v>-3.684526115891873E-3</c:v>
                </c:pt>
                <c:pt idx="587">
                  <c:v>1.4053303170651565E-2</c:v>
                </c:pt>
                <c:pt idx="588">
                  <c:v>-1.1663077965591184E-2</c:v>
                </c:pt>
                <c:pt idx="589">
                  <c:v>2.2125283995656053E-2</c:v>
                </c:pt>
                <c:pt idx="590">
                  <c:v>1.7328710132415326E-2</c:v>
                </c:pt>
                <c:pt idx="591">
                  <c:v>9.8367525413192158E-3</c:v>
                </c:pt>
                <c:pt idx="592">
                  <c:v>-1.6783199006824345E-2</c:v>
                </c:pt>
                <c:pt idx="593">
                  <c:v>1.2888035080595106E-2</c:v>
                </c:pt>
                <c:pt idx="594">
                  <c:v>4.9739017896000215E-2</c:v>
                </c:pt>
                <c:pt idx="595">
                  <c:v>-1.7795265034235119E-2</c:v>
                </c:pt>
                <c:pt idx="596">
                  <c:v>-1.2197073120633339E-2</c:v>
                </c:pt>
                <c:pt idx="597">
                  <c:v>-2.4383437354630777E-2</c:v>
                </c:pt>
                <c:pt idx="598">
                  <c:v>-9.6449315509788969E-3</c:v>
                </c:pt>
                <c:pt idx="599">
                  <c:v>1.6910249220090101E-2</c:v>
                </c:pt>
                <c:pt idx="600">
                  <c:v>-1.6925224219800361E-2</c:v>
                </c:pt>
                <c:pt idx="601">
                  <c:v>9.325778392195172E-3</c:v>
                </c:pt>
                <c:pt idx="602">
                  <c:v>-1.5636212712729747E-2</c:v>
                </c:pt>
                <c:pt idx="603">
                  <c:v>-7.220162778994621E-3</c:v>
                </c:pt>
                <c:pt idx="604">
                  <c:v>4.3634969543215885E-3</c:v>
                </c:pt>
                <c:pt idx="605">
                  <c:v>1.0854491591719251E-2</c:v>
                </c:pt>
                <c:pt idx="606">
                  <c:v>3.5071978970008688E-2</c:v>
                </c:pt>
                <c:pt idx="607">
                  <c:v>-4.1179265235753437E-3</c:v>
                </c:pt>
                <c:pt idx="608">
                  <c:v>4.2878016268275143E-3</c:v>
                </c:pt>
                <c:pt idx="609">
                  <c:v>5.8954456973840941E-3</c:v>
                </c:pt>
                <c:pt idx="610">
                  <c:v>-5.9709240861112178E-3</c:v>
                </c:pt>
                <c:pt idx="611">
                  <c:v>-1.0373665915276997E-2</c:v>
                </c:pt>
                <c:pt idx="612">
                  <c:v>-4.5523595690725172E-3</c:v>
                </c:pt>
                <c:pt idx="613">
                  <c:v>2.7038715101360022E-2</c:v>
                </c:pt>
                <c:pt idx="614">
                  <c:v>1.3679956418311434E-2</c:v>
                </c:pt>
                <c:pt idx="615">
                  <c:v>-1.112691982262537E-2</c:v>
                </c:pt>
                <c:pt idx="616">
                  <c:v>-7.8470770090457442E-3</c:v>
                </c:pt>
                <c:pt idx="617">
                  <c:v>-1.1209931365554482E-3</c:v>
                </c:pt>
                <c:pt idx="618">
                  <c:v>-8.0626414540013736E-3</c:v>
                </c:pt>
                <c:pt idx="619">
                  <c:v>6.4691568747641259E-3</c:v>
                </c:pt>
                <c:pt idx="620">
                  <c:v>-4.2115318996852724E-2</c:v>
                </c:pt>
                <c:pt idx="621">
                  <c:v>8.2532046699936856E-3</c:v>
                </c:pt>
                <c:pt idx="622">
                  <c:v>1.071434866382992E-2</c:v>
                </c:pt>
                <c:pt idx="623">
                  <c:v>-2.4735011007738228E-2</c:v>
                </c:pt>
                <c:pt idx="624">
                  <c:v>7.3189476649204721E-4</c:v>
                </c:pt>
                <c:pt idx="625">
                  <c:v>-8.6964375150248019E-3</c:v>
                </c:pt>
                <c:pt idx="626">
                  <c:v>8.0276364208768936E-3</c:v>
                </c:pt>
                <c:pt idx="627">
                  <c:v>-3.6159475609703895E-3</c:v>
                </c:pt>
                <c:pt idx="628">
                  <c:v>-1.8909136073786637E-2</c:v>
                </c:pt>
                <c:pt idx="629">
                  <c:v>-4.981373165239833E-3</c:v>
                </c:pt>
                <c:pt idx="630">
                  <c:v>-9.1485839462027707E-3</c:v>
                </c:pt>
                <c:pt idx="631">
                  <c:v>-3.7669211564260729E-3</c:v>
                </c:pt>
                <c:pt idx="632">
                  <c:v>-1.3577507879579231E-2</c:v>
                </c:pt>
                <c:pt idx="633">
                  <c:v>1.7674339224162949E-3</c:v>
                </c:pt>
                <c:pt idx="634">
                  <c:v>-7.1029797713929588E-3</c:v>
                </c:pt>
                <c:pt idx="635">
                  <c:v>7.6845249634338586E-3</c:v>
                </c:pt>
                <c:pt idx="636">
                  <c:v>-2.2381578720372719E-2</c:v>
                </c:pt>
                <c:pt idx="637">
                  <c:v>-1.2235693753106736E-2</c:v>
                </c:pt>
                <c:pt idx="638">
                  <c:v>1.1059160744871344E-2</c:v>
                </c:pt>
                <c:pt idx="639">
                  <c:v>7.8969092311020894E-4</c:v>
                </c:pt>
                <c:pt idx="640">
                  <c:v>6.1155713292773362E-2</c:v>
                </c:pt>
                <c:pt idx="641">
                  <c:v>9.4751428817045902E-3</c:v>
                </c:pt>
                <c:pt idx="642">
                  <c:v>-3.0018329804989974E-2</c:v>
                </c:pt>
                <c:pt idx="643">
                  <c:v>-1.6541405730619463E-2</c:v>
                </c:pt>
                <c:pt idx="644">
                  <c:v>-2.9052013329579518E-2</c:v>
                </c:pt>
                <c:pt idx="645">
                  <c:v>-5.1653270161801101E-3</c:v>
                </c:pt>
                <c:pt idx="646">
                  <c:v>-9.9569312927264564E-3</c:v>
                </c:pt>
                <c:pt idx="647">
                  <c:v>-3.2657542840693221E-2</c:v>
                </c:pt>
                <c:pt idx="648">
                  <c:v>2.9503799280476528E-2</c:v>
                </c:pt>
                <c:pt idx="649">
                  <c:v>8.2604348851518239E-3</c:v>
                </c:pt>
                <c:pt idx="650">
                  <c:v>8.7579413400935557E-3</c:v>
                </c:pt>
                <c:pt idx="651">
                  <c:v>-2.6834981313549333E-2</c:v>
                </c:pt>
                <c:pt idx="652">
                  <c:v>5.3122041991600089E-3</c:v>
                </c:pt>
                <c:pt idx="653">
                  <c:v>1.326286244773911E-2</c:v>
                </c:pt>
                <c:pt idx="654">
                  <c:v>3.1927067862711489E-3</c:v>
                </c:pt>
                <c:pt idx="655">
                  <c:v>1.0642904123012942E-2</c:v>
                </c:pt>
                <c:pt idx="656">
                  <c:v>5.1829600833985801E-3</c:v>
                </c:pt>
                <c:pt idx="657">
                  <c:v>-3.0703784920044219E-3</c:v>
                </c:pt>
                <c:pt idx="658">
                  <c:v>-1.2601073232226812E-2</c:v>
                </c:pt>
                <c:pt idx="659">
                  <c:v>-1.4237980668549866E-2</c:v>
                </c:pt>
                <c:pt idx="660">
                  <c:v>-1.6408314784085221E-2</c:v>
                </c:pt>
                <c:pt idx="661">
                  <c:v>-1.4946559719443475E-2</c:v>
                </c:pt>
                <c:pt idx="662">
                  <c:v>-4.5039091604960335E-3</c:v>
                </c:pt>
                <c:pt idx="663">
                  <c:v>-3.0267208097682019E-2</c:v>
                </c:pt>
                <c:pt idx="664">
                  <c:v>-1.4409320690532357E-2</c:v>
                </c:pt>
                <c:pt idx="665">
                  <c:v>1.2366808805551077E-2</c:v>
                </c:pt>
                <c:pt idx="666">
                  <c:v>-7.0395891791908971E-3</c:v>
                </c:pt>
                <c:pt idx="667">
                  <c:v>-2.0616830119124185E-2</c:v>
                </c:pt>
                <c:pt idx="668">
                  <c:v>-6.360525426600705E-3</c:v>
                </c:pt>
                <c:pt idx="669">
                  <c:v>3.2943475738235639E-2</c:v>
                </c:pt>
                <c:pt idx="670">
                  <c:v>1.6681159689596381E-2</c:v>
                </c:pt>
                <c:pt idx="671">
                  <c:v>3.0884968297004711E-2</c:v>
                </c:pt>
                <c:pt idx="672">
                  <c:v>-3.4165429839968731E-2</c:v>
                </c:pt>
                <c:pt idx="673">
                  <c:v>-2.4931718141164794E-2</c:v>
                </c:pt>
                <c:pt idx="674">
                  <c:v>9.4832995558444821E-3</c:v>
                </c:pt>
                <c:pt idx="675">
                  <c:v>-1.1129174592842683E-2</c:v>
                </c:pt>
                <c:pt idx="676">
                  <c:v>2.6307050500422147E-2</c:v>
                </c:pt>
                <c:pt idx="677">
                  <c:v>-1.7512915606899937E-2</c:v>
                </c:pt>
                <c:pt idx="678">
                  <c:v>2.1322385348341744E-2</c:v>
                </c:pt>
                <c:pt idx="679">
                  <c:v>9.3524051739806158E-3</c:v>
                </c:pt>
                <c:pt idx="680">
                  <c:v>-5.6540227929877673E-3</c:v>
                </c:pt>
                <c:pt idx="681">
                  <c:v>1.4682488338566557E-3</c:v>
                </c:pt>
                <c:pt idx="682">
                  <c:v>1.7285380260561922E-2</c:v>
                </c:pt>
                <c:pt idx="683">
                  <c:v>-2.7491602671396276E-2</c:v>
                </c:pt>
                <c:pt idx="684">
                  <c:v>2.8268756081606394E-2</c:v>
                </c:pt>
                <c:pt idx="685">
                  <c:v>-1.6666943126159017E-3</c:v>
                </c:pt>
                <c:pt idx="686">
                  <c:v>-1.6693748860228119E-3</c:v>
                </c:pt>
                <c:pt idx="687">
                  <c:v>-3.0100321813150477E-2</c:v>
                </c:pt>
                <c:pt idx="688">
                  <c:v>-6.0345824960091887E-3</c:v>
                </c:pt>
                <c:pt idx="689">
                  <c:v>4.0815377641454598E-2</c:v>
                </c:pt>
                <c:pt idx="690">
                  <c:v>1.7449043357419924E-2</c:v>
                </c:pt>
                <c:pt idx="691">
                  <c:v>8.1901441632004079E-4</c:v>
                </c:pt>
                <c:pt idx="692">
                  <c:v>-1.2274962845241655E-2</c:v>
                </c:pt>
                <c:pt idx="693">
                  <c:v>-1.8450703812102009E-2</c:v>
                </c:pt>
                <c:pt idx="694">
                  <c:v>6.0182899859868577E-3</c:v>
                </c:pt>
                <c:pt idx="695">
                  <c:v>-0.11687616163148506</c:v>
                </c:pt>
                <c:pt idx="696">
                  <c:v>-2.1034377501296886E-2</c:v>
                </c:pt>
                <c:pt idx="697">
                  <c:v>-3.8043510465171071E-3</c:v>
                </c:pt>
                <c:pt idx="698">
                  <c:v>4.988800087177192E-2</c:v>
                </c:pt>
                <c:pt idx="699">
                  <c:v>6.7643631813842919E-3</c:v>
                </c:pt>
                <c:pt idx="700">
                  <c:v>1.3824888423278558E-2</c:v>
                </c:pt>
                <c:pt idx="701">
                  <c:v>8.1818425043511667E-4</c:v>
                </c:pt>
                <c:pt idx="702">
                  <c:v>4.8214993453776334E-2</c:v>
                </c:pt>
                <c:pt idx="703">
                  <c:v>-1.4592924600930091E-2</c:v>
                </c:pt>
                <c:pt idx="704">
                  <c:v>1.5706057366470905E-2</c:v>
                </c:pt>
                <c:pt idx="705">
                  <c:v>1.2987017106324661E-2</c:v>
                </c:pt>
                <c:pt idx="706">
                  <c:v>-2.7350359373798372E-2</c:v>
                </c:pt>
                <c:pt idx="707">
                  <c:v>2.3725797645387736E-2</c:v>
                </c:pt>
                <c:pt idx="708">
                  <c:v>1.440341835511183E-2</c:v>
                </c:pt>
                <c:pt idx="709">
                  <c:v>-5.7286868133274993E-3</c:v>
                </c:pt>
                <c:pt idx="710">
                  <c:v>8.5020812207716734E-3</c:v>
                </c:pt>
                <c:pt idx="711">
                  <c:v>-1.5189816282359048E-2</c:v>
                </c:pt>
                <c:pt idx="712">
                  <c:v>-1.6623929186757924E-2</c:v>
                </c:pt>
                <c:pt idx="713">
                  <c:v>-1.0238743330703626E-2</c:v>
                </c:pt>
                <c:pt idx="714">
                  <c:v>3.653674569450871E-3</c:v>
                </c:pt>
                <c:pt idx="715">
                  <c:v>-1.9447356031754848E-2</c:v>
                </c:pt>
                <c:pt idx="716">
                  <c:v>1.536013951865689E-2</c:v>
                </c:pt>
                <c:pt idx="717">
                  <c:v>8.3083710649909381E-3</c:v>
                </c:pt>
                <c:pt idx="718">
                  <c:v>-1.87254403792253E-2</c:v>
                </c:pt>
                <c:pt idx="719">
                  <c:v>6.2422147661589378E-3</c:v>
                </c:pt>
                <c:pt idx="720">
                  <c:v>-3.5406822867758647E-2</c:v>
                </c:pt>
                <c:pt idx="721">
                  <c:v>-1.5596364810482322E-2</c:v>
                </c:pt>
                <c:pt idx="722">
                  <c:v>5.8715203323793652E-3</c:v>
                </c:pt>
                <c:pt idx="723">
                  <c:v>-3.9748855032506469E-3</c:v>
                </c:pt>
                <c:pt idx="724">
                  <c:v>-2.3255642238290575E-2</c:v>
                </c:pt>
                <c:pt idx="725">
                  <c:v>5.8085183166290966E-2</c:v>
                </c:pt>
                <c:pt idx="726">
                  <c:v>-1.8901874161617593E-2</c:v>
                </c:pt>
                <c:pt idx="727">
                  <c:v>1.0091798416784981E-2</c:v>
                </c:pt>
                <c:pt idx="728">
                  <c:v>-2.392373951024751E-2</c:v>
                </c:pt>
                <c:pt idx="729">
                  <c:v>1.4274261682484912E-2</c:v>
                </c:pt>
                <c:pt idx="730">
                  <c:v>-1.7605470485651753E-2</c:v>
                </c:pt>
                <c:pt idx="731">
                  <c:v>-1.5035379174011543E-2</c:v>
                </c:pt>
                <c:pt idx="732">
                  <c:v>2.7059549418147366E-2</c:v>
                </c:pt>
                <c:pt idx="733">
                  <c:v>4.3849409289442587E-3</c:v>
                </c:pt>
                <c:pt idx="734">
                  <c:v>7.3713584310761693E-3</c:v>
                </c:pt>
                <c:pt idx="735">
                  <c:v>3.0090720398386672E-2</c:v>
                </c:pt>
                <c:pt idx="736">
                  <c:v>4.9158333358572115E-3</c:v>
                </c:pt>
                <c:pt idx="737">
                  <c:v>-1.2639446257738607E-2</c:v>
                </c:pt>
                <c:pt idx="738">
                  <c:v>-3.0529865815229984E-2</c:v>
                </c:pt>
                <c:pt idx="739">
                  <c:v>1.7476745405950567E-2</c:v>
                </c:pt>
                <c:pt idx="740">
                  <c:v>-1.5828171676700142E-2</c:v>
                </c:pt>
                <c:pt idx="741">
                  <c:v>2.160916029506188E-2</c:v>
                </c:pt>
                <c:pt idx="742">
                  <c:v>-3.5868561155480316E-2</c:v>
                </c:pt>
                <c:pt idx="743">
                  <c:v>-1.1291224695608615E-2</c:v>
                </c:pt>
                <c:pt idx="744">
                  <c:v>-7.037333462787676E-3</c:v>
                </c:pt>
                <c:pt idx="745">
                  <c:v>-1.9111460001414393E-2</c:v>
                </c:pt>
                <c:pt idx="746">
                  <c:v>-1.0764955895384842E-3</c:v>
                </c:pt>
                <c:pt idx="747">
                  <c:v>-1.4126201740747524E-2</c:v>
                </c:pt>
                <c:pt idx="748">
                  <c:v>-1.6830003102096258E-2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F5-1442-B930-7A7F8971F13C}"/>
            </c:ext>
          </c:extLst>
        </c:ser>
        <c:ser>
          <c:idx val="3"/>
          <c:order val="3"/>
          <c:tx>
            <c:strRef>
              <c:f>Rendimientos!$E$1</c:f>
              <c:strCache>
                <c:ptCount val="1"/>
                <c:pt idx="0">
                  <c:v>TEAKCPOR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Rendimientos!$A$2:$A$750</c:f>
              <c:numCache>
                <c:formatCode>m/d/yy</c:formatCode>
                <c:ptCount val="749"/>
                <c:pt idx="0">
                  <c:v>44999</c:v>
                </c:pt>
                <c:pt idx="1">
                  <c:v>45000</c:v>
                </c:pt>
                <c:pt idx="2">
                  <c:v>45001</c:v>
                </c:pt>
                <c:pt idx="3">
                  <c:v>45002</c:v>
                </c:pt>
                <c:pt idx="4">
                  <c:v>45006</c:v>
                </c:pt>
                <c:pt idx="5">
                  <c:v>45007</c:v>
                </c:pt>
                <c:pt idx="6">
                  <c:v>45008</c:v>
                </c:pt>
                <c:pt idx="7">
                  <c:v>45009</c:v>
                </c:pt>
                <c:pt idx="8">
                  <c:v>45012</c:v>
                </c:pt>
                <c:pt idx="9">
                  <c:v>45013</c:v>
                </c:pt>
                <c:pt idx="10">
                  <c:v>45014</c:v>
                </c:pt>
                <c:pt idx="11">
                  <c:v>45015</c:v>
                </c:pt>
                <c:pt idx="12">
                  <c:v>45016</c:v>
                </c:pt>
                <c:pt idx="13">
                  <c:v>45019</c:v>
                </c:pt>
                <c:pt idx="14">
                  <c:v>45020</c:v>
                </c:pt>
                <c:pt idx="15">
                  <c:v>45021</c:v>
                </c:pt>
                <c:pt idx="16">
                  <c:v>45026</c:v>
                </c:pt>
                <c:pt idx="17">
                  <c:v>45027</c:v>
                </c:pt>
                <c:pt idx="18">
                  <c:v>45028</c:v>
                </c:pt>
                <c:pt idx="19">
                  <c:v>45029</c:v>
                </c:pt>
                <c:pt idx="20">
                  <c:v>45030</c:v>
                </c:pt>
                <c:pt idx="21">
                  <c:v>45033</c:v>
                </c:pt>
                <c:pt idx="22">
                  <c:v>45034</c:v>
                </c:pt>
                <c:pt idx="23">
                  <c:v>45035</c:v>
                </c:pt>
                <c:pt idx="24">
                  <c:v>45036</c:v>
                </c:pt>
                <c:pt idx="25">
                  <c:v>45037</c:v>
                </c:pt>
                <c:pt idx="26">
                  <c:v>45040</c:v>
                </c:pt>
                <c:pt idx="27">
                  <c:v>45041</c:v>
                </c:pt>
                <c:pt idx="28">
                  <c:v>45042</c:v>
                </c:pt>
                <c:pt idx="29">
                  <c:v>45043</c:v>
                </c:pt>
                <c:pt idx="30">
                  <c:v>45044</c:v>
                </c:pt>
                <c:pt idx="31">
                  <c:v>45048</c:v>
                </c:pt>
                <c:pt idx="32">
                  <c:v>45049</c:v>
                </c:pt>
                <c:pt idx="33">
                  <c:v>45050</c:v>
                </c:pt>
                <c:pt idx="34">
                  <c:v>45051</c:v>
                </c:pt>
                <c:pt idx="35">
                  <c:v>45054</c:v>
                </c:pt>
                <c:pt idx="36">
                  <c:v>45055</c:v>
                </c:pt>
                <c:pt idx="37">
                  <c:v>45056</c:v>
                </c:pt>
                <c:pt idx="38">
                  <c:v>45057</c:v>
                </c:pt>
                <c:pt idx="39">
                  <c:v>45058</c:v>
                </c:pt>
                <c:pt idx="40">
                  <c:v>45061</c:v>
                </c:pt>
                <c:pt idx="41">
                  <c:v>45062</c:v>
                </c:pt>
                <c:pt idx="42">
                  <c:v>45063</c:v>
                </c:pt>
                <c:pt idx="43">
                  <c:v>45064</c:v>
                </c:pt>
                <c:pt idx="44">
                  <c:v>45065</c:v>
                </c:pt>
                <c:pt idx="45">
                  <c:v>45068</c:v>
                </c:pt>
                <c:pt idx="46">
                  <c:v>45069</c:v>
                </c:pt>
                <c:pt idx="47">
                  <c:v>45070</c:v>
                </c:pt>
                <c:pt idx="48">
                  <c:v>45071</c:v>
                </c:pt>
                <c:pt idx="49">
                  <c:v>45072</c:v>
                </c:pt>
                <c:pt idx="50">
                  <c:v>45075</c:v>
                </c:pt>
                <c:pt idx="51">
                  <c:v>45076</c:v>
                </c:pt>
                <c:pt idx="52">
                  <c:v>45077</c:v>
                </c:pt>
                <c:pt idx="53">
                  <c:v>45078</c:v>
                </c:pt>
                <c:pt idx="54">
                  <c:v>45079</c:v>
                </c:pt>
                <c:pt idx="55">
                  <c:v>45082</c:v>
                </c:pt>
                <c:pt idx="56">
                  <c:v>45083</c:v>
                </c:pt>
                <c:pt idx="57">
                  <c:v>45084</c:v>
                </c:pt>
                <c:pt idx="58">
                  <c:v>45085</c:v>
                </c:pt>
                <c:pt idx="59">
                  <c:v>45086</c:v>
                </c:pt>
                <c:pt idx="60">
                  <c:v>45089</c:v>
                </c:pt>
                <c:pt idx="61">
                  <c:v>45090</c:v>
                </c:pt>
                <c:pt idx="62">
                  <c:v>45091</c:v>
                </c:pt>
                <c:pt idx="63">
                  <c:v>45092</c:v>
                </c:pt>
                <c:pt idx="64">
                  <c:v>45093</c:v>
                </c:pt>
                <c:pt idx="65">
                  <c:v>45096</c:v>
                </c:pt>
                <c:pt idx="66">
                  <c:v>45097</c:v>
                </c:pt>
                <c:pt idx="67">
                  <c:v>45098</c:v>
                </c:pt>
                <c:pt idx="68">
                  <c:v>45099</c:v>
                </c:pt>
                <c:pt idx="69">
                  <c:v>45100</c:v>
                </c:pt>
                <c:pt idx="70">
                  <c:v>45103</c:v>
                </c:pt>
                <c:pt idx="71">
                  <c:v>45104</c:v>
                </c:pt>
                <c:pt idx="72">
                  <c:v>45105</c:v>
                </c:pt>
                <c:pt idx="73">
                  <c:v>45106</c:v>
                </c:pt>
                <c:pt idx="74">
                  <c:v>45107</c:v>
                </c:pt>
                <c:pt idx="75">
                  <c:v>45110</c:v>
                </c:pt>
                <c:pt idx="76">
                  <c:v>45111</c:v>
                </c:pt>
                <c:pt idx="77">
                  <c:v>45112</c:v>
                </c:pt>
                <c:pt idx="78">
                  <c:v>45113</c:v>
                </c:pt>
                <c:pt idx="79">
                  <c:v>45114</c:v>
                </c:pt>
                <c:pt idx="80">
                  <c:v>45117</c:v>
                </c:pt>
                <c:pt idx="81">
                  <c:v>45118</c:v>
                </c:pt>
                <c:pt idx="82">
                  <c:v>45119</c:v>
                </c:pt>
                <c:pt idx="83">
                  <c:v>45120</c:v>
                </c:pt>
                <c:pt idx="84">
                  <c:v>45121</c:v>
                </c:pt>
                <c:pt idx="85">
                  <c:v>45124</c:v>
                </c:pt>
                <c:pt idx="86">
                  <c:v>45125</c:v>
                </c:pt>
                <c:pt idx="87">
                  <c:v>45126</c:v>
                </c:pt>
                <c:pt idx="88">
                  <c:v>45127</c:v>
                </c:pt>
                <c:pt idx="89">
                  <c:v>45128</c:v>
                </c:pt>
                <c:pt idx="90">
                  <c:v>45131</c:v>
                </c:pt>
                <c:pt idx="91">
                  <c:v>45132</c:v>
                </c:pt>
                <c:pt idx="92">
                  <c:v>45133</c:v>
                </c:pt>
                <c:pt idx="93">
                  <c:v>45134</c:v>
                </c:pt>
                <c:pt idx="94">
                  <c:v>45135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45145</c:v>
                </c:pt>
                <c:pt idx="101">
                  <c:v>45146</c:v>
                </c:pt>
                <c:pt idx="102">
                  <c:v>45147</c:v>
                </c:pt>
                <c:pt idx="103">
                  <c:v>45148</c:v>
                </c:pt>
                <c:pt idx="104">
                  <c:v>45149</c:v>
                </c:pt>
                <c:pt idx="105">
                  <c:v>45152</c:v>
                </c:pt>
                <c:pt idx="106">
                  <c:v>45153</c:v>
                </c:pt>
                <c:pt idx="107">
                  <c:v>45154</c:v>
                </c:pt>
                <c:pt idx="108">
                  <c:v>45155</c:v>
                </c:pt>
                <c:pt idx="109">
                  <c:v>45156</c:v>
                </c:pt>
                <c:pt idx="110">
                  <c:v>45159</c:v>
                </c:pt>
                <c:pt idx="111">
                  <c:v>45160</c:v>
                </c:pt>
                <c:pt idx="112">
                  <c:v>45161</c:v>
                </c:pt>
                <c:pt idx="113">
                  <c:v>45162</c:v>
                </c:pt>
                <c:pt idx="114">
                  <c:v>45163</c:v>
                </c:pt>
                <c:pt idx="115">
                  <c:v>45166</c:v>
                </c:pt>
                <c:pt idx="116">
                  <c:v>45167</c:v>
                </c:pt>
                <c:pt idx="117">
                  <c:v>45168</c:v>
                </c:pt>
                <c:pt idx="118">
                  <c:v>45169</c:v>
                </c:pt>
                <c:pt idx="119">
                  <c:v>45170</c:v>
                </c:pt>
                <c:pt idx="120">
                  <c:v>45173</c:v>
                </c:pt>
                <c:pt idx="121">
                  <c:v>45174</c:v>
                </c:pt>
                <c:pt idx="122">
                  <c:v>45175</c:v>
                </c:pt>
                <c:pt idx="123">
                  <c:v>45176</c:v>
                </c:pt>
                <c:pt idx="124">
                  <c:v>45177</c:v>
                </c:pt>
                <c:pt idx="125">
                  <c:v>45180</c:v>
                </c:pt>
                <c:pt idx="126">
                  <c:v>45181</c:v>
                </c:pt>
                <c:pt idx="127">
                  <c:v>45182</c:v>
                </c:pt>
                <c:pt idx="128">
                  <c:v>45183</c:v>
                </c:pt>
                <c:pt idx="129">
                  <c:v>45184</c:v>
                </c:pt>
                <c:pt idx="130">
                  <c:v>45187</c:v>
                </c:pt>
                <c:pt idx="131">
                  <c:v>45188</c:v>
                </c:pt>
                <c:pt idx="132">
                  <c:v>45189</c:v>
                </c:pt>
                <c:pt idx="133">
                  <c:v>45190</c:v>
                </c:pt>
                <c:pt idx="134">
                  <c:v>45191</c:v>
                </c:pt>
                <c:pt idx="135">
                  <c:v>45194</c:v>
                </c:pt>
                <c:pt idx="136">
                  <c:v>45195</c:v>
                </c:pt>
                <c:pt idx="137">
                  <c:v>45196</c:v>
                </c:pt>
                <c:pt idx="138">
                  <c:v>45197</c:v>
                </c:pt>
                <c:pt idx="139">
                  <c:v>45198</c:v>
                </c:pt>
                <c:pt idx="140">
                  <c:v>45201</c:v>
                </c:pt>
                <c:pt idx="141">
                  <c:v>45202</c:v>
                </c:pt>
                <c:pt idx="142">
                  <c:v>45203</c:v>
                </c:pt>
                <c:pt idx="143">
                  <c:v>45204</c:v>
                </c:pt>
                <c:pt idx="144">
                  <c:v>45205</c:v>
                </c:pt>
                <c:pt idx="145">
                  <c:v>45208</c:v>
                </c:pt>
                <c:pt idx="146">
                  <c:v>45209</c:v>
                </c:pt>
                <c:pt idx="147">
                  <c:v>45210</c:v>
                </c:pt>
                <c:pt idx="148">
                  <c:v>45211</c:v>
                </c:pt>
                <c:pt idx="149">
                  <c:v>45212</c:v>
                </c:pt>
                <c:pt idx="150">
                  <c:v>45215</c:v>
                </c:pt>
                <c:pt idx="151">
                  <c:v>45216</c:v>
                </c:pt>
                <c:pt idx="152">
                  <c:v>45217</c:v>
                </c:pt>
                <c:pt idx="153">
                  <c:v>45218</c:v>
                </c:pt>
                <c:pt idx="154">
                  <c:v>45219</c:v>
                </c:pt>
                <c:pt idx="155">
                  <c:v>45222</c:v>
                </c:pt>
                <c:pt idx="156">
                  <c:v>45223</c:v>
                </c:pt>
                <c:pt idx="157">
                  <c:v>45224</c:v>
                </c:pt>
                <c:pt idx="158">
                  <c:v>45225</c:v>
                </c:pt>
                <c:pt idx="159">
                  <c:v>45226</c:v>
                </c:pt>
                <c:pt idx="160">
                  <c:v>45229</c:v>
                </c:pt>
                <c:pt idx="161">
                  <c:v>45230</c:v>
                </c:pt>
                <c:pt idx="162">
                  <c:v>45231</c:v>
                </c:pt>
                <c:pt idx="163">
                  <c:v>45233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45243</c:v>
                </c:pt>
                <c:pt idx="170">
                  <c:v>45244</c:v>
                </c:pt>
                <c:pt idx="171">
                  <c:v>45245</c:v>
                </c:pt>
                <c:pt idx="172">
                  <c:v>45246</c:v>
                </c:pt>
                <c:pt idx="173">
                  <c:v>45247</c:v>
                </c:pt>
                <c:pt idx="174">
                  <c:v>45251</c:v>
                </c:pt>
                <c:pt idx="175">
                  <c:v>45252</c:v>
                </c:pt>
                <c:pt idx="176">
                  <c:v>45253</c:v>
                </c:pt>
                <c:pt idx="177">
                  <c:v>45254</c:v>
                </c:pt>
                <c:pt idx="178">
                  <c:v>45257</c:v>
                </c:pt>
                <c:pt idx="179">
                  <c:v>45258</c:v>
                </c:pt>
                <c:pt idx="180">
                  <c:v>45259</c:v>
                </c:pt>
                <c:pt idx="181">
                  <c:v>45260</c:v>
                </c:pt>
                <c:pt idx="182">
                  <c:v>45261</c:v>
                </c:pt>
                <c:pt idx="183">
                  <c:v>45264</c:v>
                </c:pt>
                <c:pt idx="184">
                  <c:v>45265</c:v>
                </c:pt>
                <c:pt idx="185">
                  <c:v>45266</c:v>
                </c:pt>
                <c:pt idx="186">
                  <c:v>45267</c:v>
                </c:pt>
                <c:pt idx="187">
                  <c:v>45268</c:v>
                </c:pt>
                <c:pt idx="188">
                  <c:v>45271</c:v>
                </c:pt>
                <c:pt idx="189">
                  <c:v>45273</c:v>
                </c:pt>
                <c:pt idx="190">
                  <c:v>45274</c:v>
                </c:pt>
                <c:pt idx="191">
                  <c:v>45275</c:v>
                </c:pt>
                <c:pt idx="192">
                  <c:v>45278</c:v>
                </c:pt>
                <c:pt idx="193">
                  <c:v>45279</c:v>
                </c:pt>
                <c:pt idx="194">
                  <c:v>45280</c:v>
                </c:pt>
                <c:pt idx="195">
                  <c:v>45281</c:v>
                </c:pt>
                <c:pt idx="196">
                  <c:v>45282</c:v>
                </c:pt>
                <c:pt idx="197">
                  <c:v>45286</c:v>
                </c:pt>
                <c:pt idx="198">
                  <c:v>45287</c:v>
                </c:pt>
                <c:pt idx="199">
                  <c:v>45288</c:v>
                </c:pt>
                <c:pt idx="200">
                  <c:v>45289</c:v>
                </c:pt>
                <c:pt idx="201">
                  <c:v>45293</c:v>
                </c:pt>
                <c:pt idx="202">
                  <c:v>45294</c:v>
                </c:pt>
                <c:pt idx="203">
                  <c:v>45295</c:v>
                </c:pt>
                <c:pt idx="204">
                  <c:v>45296</c:v>
                </c:pt>
                <c:pt idx="205">
                  <c:v>45299</c:v>
                </c:pt>
                <c:pt idx="206">
                  <c:v>45300</c:v>
                </c:pt>
                <c:pt idx="207">
                  <c:v>45301</c:v>
                </c:pt>
                <c:pt idx="208">
                  <c:v>45302</c:v>
                </c:pt>
                <c:pt idx="209">
                  <c:v>45303</c:v>
                </c:pt>
                <c:pt idx="210">
                  <c:v>45306</c:v>
                </c:pt>
                <c:pt idx="211">
                  <c:v>45307</c:v>
                </c:pt>
                <c:pt idx="212">
                  <c:v>45308</c:v>
                </c:pt>
                <c:pt idx="213">
                  <c:v>45309</c:v>
                </c:pt>
                <c:pt idx="214">
                  <c:v>45310</c:v>
                </c:pt>
                <c:pt idx="215">
                  <c:v>45313</c:v>
                </c:pt>
                <c:pt idx="216">
                  <c:v>45314</c:v>
                </c:pt>
                <c:pt idx="217">
                  <c:v>45315</c:v>
                </c:pt>
                <c:pt idx="218">
                  <c:v>45316</c:v>
                </c:pt>
                <c:pt idx="219">
                  <c:v>45317</c:v>
                </c:pt>
                <c:pt idx="220">
                  <c:v>45320</c:v>
                </c:pt>
                <c:pt idx="221">
                  <c:v>45321</c:v>
                </c:pt>
                <c:pt idx="222">
                  <c:v>45322</c:v>
                </c:pt>
                <c:pt idx="223">
                  <c:v>45323</c:v>
                </c:pt>
                <c:pt idx="224">
                  <c:v>45324</c:v>
                </c:pt>
                <c:pt idx="225">
                  <c:v>45328</c:v>
                </c:pt>
                <c:pt idx="226">
                  <c:v>45329</c:v>
                </c:pt>
                <c:pt idx="227">
                  <c:v>45330</c:v>
                </c:pt>
                <c:pt idx="228">
                  <c:v>45331</c:v>
                </c:pt>
                <c:pt idx="229">
                  <c:v>45334</c:v>
                </c:pt>
                <c:pt idx="230">
                  <c:v>45335</c:v>
                </c:pt>
                <c:pt idx="231">
                  <c:v>45336</c:v>
                </c:pt>
                <c:pt idx="232">
                  <c:v>45337</c:v>
                </c:pt>
                <c:pt idx="233">
                  <c:v>45338</c:v>
                </c:pt>
                <c:pt idx="234">
                  <c:v>45341</c:v>
                </c:pt>
                <c:pt idx="235">
                  <c:v>45342</c:v>
                </c:pt>
                <c:pt idx="236">
                  <c:v>45343</c:v>
                </c:pt>
                <c:pt idx="237">
                  <c:v>45344</c:v>
                </c:pt>
                <c:pt idx="238">
                  <c:v>45345</c:v>
                </c:pt>
                <c:pt idx="239">
                  <c:v>45348</c:v>
                </c:pt>
                <c:pt idx="240">
                  <c:v>45349</c:v>
                </c:pt>
                <c:pt idx="241">
                  <c:v>45350</c:v>
                </c:pt>
                <c:pt idx="242">
                  <c:v>45351</c:v>
                </c:pt>
                <c:pt idx="243">
                  <c:v>45352</c:v>
                </c:pt>
                <c:pt idx="244">
                  <c:v>45355</c:v>
                </c:pt>
                <c:pt idx="245">
                  <c:v>45356</c:v>
                </c:pt>
                <c:pt idx="246">
                  <c:v>45357</c:v>
                </c:pt>
                <c:pt idx="247">
                  <c:v>45358</c:v>
                </c:pt>
                <c:pt idx="248">
                  <c:v>45359</c:v>
                </c:pt>
                <c:pt idx="249">
                  <c:v>45362</c:v>
                </c:pt>
                <c:pt idx="250">
                  <c:v>45363</c:v>
                </c:pt>
                <c:pt idx="251">
                  <c:v>45364</c:v>
                </c:pt>
                <c:pt idx="252">
                  <c:v>45365</c:v>
                </c:pt>
                <c:pt idx="253">
                  <c:v>45366</c:v>
                </c:pt>
                <c:pt idx="254">
                  <c:v>45370</c:v>
                </c:pt>
                <c:pt idx="255">
                  <c:v>45371</c:v>
                </c:pt>
                <c:pt idx="256">
                  <c:v>45372</c:v>
                </c:pt>
                <c:pt idx="257">
                  <c:v>45373</c:v>
                </c:pt>
                <c:pt idx="258">
                  <c:v>45376</c:v>
                </c:pt>
                <c:pt idx="259">
                  <c:v>45377</c:v>
                </c:pt>
                <c:pt idx="260">
                  <c:v>45378</c:v>
                </c:pt>
                <c:pt idx="261">
                  <c:v>45383</c:v>
                </c:pt>
                <c:pt idx="262">
                  <c:v>45384</c:v>
                </c:pt>
                <c:pt idx="263">
                  <c:v>45385</c:v>
                </c:pt>
                <c:pt idx="264">
                  <c:v>45386</c:v>
                </c:pt>
                <c:pt idx="265">
                  <c:v>45387</c:v>
                </c:pt>
                <c:pt idx="266">
                  <c:v>45390</c:v>
                </c:pt>
                <c:pt idx="267">
                  <c:v>45391</c:v>
                </c:pt>
                <c:pt idx="268">
                  <c:v>45392</c:v>
                </c:pt>
                <c:pt idx="269">
                  <c:v>45393</c:v>
                </c:pt>
                <c:pt idx="270">
                  <c:v>45394</c:v>
                </c:pt>
                <c:pt idx="271">
                  <c:v>45397</c:v>
                </c:pt>
                <c:pt idx="272">
                  <c:v>45398</c:v>
                </c:pt>
                <c:pt idx="273">
                  <c:v>45399</c:v>
                </c:pt>
                <c:pt idx="274">
                  <c:v>45400</c:v>
                </c:pt>
                <c:pt idx="275">
                  <c:v>45401</c:v>
                </c:pt>
                <c:pt idx="276">
                  <c:v>45404</c:v>
                </c:pt>
                <c:pt idx="277">
                  <c:v>45405</c:v>
                </c:pt>
                <c:pt idx="278">
                  <c:v>45406</c:v>
                </c:pt>
                <c:pt idx="279">
                  <c:v>45407</c:v>
                </c:pt>
                <c:pt idx="280">
                  <c:v>45408</c:v>
                </c:pt>
                <c:pt idx="281">
                  <c:v>45411</c:v>
                </c:pt>
                <c:pt idx="282">
                  <c:v>45412</c:v>
                </c:pt>
                <c:pt idx="283">
                  <c:v>45414</c:v>
                </c:pt>
                <c:pt idx="284">
                  <c:v>45415</c:v>
                </c:pt>
                <c:pt idx="285">
                  <c:v>45418</c:v>
                </c:pt>
                <c:pt idx="286">
                  <c:v>45419</c:v>
                </c:pt>
                <c:pt idx="287">
                  <c:v>45420</c:v>
                </c:pt>
                <c:pt idx="288">
                  <c:v>45421</c:v>
                </c:pt>
                <c:pt idx="289">
                  <c:v>45422</c:v>
                </c:pt>
                <c:pt idx="290">
                  <c:v>45425</c:v>
                </c:pt>
                <c:pt idx="291">
                  <c:v>45426</c:v>
                </c:pt>
                <c:pt idx="292">
                  <c:v>45427</c:v>
                </c:pt>
                <c:pt idx="293">
                  <c:v>45428</c:v>
                </c:pt>
                <c:pt idx="294">
                  <c:v>45429</c:v>
                </c:pt>
                <c:pt idx="295">
                  <c:v>45432</c:v>
                </c:pt>
                <c:pt idx="296">
                  <c:v>45433</c:v>
                </c:pt>
                <c:pt idx="297">
                  <c:v>45434</c:v>
                </c:pt>
                <c:pt idx="298">
                  <c:v>45435</c:v>
                </c:pt>
                <c:pt idx="299">
                  <c:v>45436</c:v>
                </c:pt>
                <c:pt idx="300">
                  <c:v>45439</c:v>
                </c:pt>
                <c:pt idx="301">
                  <c:v>45440</c:v>
                </c:pt>
                <c:pt idx="302">
                  <c:v>45441</c:v>
                </c:pt>
                <c:pt idx="303">
                  <c:v>45442</c:v>
                </c:pt>
                <c:pt idx="304">
                  <c:v>45443</c:v>
                </c:pt>
                <c:pt idx="305">
                  <c:v>45446</c:v>
                </c:pt>
                <c:pt idx="306">
                  <c:v>45447</c:v>
                </c:pt>
                <c:pt idx="307">
                  <c:v>45448</c:v>
                </c:pt>
                <c:pt idx="308">
                  <c:v>45449</c:v>
                </c:pt>
                <c:pt idx="309">
                  <c:v>45450</c:v>
                </c:pt>
                <c:pt idx="310">
                  <c:v>45453</c:v>
                </c:pt>
                <c:pt idx="311">
                  <c:v>45454</c:v>
                </c:pt>
                <c:pt idx="312">
                  <c:v>45455</c:v>
                </c:pt>
                <c:pt idx="313">
                  <c:v>45456</c:v>
                </c:pt>
                <c:pt idx="314">
                  <c:v>45457</c:v>
                </c:pt>
                <c:pt idx="315">
                  <c:v>45460</c:v>
                </c:pt>
                <c:pt idx="316">
                  <c:v>45461</c:v>
                </c:pt>
                <c:pt idx="317">
                  <c:v>45462</c:v>
                </c:pt>
                <c:pt idx="318">
                  <c:v>45463</c:v>
                </c:pt>
                <c:pt idx="319">
                  <c:v>45464</c:v>
                </c:pt>
                <c:pt idx="320">
                  <c:v>45467</c:v>
                </c:pt>
                <c:pt idx="321">
                  <c:v>45468</c:v>
                </c:pt>
                <c:pt idx="322">
                  <c:v>45469</c:v>
                </c:pt>
                <c:pt idx="323">
                  <c:v>45470</c:v>
                </c:pt>
                <c:pt idx="324">
                  <c:v>45471</c:v>
                </c:pt>
                <c:pt idx="325">
                  <c:v>45474</c:v>
                </c:pt>
                <c:pt idx="326">
                  <c:v>45475</c:v>
                </c:pt>
                <c:pt idx="327">
                  <c:v>45476</c:v>
                </c:pt>
                <c:pt idx="328">
                  <c:v>45477</c:v>
                </c:pt>
                <c:pt idx="329">
                  <c:v>45478</c:v>
                </c:pt>
                <c:pt idx="330">
                  <c:v>45481</c:v>
                </c:pt>
                <c:pt idx="331">
                  <c:v>45482</c:v>
                </c:pt>
                <c:pt idx="332">
                  <c:v>45483</c:v>
                </c:pt>
                <c:pt idx="333">
                  <c:v>45484</c:v>
                </c:pt>
                <c:pt idx="334">
                  <c:v>45485</c:v>
                </c:pt>
                <c:pt idx="335">
                  <c:v>45488</c:v>
                </c:pt>
                <c:pt idx="336">
                  <c:v>45489</c:v>
                </c:pt>
                <c:pt idx="337">
                  <c:v>45490</c:v>
                </c:pt>
                <c:pt idx="338">
                  <c:v>45491</c:v>
                </c:pt>
                <c:pt idx="339">
                  <c:v>45492</c:v>
                </c:pt>
                <c:pt idx="340">
                  <c:v>45495</c:v>
                </c:pt>
                <c:pt idx="341">
                  <c:v>45496</c:v>
                </c:pt>
                <c:pt idx="342">
                  <c:v>45497</c:v>
                </c:pt>
                <c:pt idx="343">
                  <c:v>45498</c:v>
                </c:pt>
                <c:pt idx="344">
                  <c:v>45499</c:v>
                </c:pt>
                <c:pt idx="345">
                  <c:v>45502</c:v>
                </c:pt>
                <c:pt idx="346">
                  <c:v>45503</c:v>
                </c:pt>
                <c:pt idx="347">
                  <c:v>45504</c:v>
                </c:pt>
                <c:pt idx="348">
                  <c:v>45505</c:v>
                </c:pt>
                <c:pt idx="349">
                  <c:v>45506</c:v>
                </c:pt>
                <c:pt idx="350">
                  <c:v>45509</c:v>
                </c:pt>
                <c:pt idx="351">
                  <c:v>45510</c:v>
                </c:pt>
                <c:pt idx="352">
                  <c:v>45511</c:v>
                </c:pt>
                <c:pt idx="353">
                  <c:v>45512</c:v>
                </c:pt>
                <c:pt idx="354">
                  <c:v>45513</c:v>
                </c:pt>
                <c:pt idx="355">
                  <c:v>45516</c:v>
                </c:pt>
                <c:pt idx="356">
                  <c:v>45517</c:v>
                </c:pt>
                <c:pt idx="357">
                  <c:v>45518</c:v>
                </c:pt>
                <c:pt idx="358">
                  <c:v>45519</c:v>
                </c:pt>
                <c:pt idx="359">
                  <c:v>45520</c:v>
                </c:pt>
                <c:pt idx="360">
                  <c:v>45523</c:v>
                </c:pt>
                <c:pt idx="361">
                  <c:v>45524</c:v>
                </c:pt>
                <c:pt idx="362">
                  <c:v>45525</c:v>
                </c:pt>
                <c:pt idx="363">
                  <c:v>45526</c:v>
                </c:pt>
                <c:pt idx="364">
                  <c:v>45527</c:v>
                </c:pt>
                <c:pt idx="365">
                  <c:v>45530</c:v>
                </c:pt>
                <c:pt idx="366">
                  <c:v>45531</c:v>
                </c:pt>
                <c:pt idx="367">
                  <c:v>45532</c:v>
                </c:pt>
                <c:pt idx="368">
                  <c:v>45533</c:v>
                </c:pt>
                <c:pt idx="369">
                  <c:v>45534</c:v>
                </c:pt>
                <c:pt idx="370">
                  <c:v>45537</c:v>
                </c:pt>
                <c:pt idx="371">
                  <c:v>45538</c:v>
                </c:pt>
                <c:pt idx="372">
                  <c:v>45539</c:v>
                </c:pt>
                <c:pt idx="373">
                  <c:v>45540</c:v>
                </c:pt>
                <c:pt idx="374">
                  <c:v>45541</c:v>
                </c:pt>
                <c:pt idx="375">
                  <c:v>45544</c:v>
                </c:pt>
                <c:pt idx="376">
                  <c:v>45545</c:v>
                </c:pt>
                <c:pt idx="377">
                  <c:v>45546</c:v>
                </c:pt>
                <c:pt idx="378">
                  <c:v>45547</c:v>
                </c:pt>
                <c:pt idx="379">
                  <c:v>45548</c:v>
                </c:pt>
                <c:pt idx="380">
                  <c:v>45552</c:v>
                </c:pt>
                <c:pt idx="381">
                  <c:v>45553</c:v>
                </c:pt>
                <c:pt idx="382">
                  <c:v>45554</c:v>
                </c:pt>
                <c:pt idx="383">
                  <c:v>45555</c:v>
                </c:pt>
                <c:pt idx="384">
                  <c:v>45558</c:v>
                </c:pt>
                <c:pt idx="385">
                  <c:v>45559</c:v>
                </c:pt>
                <c:pt idx="386">
                  <c:v>45560</c:v>
                </c:pt>
                <c:pt idx="387">
                  <c:v>45561</c:v>
                </c:pt>
                <c:pt idx="388">
                  <c:v>45562</c:v>
                </c:pt>
                <c:pt idx="389">
                  <c:v>45565</c:v>
                </c:pt>
                <c:pt idx="390">
                  <c:v>45567</c:v>
                </c:pt>
                <c:pt idx="391">
                  <c:v>45568</c:v>
                </c:pt>
                <c:pt idx="392">
                  <c:v>45569</c:v>
                </c:pt>
                <c:pt idx="393">
                  <c:v>45572</c:v>
                </c:pt>
                <c:pt idx="394">
                  <c:v>45573</c:v>
                </c:pt>
                <c:pt idx="395">
                  <c:v>45574</c:v>
                </c:pt>
                <c:pt idx="396">
                  <c:v>45575</c:v>
                </c:pt>
                <c:pt idx="397">
                  <c:v>45576</c:v>
                </c:pt>
                <c:pt idx="398">
                  <c:v>45579</c:v>
                </c:pt>
                <c:pt idx="399">
                  <c:v>45580</c:v>
                </c:pt>
                <c:pt idx="400">
                  <c:v>45581</c:v>
                </c:pt>
                <c:pt idx="401">
                  <c:v>45582</c:v>
                </c:pt>
                <c:pt idx="402">
                  <c:v>45583</c:v>
                </c:pt>
                <c:pt idx="403">
                  <c:v>45586</c:v>
                </c:pt>
                <c:pt idx="404">
                  <c:v>45587</c:v>
                </c:pt>
                <c:pt idx="405">
                  <c:v>45588</c:v>
                </c:pt>
                <c:pt idx="406">
                  <c:v>45589</c:v>
                </c:pt>
                <c:pt idx="407">
                  <c:v>45590</c:v>
                </c:pt>
                <c:pt idx="408">
                  <c:v>45593</c:v>
                </c:pt>
                <c:pt idx="409">
                  <c:v>45594</c:v>
                </c:pt>
                <c:pt idx="410">
                  <c:v>45595</c:v>
                </c:pt>
                <c:pt idx="411">
                  <c:v>45596</c:v>
                </c:pt>
                <c:pt idx="412">
                  <c:v>45597</c:v>
                </c:pt>
                <c:pt idx="413">
                  <c:v>45600</c:v>
                </c:pt>
                <c:pt idx="414">
                  <c:v>45601</c:v>
                </c:pt>
                <c:pt idx="415">
                  <c:v>45602</c:v>
                </c:pt>
                <c:pt idx="416">
                  <c:v>45603</c:v>
                </c:pt>
                <c:pt idx="417">
                  <c:v>45604</c:v>
                </c:pt>
                <c:pt idx="418">
                  <c:v>45607</c:v>
                </c:pt>
                <c:pt idx="419">
                  <c:v>45608</c:v>
                </c:pt>
                <c:pt idx="420">
                  <c:v>45609</c:v>
                </c:pt>
                <c:pt idx="421">
                  <c:v>45610</c:v>
                </c:pt>
                <c:pt idx="422">
                  <c:v>45611</c:v>
                </c:pt>
                <c:pt idx="423">
                  <c:v>45615</c:v>
                </c:pt>
                <c:pt idx="424">
                  <c:v>45616</c:v>
                </c:pt>
                <c:pt idx="425">
                  <c:v>45617</c:v>
                </c:pt>
                <c:pt idx="426">
                  <c:v>45618</c:v>
                </c:pt>
                <c:pt idx="427">
                  <c:v>45621</c:v>
                </c:pt>
                <c:pt idx="428">
                  <c:v>45622</c:v>
                </c:pt>
                <c:pt idx="429">
                  <c:v>45623</c:v>
                </c:pt>
                <c:pt idx="430">
                  <c:v>45624</c:v>
                </c:pt>
                <c:pt idx="431">
                  <c:v>45625</c:v>
                </c:pt>
                <c:pt idx="432">
                  <c:v>45628</c:v>
                </c:pt>
                <c:pt idx="433">
                  <c:v>45629</c:v>
                </c:pt>
                <c:pt idx="434">
                  <c:v>45630</c:v>
                </c:pt>
                <c:pt idx="435">
                  <c:v>45631</c:v>
                </c:pt>
                <c:pt idx="436">
                  <c:v>45632</c:v>
                </c:pt>
                <c:pt idx="437">
                  <c:v>45635</c:v>
                </c:pt>
                <c:pt idx="438">
                  <c:v>45636</c:v>
                </c:pt>
                <c:pt idx="439">
                  <c:v>45637</c:v>
                </c:pt>
                <c:pt idx="440">
                  <c:v>45639</c:v>
                </c:pt>
                <c:pt idx="441">
                  <c:v>45642</c:v>
                </c:pt>
                <c:pt idx="442">
                  <c:v>45643</c:v>
                </c:pt>
                <c:pt idx="443">
                  <c:v>45644</c:v>
                </c:pt>
                <c:pt idx="444">
                  <c:v>45645</c:v>
                </c:pt>
                <c:pt idx="445">
                  <c:v>45646</c:v>
                </c:pt>
                <c:pt idx="446">
                  <c:v>45649</c:v>
                </c:pt>
                <c:pt idx="447">
                  <c:v>45650</c:v>
                </c:pt>
                <c:pt idx="448">
                  <c:v>45652</c:v>
                </c:pt>
                <c:pt idx="449">
                  <c:v>45653</c:v>
                </c:pt>
                <c:pt idx="450">
                  <c:v>45656</c:v>
                </c:pt>
                <c:pt idx="451">
                  <c:v>45657</c:v>
                </c:pt>
                <c:pt idx="452">
                  <c:v>45659</c:v>
                </c:pt>
                <c:pt idx="453">
                  <c:v>45660</c:v>
                </c:pt>
                <c:pt idx="454">
                  <c:v>45663</c:v>
                </c:pt>
                <c:pt idx="455">
                  <c:v>45664</c:v>
                </c:pt>
                <c:pt idx="456">
                  <c:v>45665</c:v>
                </c:pt>
                <c:pt idx="457">
                  <c:v>45666</c:v>
                </c:pt>
                <c:pt idx="458">
                  <c:v>45667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45677</c:v>
                </c:pt>
                <c:pt idx="465">
                  <c:v>45678</c:v>
                </c:pt>
                <c:pt idx="466">
                  <c:v>45679</c:v>
                </c:pt>
                <c:pt idx="467">
                  <c:v>45680</c:v>
                </c:pt>
                <c:pt idx="468">
                  <c:v>45681</c:v>
                </c:pt>
                <c:pt idx="469">
                  <c:v>45684</c:v>
                </c:pt>
                <c:pt idx="470">
                  <c:v>45685</c:v>
                </c:pt>
                <c:pt idx="471">
                  <c:v>45686</c:v>
                </c:pt>
                <c:pt idx="472">
                  <c:v>45687</c:v>
                </c:pt>
                <c:pt idx="473">
                  <c:v>45688</c:v>
                </c:pt>
                <c:pt idx="474">
                  <c:v>45692</c:v>
                </c:pt>
                <c:pt idx="475">
                  <c:v>45693</c:v>
                </c:pt>
                <c:pt idx="476">
                  <c:v>45694</c:v>
                </c:pt>
                <c:pt idx="477">
                  <c:v>45695</c:v>
                </c:pt>
                <c:pt idx="478">
                  <c:v>45698</c:v>
                </c:pt>
                <c:pt idx="479">
                  <c:v>45699</c:v>
                </c:pt>
                <c:pt idx="480">
                  <c:v>45700</c:v>
                </c:pt>
                <c:pt idx="481">
                  <c:v>45701</c:v>
                </c:pt>
                <c:pt idx="482">
                  <c:v>45702</c:v>
                </c:pt>
                <c:pt idx="483">
                  <c:v>45705</c:v>
                </c:pt>
                <c:pt idx="484">
                  <c:v>45706</c:v>
                </c:pt>
                <c:pt idx="485">
                  <c:v>45707</c:v>
                </c:pt>
                <c:pt idx="486">
                  <c:v>45708</c:v>
                </c:pt>
                <c:pt idx="487">
                  <c:v>45709</c:v>
                </c:pt>
                <c:pt idx="488">
                  <c:v>45712</c:v>
                </c:pt>
                <c:pt idx="489">
                  <c:v>45713</c:v>
                </c:pt>
                <c:pt idx="490">
                  <c:v>45714</c:v>
                </c:pt>
                <c:pt idx="491">
                  <c:v>45715</c:v>
                </c:pt>
                <c:pt idx="492">
                  <c:v>45716</c:v>
                </c:pt>
                <c:pt idx="493">
                  <c:v>45719</c:v>
                </c:pt>
                <c:pt idx="494">
                  <c:v>45720</c:v>
                </c:pt>
                <c:pt idx="495">
                  <c:v>45721</c:v>
                </c:pt>
                <c:pt idx="496">
                  <c:v>45722</c:v>
                </c:pt>
                <c:pt idx="497">
                  <c:v>45723</c:v>
                </c:pt>
                <c:pt idx="498">
                  <c:v>45726</c:v>
                </c:pt>
                <c:pt idx="499">
                  <c:v>45727</c:v>
                </c:pt>
                <c:pt idx="500">
                  <c:v>45728</c:v>
                </c:pt>
                <c:pt idx="501">
                  <c:v>45729</c:v>
                </c:pt>
                <c:pt idx="502">
                  <c:v>45730</c:v>
                </c:pt>
                <c:pt idx="503">
                  <c:v>45734</c:v>
                </c:pt>
                <c:pt idx="504">
                  <c:v>45735</c:v>
                </c:pt>
                <c:pt idx="505">
                  <c:v>45736</c:v>
                </c:pt>
                <c:pt idx="506">
                  <c:v>45737</c:v>
                </c:pt>
                <c:pt idx="507">
                  <c:v>45740</c:v>
                </c:pt>
                <c:pt idx="508">
                  <c:v>45741</c:v>
                </c:pt>
                <c:pt idx="509">
                  <c:v>45742</c:v>
                </c:pt>
                <c:pt idx="510">
                  <c:v>45743</c:v>
                </c:pt>
                <c:pt idx="511">
                  <c:v>45744</c:v>
                </c:pt>
                <c:pt idx="512">
                  <c:v>45747</c:v>
                </c:pt>
                <c:pt idx="513">
                  <c:v>45748</c:v>
                </c:pt>
                <c:pt idx="514">
                  <c:v>45749</c:v>
                </c:pt>
                <c:pt idx="515">
                  <c:v>45750</c:v>
                </c:pt>
                <c:pt idx="516">
                  <c:v>45751</c:v>
                </c:pt>
                <c:pt idx="517">
                  <c:v>45754</c:v>
                </c:pt>
                <c:pt idx="518">
                  <c:v>45755</c:v>
                </c:pt>
                <c:pt idx="519">
                  <c:v>45756</c:v>
                </c:pt>
                <c:pt idx="520">
                  <c:v>45757</c:v>
                </c:pt>
                <c:pt idx="521">
                  <c:v>45758</c:v>
                </c:pt>
                <c:pt idx="522">
                  <c:v>45761</c:v>
                </c:pt>
                <c:pt idx="523">
                  <c:v>45762</c:v>
                </c:pt>
                <c:pt idx="524">
                  <c:v>45763</c:v>
                </c:pt>
                <c:pt idx="525">
                  <c:v>45768</c:v>
                </c:pt>
                <c:pt idx="526">
                  <c:v>45769</c:v>
                </c:pt>
                <c:pt idx="527">
                  <c:v>45770</c:v>
                </c:pt>
                <c:pt idx="528">
                  <c:v>45771</c:v>
                </c:pt>
                <c:pt idx="529">
                  <c:v>45772</c:v>
                </c:pt>
                <c:pt idx="530">
                  <c:v>45775</c:v>
                </c:pt>
                <c:pt idx="531">
                  <c:v>45776</c:v>
                </c:pt>
                <c:pt idx="532">
                  <c:v>45777</c:v>
                </c:pt>
                <c:pt idx="533">
                  <c:v>45779</c:v>
                </c:pt>
                <c:pt idx="534">
                  <c:v>45782</c:v>
                </c:pt>
                <c:pt idx="535">
                  <c:v>45783</c:v>
                </c:pt>
                <c:pt idx="536">
                  <c:v>45784</c:v>
                </c:pt>
                <c:pt idx="537">
                  <c:v>45785</c:v>
                </c:pt>
                <c:pt idx="538">
                  <c:v>45786</c:v>
                </c:pt>
                <c:pt idx="539">
                  <c:v>45789</c:v>
                </c:pt>
                <c:pt idx="540">
                  <c:v>45790</c:v>
                </c:pt>
                <c:pt idx="541">
                  <c:v>45791</c:v>
                </c:pt>
                <c:pt idx="542">
                  <c:v>45792</c:v>
                </c:pt>
                <c:pt idx="543">
                  <c:v>45793</c:v>
                </c:pt>
                <c:pt idx="544">
                  <c:v>45796</c:v>
                </c:pt>
                <c:pt idx="545">
                  <c:v>45797</c:v>
                </c:pt>
                <c:pt idx="546">
                  <c:v>45798</c:v>
                </c:pt>
                <c:pt idx="547">
                  <c:v>45799</c:v>
                </c:pt>
                <c:pt idx="548">
                  <c:v>45800</c:v>
                </c:pt>
                <c:pt idx="549">
                  <c:v>45803</c:v>
                </c:pt>
                <c:pt idx="550">
                  <c:v>45804</c:v>
                </c:pt>
                <c:pt idx="551">
                  <c:v>45805</c:v>
                </c:pt>
                <c:pt idx="552">
                  <c:v>45806</c:v>
                </c:pt>
                <c:pt idx="553">
                  <c:v>45807</c:v>
                </c:pt>
                <c:pt idx="554">
                  <c:v>45810</c:v>
                </c:pt>
                <c:pt idx="555">
                  <c:v>45811</c:v>
                </c:pt>
                <c:pt idx="556">
                  <c:v>45812</c:v>
                </c:pt>
                <c:pt idx="557">
                  <c:v>45813</c:v>
                </c:pt>
                <c:pt idx="558">
                  <c:v>45814</c:v>
                </c:pt>
                <c:pt idx="559">
                  <c:v>45817</c:v>
                </c:pt>
                <c:pt idx="560">
                  <c:v>45818</c:v>
                </c:pt>
                <c:pt idx="561">
                  <c:v>45819</c:v>
                </c:pt>
                <c:pt idx="562">
                  <c:v>45820</c:v>
                </c:pt>
                <c:pt idx="563">
                  <c:v>45821</c:v>
                </c:pt>
                <c:pt idx="564">
                  <c:v>45824</c:v>
                </c:pt>
                <c:pt idx="565">
                  <c:v>45825</c:v>
                </c:pt>
                <c:pt idx="566">
                  <c:v>45826</c:v>
                </c:pt>
                <c:pt idx="567">
                  <c:v>45827</c:v>
                </c:pt>
                <c:pt idx="568">
                  <c:v>45828</c:v>
                </c:pt>
                <c:pt idx="569">
                  <c:v>45831</c:v>
                </c:pt>
                <c:pt idx="570">
                  <c:v>45832</c:v>
                </c:pt>
                <c:pt idx="571">
                  <c:v>45833</c:v>
                </c:pt>
                <c:pt idx="572">
                  <c:v>45834</c:v>
                </c:pt>
                <c:pt idx="573">
                  <c:v>45835</c:v>
                </c:pt>
                <c:pt idx="574">
                  <c:v>45838</c:v>
                </c:pt>
                <c:pt idx="575">
                  <c:v>45839</c:v>
                </c:pt>
                <c:pt idx="576">
                  <c:v>45840</c:v>
                </c:pt>
                <c:pt idx="577">
                  <c:v>45841</c:v>
                </c:pt>
                <c:pt idx="578">
                  <c:v>45842</c:v>
                </c:pt>
                <c:pt idx="579">
                  <c:v>45845</c:v>
                </c:pt>
                <c:pt idx="580">
                  <c:v>45846</c:v>
                </c:pt>
                <c:pt idx="581">
                  <c:v>45847</c:v>
                </c:pt>
                <c:pt idx="582">
                  <c:v>45848</c:v>
                </c:pt>
                <c:pt idx="583">
                  <c:v>45849</c:v>
                </c:pt>
                <c:pt idx="584">
                  <c:v>45852</c:v>
                </c:pt>
                <c:pt idx="585">
                  <c:v>45853</c:v>
                </c:pt>
                <c:pt idx="586">
                  <c:v>45854</c:v>
                </c:pt>
                <c:pt idx="587">
                  <c:v>45855</c:v>
                </c:pt>
                <c:pt idx="588">
                  <c:v>45856</c:v>
                </c:pt>
                <c:pt idx="589">
                  <c:v>45859</c:v>
                </c:pt>
                <c:pt idx="590">
                  <c:v>45860</c:v>
                </c:pt>
                <c:pt idx="591">
                  <c:v>45861</c:v>
                </c:pt>
                <c:pt idx="592">
                  <c:v>45862</c:v>
                </c:pt>
                <c:pt idx="593">
                  <c:v>45863</c:v>
                </c:pt>
                <c:pt idx="594">
                  <c:v>45866</c:v>
                </c:pt>
                <c:pt idx="595">
                  <c:v>45867</c:v>
                </c:pt>
                <c:pt idx="596">
                  <c:v>45868</c:v>
                </c:pt>
                <c:pt idx="597">
                  <c:v>45869</c:v>
                </c:pt>
                <c:pt idx="598">
                  <c:v>45870</c:v>
                </c:pt>
                <c:pt idx="599">
                  <c:v>45873</c:v>
                </c:pt>
                <c:pt idx="600">
                  <c:v>45874</c:v>
                </c:pt>
                <c:pt idx="601">
                  <c:v>45875</c:v>
                </c:pt>
                <c:pt idx="602">
                  <c:v>45876</c:v>
                </c:pt>
                <c:pt idx="603">
                  <c:v>45877</c:v>
                </c:pt>
                <c:pt idx="604">
                  <c:v>45880</c:v>
                </c:pt>
                <c:pt idx="605">
                  <c:v>45881</c:v>
                </c:pt>
                <c:pt idx="606">
                  <c:v>45882</c:v>
                </c:pt>
                <c:pt idx="607">
                  <c:v>45883</c:v>
                </c:pt>
                <c:pt idx="608">
                  <c:v>45884</c:v>
                </c:pt>
                <c:pt idx="609">
                  <c:v>45887</c:v>
                </c:pt>
                <c:pt idx="610">
                  <c:v>45888</c:v>
                </c:pt>
                <c:pt idx="611">
                  <c:v>45889</c:v>
                </c:pt>
                <c:pt idx="612">
                  <c:v>45890</c:v>
                </c:pt>
                <c:pt idx="613">
                  <c:v>45891</c:v>
                </c:pt>
                <c:pt idx="614">
                  <c:v>45894</c:v>
                </c:pt>
                <c:pt idx="615">
                  <c:v>45895</c:v>
                </c:pt>
                <c:pt idx="616">
                  <c:v>45896</c:v>
                </c:pt>
                <c:pt idx="617">
                  <c:v>45897</c:v>
                </c:pt>
                <c:pt idx="618">
                  <c:v>45898</c:v>
                </c:pt>
                <c:pt idx="619">
                  <c:v>45901</c:v>
                </c:pt>
                <c:pt idx="620">
                  <c:v>45902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45917</c:v>
                </c:pt>
                <c:pt idx="631">
                  <c:v>45918</c:v>
                </c:pt>
                <c:pt idx="632">
                  <c:v>45919</c:v>
                </c:pt>
                <c:pt idx="633">
                  <c:v>45922</c:v>
                </c:pt>
                <c:pt idx="634">
                  <c:v>45923</c:v>
                </c:pt>
                <c:pt idx="635">
                  <c:v>45924</c:v>
                </c:pt>
                <c:pt idx="636">
                  <c:v>45925</c:v>
                </c:pt>
                <c:pt idx="637">
                  <c:v>45926</c:v>
                </c:pt>
                <c:pt idx="638">
                  <c:v>45929</c:v>
                </c:pt>
                <c:pt idx="639">
                  <c:v>45930</c:v>
                </c:pt>
                <c:pt idx="640">
                  <c:v>45931</c:v>
                </c:pt>
                <c:pt idx="641">
                  <c:v>45932</c:v>
                </c:pt>
                <c:pt idx="642">
                  <c:v>45933</c:v>
                </c:pt>
                <c:pt idx="643">
                  <c:v>45936</c:v>
                </c:pt>
                <c:pt idx="644">
                  <c:v>45937</c:v>
                </c:pt>
                <c:pt idx="645">
                  <c:v>45938</c:v>
                </c:pt>
                <c:pt idx="646">
                  <c:v>45939</c:v>
                </c:pt>
                <c:pt idx="647">
                  <c:v>45940</c:v>
                </c:pt>
                <c:pt idx="648">
                  <c:v>45943</c:v>
                </c:pt>
                <c:pt idx="649">
                  <c:v>45944</c:v>
                </c:pt>
                <c:pt idx="650">
                  <c:v>45945</c:v>
                </c:pt>
                <c:pt idx="651">
                  <c:v>45946</c:v>
                </c:pt>
                <c:pt idx="652">
                  <c:v>45947</c:v>
                </c:pt>
                <c:pt idx="653">
                  <c:v>45950</c:v>
                </c:pt>
                <c:pt idx="654">
                  <c:v>45951</c:v>
                </c:pt>
                <c:pt idx="655">
                  <c:v>45952</c:v>
                </c:pt>
                <c:pt idx="656">
                  <c:v>45953</c:v>
                </c:pt>
                <c:pt idx="657">
                  <c:v>45954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45964</c:v>
                </c:pt>
                <c:pt idx="664">
                  <c:v>45965</c:v>
                </c:pt>
                <c:pt idx="665">
                  <c:v>45966</c:v>
                </c:pt>
                <c:pt idx="666">
                  <c:v>45967</c:v>
                </c:pt>
                <c:pt idx="667">
                  <c:v>45968</c:v>
                </c:pt>
                <c:pt idx="668">
                  <c:v>45971</c:v>
                </c:pt>
                <c:pt idx="669">
                  <c:v>45972</c:v>
                </c:pt>
                <c:pt idx="670">
                  <c:v>45973</c:v>
                </c:pt>
                <c:pt idx="671">
                  <c:v>45974</c:v>
                </c:pt>
                <c:pt idx="672">
                  <c:v>45975</c:v>
                </c:pt>
                <c:pt idx="673">
                  <c:v>45979</c:v>
                </c:pt>
                <c:pt idx="674">
                  <c:v>45980</c:v>
                </c:pt>
                <c:pt idx="675">
                  <c:v>45981</c:v>
                </c:pt>
                <c:pt idx="676">
                  <c:v>45982</c:v>
                </c:pt>
                <c:pt idx="677">
                  <c:v>45985</c:v>
                </c:pt>
                <c:pt idx="678">
                  <c:v>45986</c:v>
                </c:pt>
                <c:pt idx="679">
                  <c:v>45987</c:v>
                </c:pt>
                <c:pt idx="680">
                  <c:v>45988</c:v>
                </c:pt>
                <c:pt idx="681">
                  <c:v>45989</c:v>
                </c:pt>
                <c:pt idx="682">
                  <c:v>45992</c:v>
                </c:pt>
                <c:pt idx="683">
                  <c:v>45993</c:v>
                </c:pt>
                <c:pt idx="684">
                  <c:v>45994</c:v>
                </c:pt>
                <c:pt idx="685">
                  <c:v>45995</c:v>
                </c:pt>
                <c:pt idx="686">
                  <c:v>45996</c:v>
                </c:pt>
                <c:pt idx="687">
                  <c:v>45999</c:v>
                </c:pt>
                <c:pt idx="688">
                  <c:v>46000</c:v>
                </c:pt>
                <c:pt idx="689">
                  <c:v>46001</c:v>
                </c:pt>
                <c:pt idx="690">
                  <c:v>46002</c:v>
                </c:pt>
                <c:pt idx="691">
                  <c:v>46006</c:v>
                </c:pt>
                <c:pt idx="692">
                  <c:v>46007</c:v>
                </c:pt>
                <c:pt idx="693">
                  <c:v>46008</c:v>
                </c:pt>
                <c:pt idx="694">
                  <c:v>46009</c:v>
                </c:pt>
                <c:pt idx="695">
                  <c:v>46010</c:v>
                </c:pt>
                <c:pt idx="696">
                  <c:v>46013</c:v>
                </c:pt>
                <c:pt idx="697">
                  <c:v>46014</c:v>
                </c:pt>
                <c:pt idx="698">
                  <c:v>46015</c:v>
                </c:pt>
                <c:pt idx="699">
                  <c:v>46017</c:v>
                </c:pt>
                <c:pt idx="700">
                  <c:v>46020</c:v>
                </c:pt>
                <c:pt idx="701">
                  <c:v>46021</c:v>
                </c:pt>
                <c:pt idx="702">
                  <c:v>46022</c:v>
                </c:pt>
                <c:pt idx="703">
                  <c:v>46024</c:v>
                </c:pt>
                <c:pt idx="704">
                  <c:v>46027</c:v>
                </c:pt>
                <c:pt idx="705">
                  <c:v>46028</c:v>
                </c:pt>
                <c:pt idx="706">
                  <c:v>46029</c:v>
                </c:pt>
                <c:pt idx="707">
                  <c:v>46030</c:v>
                </c:pt>
                <c:pt idx="708">
                  <c:v>46031</c:v>
                </c:pt>
                <c:pt idx="709">
                  <c:v>46034</c:v>
                </c:pt>
                <c:pt idx="710">
                  <c:v>46035</c:v>
                </c:pt>
                <c:pt idx="711">
                  <c:v>46036</c:v>
                </c:pt>
                <c:pt idx="712">
                  <c:v>46037</c:v>
                </c:pt>
                <c:pt idx="713">
                  <c:v>46038</c:v>
                </c:pt>
                <c:pt idx="714">
                  <c:v>46041</c:v>
                </c:pt>
                <c:pt idx="715">
                  <c:v>46042</c:v>
                </c:pt>
                <c:pt idx="716">
                  <c:v>46043</c:v>
                </c:pt>
                <c:pt idx="717">
                  <c:v>46044</c:v>
                </c:pt>
                <c:pt idx="718">
                  <c:v>46045</c:v>
                </c:pt>
                <c:pt idx="719">
                  <c:v>46048</c:v>
                </c:pt>
                <c:pt idx="720">
                  <c:v>46049</c:v>
                </c:pt>
                <c:pt idx="721">
                  <c:v>46050</c:v>
                </c:pt>
                <c:pt idx="722">
                  <c:v>46051</c:v>
                </c:pt>
                <c:pt idx="723">
                  <c:v>46052</c:v>
                </c:pt>
                <c:pt idx="724">
                  <c:v>46056</c:v>
                </c:pt>
                <c:pt idx="725">
                  <c:v>46057</c:v>
                </c:pt>
                <c:pt idx="726">
                  <c:v>46058</c:v>
                </c:pt>
                <c:pt idx="727">
                  <c:v>46059</c:v>
                </c:pt>
                <c:pt idx="728">
                  <c:v>46062</c:v>
                </c:pt>
                <c:pt idx="729">
                  <c:v>46063</c:v>
                </c:pt>
                <c:pt idx="730">
                  <c:v>46064</c:v>
                </c:pt>
                <c:pt idx="731">
                  <c:v>46065</c:v>
                </c:pt>
                <c:pt idx="732">
                  <c:v>46066</c:v>
                </c:pt>
                <c:pt idx="733">
                  <c:v>46069</c:v>
                </c:pt>
                <c:pt idx="734">
                  <c:v>46070</c:v>
                </c:pt>
                <c:pt idx="735">
                  <c:v>46071</c:v>
                </c:pt>
                <c:pt idx="736">
                  <c:v>46072</c:v>
                </c:pt>
                <c:pt idx="737">
                  <c:v>46073</c:v>
                </c:pt>
                <c:pt idx="738">
                  <c:v>46076</c:v>
                </c:pt>
                <c:pt idx="739">
                  <c:v>46077</c:v>
                </c:pt>
                <c:pt idx="740">
                  <c:v>46078</c:v>
                </c:pt>
                <c:pt idx="741">
                  <c:v>46079</c:v>
                </c:pt>
                <c:pt idx="742">
                  <c:v>46080</c:v>
                </c:pt>
                <c:pt idx="743">
                  <c:v>46083</c:v>
                </c:pt>
                <c:pt idx="744">
                  <c:v>46084</c:v>
                </c:pt>
                <c:pt idx="745">
                  <c:v>46085</c:v>
                </c:pt>
                <c:pt idx="746">
                  <c:v>46086</c:v>
                </c:pt>
                <c:pt idx="747">
                  <c:v>46087</c:v>
                </c:pt>
                <c:pt idx="748">
                  <c:v>46090</c:v>
                </c:pt>
              </c:numCache>
            </c:numRef>
          </c:xVal>
          <c:yVal>
            <c:numRef>
              <c:f>Rendimientos!$E$2:$E$750</c:f>
              <c:numCache>
                <c:formatCode>0.0000%</c:formatCode>
                <c:ptCount val="749"/>
                <c:pt idx="0">
                  <c:v>0</c:v>
                </c:pt>
                <c:pt idx="1">
                  <c:v>-5.3846162310720369E-2</c:v>
                </c:pt>
                <c:pt idx="2">
                  <c:v>5.6910578561119474E-2</c:v>
                </c:pt>
                <c:pt idx="3">
                  <c:v>0</c:v>
                </c:pt>
                <c:pt idx="4">
                  <c:v>-3.8461561974217795E-2</c:v>
                </c:pt>
                <c:pt idx="5">
                  <c:v>-1.3333320617677336E-2</c:v>
                </c:pt>
                <c:pt idx="6">
                  <c:v>-2.7027065341189038E-2</c:v>
                </c:pt>
                <c:pt idx="7">
                  <c:v>2.7777818250069419E-2</c:v>
                </c:pt>
                <c:pt idx="8">
                  <c:v>0</c:v>
                </c:pt>
                <c:pt idx="9">
                  <c:v>0</c:v>
                </c:pt>
                <c:pt idx="10">
                  <c:v>-5.4054001807460894E-3</c:v>
                </c:pt>
                <c:pt idx="11">
                  <c:v>-4.3478283404402518E-2</c:v>
                </c:pt>
                <c:pt idx="12">
                  <c:v>7.6704540451571823E-2</c:v>
                </c:pt>
                <c:pt idx="13">
                  <c:v>2.9023782222052708E-2</c:v>
                </c:pt>
                <c:pt idx="14">
                  <c:v>1.0256400224331719E-2</c:v>
                </c:pt>
                <c:pt idx="15">
                  <c:v>1.2690343043183505E-2</c:v>
                </c:pt>
                <c:pt idx="16">
                  <c:v>-1.002505307203605E-2</c:v>
                </c:pt>
                <c:pt idx="17">
                  <c:v>-2.5316431246941162E-3</c:v>
                </c:pt>
                <c:pt idx="18">
                  <c:v>0</c:v>
                </c:pt>
                <c:pt idx="19">
                  <c:v>-1.7766540772781947E-2</c:v>
                </c:pt>
                <c:pt idx="20">
                  <c:v>-3.1007723283625888E-2</c:v>
                </c:pt>
                <c:pt idx="21">
                  <c:v>-1.5999984741213336E-2</c:v>
                </c:pt>
                <c:pt idx="22">
                  <c:v>-2.7100244737618961E-3</c:v>
                </c:pt>
                <c:pt idx="23">
                  <c:v>-1.6304396768935914E-2</c:v>
                </c:pt>
                <c:pt idx="24">
                  <c:v>-5.5248567841960083E-3</c:v>
                </c:pt>
                <c:pt idx="25">
                  <c:v>-1.388887601134059E-2</c:v>
                </c:pt>
                <c:pt idx="26">
                  <c:v>-1.4084493799403131E-2</c:v>
                </c:pt>
                <c:pt idx="27">
                  <c:v>-1.1428560529437193E-2</c:v>
                </c:pt>
                <c:pt idx="28">
                  <c:v>0</c:v>
                </c:pt>
                <c:pt idx="29">
                  <c:v>0</c:v>
                </c:pt>
                <c:pt idx="30">
                  <c:v>-1.1560682489024532E-2</c:v>
                </c:pt>
                <c:pt idx="31">
                  <c:v>0</c:v>
                </c:pt>
                <c:pt idx="32">
                  <c:v>5.2631527579869442E-2</c:v>
                </c:pt>
                <c:pt idx="33">
                  <c:v>-1.6666651213609995E-2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-8.4745682805222877E-3</c:v>
                </c:pt>
                <c:pt idx="38">
                  <c:v>5.698000279447335E-3</c:v>
                </c:pt>
                <c:pt idx="39">
                  <c:v>-2.8328585111347726E-2</c:v>
                </c:pt>
                <c:pt idx="40">
                  <c:v>2.0408143405367118E-2</c:v>
                </c:pt>
                <c:pt idx="41">
                  <c:v>0</c:v>
                </c:pt>
                <c:pt idx="42">
                  <c:v>1.4285700661794243E-2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1.4084493799403131E-2</c:v>
                </c:pt>
                <c:pt idx="47">
                  <c:v>0</c:v>
                </c:pt>
                <c:pt idx="48">
                  <c:v>0</c:v>
                </c:pt>
                <c:pt idx="49">
                  <c:v>-4.722217843856058E-2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-3.7900907262612638E-2</c:v>
                </c:pt>
                <c:pt idx="55">
                  <c:v>0</c:v>
                </c:pt>
                <c:pt idx="56">
                  <c:v>0</c:v>
                </c:pt>
                <c:pt idx="57">
                  <c:v>-2.4242401473341779E-2</c:v>
                </c:pt>
                <c:pt idx="58">
                  <c:v>-1.5527935363982115E-2</c:v>
                </c:pt>
                <c:pt idx="59">
                  <c:v>-2.2082072547839671E-2</c:v>
                </c:pt>
                <c:pt idx="60">
                  <c:v>-1.2903213897924593E-2</c:v>
                </c:pt>
                <c:pt idx="61">
                  <c:v>1.9607824804414475E-2</c:v>
                </c:pt>
                <c:pt idx="62">
                  <c:v>0</c:v>
                </c:pt>
                <c:pt idx="63">
                  <c:v>0</c:v>
                </c:pt>
                <c:pt idx="64">
                  <c:v>9.6154522143434562E-3</c:v>
                </c:pt>
                <c:pt idx="65">
                  <c:v>0</c:v>
                </c:pt>
                <c:pt idx="66">
                  <c:v>0</c:v>
                </c:pt>
                <c:pt idx="67">
                  <c:v>-6.3492001019088695E-3</c:v>
                </c:pt>
                <c:pt idx="68">
                  <c:v>-1.2779616232935775E-2</c:v>
                </c:pt>
                <c:pt idx="69">
                  <c:v>-1.2944971833043994E-2</c:v>
                </c:pt>
                <c:pt idx="70">
                  <c:v>0</c:v>
                </c:pt>
                <c:pt idx="71">
                  <c:v>0</c:v>
                </c:pt>
                <c:pt idx="72">
                  <c:v>3.2786854490491901E-3</c:v>
                </c:pt>
                <c:pt idx="73">
                  <c:v>-9.8039124022073487E-3</c:v>
                </c:pt>
                <c:pt idx="74">
                  <c:v>0</c:v>
                </c:pt>
                <c:pt idx="75">
                  <c:v>-1.6501634583632185E-2</c:v>
                </c:pt>
                <c:pt idx="76">
                  <c:v>-3.0201313286330911E-2</c:v>
                </c:pt>
                <c:pt idx="77">
                  <c:v>3.1141837682491902E-2</c:v>
                </c:pt>
                <c:pt idx="78">
                  <c:v>-1.0067104428777007E-2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1.6949136104438045E-2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-3.3333301544199445E-3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2.0066870430825334E-2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-1.6393427245239289E-2</c:v>
                </c:pt>
                <c:pt idx="100">
                  <c:v>0</c:v>
                </c:pt>
                <c:pt idx="101">
                  <c:v>2.9999971389770064E-2</c:v>
                </c:pt>
                <c:pt idx="102">
                  <c:v>3.2362429582584173E-3</c:v>
                </c:pt>
                <c:pt idx="103">
                  <c:v>0</c:v>
                </c:pt>
                <c:pt idx="104">
                  <c:v>-3.2258034744814923E-2</c:v>
                </c:pt>
                <c:pt idx="105">
                  <c:v>-3.3333301544190008E-2</c:v>
                </c:pt>
                <c:pt idx="106">
                  <c:v>2.4137907220972421E-2</c:v>
                </c:pt>
                <c:pt idx="107">
                  <c:v>1.010100037063566E-2</c:v>
                </c:pt>
                <c:pt idx="108">
                  <c:v>0</c:v>
                </c:pt>
                <c:pt idx="109">
                  <c:v>0</c:v>
                </c:pt>
                <c:pt idx="110">
                  <c:v>-9.9999904632599446E-3</c:v>
                </c:pt>
                <c:pt idx="111">
                  <c:v>-1.010100037063244E-2</c:v>
                </c:pt>
                <c:pt idx="112">
                  <c:v>0</c:v>
                </c:pt>
                <c:pt idx="113">
                  <c:v>1.3605428936912078E-2</c:v>
                </c:pt>
                <c:pt idx="114">
                  <c:v>0</c:v>
                </c:pt>
                <c:pt idx="115">
                  <c:v>0</c:v>
                </c:pt>
                <c:pt idx="116">
                  <c:v>-3.3557014762600756E-3</c:v>
                </c:pt>
                <c:pt idx="117">
                  <c:v>1.010100037063566E-2</c:v>
                </c:pt>
                <c:pt idx="118">
                  <c:v>-3.6666631698610064E-2</c:v>
                </c:pt>
                <c:pt idx="119">
                  <c:v>-1.3840899245550875E-2</c:v>
                </c:pt>
                <c:pt idx="120">
                  <c:v>0</c:v>
                </c:pt>
                <c:pt idx="121">
                  <c:v>0</c:v>
                </c:pt>
                <c:pt idx="122">
                  <c:v>-1.7543843505049561E-2</c:v>
                </c:pt>
                <c:pt idx="123">
                  <c:v>4.2857187864732138E-2</c:v>
                </c:pt>
                <c:pt idx="124">
                  <c:v>6.8493083575169589E-3</c:v>
                </c:pt>
                <c:pt idx="125">
                  <c:v>0</c:v>
                </c:pt>
                <c:pt idx="126">
                  <c:v>-4.7619082373940302E-2</c:v>
                </c:pt>
                <c:pt idx="127">
                  <c:v>0</c:v>
                </c:pt>
                <c:pt idx="128">
                  <c:v>0</c:v>
                </c:pt>
                <c:pt idx="129">
                  <c:v>-3.5714252262699531E-2</c:v>
                </c:pt>
                <c:pt idx="130">
                  <c:v>-3.7037001061680508E-3</c:v>
                </c:pt>
                <c:pt idx="131">
                  <c:v>-3.3457305083066213E-2</c:v>
                </c:pt>
                <c:pt idx="132">
                  <c:v>-3.8461503192513513E-2</c:v>
                </c:pt>
                <c:pt idx="133">
                  <c:v>-1.1999988555911889E-2</c:v>
                </c:pt>
                <c:pt idx="134">
                  <c:v>-2.8340053616184302E-2</c:v>
                </c:pt>
                <c:pt idx="135">
                  <c:v>0</c:v>
                </c:pt>
                <c:pt idx="136">
                  <c:v>-6.2500037252900764E-2</c:v>
                </c:pt>
                <c:pt idx="137">
                  <c:v>-8.8888910081653227E-2</c:v>
                </c:pt>
                <c:pt idx="138">
                  <c:v>-4.8780442418830727E-2</c:v>
                </c:pt>
                <c:pt idx="139">
                  <c:v>1.0256400224331719E-2</c:v>
                </c:pt>
                <c:pt idx="140">
                  <c:v>-1.0152274434543695E-2</c:v>
                </c:pt>
                <c:pt idx="141">
                  <c:v>0</c:v>
                </c:pt>
                <c:pt idx="142">
                  <c:v>-3.5897461918136364E-2</c:v>
                </c:pt>
                <c:pt idx="143">
                  <c:v>-5.8510646055378257E-2</c:v>
                </c:pt>
                <c:pt idx="144">
                  <c:v>-4.5197697496122902E-2</c:v>
                </c:pt>
                <c:pt idx="145">
                  <c:v>2.3668615679704796E-2</c:v>
                </c:pt>
                <c:pt idx="146">
                  <c:v>6.3583822596737116E-2</c:v>
                </c:pt>
                <c:pt idx="147">
                  <c:v>2.1739109308368976E-2</c:v>
                </c:pt>
                <c:pt idx="148">
                  <c:v>6.3829789932311032E-2</c:v>
                </c:pt>
                <c:pt idx="149">
                  <c:v>2.4999976158140091E-2</c:v>
                </c:pt>
                <c:pt idx="150">
                  <c:v>2.4390221209412699E-2</c:v>
                </c:pt>
                <c:pt idx="151">
                  <c:v>0</c:v>
                </c:pt>
                <c:pt idx="152">
                  <c:v>-2.3809502184252818E-2</c:v>
                </c:pt>
                <c:pt idx="153">
                  <c:v>2.4390221209412699E-2</c:v>
                </c:pt>
                <c:pt idx="154">
                  <c:v>-9.5238008737003055E-3</c:v>
                </c:pt>
                <c:pt idx="155">
                  <c:v>0</c:v>
                </c:pt>
                <c:pt idx="156">
                  <c:v>9.6153757981274346E-3</c:v>
                </c:pt>
                <c:pt idx="157">
                  <c:v>0</c:v>
                </c:pt>
                <c:pt idx="158">
                  <c:v>-1.9047601747400389E-2</c:v>
                </c:pt>
                <c:pt idx="159">
                  <c:v>-2.9126186624346517E-2</c:v>
                </c:pt>
                <c:pt idx="160">
                  <c:v>0</c:v>
                </c:pt>
                <c:pt idx="161">
                  <c:v>0</c:v>
                </c:pt>
                <c:pt idx="162">
                  <c:v>-4.9999952316299723E-3</c:v>
                </c:pt>
                <c:pt idx="163">
                  <c:v>5.0251208117269019E-3</c:v>
                </c:pt>
                <c:pt idx="164">
                  <c:v>0</c:v>
                </c:pt>
                <c:pt idx="165">
                  <c:v>1.9999980926509897E-2</c:v>
                </c:pt>
                <c:pt idx="166">
                  <c:v>4.9019562011054507E-3</c:v>
                </c:pt>
                <c:pt idx="167">
                  <c:v>2.4390221209412699E-2</c:v>
                </c:pt>
                <c:pt idx="168">
                  <c:v>0</c:v>
                </c:pt>
                <c:pt idx="169">
                  <c:v>-2.3809502184252818E-2</c:v>
                </c:pt>
                <c:pt idx="170">
                  <c:v>4.8780442418845382E-3</c:v>
                </c:pt>
                <c:pt idx="171">
                  <c:v>-9.7087288747855771E-3</c:v>
                </c:pt>
                <c:pt idx="172">
                  <c:v>3.4313693407727275E-2</c:v>
                </c:pt>
                <c:pt idx="173">
                  <c:v>-2.8435993252414304E-2</c:v>
                </c:pt>
                <c:pt idx="174">
                  <c:v>-1.9512176967533268E-2</c:v>
                </c:pt>
                <c:pt idx="175">
                  <c:v>2.4875598285334588E-2</c:v>
                </c:pt>
                <c:pt idx="176">
                  <c:v>0</c:v>
                </c:pt>
                <c:pt idx="177">
                  <c:v>2.9126186624346406E-2</c:v>
                </c:pt>
                <c:pt idx="178">
                  <c:v>0</c:v>
                </c:pt>
                <c:pt idx="179">
                  <c:v>3.7735927567530414E-2</c:v>
                </c:pt>
                <c:pt idx="180">
                  <c:v>9.0909002241010839E-3</c:v>
                </c:pt>
                <c:pt idx="181">
                  <c:v>9.0090003012479603E-3</c:v>
                </c:pt>
                <c:pt idx="182">
                  <c:v>0.11607142381978441</c:v>
                </c:pt>
                <c:pt idx="183">
                  <c:v>-1.1999988555911889E-2</c:v>
                </c:pt>
                <c:pt idx="184">
                  <c:v>3.2388632704216214E-2</c:v>
                </c:pt>
                <c:pt idx="185">
                  <c:v>7.8431299217645023E-3</c:v>
                </c:pt>
                <c:pt idx="186">
                  <c:v>-2.7237328817540041E-2</c:v>
                </c:pt>
                <c:pt idx="187">
                  <c:v>0</c:v>
                </c:pt>
                <c:pt idx="188">
                  <c:v>-4.399995803833201E-2</c:v>
                </c:pt>
                <c:pt idx="189">
                  <c:v>-2.5104677223654726E-2</c:v>
                </c:pt>
                <c:pt idx="190">
                  <c:v>4.2918415410737598E-3</c:v>
                </c:pt>
                <c:pt idx="191">
                  <c:v>-2.5641002128344081E-2</c:v>
                </c:pt>
                <c:pt idx="192">
                  <c:v>0</c:v>
                </c:pt>
                <c:pt idx="193">
                  <c:v>2.6315764707210532E-2</c:v>
                </c:pt>
                <c:pt idx="194">
                  <c:v>4.2735003547209605E-3</c:v>
                </c:pt>
                <c:pt idx="195">
                  <c:v>-6.3829728951543707E-2</c:v>
                </c:pt>
                <c:pt idx="196">
                  <c:v>0</c:v>
                </c:pt>
                <c:pt idx="197">
                  <c:v>0</c:v>
                </c:pt>
                <c:pt idx="198">
                  <c:v>2.7272700672307471E-2</c:v>
                </c:pt>
                <c:pt idx="199">
                  <c:v>-2.6548647359614153E-2</c:v>
                </c:pt>
                <c:pt idx="200">
                  <c:v>1.8181800448206609E-2</c:v>
                </c:pt>
                <c:pt idx="201">
                  <c:v>8.9285628756075042E-3</c:v>
                </c:pt>
                <c:pt idx="202">
                  <c:v>-7.5221273013852397E-2</c:v>
                </c:pt>
                <c:pt idx="203">
                  <c:v>1.4354053886022955E-2</c:v>
                </c:pt>
                <c:pt idx="204">
                  <c:v>3.3018950679287506E-2</c:v>
                </c:pt>
                <c:pt idx="205">
                  <c:v>0</c:v>
                </c:pt>
                <c:pt idx="206">
                  <c:v>-6.3926986870428748E-2</c:v>
                </c:pt>
                <c:pt idx="207">
                  <c:v>-3.4146309693181998E-2</c:v>
                </c:pt>
                <c:pt idx="208">
                  <c:v>-4.545456187455732E-2</c:v>
                </c:pt>
                <c:pt idx="209">
                  <c:v>5.291000285158054E-3</c:v>
                </c:pt>
                <c:pt idx="210">
                  <c:v>1.0526305882882392E-2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1.0416719053561119E-2</c:v>
                </c:pt>
                <c:pt idx="217">
                  <c:v>5.1546341073760438E-3</c:v>
                </c:pt>
                <c:pt idx="218">
                  <c:v>-2.5641061693799538E-2</c:v>
                </c:pt>
                <c:pt idx="219">
                  <c:v>-5.2631529414439715E-3</c:v>
                </c:pt>
                <c:pt idx="220">
                  <c:v>1.5873000855468389E-2</c:v>
                </c:pt>
                <c:pt idx="221">
                  <c:v>2.6041704501645224E-2</c:v>
                </c:pt>
                <c:pt idx="222">
                  <c:v>-3.0456883815965341E-2</c:v>
                </c:pt>
                <c:pt idx="223">
                  <c:v>5.2355971926789646E-3</c:v>
                </c:pt>
                <c:pt idx="224">
                  <c:v>-2.6041642413471955E-2</c:v>
                </c:pt>
                <c:pt idx="225">
                  <c:v>-5.3475884693907627E-3</c:v>
                </c:pt>
                <c:pt idx="226">
                  <c:v>-2.6881758677969714E-2</c:v>
                </c:pt>
                <c:pt idx="227">
                  <c:v>5.5249226456788314E-3</c:v>
                </c:pt>
                <c:pt idx="228">
                  <c:v>-3.2967066076724727E-2</c:v>
                </c:pt>
                <c:pt idx="229">
                  <c:v>0</c:v>
                </c:pt>
                <c:pt idx="230">
                  <c:v>0</c:v>
                </c:pt>
                <c:pt idx="231">
                  <c:v>-2.2727251176008045E-2</c:v>
                </c:pt>
                <c:pt idx="232">
                  <c:v>1.7441843541142532E-2</c:v>
                </c:pt>
                <c:pt idx="233">
                  <c:v>-4.0000029972622864E-2</c:v>
                </c:pt>
                <c:pt idx="234">
                  <c:v>5.9524464194991022E-3</c:v>
                </c:pt>
                <c:pt idx="235">
                  <c:v>-5.9172244579609456E-3</c:v>
                </c:pt>
                <c:pt idx="236">
                  <c:v>0</c:v>
                </c:pt>
                <c:pt idx="237">
                  <c:v>5.9524464194991022E-3</c:v>
                </c:pt>
                <c:pt idx="238">
                  <c:v>-5.9172244579609456E-3</c:v>
                </c:pt>
                <c:pt idx="239">
                  <c:v>0</c:v>
                </c:pt>
                <c:pt idx="240">
                  <c:v>0</c:v>
                </c:pt>
                <c:pt idx="241">
                  <c:v>-4.7619003692723982E-2</c:v>
                </c:pt>
                <c:pt idx="242">
                  <c:v>-4.3750032130623895E-2</c:v>
                </c:pt>
                <c:pt idx="243">
                  <c:v>-7.1895435530761498E-2</c:v>
                </c:pt>
                <c:pt idx="244">
                  <c:v>-8.4507048165506693E-2</c:v>
                </c:pt>
                <c:pt idx="245">
                  <c:v>-6.153840510803088E-2</c:v>
                </c:pt>
                <c:pt idx="246">
                  <c:v>0</c:v>
                </c:pt>
                <c:pt idx="247">
                  <c:v>5.7376993115763719E-2</c:v>
                </c:pt>
                <c:pt idx="248">
                  <c:v>7.7519400619372902E-2</c:v>
                </c:pt>
                <c:pt idx="249">
                  <c:v>4.3165512666415884E-2</c:v>
                </c:pt>
                <c:pt idx="250">
                  <c:v>0.10344825601747809</c:v>
                </c:pt>
                <c:pt idx="251">
                  <c:v>2.4999975785615192E-2</c:v>
                </c:pt>
                <c:pt idx="252">
                  <c:v>-1.2195110427416056E-2</c:v>
                </c:pt>
                <c:pt idx="253">
                  <c:v>-7.407407679947986E-2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-1.3333320617679889E-2</c:v>
                </c:pt>
                <c:pt idx="259">
                  <c:v>-5.4054082354284105E-2</c:v>
                </c:pt>
                <c:pt idx="260">
                  <c:v>1.4285700905076748E-2</c:v>
                </c:pt>
                <c:pt idx="261">
                  <c:v>2.1126825004031735E-2</c:v>
                </c:pt>
                <c:pt idx="262">
                  <c:v>-2.0689716974136241E-2</c:v>
                </c:pt>
                <c:pt idx="263">
                  <c:v>-1.4084494035880857E-2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-1.4285700905084187E-2</c:v>
                </c:pt>
                <c:pt idx="269">
                  <c:v>0</c:v>
                </c:pt>
                <c:pt idx="270">
                  <c:v>0</c:v>
                </c:pt>
                <c:pt idx="271">
                  <c:v>-7.9710155568984309E-2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-7.8740083570431052E-3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-7.9365004277288653E-3</c:v>
                </c:pt>
                <c:pt idx="283">
                  <c:v>-7.9999923706080001E-3</c:v>
                </c:pt>
                <c:pt idx="284">
                  <c:v>0</c:v>
                </c:pt>
                <c:pt idx="285">
                  <c:v>-2.4193525128260229E-2</c:v>
                </c:pt>
                <c:pt idx="286">
                  <c:v>-1.6528909335530639E-2</c:v>
                </c:pt>
                <c:pt idx="287">
                  <c:v>-8.4034531022612047E-3</c:v>
                </c:pt>
                <c:pt idx="288">
                  <c:v>-8.4745685659057823E-3</c:v>
                </c:pt>
                <c:pt idx="289">
                  <c:v>2.5641104016630001E-2</c:v>
                </c:pt>
                <c:pt idx="290">
                  <c:v>0</c:v>
                </c:pt>
                <c:pt idx="291">
                  <c:v>-3.333339956071657E-2</c:v>
                </c:pt>
                <c:pt idx="292">
                  <c:v>2.5862147812329761E-2</c:v>
                </c:pt>
                <c:pt idx="293">
                  <c:v>5.0420117558393374E-2</c:v>
                </c:pt>
                <c:pt idx="294">
                  <c:v>0</c:v>
                </c:pt>
                <c:pt idx="295">
                  <c:v>1.5999984741208007E-2</c:v>
                </c:pt>
                <c:pt idx="296">
                  <c:v>-7.8740083570431052E-3</c:v>
                </c:pt>
                <c:pt idx="297">
                  <c:v>0</c:v>
                </c:pt>
                <c:pt idx="298">
                  <c:v>7.9365004277367479E-3</c:v>
                </c:pt>
                <c:pt idx="299">
                  <c:v>0</c:v>
                </c:pt>
                <c:pt idx="300">
                  <c:v>2.3622025071121655E-2</c:v>
                </c:pt>
                <c:pt idx="301">
                  <c:v>1.5384692976461167E-2</c:v>
                </c:pt>
                <c:pt idx="302">
                  <c:v>-7.5758403599784918E-3</c:v>
                </c:pt>
                <c:pt idx="303">
                  <c:v>3.0534414358399431E-2</c:v>
                </c:pt>
                <c:pt idx="304">
                  <c:v>-2.2222200637001088E-2</c:v>
                </c:pt>
                <c:pt idx="305">
                  <c:v>-1.5151590409899773E-2</c:v>
                </c:pt>
                <c:pt idx="306">
                  <c:v>0</c:v>
                </c:pt>
                <c:pt idx="307">
                  <c:v>0</c:v>
                </c:pt>
                <c:pt idx="308">
                  <c:v>-4.6153803831019191E-2</c:v>
                </c:pt>
                <c:pt idx="309">
                  <c:v>8.0645083760892966E-3</c:v>
                </c:pt>
                <c:pt idx="310">
                  <c:v>-2.3999977111824E-2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-8.1967133022460281E-3</c:v>
                </c:pt>
                <c:pt idx="316">
                  <c:v>0</c:v>
                </c:pt>
                <c:pt idx="317">
                  <c:v>0</c:v>
                </c:pt>
                <c:pt idx="318">
                  <c:v>-8.2644546677653752E-3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-1.6666749450889751E-2</c:v>
                </c:pt>
                <c:pt idx="330">
                  <c:v>0</c:v>
                </c:pt>
                <c:pt idx="331">
                  <c:v>-8.4745685659057823E-3</c:v>
                </c:pt>
                <c:pt idx="332">
                  <c:v>-4.2735003547237249E-2</c:v>
                </c:pt>
                <c:pt idx="333">
                  <c:v>-1.785712575122389E-2</c:v>
                </c:pt>
                <c:pt idx="334">
                  <c:v>5.4545401344615385E-2</c:v>
                </c:pt>
                <c:pt idx="335">
                  <c:v>3.448282949423187E-2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-1.6666749450889751E-2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-2.5423705697708798E-2</c:v>
                </c:pt>
                <c:pt idx="350">
                  <c:v>0</c:v>
                </c:pt>
                <c:pt idx="351">
                  <c:v>-4.3478220306862436E-2</c:v>
                </c:pt>
                <c:pt idx="352">
                  <c:v>0</c:v>
                </c:pt>
                <c:pt idx="353">
                  <c:v>0</c:v>
                </c:pt>
                <c:pt idx="354">
                  <c:v>-2.7272700672307471E-2</c:v>
                </c:pt>
                <c:pt idx="355">
                  <c:v>-1.8691681453628539E-2</c:v>
                </c:pt>
                <c:pt idx="356">
                  <c:v>-1.9047601747400389E-2</c:v>
                </c:pt>
                <c:pt idx="357">
                  <c:v>-2.9126186624346517E-2</c:v>
                </c:pt>
                <c:pt idx="358">
                  <c:v>3.9999961853020016E-2</c:v>
                </c:pt>
                <c:pt idx="359">
                  <c:v>3.8461617816840876E-2</c:v>
                </c:pt>
                <c:pt idx="360">
                  <c:v>-4.6296360684023985E-2</c:v>
                </c:pt>
                <c:pt idx="361">
                  <c:v>-2.9126186624346517E-2</c:v>
                </c:pt>
                <c:pt idx="362">
                  <c:v>0</c:v>
                </c:pt>
                <c:pt idx="363">
                  <c:v>-1.9999980926514005E-2</c:v>
                </c:pt>
                <c:pt idx="364">
                  <c:v>0</c:v>
                </c:pt>
                <c:pt idx="365">
                  <c:v>-4.0816347631797978E-2</c:v>
                </c:pt>
                <c:pt idx="366">
                  <c:v>-5.3191502178454697E-2</c:v>
                </c:pt>
                <c:pt idx="367">
                  <c:v>-2.2471889042670723E-2</c:v>
                </c:pt>
                <c:pt idx="368">
                  <c:v>-8.0459761452620793E-2</c:v>
                </c:pt>
                <c:pt idx="369">
                  <c:v>-3.750003818422587E-2</c:v>
                </c:pt>
                <c:pt idx="370">
                  <c:v>-1.2987000923330494E-2</c:v>
                </c:pt>
                <c:pt idx="371">
                  <c:v>-1.0526337253749851E-2</c:v>
                </c:pt>
                <c:pt idx="372">
                  <c:v>-4.2553120659937549E-2</c:v>
                </c:pt>
                <c:pt idx="373">
                  <c:v>0</c:v>
                </c:pt>
                <c:pt idx="374">
                  <c:v>-8.3333333333333703E-2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-1.5151590409901217E-2</c:v>
                </c:pt>
                <c:pt idx="380">
                  <c:v>0</c:v>
                </c:pt>
                <c:pt idx="381">
                  <c:v>6.1538496807483245E-2</c:v>
                </c:pt>
                <c:pt idx="382">
                  <c:v>-5.7971045791138764E-2</c:v>
                </c:pt>
                <c:pt idx="383">
                  <c:v>-9.2307699361497075E-2</c:v>
                </c:pt>
                <c:pt idx="384">
                  <c:v>-8.4745685659030623E-2</c:v>
                </c:pt>
                <c:pt idx="385">
                  <c:v>-6.6666688742461178E-2</c:v>
                </c:pt>
                <c:pt idx="386">
                  <c:v>5.1587227907462285E-2</c:v>
                </c:pt>
                <c:pt idx="387">
                  <c:v>3.7735927567533079E-2</c:v>
                </c:pt>
                <c:pt idx="388">
                  <c:v>0</c:v>
                </c:pt>
                <c:pt idx="389">
                  <c:v>-2.5454542301903915E-2</c:v>
                </c:pt>
                <c:pt idx="390">
                  <c:v>2.611939966559218E-2</c:v>
                </c:pt>
                <c:pt idx="391">
                  <c:v>0</c:v>
                </c:pt>
                <c:pt idx="392">
                  <c:v>0</c:v>
                </c:pt>
                <c:pt idx="393">
                  <c:v>-0.10727275269090741</c:v>
                </c:pt>
                <c:pt idx="394">
                  <c:v>1.8329945822899818E-2</c:v>
                </c:pt>
                <c:pt idx="395">
                  <c:v>-9.9999904632579462E-3</c:v>
                </c:pt>
                <c:pt idx="396">
                  <c:v>-3.0303061318609714E-2</c:v>
                </c:pt>
                <c:pt idx="397">
                  <c:v>-0.2083333255723111</c:v>
                </c:pt>
                <c:pt idx="398">
                  <c:v>-2.6315764707211309E-2</c:v>
                </c:pt>
                <c:pt idx="399">
                  <c:v>-5.4054082354286659E-2</c:v>
                </c:pt>
                <c:pt idx="400">
                  <c:v>2.857191270711823E-3</c:v>
                </c:pt>
                <c:pt idx="401">
                  <c:v>-2.8490509871016423E-3</c:v>
                </c:pt>
                <c:pt idx="402">
                  <c:v>0</c:v>
                </c:pt>
                <c:pt idx="403">
                  <c:v>-0.11428569239013109</c:v>
                </c:pt>
                <c:pt idx="404">
                  <c:v>-6.4516163145217909E-2</c:v>
                </c:pt>
                <c:pt idx="405">
                  <c:v>-3.4482726727597668E-2</c:v>
                </c:pt>
                <c:pt idx="406">
                  <c:v>-0.16071429141625992</c:v>
                </c:pt>
                <c:pt idx="407">
                  <c:v>4.2553214424603025E-2</c:v>
                </c:pt>
                <c:pt idx="408">
                  <c:v>2.0408143405368895E-2</c:v>
                </c:pt>
                <c:pt idx="409">
                  <c:v>0</c:v>
                </c:pt>
                <c:pt idx="410">
                  <c:v>3.9999961853024013E-2</c:v>
                </c:pt>
                <c:pt idx="411">
                  <c:v>0</c:v>
                </c:pt>
                <c:pt idx="412">
                  <c:v>0</c:v>
                </c:pt>
                <c:pt idx="413">
                  <c:v>1.923075159626042E-2</c:v>
                </c:pt>
                <c:pt idx="414">
                  <c:v>1.8868020014566778E-2</c:v>
                </c:pt>
                <c:pt idx="415">
                  <c:v>0</c:v>
                </c:pt>
                <c:pt idx="416">
                  <c:v>7.4074221245998828E-3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-7.3529556780292937E-3</c:v>
                </c:pt>
                <c:pt idx="422">
                  <c:v>0</c:v>
                </c:pt>
                <c:pt idx="423">
                  <c:v>-2.9629688498414519E-2</c:v>
                </c:pt>
                <c:pt idx="424">
                  <c:v>0</c:v>
                </c:pt>
                <c:pt idx="425">
                  <c:v>-7.6336034159383281E-3</c:v>
                </c:pt>
                <c:pt idx="426">
                  <c:v>-3.4615398722993018E-2</c:v>
                </c:pt>
                <c:pt idx="427">
                  <c:v>-3.9840126561297984E-3</c:v>
                </c:pt>
                <c:pt idx="428">
                  <c:v>-4.0000021457676005E-2</c:v>
                </c:pt>
                <c:pt idx="429">
                  <c:v>0</c:v>
                </c:pt>
                <c:pt idx="430">
                  <c:v>4.1666689949735769E-2</c:v>
                </c:pt>
                <c:pt idx="431">
                  <c:v>0</c:v>
                </c:pt>
                <c:pt idx="432">
                  <c:v>1.9999980926511896E-2</c:v>
                </c:pt>
                <c:pt idx="433">
                  <c:v>0</c:v>
                </c:pt>
                <c:pt idx="434">
                  <c:v>1.9607824804413365E-2</c:v>
                </c:pt>
                <c:pt idx="435">
                  <c:v>0.15000002292486481</c:v>
                </c:pt>
                <c:pt idx="436">
                  <c:v>3.6789322993887819E-2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3.2257648958264884E-3</c:v>
                </c:pt>
                <c:pt idx="445">
                  <c:v>0</c:v>
                </c:pt>
                <c:pt idx="446">
                  <c:v>-3.5369704050472683E-2</c:v>
                </c:pt>
                <c:pt idx="447">
                  <c:v>0</c:v>
                </c:pt>
                <c:pt idx="448">
                  <c:v>-6.6666799121399833E-3</c:v>
                </c:pt>
                <c:pt idx="449">
                  <c:v>-4.3624198325050267E-2</c:v>
                </c:pt>
                <c:pt idx="450">
                  <c:v>-1.4035116338334985E-2</c:v>
                </c:pt>
                <c:pt idx="451">
                  <c:v>0</c:v>
                </c:pt>
                <c:pt idx="452">
                  <c:v>0</c:v>
                </c:pt>
                <c:pt idx="453">
                  <c:v>6.7615745172102004E-2</c:v>
                </c:pt>
                <c:pt idx="454">
                  <c:v>3.3333300219643869E-2</c:v>
                </c:pt>
                <c:pt idx="455">
                  <c:v>0.51612901675217704</c:v>
                </c:pt>
                <c:pt idx="456">
                  <c:v>0</c:v>
                </c:pt>
                <c:pt idx="457">
                  <c:v>0.1063829409477115</c:v>
                </c:pt>
                <c:pt idx="458">
                  <c:v>0.13461537579812988</c:v>
                </c:pt>
                <c:pt idx="459">
                  <c:v>8.4745786683857238E-2</c:v>
                </c:pt>
                <c:pt idx="460">
                  <c:v>0.2218750355066732</c:v>
                </c:pt>
                <c:pt idx="461">
                  <c:v>7.416875721191496E-2</c:v>
                </c:pt>
                <c:pt idx="462">
                  <c:v>-0.17857140576352803</c:v>
                </c:pt>
                <c:pt idx="463">
                  <c:v>-5.7971045791138764E-2</c:v>
                </c:pt>
                <c:pt idx="464">
                  <c:v>-0.13999994498032586</c:v>
                </c:pt>
                <c:pt idx="465">
                  <c:v>-1.7889070107855787E-2</c:v>
                </c:pt>
                <c:pt idx="466">
                  <c:v>-4.3715933612805458E-2</c:v>
                </c:pt>
                <c:pt idx="467">
                  <c:v>-1.9047601747404164E-2</c:v>
                </c:pt>
                <c:pt idx="468">
                  <c:v>-5.8251678825627096E-3</c:v>
                </c:pt>
                <c:pt idx="469">
                  <c:v>9.3749952706276396E-2</c:v>
                </c:pt>
                <c:pt idx="470">
                  <c:v>7.1428609441737567E-2</c:v>
                </c:pt>
                <c:pt idx="471">
                  <c:v>6.6666600439287516E-2</c:v>
                </c:pt>
                <c:pt idx="472">
                  <c:v>4.5312569558155547E-2</c:v>
                </c:pt>
                <c:pt idx="473">
                  <c:v>7.6233179062145995E-2</c:v>
                </c:pt>
                <c:pt idx="474">
                  <c:v>0.11111108351637</c:v>
                </c:pt>
                <c:pt idx="475">
                  <c:v>0</c:v>
                </c:pt>
                <c:pt idx="476">
                  <c:v>3.7499963678419679E-2</c:v>
                </c:pt>
                <c:pt idx="477">
                  <c:v>-6.0240979429287855E-2</c:v>
                </c:pt>
                <c:pt idx="478">
                  <c:v>2.5641078544559104E-2</c:v>
                </c:pt>
                <c:pt idx="479">
                  <c:v>0</c:v>
                </c:pt>
                <c:pt idx="480">
                  <c:v>0</c:v>
                </c:pt>
                <c:pt idx="481">
                  <c:v>-2.500005029141894E-2</c:v>
                </c:pt>
                <c:pt idx="482">
                  <c:v>-8.9743583865419918E-2</c:v>
                </c:pt>
                <c:pt idx="483">
                  <c:v>4.2253566057858016E-2</c:v>
                </c:pt>
                <c:pt idx="484">
                  <c:v>8.1081083258022213E-2</c:v>
                </c:pt>
                <c:pt idx="485">
                  <c:v>-1.2499987892806819E-2</c:v>
                </c:pt>
                <c:pt idx="486">
                  <c:v>-5.1898743632206035E-2</c:v>
                </c:pt>
                <c:pt idx="487">
                  <c:v>-1.2016025611693459E-2</c:v>
                </c:pt>
                <c:pt idx="488">
                  <c:v>-5.4054082354286659E-2</c:v>
                </c:pt>
                <c:pt idx="489">
                  <c:v>-2.8571401810159491E-2</c:v>
                </c:pt>
                <c:pt idx="490">
                  <c:v>-0.11764703304297486</c:v>
                </c:pt>
                <c:pt idx="491">
                  <c:v>1.6666650109821823E-2</c:v>
                </c:pt>
                <c:pt idx="492">
                  <c:v>6.5573706418014188E-2</c:v>
                </c:pt>
                <c:pt idx="493">
                  <c:v>-6.153840510802755E-2</c:v>
                </c:pt>
                <c:pt idx="494">
                  <c:v>-9.8360657339548574E-2</c:v>
                </c:pt>
                <c:pt idx="495">
                  <c:v>3.6363600896409221E-2</c:v>
                </c:pt>
                <c:pt idx="496">
                  <c:v>-1.7543633999037578E-3</c:v>
                </c:pt>
                <c:pt idx="497">
                  <c:v>-1.581722890571724E-2</c:v>
                </c:pt>
                <c:pt idx="498">
                  <c:v>6.7857120429375195E-2</c:v>
                </c:pt>
                <c:pt idx="499">
                  <c:v>-3.0100346115605747E-2</c:v>
                </c:pt>
                <c:pt idx="500">
                  <c:v>-5.1724090091394781E-2</c:v>
                </c:pt>
                <c:pt idx="501">
                  <c:v>-1.8181800448205498E-2</c:v>
                </c:pt>
                <c:pt idx="502">
                  <c:v>-3.5185172307639179E-2</c:v>
                </c:pt>
                <c:pt idx="503">
                  <c:v>1.7274363254252689E-2</c:v>
                </c:pt>
                <c:pt idx="504">
                  <c:v>5.6603835120497825E-2</c:v>
                </c:pt>
                <c:pt idx="505">
                  <c:v>-2.3214306051328237E-2</c:v>
                </c:pt>
                <c:pt idx="506">
                  <c:v>2.1937887600457229E-2</c:v>
                </c:pt>
                <c:pt idx="507">
                  <c:v>-1.6100184422523589E-2</c:v>
                </c:pt>
                <c:pt idx="508">
                  <c:v>-3.6364251128898628E-3</c:v>
                </c:pt>
                <c:pt idx="509">
                  <c:v>3.6496969625789966E-3</c:v>
                </c:pt>
                <c:pt idx="510">
                  <c:v>-3.6363709268490529E-2</c:v>
                </c:pt>
                <c:pt idx="511">
                  <c:v>0</c:v>
                </c:pt>
                <c:pt idx="512">
                  <c:v>-2.6415093066471385E-2</c:v>
                </c:pt>
                <c:pt idx="513">
                  <c:v>2.7131781602562244E-2</c:v>
                </c:pt>
                <c:pt idx="514">
                  <c:v>-1.3207490302436509E-2</c:v>
                </c:pt>
                <c:pt idx="515">
                  <c:v>-7.2657719815775068E-2</c:v>
                </c:pt>
                <c:pt idx="516">
                  <c:v>-7.2165000399411317E-2</c:v>
                </c:pt>
                <c:pt idx="517">
                  <c:v>-5.5555504045369353E-2</c:v>
                </c:pt>
                <c:pt idx="518">
                  <c:v>-3.5294153121101068E-2</c:v>
                </c:pt>
                <c:pt idx="519">
                  <c:v>0</c:v>
                </c:pt>
                <c:pt idx="520">
                  <c:v>-7.0731669554463861E-2</c:v>
                </c:pt>
                <c:pt idx="521">
                  <c:v>0</c:v>
                </c:pt>
                <c:pt idx="522">
                  <c:v>-8.1364874358184291E-2</c:v>
                </c:pt>
                <c:pt idx="523">
                  <c:v>0.14285717934978326</c:v>
                </c:pt>
                <c:pt idx="524">
                  <c:v>0</c:v>
                </c:pt>
                <c:pt idx="525">
                  <c:v>-0.15000000372529088</c:v>
                </c:pt>
                <c:pt idx="526">
                  <c:v>-6.1764698921603745E-2</c:v>
                </c:pt>
                <c:pt idx="527">
                  <c:v>-5.9561108026036536E-2</c:v>
                </c:pt>
                <c:pt idx="528">
                  <c:v>-3.3333896266063423E-3</c:v>
                </c:pt>
                <c:pt idx="529">
                  <c:v>-6.3545130833692953E-2</c:v>
                </c:pt>
                <c:pt idx="530">
                  <c:v>6.7857120429375195E-2</c:v>
                </c:pt>
                <c:pt idx="531">
                  <c:v>-6.6889768782786296E-3</c:v>
                </c:pt>
                <c:pt idx="532">
                  <c:v>-6.734020586281475E-3</c:v>
                </c:pt>
                <c:pt idx="533">
                  <c:v>-0.18644065998711001</c:v>
                </c:pt>
                <c:pt idx="534">
                  <c:v>-6.6666616996127859E-2</c:v>
                </c:pt>
                <c:pt idx="535">
                  <c:v>2.6785701218691838E-2</c:v>
                </c:pt>
                <c:pt idx="536">
                  <c:v>0.26086950606344206</c:v>
                </c:pt>
                <c:pt idx="537">
                  <c:v>0.31034484884827029</c:v>
                </c:pt>
                <c:pt idx="538">
                  <c:v>-0.21052627451201988</c:v>
                </c:pt>
                <c:pt idx="539">
                  <c:v>4.9999950329467246E-2</c:v>
                </c:pt>
                <c:pt idx="540">
                  <c:v>7.6190441950467314E-2</c:v>
                </c:pt>
                <c:pt idx="541">
                  <c:v>-5.6047181561733495E-2</c:v>
                </c:pt>
                <c:pt idx="542">
                  <c:v>0</c:v>
                </c:pt>
                <c:pt idx="543">
                  <c:v>3.4375023865141685E-2</c:v>
                </c:pt>
                <c:pt idx="544">
                  <c:v>2.416914321564545E-2</c:v>
                </c:pt>
                <c:pt idx="545">
                  <c:v>-1.7699063697147577E-2</c:v>
                </c:pt>
                <c:pt idx="546">
                  <c:v>-6.9069073906716794E-2</c:v>
                </c:pt>
                <c:pt idx="547">
                  <c:v>4.8387050256523567E-2</c:v>
                </c:pt>
                <c:pt idx="548">
                  <c:v>-9.2307424263138316E-3</c:v>
                </c:pt>
                <c:pt idx="549">
                  <c:v>9.3167428800922103E-3</c:v>
                </c:pt>
                <c:pt idx="550">
                  <c:v>-1.8461484852627774E-2</c:v>
                </c:pt>
                <c:pt idx="551">
                  <c:v>-9.4043608924759825E-3</c:v>
                </c:pt>
                <c:pt idx="552">
                  <c:v>-1.8987379377229163E-2</c:v>
                </c:pt>
                <c:pt idx="553">
                  <c:v>0</c:v>
                </c:pt>
                <c:pt idx="554">
                  <c:v>6.4516259281746091E-3</c:v>
                </c:pt>
                <c:pt idx="555">
                  <c:v>2.2435894680504331E-2</c:v>
                </c:pt>
                <c:pt idx="556">
                  <c:v>-2.8213176101639315E-2</c:v>
                </c:pt>
                <c:pt idx="557">
                  <c:v>-4.1935520464867704E-2</c:v>
                </c:pt>
                <c:pt idx="558">
                  <c:v>-6.734020586281475E-3</c:v>
                </c:pt>
                <c:pt idx="559">
                  <c:v>3.3898880412566168E-3</c:v>
                </c:pt>
                <c:pt idx="560">
                  <c:v>1.3513540725273554E-2</c:v>
                </c:pt>
                <c:pt idx="561">
                  <c:v>0</c:v>
                </c:pt>
                <c:pt idx="562">
                  <c:v>-1.666674945088964E-2</c:v>
                </c:pt>
                <c:pt idx="563">
                  <c:v>1.3559350115373237E-2</c:v>
                </c:pt>
                <c:pt idx="564">
                  <c:v>6.6889768782820713E-3</c:v>
                </c:pt>
                <c:pt idx="565">
                  <c:v>0</c:v>
                </c:pt>
                <c:pt idx="566">
                  <c:v>-3.3222163739711208E-3</c:v>
                </c:pt>
                <c:pt idx="567">
                  <c:v>0</c:v>
                </c:pt>
                <c:pt idx="568">
                  <c:v>-1.0000069538746326E-2</c:v>
                </c:pt>
                <c:pt idx="569">
                  <c:v>-6.734020586281475E-3</c:v>
                </c:pt>
                <c:pt idx="570">
                  <c:v>0</c:v>
                </c:pt>
                <c:pt idx="571">
                  <c:v>1.01695630989449E-2</c:v>
                </c:pt>
                <c:pt idx="572">
                  <c:v>3.3556614060210599E-3</c:v>
                </c:pt>
                <c:pt idx="573">
                  <c:v>3.3445382758006126E-3</c:v>
                </c:pt>
                <c:pt idx="574">
                  <c:v>-1.3333359824283297E-2</c:v>
                </c:pt>
                <c:pt idx="575">
                  <c:v>3.3783348395597379E-3</c:v>
                </c:pt>
                <c:pt idx="576">
                  <c:v>1.0101081051679728E-2</c:v>
                </c:pt>
                <c:pt idx="577">
                  <c:v>-6.6666799121399833E-3</c:v>
                </c:pt>
                <c:pt idx="578">
                  <c:v>0</c:v>
                </c:pt>
                <c:pt idx="579">
                  <c:v>-1.0067184233651938E-2</c:v>
                </c:pt>
                <c:pt idx="580">
                  <c:v>-3.7288061280044693E-2</c:v>
                </c:pt>
                <c:pt idx="581">
                  <c:v>1.0563348874266021E-2</c:v>
                </c:pt>
                <c:pt idx="582">
                  <c:v>-3.1358896595494512E-2</c:v>
                </c:pt>
                <c:pt idx="583">
                  <c:v>-2.8776929829037567E-2</c:v>
                </c:pt>
                <c:pt idx="584">
                  <c:v>-2.5925922246629707E-2</c:v>
                </c:pt>
                <c:pt idx="585">
                  <c:v>4.5627353590149689E-2</c:v>
                </c:pt>
                <c:pt idx="586">
                  <c:v>0</c:v>
                </c:pt>
                <c:pt idx="587">
                  <c:v>3.6363167408104413E-3</c:v>
                </c:pt>
                <c:pt idx="588">
                  <c:v>-1.8115925206105055E-2</c:v>
                </c:pt>
                <c:pt idx="589">
                  <c:v>0.16236162402203824</c:v>
                </c:pt>
                <c:pt idx="590">
                  <c:v>-7.6190441950470311E-2</c:v>
                </c:pt>
                <c:pt idx="591">
                  <c:v>2.7491361423301663E-2</c:v>
                </c:pt>
                <c:pt idx="592">
                  <c:v>0</c:v>
                </c:pt>
                <c:pt idx="593">
                  <c:v>0</c:v>
                </c:pt>
                <c:pt idx="594">
                  <c:v>-5.3511715352929645E-2</c:v>
                </c:pt>
                <c:pt idx="595">
                  <c:v>3.1802132793254501E-2</c:v>
                </c:pt>
                <c:pt idx="596">
                  <c:v>-2.0547885086325324E-2</c:v>
                </c:pt>
                <c:pt idx="597">
                  <c:v>6.9929166343618565E-3</c:v>
                </c:pt>
                <c:pt idx="598">
                  <c:v>6.9444588167075771E-3</c:v>
                </c:pt>
                <c:pt idx="599">
                  <c:v>3.4483343327385008E-3</c:v>
                </c:pt>
                <c:pt idx="600">
                  <c:v>-3.4364841863347984E-3</c:v>
                </c:pt>
                <c:pt idx="601">
                  <c:v>0</c:v>
                </c:pt>
                <c:pt idx="602">
                  <c:v>-1.0344797464950872E-2</c:v>
                </c:pt>
                <c:pt idx="603">
                  <c:v>-6.9686552257599566E-3</c:v>
                </c:pt>
                <c:pt idx="604">
                  <c:v>1.7543843138139392E-2</c:v>
                </c:pt>
                <c:pt idx="605">
                  <c:v>1.0344900231584742E-2</c:v>
                </c:pt>
                <c:pt idx="606">
                  <c:v>-0.10238907815114595</c:v>
                </c:pt>
                <c:pt idx="607">
                  <c:v>9.5056939430804954E-2</c:v>
                </c:pt>
                <c:pt idx="608">
                  <c:v>-0.15972219060324477</c:v>
                </c:pt>
                <c:pt idx="609">
                  <c:v>7.4380131702867391E-2</c:v>
                </c:pt>
                <c:pt idx="610">
                  <c:v>1.1538542657212103E-2</c:v>
                </c:pt>
                <c:pt idx="611">
                  <c:v>0</c:v>
                </c:pt>
                <c:pt idx="612">
                  <c:v>1.5209042318845345E-2</c:v>
                </c:pt>
                <c:pt idx="613">
                  <c:v>-7.49065217194822E-3</c:v>
                </c:pt>
                <c:pt idx="614">
                  <c:v>0</c:v>
                </c:pt>
                <c:pt idx="615">
                  <c:v>-3.7735365259540243E-3</c:v>
                </c:pt>
                <c:pt idx="616">
                  <c:v>2.651514894952367E-2</c:v>
                </c:pt>
                <c:pt idx="617">
                  <c:v>-1.8450167052464272E-2</c:v>
                </c:pt>
                <c:pt idx="618">
                  <c:v>-3.7594620972158932E-3</c:v>
                </c:pt>
                <c:pt idx="619">
                  <c:v>3.7736489875528356E-3</c:v>
                </c:pt>
                <c:pt idx="620">
                  <c:v>7.5188121556284404E-3</c:v>
                </c:pt>
                <c:pt idx="621">
                  <c:v>-1.4925403009679705E-2</c:v>
                </c:pt>
                <c:pt idx="622">
                  <c:v>3.7878300409677212E-3</c:v>
                </c:pt>
                <c:pt idx="623">
                  <c:v>-1.1320722039461106E-2</c:v>
                </c:pt>
                <c:pt idx="624">
                  <c:v>-7.6336034159383281E-3</c:v>
                </c:pt>
                <c:pt idx="625">
                  <c:v>-3.8461503192513513E-2</c:v>
                </c:pt>
                <c:pt idx="626">
                  <c:v>8.0000162124600482E-3</c:v>
                </c:pt>
                <c:pt idx="627">
                  <c:v>0</c:v>
                </c:pt>
                <c:pt idx="628">
                  <c:v>-3.9683210779164479E-3</c:v>
                </c:pt>
                <c:pt idx="629">
                  <c:v>3.9841313904904752E-3</c:v>
                </c:pt>
                <c:pt idx="630">
                  <c:v>7.9365238926523141E-3</c:v>
                </c:pt>
                <c:pt idx="631">
                  <c:v>0</c:v>
                </c:pt>
                <c:pt idx="632">
                  <c:v>1.1810988514843856E-2</c:v>
                </c:pt>
                <c:pt idx="633">
                  <c:v>7.7821169598530915E-3</c:v>
                </c:pt>
                <c:pt idx="634">
                  <c:v>-7.7220232715867754E-3</c:v>
                </c:pt>
                <c:pt idx="635">
                  <c:v>3.8910004987551261E-3</c:v>
                </c:pt>
                <c:pt idx="636">
                  <c:v>-1.162787339741933E-2</c:v>
                </c:pt>
                <c:pt idx="637">
                  <c:v>1.9607824804413365E-2</c:v>
                </c:pt>
                <c:pt idx="638">
                  <c:v>-2.6923075159624887E-2</c:v>
                </c:pt>
                <c:pt idx="639">
                  <c:v>-3.9525184200162045E-3</c:v>
                </c:pt>
                <c:pt idx="640">
                  <c:v>-3.9683210779164479E-3</c:v>
                </c:pt>
                <c:pt idx="641">
                  <c:v>2.7888444796006606E-2</c:v>
                </c:pt>
                <c:pt idx="642">
                  <c:v>-3.8759192948457644E-3</c:v>
                </c:pt>
                <c:pt idx="643">
                  <c:v>3.8910004987551261E-3</c:v>
                </c:pt>
                <c:pt idx="644">
                  <c:v>-3.1007700897408008E-2</c:v>
                </c:pt>
                <c:pt idx="645">
                  <c:v>3.1999945640563965E-2</c:v>
                </c:pt>
                <c:pt idx="646">
                  <c:v>-1.162787339741933E-2</c:v>
                </c:pt>
                <c:pt idx="647">
                  <c:v>3.9216350839954561E-3</c:v>
                </c:pt>
                <c:pt idx="648">
                  <c:v>-1.5625030922819527E-2</c:v>
                </c:pt>
                <c:pt idx="649">
                  <c:v>3.9682028147358661E-3</c:v>
                </c:pt>
                <c:pt idx="650">
                  <c:v>0</c:v>
                </c:pt>
                <c:pt idx="651">
                  <c:v>1.5810309271551137E-2</c:v>
                </c:pt>
                <c:pt idx="652">
                  <c:v>-1.5564233919705739E-2</c:v>
                </c:pt>
                <c:pt idx="653">
                  <c:v>0</c:v>
                </c:pt>
                <c:pt idx="654">
                  <c:v>-3.9525184200162045E-3</c:v>
                </c:pt>
                <c:pt idx="655">
                  <c:v>3.9682028147358661E-3</c:v>
                </c:pt>
                <c:pt idx="656">
                  <c:v>-7.9051546357756797E-3</c:v>
                </c:pt>
                <c:pt idx="657">
                  <c:v>3.9841313904904752E-3</c:v>
                </c:pt>
                <c:pt idx="658">
                  <c:v>7.9365238926523141E-3</c:v>
                </c:pt>
                <c:pt idx="659">
                  <c:v>2.362197702968416E-2</c:v>
                </c:pt>
                <c:pt idx="660">
                  <c:v>-3.8461044695204949E-3</c:v>
                </c:pt>
                <c:pt idx="661">
                  <c:v>-3.4749047188697091E-2</c:v>
                </c:pt>
                <c:pt idx="662">
                  <c:v>0</c:v>
                </c:pt>
                <c:pt idx="663">
                  <c:v>-4.0000081062320225E-3</c:v>
                </c:pt>
                <c:pt idx="664">
                  <c:v>0</c:v>
                </c:pt>
                <c:pt idx="665">
                  <c:v>-8.0321448570023213E-3</c:v>
                </c:pt>
                <c:pt idx="666">
                  <c:v>1.21457739008759E-2</c:v>
                </c:pt>
                <c:pt idx="667">
                  <c:v>-8.000016212464045E-3</c:v>
                </c:pt>
                <c:pt idx="668">
                  <c:v>4.0322663020211369E-3</c:v>
                </c:pt>
                <c:pt idx="669">
                  <c:v>0</c:v>
                </c:pt>
                <c:pt idx="670">
                  <c:v>0</c:v>
                </c:pt>
                <c:pt idx="671">
                  <c:v>-1.2048157441483021E-2</c:v>
                </c:pt>
                <c:pt idx="672">
                  <c:v>1.6260134530831527E-2</c:v>
                </c:pt>
                <c:pt idx="673">
                  <c:v>-1.9999980926516003E-2</c:v>
                </c:pt>
                <c:pt idx="674">
                  <c:v>2.0408143405368895E-2</c:v>
                </c:pt>
                <c:pt idx="675">
                  <c:v>-4.0000081062320225E-3</c:v>
                </c:pt>
                <c:pt idx="676">
                  <c:v>8.0320850129778076E-3</c:v>
                </c:pt>
                <c:pt idx="677">
                  <c:v>-3.9840126561297984E-3</c:v>
                </c:pt>
                <c:pt idx="678">
                  <c:v>3.6000013351439986E-2</c:v>
                </c:pt>
                <c:pt idx="679">
                  <c:v>-2.3166069814760104E-2</c:v>
                </c:pt>
                <c:pt idx="680">
                  <c:v>-7.9051546357756797E-3</c:v>
                </c:pt>
                <c:pt idx="681">
                  <c:v>-2.3904313405512245E-2</c:v>
                </c:pt>
                <c:pt idx="682">
                  <c:v>1.6326502560082279E-2</c:v>
                </c:pt>
                <c:pt idx="683">
                  <c:v>-4.0160724285012162E-3</c:v>
                </c:pt>
                <c:pt idx="684">
                  <c:v>2.4193597812123047E-2</c:v>
                </c:pt>
                <c:pt idx="685">
                  <c:v>-7.8740314538869871E-3</c:v>
                </c:pt>
                <c:pt idx="686">
                  <c:v>3.9682028147358661E-3</c:v>
                </c:pt>
                <c:pt idx="687">
                  <c:v>3.9526362157593642E-3</c:v>
                </c:pt>
                <c:pt idx="688">
                  <c:v>1.574794557580117E-2</c:v>
                </c:pt>
                <c:pt idx="689">
                  <c:v>-3.1007700897408008E-2</c:v>
                </c:pt>
                <c:pt idx="690">
                  <c:v>-4.7999978065492055E-2</c:v>
                </c:pt>
                <c:pt idx="691">
                  <c:v>-8.4033781808192654E-3</c:v>
                </c:pt>
                <c:pt idx="692">
                  <c:v>-8.8983041215855097E-2</c:v>
                </c:pt>
                <c:pt idx="693">
                  <c:v>-0.13953488694454619</c:v>
                </c:pt>
                <c:pt idx="694">
                  <c:v>-0.10810808416175854</c:v>
                </c:pt>
                <c:pt idx="695">
                  <c:v>-0.12121218141883106</c:v>
                </c:pt>
                <c:pt idx="696">
                  <c:v>-0.158620655990242</c:v>
                </c:pt>
                <c:pt idx="697">
                  <c:v>-0.15573771342782983</c:v>
                </c:pt>
                <c:pt idx="698">
                  <c:v>-0.15533983110763283</c:v>
                </c:pt>
                <c:pt idx="699">
                  <c:v>-0.14942525191955225</c:v>
                </c:pt>
                <c:pt idx="700">
                  <c:v>-0.13513510520219763</c:v>
                </c:pt>
                <c:pt idx="701">
                  <c:v>-0.15625001818989293</c:v>
                </c:pt>
                <c:pt idx="702">
                  <c:v>-1.8518555567014539E-2</c:v>
                </c:pt>
                <c:pt idx="703">
                  <c:v>0.71698111748729376</c:v>
                </c:pt>
                <c:pt idx="704">
                  <c:v>1.0439561339280292</c:v>
                </c:pt>
                <c:pt idx="705">
                  <c:v>2.6881694156240643E-2</c:v>
                </c:pt>
                <c:pt idx="706">
                  <c:v>-0.26701570231318472</c:v>
                </c:pt>
                <c:pt idx="707">
                  <c:v>0.15714285562233288</c:v>
                </c:pt>
                <c:pt idx="708">
                  <c:v>0.13580246800021212</c:v>
                </c:pt>
                <c:pt idx="709">
                  <c:v>5.434793612034694E-3</c:v>
                </c:pt>
                <c:pt idx="710">
                  <c:v>-3.7837833483954642E-2</c:v>
                </c:pt>
                <c:pt idx="711">
                  <c:v>-4.4943826808995779E-2</c:v>
                </c:pt>
                <c:pt idx="712">
                  <c:v>2.3529371547036604E-2</c:v>
                </c:pt>
                <c:pt idx="713">
                  <c:v>-2.2988467357289877E-2</c:v>
                </c:pt>
                <c:pt idx="714">
                  <c:v>-5.882356034843117E-2</c:v>
                </c:pt>
                <c:pt idx="715">
                  <c:v>-4.3749996507538746E-2</c:v>
                </c:pt>
                <c:pt idx="716">
                  <c:v>1.3071922160222682E-2</c:v>
                </c:pt>
                <c:pt idx="717">
                  <c:v>0</c:v>
                </c:pt>
                <c:pt idx="718">
                  <c:v>-3.2258033504344863E-2</c:v>
                </c:pt>
                <c:pt idx="719">
                  <c:v>-1.3333359824286628E-2</c:v>
                </c:pt>
                <c:pt idx="720">
                  <c:v>8.1081042984616492E-2</c:v>
                </c:pt>
                <c:pt idx="721">
                  <c:v>6.2500128056861559E-3</c:v>
                </c:pt>
                <c:pt idx="722">
                  <c:v>-6.8322935376996852E-2</c:v>
                </c:pt>
                <c:pt idx="723">
                  <c:v>-6.6666699780356886E-2</c:v>
                </c:pt>
                <c:pt idx="724">
                  <c:v>-6.4285737853876701E-2</c:v>
                </c:pt>
                <c:pt idx="725">
                  <c:v>-2.2900696498492135E-2</c:v>
                </c:pt>
                <c:pt idx="726">
                  <c:v>7.0312406322051269E-2</c:v>
                </c:pt>
                <c:pt idx="727">
                  <c:v>0.167883232320863</c:v>
                </c:pt>
                <c:pt idx="728">
                  <c:v>-8.7499993015083599E-2</c:v>
                </c:pt>
                <c:pt idx="729">
                  <c:v>-4.1095872235398678E-2</c:v>
                </c:pt>
                <c:pt idx="730">
                  <c:v>1.428574317572151E-2</c:v>
                </c:pt>
                <c:pt idx="731">
                  <c:v>4.9295767996901496E-2</c:v>
                </c:pt>
                <c:pt idx="732">
                  <c:v>6.7114228198381642E-3</c:v>
                </c:pt>
                <c:pt idx="733">
                  <c:v>0</c:v>
                </c:pt>
                <c:pt idx="734">
                  <c:v>0</c:v>
                </c:pt>
                <c:pt idx="735">
                  <c:v>-6.666679912143314E-3</c:v>
                </c:pt>
                <c:pt idx="736">
                  <c:v>-2.6845691279352768E-2</c:v>
                </c:pt>
                <c:pt idx="737">
                  <c:v>-3.4482726727594337E-2</c:v>
                </c:pt>
                <c:pt idx="738">
                  <c:v>0</c:v>
                </c:pt>
                <c:pt idx="739">
                  <c:v>-7.1428715878608662E-3</c:v>
                </c:pt>
                <c:pt idx="740">
                  <c:v>7.1942592579099518E-3</c:v>
                </c:pt>
                <c:pt idx="741">
                  <c:v>-1.4285743175721843E-2</c:v>
                </c:pt>
                <c:pt idx="742">
                  <c:v>0</c:v>
                </c:pt>
                <c:pt idx="743">
                  <c:v>3.6231958391640617E-2</c:v>
                </c:pt>
                <c:pt idx="744">
                  <c:v>2.7971979149209014E-2</c:v>
                </c:pt>
                <c:pt idx="745">
                  <c:v>-1.3605469760121669E-2</c:v>
                </c:pt>
                <c:pt idx="746">
                  <c:v>0</c:v>
                </c:pt>
                <c:pt idx="747">
                  <c:v>-5.5172424424133504E-2</c:v>
                </c:pt>
                <c:pt idx="748">
                  <c:v>-5.1094887335250694E-2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F5-1442-B930-7A7F8971F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541375"/>
        <c:axId val="1225547199"/>
      </c:scatterChart>
      <c:valAx>
        <c:axId val="122554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225547199"/>
        <c:crosses val="autoZero"/>
        <c:crossBetween val="midCat"/>
      </c:valAx>
      <c:valAx>
        <c:axId val="122554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22554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txData>
          <cx:v>Rendimientos diarios AGUA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Rendimientos diarios AGUA</a:t>
          </a:r>
        </a:p>
      </cx:txPr>
    </cx:title>
    <cx:plotArea>
      <cx:plotAreaRegion>
        <cx:series layoutId="clusteredColumn" uniqueId="{90C72109-C973-4B4D-BDE8-38CA82B60447}">
          <cx:tx>
            <cx:txData>
              <cx:f>_xlchart.v1.15</cx:f>
              <cx:v>AGUAR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Rendimientos diarios MARA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Rendimientos diarios MARA</a:t>
          </a:r>
        </a:p>
      </cx:txPr>
    </cx:title>
    <cx:plotArea>
      <cx:plotAreaRegion>
        <cx:series layoutId="clusteredColumn" uniqueId="{55A3FAB6-5469-7C48-974F-26A841F9ED30}">
          <cx:tx>
            <cx:txData>
              <cx:f>_xlchart.v1.13</cx:f>
              <cx:v>MARAR</cx:v>
            </cx:txData>
          </cx:tx>
          <cx:spPr>
            <a:solidFill>
              <a:schemeClr val="accent2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_xlchart.v1.46</cx:f>
      </cx:numDim>
    </cx:data>
  </cx:chartData>
  <cx:chart>
    <cx:title pos="t" align="ctr" overlay="0">
      <cx:tx>
        <cx:txData>
          <cx:v>Rendimientos diarios NKE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Rendimientos diarios NKE</a:t>
          </a:r>
        </a:p>
      </cx:txPr>
    </cx:title>
    <cx:plotArea>
      <cx:plotAreaRegion>
        <cx:series layoutId="clusteredColumn" uniqueId="{16E48203-BEEE-684A-802F-D4E777C44836}">
          <cx:tx>
            <cx:txData>
              <cx:f>_xlchart.v1.45</cx:f>
              <cx:v>NKER</cx:v>
            </cx:txData>
          </cx:tx>
          <cx:spPr>
            <a:solidFill>
              <a:schemeClr val="accent3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Rendimientos diarios TEAKCPO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Rendimientos diarios TEAKCPO</a:t>
          </a:r>
        </a:p>
      </cx:txPr>
    </cx:title>
    <cx:plotArea>
      <cx:plotAreaRegion>
        <cx:series layoutId="clusteredColumn" uniqueId="{19220781-8974-A141-BFF1-0DAFD8E09FE2}">
          <cx:tx>
            <cx:txData>
              <cx:f>_xlchart.v1.11</cx:f>
              <cx:v>TEAKCPOR</cx:v>
            </cx:txData>
          </cx:tx>
          <cx:spPr>
            <a:solidFill>
              <a:schemeClr val="accent4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</cx:chartData>
  <cx:chart>
    <cx:title pos="t" align="ctr" overlay="0">
      <cx:tx>
        <cx:txData>
          <cx:v>Rendimientos diarios AGUA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Rendimientos diarios AGUA</a:t>
          </a:r>
        </a:p>
      </cx:txPr>
    </cx:title>
    <cx:plotArea>
      <cx:plotAreaRegion>
        <cx:series layoutId="clusteredColumn" uniqueId="{90C72109-C973-4B4D-BDE8-38CA82B60447}">
          <cx:tx>
            <cx:txData>
              <cx:f>_xlchart.v1.60</cx:f>
              <cx:v>AGUAR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_xlchart.v1.57</cx:f>
      </cx:numDim>
    </cx:data>
  </cx:chartData>
  <cx:chart>
    <cx:title pos="t" align="ctr" overlay="0">
      <cx:tx>
        <cx:txData>
          <cx:v>Rendimientos diarios MARA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Rendimientos diarios MARA</a:t>
          </a:r>
        </a:p>
      </cx:txPr>
    </cx:title>
    <cx:plotArea>
      <cx:plotAreaRegion>
        <cx:series layoutId="clusteredColumn" uniqueId="{55A3FAB6-5469-7C48-974F-26A841F9ED30}">
          <cx:tx>
            <cx:txData>
              <cx:f>_xlchart.v1.56</cx:f>
              <cx:v>MARAR</cx:v>
            </cx:txData>
          </cx:tx>
          <cx:spPr>
            <a:solidFill>
              <a:schemeClr val="accent2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</cx:chartData>
  <cx:chart>
    <cx:title pos="t" align="ctr" overlay="0">
      <cx:tx>
        <cx:txData>
          <cx:v>Rendimientos diarios NKE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Rendimientos diarios NKE</a:t>
          </a:r>
        </a:p>
      </cx:txPr>
    </cx:title>
    <cx:plotArea>
      <cx:plotAreaRegion>
        <cx:series layoutId="clusteredColumn" uniqueId="{16E48203-BEEE-684A-802F-D4E777C44836}">
          <cx:tx>
            <cx:txData>
              <cx:f>_xlchart.v1.54</cx:f>
              <cx:v>NKER</cx:v>
            </cx:txData>
          </cx:tx>
          <cx:spPr>
            <a:solidFill>
              <a:schemeClr val="accent3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_xlchart.v1.59</cx:f>
      </cx:numDim>
    </cx:data>
  </cx:chartData>
  <cx:chart>
    <cx:title pos="t" align="ctr" overlay="0">
      <cx:tx>
        <cx:txData>
          <cx:v>Rendimientos diarios TEAKCPO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Rendimientos diarios TEAKCPO</a:t>
          </a:r>
        </a:p>
      </cx:txPr>
    </cx:title>
    <cx:plotArea>
      <cx:plotAreaRegion>
        <cx:series layoutId="clusteredColumn" uniqueId="{19220781-8974-A141-BFF1-0DAFD8E09FE2}">
          <cx:tx>
            <cx:txData>
              <cx:f>_xlchart.v1.58</cx:f>
              <cx:v>TEAKCPOR</cx:v>
            </cx:txData>
          </cx:tx>
          <cx:spPr>
            <a:solidFill>
              <a:schemeClr val="accent4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4" Type="http://schemas.microsoft.com/office/2014/relationships/chartEx" Target="../charts/chartEx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202440</xdr:colOff>
      <xdr:row>730</xdr:row>
      <xdr:rowOff>120921</xdr:rowOff>
    </xdr:from>
    <xdr:to>
      <xdr:col>10</xdr:col>
      <xdr:colOff>649653</xdr:colOff>
      <xdr:row>746</xdr:row>
      <xdr:rowOff>184530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3BBE5-A0B6-F3D7-25A6-CE95BBB38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560745</xdr:colOff>
      <xdr:row>0</xdr:row>
      <xdr:rowOff>218801</xdr:rowOff>
    </xdr:from>
    <xdr:to>
      <xdr:col>11</xdr:col>
      <xdr:colOff>154354</xdr:colOff>
      <xdr:row>14</xdr:row>
      <xdr:rowOff>134319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C4E933-870E-DE58-0FCA-361223A92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336314</xdr:colOff>
      <xdr:row>16</xdr:row>
      <xdr:rowOff>312</xdr:rowOff>
    </xdr:from>
    <xdr:to>
      <xdr:col>9</xdr:col>
      <xdr:colOff>391976</xdr:colOff>
      <xdr:row>37</xdr:row>
      <xdr:rowOff>8944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18366AC-2358-6272-52D3-C129C22BA7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50399" y="3318411"/>
              <a:ext cx="3346929" cy="4328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620690</xdr:colOff>
      <xdr:row>16</xdr:row>
      <xdr:rowOff>28083</xdr:rowOff>
    </xdr:from>
    <xdr:to>
      <xdr:col>13</xdr:col>
      <xdr:colOff>706549</xdr:colOff>
      <xdr:row>36</xdr:row>
      <xdr:rowOff>178873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71F1E84-B35B-DFDD-F3AC-6760BAC0A5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6042" y="3346182"/>
              <a:ext cx="3377127" cy="4264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312134</xdr:colOff>
      <xdr:row>37</xdr:row>
      <xdr:rowOff>162239</xdr:rowOff>
    </xdr:from>
    <xdr:to>
      <xdr:col>9</xdr:col>
      <xdr:colOff>447183</xdr:colOff>
      <xdr:row>57</xdr:row>
      <xdr:rowOff>17888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FAA46C0-C145-A7E1-B2A1-EA628D1A14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6219" y="7800126"/>
              <a:ext cx="3426316" cy="39697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695095</xdr:colOff>
      <xdr:row>37</xdr:row>
      <xdr:rowOff>166838</xdr:rowOff>
    </xdr:from>
    <xdr:to>
      <xdr:col>14</xdr:col>
      <xdr:colOff>52357</xdr:colOff>
      <xdr:row>57</xdr:row>
      <xdr:rowOff>15103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F30C8BF-E41A-FEE2-CBAA-88E703F047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98618" y="7671383"/>
              <a:ext cx="3470330" cy="388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126210</xdr:rowOff>
    </xdr:from>
    <xdr:to>
      <xdr:col>2</xdr:col>
      <xdr:colOff>425963</xdr:colOff>
      <xdr:row>37</xdr:row>
      <xdr:rowOff>70840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E77F381-CE75-0149-86AE-6AA5D8A46D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3415589"/>
              <a:ext cx="3265714" cy="42515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765155</xdr:colOff>
      <xdr:row>16</xdr:row>
      <xdr:rowOff>126211</xdr:rowOff>
    </xdr:from>
    <xdr:to>
      <xdr:col>5</xdr:col>
      <xdr:colOff>504845</xdr:colOff>
      <xdr:row>37</xdr:row>
      <xdr:rowOff>10954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6C3C93A-E09E-C74C-ACA4-D5E4FD997C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4907" y="3415590"/>
              <a:ext cx="3384037" cy="4191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39440</xdr:colOff>
      <xdr:row>17</xdr:row>
      <xdr:rowOff>15776</xdr:rowOff>
    </xdr:from>
    <xdr:to>
      <xdr:col>8</xdr:col>
      <xdr:colOff>702048</xdr:colOff>
      <xdr:row>37</xdr:row>
      <xdr:rowOff>7889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CD05EE3-2231-F44B-A5F5-4CDFBB1DD7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1800" y="3510248"/>
              <a:ext cx="3139503" cy="4093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17</xdr:row>
      <xdr:rowOff>0</xdr:rowOff>
    </xdr:from>
    <xdr:to>
      <xdr:col>11</xdr:col>
      <xdr:colOff>725715</xdr:colOff>
      <xdr:row>35</xdr:row>
      <xdr:rowOff>197498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BB5074D-D0A2-FF4A-AC11-91230AE42E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17267" y="3494472"/>
              <a:ext cx="3202609" cy="388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785812</xdr:colOff>
      <xdr:row>4</xdr:row>
      <xdr:rowOff>150812</xdr:rowOff>
    </xdr:from>
    <xdr:to>
      <xdr:col>9</xdr:col>
      <xdr:colOff>54097</xdr:colOff>
      <xdr:row>6</xdr:row>
      <xdr:rowOff>181516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CA651B93-DBB2-0B4D-B5A1-16AA36D71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8812" y="976312"/>
          <a:ext cx="2570285" cy="443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ECC1-77DD-E14F-BDA3-74E82397A966}">
  <dimension ref="A1:E751"/>
  <sheetViews>
    <sheetView topLeftCell="A730" zoomScale="125" workbookViewId="0">
      <selection activeCell="G750" sqref="G750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1">
        <v>44998</v>
      </c>
      <c r="B2">
        <v>26.3453979492187</v>
      </c>
      <c r="C2">
        <v>127</v>
      </c>
      <c r="D2">
        <v>2213.16381835937</v>
      </c>
      <c r="E2">
        <v>3.9000000953674299</v>
      </c>
    </row>
    <row r="3" spans="1:5" x14ac:dyDescent="0.2">
      <c r="A3" s="1">
        <v>44999</v>
      </c>
      <c r="B3">
        <v>26.770027160644499</v>
      </c>
      <c r="C3">
        <v>131.97999572753901</v>
      </c>
      <c r="D3">
        <v>2186.24584960937</v>
      </c>
      <c r="E3">
        <v>3.9000000953674299</v>
      </c>
    </row>
    <row r="4" spans="1:5" x14ac:dyDescent="0.2">
      <c r="A4" s="1">
        <v>45000</v>
      </c>
      <c r="B4">
        <v>25.8099975585937</v>
      </c>
      <c r="C4">
        <v>133</v>
      </c>
      <c r="D4">
        <v>2238.484375</v>
      </c>
      <c r="E4">
        <v>3.6900000572204501</v>
      </c>
    </row>
    <row r="5" spans="1:5" x14ac:dyDescent="0.2">
      <c r="A5" s="1">
        <v>45001</v>
      </c>
      <c r="B5">
        <v>25.708457946777301</v>
      </c>
      <c r="C5">
        <v>143.69999694824199</v>
      </c>
      <c r="D5">
        <v>2251.04638671875</v>
      </c>
      <c r="E5">
        <v>3.9000000953674299</v>
      </c>
    </row>
    <row r="6" spans="1:5" x14ac:dyDescent="0.2">
      <c r="A6" s="1">
        <v>45002</v>
      </c>
      <c r="B6">
        <v>25.569990158081001</v>
      </c>
      <c r="C6">
        <v>155</v>
      </c>
      <c r="D6">
        <v>2250.79663085937</v>
      </c>
      <c r="E6">
        <v>3.9000000953674299</v>
      </c>
    </row>
    <row r="7" spans="1:5" x14ac:dyDescent="0.2">
      <c r="A7" s="1">
        <v>45006</v>
      </c>
      <c r="B7">
        <v>24.9607429504394</v>
      </c>
      <c r="C7">
        <v>165.05999755859301</v>
      </c>
      <c r="D7">
        <v>2333.13256835937</v>
      </c>
      <c r="E7">
        <v>3.75</v>
      </c>
    </row>
    <row r="8" spans="1:5" x14ac:dyDescent="0.2">
      <c r="A8" s="1">
        <v>45007</v>
      </c>
      <c r="B8">
        <v>25.2930583953857</v>
      </c>
      <c r="C8">
        <v>144.58999633789</v>
      </c>
      <c r="D8">
        <v>2223.13208007812</v>
      </c>
      <c r="E8">
        <v>3.70000004768371</v>
      </c>
    </row>
    <row r="9" spans="1:5" x14ac:dyDescent="0.2">
      <c r="A9" s="1">
        <v>45008</v>
      </c>
      <c r="B9">
        <v>24.517650604248001</v>
      </c>
      <c r="C9">
        <v>157.72000122070301</v>
      </c>
      <c r="D9">
        <v>2233.10131835937</v>
      </c>
      <c r="E9">
        <v>3.5999999046325599</v>
      </c>
    </row>
    <row r="10" spans="1:5" x14ac:dyDescent="0.2">
      <c r="A10" s="1">
        <v>45009</v>
      </c>
      <c r="B10">
        <v>24.9422798156738</v>
      </c>
      <c r="C10">
        <v>144.52000427246</v>
      </c>
      <c r="D10">
        <v>2216.65307617187</v>
      </c>
      <c r="E10">
        <v>3.70000004768371</v>
      </c>
    </row>
    <row r="11" spans="1:5" x14ac:dyDescent="0.2">
      <c r="A11" s="1">
        <v>45012</v>
      </c>
      <c r="B11">
        <v>25.182289123535099</v>
      </c>
      <c r="C11">
        <v>132.58000183105401</v>
      </c>
      <c r="D11">
        <v>2160.82446289062</v>
      </c>
      <c r="E11">
        <v>3.70000004768371</v>
      </c>
    </row>
    <row r="12" spans="1:5" x14ac:dyDescent="0.2">
      <c r="A12" s="1">
        <v>45013</v>
      </c>
      <c r="B12">
        <v>25.6438388824462</v>
      </c>
      <c r="C12">
        <v>132.75</v>
      </c>
      <c r="D12">
        <v>2134.44604492187</v>
      </c>
      <c r="E12">
        <v>3.70000004768371</v>
      </c>
    </row>
    <row r="13" spans="1:5" x14ac:dyDescent="0.2">
      <c r="A13" s="1">
        <v>45014</v>
      </c>
      <c r="B13">
        <v>25.080747604370099</v>
      </c>
      <c r="C13">
        <v>144.30999755859301</v>
      </c>
      <c r="D13">
        <v>2162.3203125</v>
      </c>
      <c r="E13">
        <v>3.6800000667571999</v>
      </c>
    </row>
    <row r="14" spans="1:5" x14ac:dyDescent="0.2">
      <c r="A14" s="1">
        <v>45015</v>
      </c>
      <c r="B14">
        <v>25.477682113647401</v>
      </c>
      <c r="C14">
        <v>139.5</v>
      </c>
      <c r="D14">
        <v>2162.3203125</v>
      </c>
      <c r="E14">
        <v>3.5199999809265101</v>
      </c>
    </row>
    <row r="15" spans="1:5" x14ac:dyDescent="0.2">
      <c r="A15" s="1">
        <v>45016</v>
      </c>
      <c r="B15">
        <v>25.523836135864201</v>
      </c>
      <c r="C15">
        <v>156.169998168945</v>
      </c>
      <c r="D15">
        <v>2203.19360351562</v>
      </c>
      <c r="E15">
        <v>3.7899999618530198</v>
      </c>
    </row>
    <row r="16" spans="1:5" x14ac:dyDescent="0.2">
      <c r="A16" s="1">
        <v>45019</v>
      </c>
      <c r="B16">
        <v>24.342264175415</v>
      </c>
      <c r="C16">
        <v>153.80000305175699</v>
      </c>
      <c r="D16">
        <v>2189.60595703125</v>
      </c>
      <c r="E16">
        <v>3.9000000953674299</v>
      </c>
    </row>
    <row r="17" spans="1:5" x14ac:dyDescent="0.2">
      <c r="A17" s="1">
        <v>45020</v>
      </c>
      <c r="B17">
        <v>24.693040847778299</v>
      </c>
      <c r="C17">
        <v>154.14999389648401</v>
      </c>
      <c r="D17">
        <v>2233.10131835937</v>
      </c>
      <c r="E17">
        <v>3.9400000572204501</v>
      </c>
    </row>
    <row r="18" spans="1:5" x14ac:dyDescent="0.2">
      <c r="A18" s="1">
        <v>45021</v>
      </c>
      <c r="B18">
        <v>24.453035354614201</v>
      </c>
      <c r="C18">
        <v>144.58000183105401</v>
      </c>
      <c r="D18">
        <v>2233.10131835937</v>
      </c>
      <c r="E18">
        <v>3.9900000095367401</v>
      </c>
    </row>
    <row r="19" spans="1:5" x14ac:dyDescent="0.2">
      <c r="A19" s="1">
        <v>45026</v>
      </c>
      <c r="B19">
        <v>24.776123046875</v>
      </c>
      <c r="C19">
        <v>163.71000671386699</v>
      </c>
      <c r="D19">
        <v>2342.74243164062</v>
      </c>
      <c r="E19">
        <v>3.95000004768371</v>
      </c>
    </row>
    <row r="20" spans="1:5" x14ac:dyDescent="0.2">
      <c r="A20" s="1">
        <v>45027</v>
      </c>
      <c r="B20">
        <v>25.8284606933593</v>
      </c>
      <c r="C20">
        <v>187.07000732421801</v>
      </c>
      <c r="D20">
        <v>2231.50659179687</v>
      </c>
      <c r="E20">
        <v>3.9400000572204501</v>
      </c>
    </row>
    <row r="21" spans="1:5" x14ac:dyDescent="0.2">
      <c r="A21" s="1">
        <v>45028</v>
      </c>
      <c r="B21">
        <v>25.016128540038999</v>
      </c>
      <c r="C21">
        <v>178.07000732421801</v>
      </c>
      <c r="D21">
        <v>2263.00952148437</v>
      </c>
      <c r="E21">
        <v>3.9400000572204501</v>
      </c>
    </row>
    <row r="22" spans="1:5" x14ac:dyDescent="0.2">
      <c r="A22" s="1">
        <v>45029</v>
      </c>
      <c r="B22">
        <v>25.394603729248001</v>
      </c>
      <c r="C22">
        <v>208.100006103515</v>
      </c>
      <c r="D22">
        <v>2273.98510742187</v>
      </c>
      <c r="E22">
        <v>3.8699998855590798</v>
      </c>
    </row>
    <row r="23" spans="1:5" x14ac:dyDescent="0.2">
      <c r="A23" s="1">
        <v>45030</v>
      </c>
      <c r="B23">
        <v>25.708457946777301</v>
      </c>
      <c r="C23">
        <v>213.47999572753901</v>
      </c>
      <c r="D23">
        <v>2243.10107421875</v>
      </c>
      <c r="E23">
        <v>3.75</v>
      </c>
    </row>
    <row r="24" spans="1:5" x14ac:dyDescent="0.2">
      <c r="A24" s="1">
        <v>45033</v>
      </c>
      <c r="B24">
        <v>25.219211578369102</v>
      </c>
      <c r="C24">
        <v>207.009994506835</v>
      </c>
      <c r="D24">
        <v>2243.10107421875</v>
      </c>
      <c r="E24">
        <v>3.6900000572204501</v>
      </c>
    </row>
    <row r="25" spans="1:5" x14ac:dyDescent="0.2">
      <c r="A25" s="1">
        <v>45034</v>
      </c>
      <c r="B25">
        <v>24.693040847778299</v>
      </c>
      <c r="C25">
        <v>210.88999938964801</v>
      </c>
      <c r="D25">
        <v>2273.94506835937</v>
      </c>
      <c r="E25">
        <v>3.6800000667571999</v>
      </c>
    </row>
    <row r="26" spans="1:5" x14ac:dyDescent="0.2">
      <c r="A26" s="1">
        <v>45035</v>
      </c>
      <c r="B26">
        <v>24.129947662353501</v>
      </c>
      <c r="C26">
        <v>192.97000122070301</v>
      </c>
      <c r="D26">
        <v>2263.30810546875</v>
      </c>
      <c r="E26">
        <v>3.6199998855590798</v>
      </c>
    </row>
    <row r="27" spans="1:5" x14ac:dyDescent="0.2">
      <c r="A27" s="1">
        <v>45036</v>
      </c>
      <c r="B27">
        <v>24.148410797119102</v>
      </c>
      <c r="C27">
        <v>172.11000061035099</v>
      </c>
      <c r="D27">
        <v>2243.07104492187</v>
      </c>
      <c r="E27">
        <v>3.5999999046325599</v>
      </c>
    </row>
    <row r="28" spans="1:5" x14ac:dyDescent="0.2">
      <c r="A28" s="1">
        <v>45037</v>
      </c>
      <c r="B28">
        <v>24.7945842742919</v>
      </c>
      <c r="C28">
        <v>160.69999694824199</v>
      </c>
      <c r="D28">
        <v>2248.05541992187</v>
      </c>
      <c r="E28">
        <v>3.5499999523162802</v>
      </c>
    </row>
    <row r="29" spans="1:5" x14ac:dyDescent="0.2">
      <c r="A29" s="1">
        <v>45040</v>
      </c>
      <c r="B29">
        <v>24.877662658691399</v>
      </c>
      <c r="C29">
        <v>161.19999694824199</v>
      </c>
      <c r="D29">
        <v>2270.98413085937</v>
      </c>
      <c r="E29">
        <v>3.5</v>
      </c>
    </row>
    <row r="30" spans="1:5" x14ac:dyDescent="0.2">
      <c r="A30" s="1">
        <v>45041</v>
      </c>
      <c r="B30">
        <v>24.425340652465799</v>
      </c>
      <c r="C30">
        <v>163</v>
      </c>
      <c r="D30">
        <v>2238.09619140625</v>
      </c>
      <c r="E30">
        <v>3.46000003814697</v>
      </c>
    </row>
    <row r="31" spans="1:5" x14ac:dyDescent="0.2">
      <c r="A31" s="1">
        <v>45042</v>
      </c>
      <c r="B31">
        <v>23.7884006500244</v>
      </c>
      <c r="C31">
        <v>172.11000061035099</v>
      </c>
      <c r="D31">
        <v>2228.1171875</v>
      </c>
      <c r="E31">
        <v>3.46000003814697</v>
      </c>
    </row>
    <row r="32" spans="1:5" x14ac:dyDescent="0.2">
      <c r="A32" s="1">
        <v>45043</v>
      </c>
      <c r="B32">
        <v>23.493007659912099</v>
      </c>
      <c r="C32">
        <v>180.28999328613199</v>
      </c>
      <c r="D32">
        <v>2256.03051757812</v>
      </c>
      <c r="E32">
        <v>3.46000003814697</v>
      </c>
    </row>
    <row r="33" spans="1:5" x14ac:dyDescent="0.2">
      <c r="A33" s="1">
        <v>45044</v>
      </c>
      <c r="B33">
        <v>23.1699199676513</v>
      </c>
      <c r="C33">
        <v>181.5</v>
      </c>
      <c r="D33">
        <v>2265.99975585937</v>
      </c>
      <c r="E33">
        <v>3.42000007629394</v>
      </c>
    </row>
    <row r="34" spans="1:5" x14ac:dyDescent="0.2">
      <c r="A34" s="1">
        <v>45048</v>
      </c>
      <c r="B34">
        <v>22.754522323608398</v>
      </c>
      <c r="C34">
        <v>171.63999938964801</v>
      </c>
      <c r="D34">
        <v>2280.95385742187</v>
      </c>
      <c r="E34">
        <v>3.42000007629394</v>
      </c>
    </row>
    <row r="35" spans="1:5" x14ac:dyDescent="0.2">
      <c r="A35" s="1">
        <v>45049</v>
      </c>
      <c r="B35">
        <v>23.7053203582763</v>
      </c>
      <c r="C35">
        <v>168.53999328613199</v>
      </c>
      <c r="D35">
        <v>2253.03979492187</v>
      </c>
      <c r="E35">
        <v>3.5999999046325599</v>
      </c>
    </row>
    <row r="36" spans="1:5" x14ac:dyDescent="0.2">
      <c r="A36" s="1">
        <v>45050</v>
      </c>
      <c r="B36">
        <v>22.6160583496093</v>
      </c>
      <c r="C36">
        <v>184</v>
      </c>
      <c r="D36">
        <v>2206.58325195312</v>
      </c>
      <c r="E36">
        <v>3.5399999618530198</v>
      </c>
    </row>
    <row r="37" spans="1:5" x14ac:dyDescent="0.2">
      <c r="A37" s="1">
        <v>45051</v>
      </c>
      <c r="B37">
        <v>23.530122756958001</v>
      </c>
      <c r="C37">
        <v>186</v>
      </c>
      <c r="D37">
        <v>2252.04321289062</v>
      </c>
      <c r="E37">
        <v>3.5399999618530198</v>
      </c>
    </row>
    <row r="38" spans="1:5" x14ac:dyDescent="0.2">
      <c r="A38" s="1">
        <v>45054</v>
      </c>
      <c r="B38">
        <v>23.1814575195312</v>
      </c>
      <c r="C38">
        <v>166.22999572753901</v>
      </c>
      <c r="D38">
        <v>2246.310546875</v>
      </c>
      <c r="E38">
        <v>3.5399999618530198</v>
      </c>
    </row>
    <row r="39" spans="1:5" x14ac:dyDescent="0.2">
      <c r="A39" s="1">
        <v>45055</v>
      </c>
      <c r="B39">
        <v>23.8410930633544</v>
      </c>
      <c r="C39">
        <v>167.03999328613199</v>
      </c>
      <c r="D39">
        <v>2246.310546875</v>
      </c>
      <c r="E39">
        <v>3.5399999618530198</v>
      </c>
    </row>
    <row r="40" spans="1:5" x14ac:dyDescent="0.2">
      <c r="A40" s="1">
        <v>45056</v>
      </c>
      <c r="B40">
        <v>24.500728607177699</v>
      </c>
      <c r="C40">
        <v>181.009994506835</v>
      </c>
      <c r="D40">
        <v>2153.34814453125</v>
      </c>
      <c r="E40">
        <v>3.5099999904632502</v>
      </c>
    </row>
    <row r="41" spans="1:5" x14ac:dyDescent="0.2">
      <c r="A41" s="1">
        <v>45057</v>
      </c>
      <c r="B41">
        <v>24.953048706054599</v>
      </c>
      <c r="C41">
        <v>152.53999328613199</v>
      </c>
      <c r="D41">
        <v>2138.39428710937</v>
      </c>
      <c r="E41">
        <v>3.5299999713897701</v>
      </c>
    </row>
    <row r="42" spans="1:5" x14ac:dyDescent="0.2">
      <c r="A42" s="1">
        <v>45058</v>
      </c>
      <c r="B42">
        <v>24.953048706054599</v>
      </c>
      <c r="C42">
        <v>156.21000671386699</v>
      </c>
      <c r="D42">
        <v>2096.81274414062</v>
      </c>
      <c r="E42">
        <v>3.4300000667571999</v>
      </c>
    </row>
    <row r="43" spans="1:5" x14ac:dyDescent="0.2">
      <c r="A43" s="1">
        <v>45061</v>
      </c>
      <c r="B43">
        <v>26.253473281860298</v>
      </c>
      <c r="C43">
        <v>164.419998168945</v>
      </c>
      <c r="D43">
        <v>2073.59423828125</v>
      </c>
      <c r="E43">
        <v>3.5</v>
      </c>
    </row>
    <row r="44" spans="1:5" x14ac:dyDescent="0.2">
      <c r="A44" s="1">
        <v>45062</v>
      </c>
      <c r="B44">
        <v>26.404247283935501</v>
      </c>
      <c r="C44">
        <v>161.49000549316401</v>
      </c>
      <c r="D44">
        <v>2035.71118164062</v>
      </c>
      <c r="E44">
        <v>3.5</v>
      </c>
    </row>
    <row r="45" spans="1:5" x14ac:dyDescent="0.2">
      <c r="A45" s="1">
        <v>45063</v>
      </c>
      <c r="B45">
        <v>26.875413894653299</v>
      </c>
      <c r="C45">
        <v>177.03999328613199</v>
      </c>
      <c r="D45">
        <v>2038.51293945312</v>
      </c>
      <c r="E45">
        <v>3.5499999523162802</v>
      </c>
    </row>
    <row r="46" spans="1:5" x14ac:dyDescent="0.2">
      <c r="A46" s="1">
        <v>45064</v>
      </c>
      <c r="B46">
        <v>27.808326721191399</v>
      </c>
      <c r="C46">
        <v>165.33000183105401</v>
      </c>
      <c r="D46">
        <v>2114.46801757812</v>
      </c>
      <c r="E46">
        <v>3.5499999523162802</v>
      </c>
    </row>
    <row r="47" spans="1:5" x14ac:dyDescent="0.2">
      <c r="A47" s="1">
        <v>45065</v>
      </c>
      <c r="B47">
        <v>27.233501434326101</v>
      </c>
      <c r="C47">
        <v>162.05999755859301</v>
      </c>
      <c r="D47">
        <v>2013.77905273437</v>
      </c>
      <c r="E47">
        <v>3.5499999523162802</v>
      </c>
    </row>
    <row r="48" spans="1:5" x14ac:dyDescent="0.2">
      <c r="A48" s="1">
        <v>45068</v>
      </c>
      <c r="B48">
        <v>27.403121948242099</v>
      </c>
      <c r="C48">
        <v>173.47000122070301</v>
      </c>
      <c r="D48">
        <v>1973.90209960937</v>
      </c>
      <c r="E48">
        <v>3.5499999523162802</v>
      </c>
    </row>
    <row r="49" spans="1:5" x14ac:dyDescent="0.2">
      <c r="A49" s="1">
        <v>45069</v>
      </c>
      <c r="B49">
        <v>27.233501434326101</v>
      </c>
      <c r="C49">
        <v>168.22000122070301</v>
      </c>
      <c r="D49">
        <v>1948.97924804687</v>
      </c>
      <c r="E49">
        <v>3.5999999046325599</v>
      </c>
    </row>
    <row r="50" spans="1:5" x14ac:dyDescent="0.2">
      <c r="A50" s="1">
        <v>45070</v>
      </c>
      <c r="B50">
        <v>27.648130416870099</v>
      </c>
      <c r="C50">
        <v>169</v>
      </c>
      <c r="D50">
        <v>1925.05310058593</v>
      </c>
      <c r="E50">
        <v>3.5999999046325599</v>
      </c>
    </row>
    <row r="51" spans="1:5" x14ac:dyDescent="0.2">
      <c r="A51" s="1">
        <v>45071</v>
      </c>
      <c r="B51">
        <v>27.563320159912099</v>
      </c>
      <c r="C51">
        <v>162.25</v>
      </c>
      <c r="D51">
        <v>1916.33020019531</v>
      </c>
      <c r="E51">
        <v>3.5999999046325599</v>
      </c>
    </row>
    <row r="52" spans="1:5" x14ac:dyDescent="0.2">
      <c r="A52" s="1">
        <v>45072</v>
      </c>
      <c r="B52">
        <v>27.082729339599599</v>
      </c>
      <c r="C52">
        <v>162.39999389648401</v>
      </c>
      <c r="D52">
        <v>1889.1640625</v>
      </c>
      <c r="E52">
        <v>3.4300000667571999</v>
      </c>
    </row>
    <row r="53" spans="1:5" x14ac:dyDescent="0.2">
      <c r="A53" s="1">
        <v>45075</v>
      </c>
      <c r="B53">
        <v>27.186384201049801</v>
      </c>
      <c r="C53">
        <v>162</v>
      </c>
      <c r="D53">
        <v>1942.98779296875</v>
      </c>
      <c r="E53">
        <v>3.4300000667571999</v>
      </c>
    </row>
    <row r="54" spans="1:5" x14ac:dyDescent="0.2">
      <c r="A54" s="1">
        <v>45076</v>
      </c>
      <c r="B54">
        <v>26.1121215820312</v>
      </c>
      <c r="C54">
        <v>165.88000488281199</v>
      </c>
      <c r="D54">
        <v>1879.19494628906</v>
      </c>
      <c r="E54">
        <v>3.4300000667571999</v>
      </c>
    </row>
    <row r="55" spans="1:5" x14ac:dyDescent="0.2">
      <c r="A55" s="1">
        <v>45077</v>
      </c>
      <c r="B55">
        <v>26.375978469848601</v>
      </c>
      <c r="C55">
        <v>172.41000366210901</v>
      </c>
      <c r="D55">
        <v>1862.2470703125</v>
      </c>
      <c r="E55">
        <v>3.4300000667571999</v>
      </c>
    </row>
    <row r="56" spans="1:5" x14ac:dyDescent="0.2">
      <c r="A56" s="1">
        <v>45078</v>
      </c>
      <c r="B56">
        <v>26.272319793701101</v>
      </c>
      <c r="C56">
        <v>176.17999267578099</v>
      </c>
      <c r="D56">
        <v>1815.57141113281</v>
      </c>
      <c r="E56">
        <v>3.4300000667571999</v>
      </c>
    </row>
    <row r="57" spans="1:5" x14ac:dyDescent="0.2">
      <c r="A57" s="1">
        <v>45079</v>
      </c>
      <c r="B57">
        <v>25.678647994995099</v>
      </c>
      <c r="C57">
        <v>175.509994506835</v>
      </c>
      <c r="D57">
        <v>1893.1162109375</v>
      </c>
      <c r="E57">
        <v>3.2999999523162802</v>
      </c>
    </row>
    <row r="58" spans="1:5" x14ac:dyDescent="0.2">
      <c r="A58" s="1">
        <v>45082</v>
      </c>
      <c r="B58">
        <v>26.385400772094702</v>
      </c>
      <c r="C58">
        <v>160.19999694824199</v>
      </c>
      <c r="D58">
        <v>1832.681640625</v>
      </c>
      <c r="E58">
        <v>3.2999999523162802</v>
      </c>
    </row>
    <row r="59" spans="1:5" x14ac:dyDescent="0.2">
      <c r="A59" s="1">
        <v>45083</v>
      </c>
      <c r="B59">
        <v>26.262897491455</v>
      </c>
      <c r="C59">
        <v>175.169998168945</v>
      </c>
      <c r="D59">
        <v>1844.63684082031</v>
      </c>
      <c r="E59">
        <v>3.2999999523162802</v>
      </c>
    </row>
    <row r="60" spans="1:5" x14ac:dyDescent="0.2">
      <c r="A60" s="1">
        <v>45084</v>
      </c>
      <c r="B60">
        <v>27.186384201049801</v>
      </c>
      <c r="C60">
        <v>166.25</v>
      </c>
      <c r="D60">
        <v>1860.94958496093</v>
      </c>
      <c r="E60">
        <v>3.2200000286102202</v>
      </c>
    </row>
    <row r="61" spans="1:5" x14ac:dyDescent="0.2">
      <c r="A61" s="1">
        <v>45085</v>
      </c>
      <c r="B61">
        <v>27.063880920410099</v>
      </c>
      <c r="C61">
        <v>169.89999389648401</v>
      </c>
      <c r="D61">
        <v>1844.64685058593</v>
      </c>
      <c r="E61">
        <v>3.17000007629394</v>
      </c>
    </row>
    <row r="62" spans="1:5" x14ac:dyDescent="0.2">
      <c r="A62" s="1">
        <v>45086</v>
      </c>
      <c r="B62">
        <v>27.0733032226562</v>
      </c>
      <c r="C62">
        <v>161.27999877929599</v>
      </c>
      <c r="D62">
        <v>1826.68896484375</v>
      </c>
      <c r="E62">
        <v>3.0999999046325599</v>
      </c>
    </row>
    <row r="63" spans="1:5" x14ac:dyDescent="0.2">
      <c r="A63" s="1">
        <v>45089</v>
      </c>
      <c r="B63">
        <v>27.337160110473601</v>
      </c>
      <c r="C63">
        <v>161.100006103515</v>
      </c>
      <c r="D63">
        <v>1838.66430664062</v>
      </c>
      <c r="E63">
        <v>3.0599999427795401</v>
      </c>
    </row>
    <row r="64" spans="1:5" x14ac:dyDescent="0.2">
      <c r="A64" s="1">
        <v>45090</v>
      </c>
      <c r="B64">
        <v>26.4796333312988</v>
      </c>
      <c r="C64">
        <v>166</v>
      </c>
      <c r="D64">
        <v>1834.666015625</v>
      </c>
      <c r="E64">
        <v>3.1199998855590798</v>
      </c>
    </row>
    <row r="65" spans="1:5" x14ac:dyDescent="0.2">
      <c r="A65" s="1">
        <v>45091</v>
      </c>
      <c r="B65">
        <v>26.375978469848601</v>
      </c>
      <c r="C65">
        <v>165.19999694824199</v>
      </c>
      <c r="D65">
        <v>1930.00927734375</v>
      </c>
      <c r="E65">
        <v>3.1199998855590798</v>
      </c>
    </row>
    <row r="66" spans="1:5" x14ac:dyDescent="0.2">
      <c r="A66" s="1">
        <v>45092</v>
      </c>
      <c r="B66">
        <v>26.347703933715799</v>
      </c>
      <c r="C66">
        <v>160.5</v>
      </c>
      <c r="D66">
        <v>1920.42712402343</v>
      </c>
      <c r="E66">
        <v>3.1199998855590798</v>
      </c>
    </row>
    <row r="67" spans="1:5" x14ac:dyDescent="0.2">
      <c r="A67" s="1">
        <v>45093</v>
      </c>
      <c r="B67">
        <v>26.385400772094702</v>
      </c>
      <c r="C67">
        <v>169.5</v>
      </c>
      <c r="D67">
        <v>1932.36242675781</v>
      </c>
      <c r="E67">
        <v>3.1500000953674299</v>
      </c>
    </row>
    <row r="68" spans="1:5" x14ac:dyDescent="0.2">
      <c r="A68" s="1">
        <v>45096</v>
      </c>
      <c r="B68">
        <v>26.385400772094702</v>
      </c>
      <c r="C68">
        <v>172</v>
      </c>
      <c r="D68">
        <v>1954.32861328125</v>
      </c>
      <c r="E68">
        <v>3.1500000953674299</v>
      </c>
    </row>
    <row r="69" spans="1:5" x14ac:dyDescent="0.2">
      <c r="A69" s="1">
        <v>45097</v>
      </c>
      <c r="B69">
        <v>26.394823074340799</v>
      </c>
      <c r="C69">
        <v>199.38000488281199</v>
      </c>
      <c r="D69">
        <v>1879.54565429687</v>
      </c>
      <c r="E69">
        <v>3.1500000953674299</v>
      </c>
    </row>
    <row r="70" spans="1:5" x14ac:dyDescent="0.2">
      <c r="A70" s="1">
        <v>45098</v>
      </c>
      <c r="B70">
        <v>26.130968093871999</v>
      </c>
      <c r="C70">
        <v>208.82000732421801</v>
      </c>
      <c r="D70">
        <v>1870.591796875</v>
      </c>
      <c r="E70">
        <v>3.13000011444091</v>
      </c>
    </row>
    <row r="71" spans="1:5" x14ac:dyDescent="0.2">
      <c r="A71" s="1">
        <v>45099</v>
      </c>
      <c r="B71">
        <v>25.791728973388601</v>
      </c>
      <c r="C71">
        <v>202</v>
      </c>
      <c r="D71">
        <v>1891.71032714843</v>
      </c>
      <c r="E71">
        <v>3.0899999141693102</v>
      </c>
    </row>
    <row r="72" spans="1:5" x14ac:dyDescent="0.2">
      <c r="A72" s="1">
        <v>45100</v>
      </c>
      <c r="B72">
        <v>25.461910247802699</v>
      </c>
      <c r="C72">
        <v>218.07000732421801</v>
      </c>
      <c r="D72">
        <v>1874.57019042968</v>
      </c>
      <c r="E72">
        <v>3.0499999523162802</v>
      </c>
    </row>
    <row r="73" spans="1:5" x14ac:dyDescent="0.2">
      <c r="A73" s="1">
        <v>45103</v>
      </c>
      <c r="B73">
        <v>24.971895217895501</v>
      </c>
      <c r="C73">
        <v>202.27000427246</v>
      </c>
      <c r="D73">
        <v>1914.59411621093</v>
      </c>
      <c r="E73">
        <v>3.0499999523162802</v>
      </c>
    </row>
    <row r="74" spans="1:5" x14ac:dyDescent="0.2">
      <c r="A74" s="1">
        <v>45104</v>
      </c>
      <c r="B74">
        <v>26.281742095947202</v>
      </c>
      <c r="C74">
        <v>228.47000122070301</v>
      </c>
      <c r="D74">
        <v>1941.38635253906</v>
      </c>
      <c r="E74">
        <v>3.0499999523162802</v>
      </c>
    </row>
    <row r="75" spans="1:5" x14ac:dyDescent="0.2">
      <c r="A75" s="1">
        <v>45105</v>
      </c>
      <c r="B75">
        <v>25.377099990844702</v>
      </c>
      <c r="C75">
        <v>223.69000244140599</v>
      </c>
      <c r="D75">
        <v>1924.41552734375</v>
      </c>
      <c r="E75">
        <v>3.0599999427795401</v>
      </c>
    </row>
    <row r="76" spans="1:5" x14ac:dyDescent="0.2">
      <c r="A76" s="1">
        <v>45106</v>
      </c>
      <c r="B76">
        <v>25.509025573730401</v>
      </c>
      <c r="C76">
        <v>235.91000366210901</v>
      </c>
      <c r="D76">
        <v>1932.69177246093</v>
      </c>
      <c r="E76">
        <v>3.0299999713897701</v>
      </c>
    </row>
    <row r="77" spans="1:5" x14ac:dyDescent="0.2">
      <c r="A77" s="1">
        <v>45107</v>
      </c>
      <c r="B77">
        <v>23.897634506225501</v>
      </c>
      <c r="C77">
        <v>238</v>
      </c>
      <c r="D77">
        <v>1883.53430175781</v>
      </c>
      <c r="E77">
        <v>3.0299999713897701</v>
      </c>
    </row>
    <row r="78" spans="1:5" x14ac:dyDescent="0.2">
      <c r="A78" s="1">
        <v>45110</v>
      </c>
      <c r="B78">
        <v>24.519577026367099</v>
      </c>
      <c r="C78">
        <v>262.5</v>
      </c>
      <c r="D78">
        <v>1886.46557617187</v>
      </c>
      <c r="E78">
        <v>2.9800000190734801</v>
      </c>
    </row>
    <row r="79" spans="1:5" x14ac:dyDescent="0.2">
      <c r="A79" s="1">
        <v>45111</v>
      </c>
      <c r="B79">
        <v>24.764583587646399</v>
      </c>
      <c r="C79">
        <v>270.48001098632801</v>
      </c>
      <c r="D79">
        <v>1886.48559570312</v>
      </c>
      <c r="E79">
        <v>2.8900001049041699</v>
      </c>
    </row>
    <row r="80" spans="1:5" x14ac:dyDescent="0.2">
      <c r="A80" s="1">
        <v>45112</v>
      </c>
      <c r="B80">
        <v>25.367677688598601</v>
      </c>
      <c r="C80">
        <v>265.19000244140602</v>
      </c>
      <c r="D80">
        <v>1815.12268066406</v>
      </c>
      <c r="E80">
        <v>2.9800000190734801</v>
      </c>
    </row>
    <row r="81" spans="1:5" x14ac:dyDescent="0.2">
      <c r="A81" s="1">
        <v>45113</v>
      </c>
      <c r="B81">
        <v>25.113246917724599</v>
      </c>
      <c r="C81">
        <v>263.989990234375</v>
      </c>
      <c r="D81">
        <v>1806.26831054687</v>
      </c>
      <c r="E81">
        <v>2.95000004768371</v>
      </c>
    </row>
    <row r="82" spans="1:5" x14ac:dyDescent="0.2">
      <c r="A82" s="1">
        <v>45114</v>
      </c>
      <c r="B82">
        <v>26.375978469848601</v>
      </c>
      <c r="C82">
        <v>267</v>
      </c>
      <c r="D82">
        <v>1787.81201171875</v>
      </c>
      <c r="E82">
        <v>2.95000004768371</v>
      </c>
    </row>
    <row r="83" spans="1:5" x14ac:dyDescent="0.2">
      <c r="A83" s="1">
        <v>45117</v>
      </c>
      <c r="B83">
        <v>25.885961532592699</v>
      </c>
      <c r="C83">
        <v>288.100006103515</v>
      </c>
      <c r="D83">
        <v>1794.82165527343</v>
      </c>
      <c r="E83">
        <v>2.95000004768371</v>
      </c>
    </row>
    <row r="84" spans="1:5" x14ac:dyDescent="0.2">
      <c r="A84" s="1">
        <v>45118</v>
      </c>
      <c r="B84">
        <v>25.961349487304599</v>
      </c>
      <c r="C84">
        <v>296.27999877929602</v>
      </c>
      <c r="D84">
        <v>1831.88403320312</v>
      </c>
      <c r="E84">
        <v>2.95000004768371</v>
      </c>
    </row>
    <row r="85" spans="1:5" x14ac:dyDescent="0.2">
      <c r="A85" s="1">
        <v>45119</v>
      </c>
      <c r="B85">
        <v>26.140392303466701</v>
      </c>
      <c r="C85">
        <v>284.95001220703102</v>
      </c>
      <c r="D85">
        <v>1814.66394042968</v>
      </c>
      <c r="E85">
        <v>2.95000004768371</v>
      </c>
    </row>
    <row r="86" spans="1:5" x14ac:dyDescent="0.2">
      <c r="A86" s="1">
        <v>45120</v>
      </c>
      <c r="B86">
        <v>25.7823066711425</v>
      </c>
      <c r="C86">
        <v>324.829986572265</v>
      </c>
      <c r="D86">
        <v>1814.73388671875</v>
      </c>
      <c r="E86">
        <v>3</v>
      </c>
    </row>
    <row r="87" spans="1:5" x14ac:dyDescent="0.2">
      <c r="A87" s="1">
        <v>45121</v>
      </c>
      <c r="B87">
        <v>25.113246917724599</v>
      </c>
      <c r="C87">
        <v>304</v>
      </c>
      <c r="D87">
        <v>1805.759765625</v>
      </c>
      <c r="E87">
        <v>3</v>
      </c>
    </row>
    <row r="88" spans="1:5" x14ac:dyDescent="0.2">
      <c r="A88" s="1">
        <v>45124</v>
      </c>
      <c r="B88">
        <v>25.169786453246999</v>
      </c>
      <c r="C88">
        <v>289.52999877929602</v>
      </c>
      <c r="D88">
        <v>1815.73095703125</v>
      </c>
      <c r="E88">
        <v>3</v>
      </c>
    </row>
    <row r="89" spans="1:5" x14ac:dyDescent="0.2">
      <c r="A89" s="1">
        <v>45125</v>
      </c>
      <c r="B89">
        <v>25.160364151000898</v>
      </c>
      <c r="C89">
        <v>281.760009765625</v>
      </c>
      <c r="D89">
        <v>1830.96655273437</v>
      </c>
      <c r="E89">
        <v>3</v>
      </c>
    </row>
    <row r="90" spans="1:5" x14ac:dyDescent="0.2">
      <c r="A90" s="1">
        <v>45126</v>
      </c>
      <c r="B90">
        <v>25.160364151000898</v>
      </c>
      <c r="C90">
        <v>295.75</v>
      </c>
      <c r="D90">
        <v>1837.138671875</v>
      </c>
      <c r="E90">
        <v>3</v>
      </c>
    </row>
    <row r="91" spans="1:5" x14ac:dyDescent="0.2">
      <c r="A91" s="1">
        <v>45127</v>
      </c>
      <c r="B91">
        <v>24.755159378051701</v>
      </c>
      <c r="C91">
        <v>286.07000732421801</v>
      </c>
      <c r="D91">
        <v>1811.52331542968</v>
      </c>
      <c r="E91">
        <v>3</v>
      </c>
    </row>
    <row r="92" spans="1:5" x14ac:dyDescent="0.2">
      <c r="A92" s="1">
        <v>45128</v>
      </c>
      <c r="B92">
        <v>24.6420783996582</v>
      </c>
      <c r="C92">
        <v>287.10998535156199</v>
      </c>
      <c r="D92">
        <v>1837.38781738281</v>
      </c>
      <c r="E92">
        <v>2.9900000095367401</v>
      </c>
    </row>
    <row r="93" spans="1:5" x14ac:dyDescent="0.2">
      <c r="A93" s="1">
        <v>45131</v>
      </c>
      <c r="B93">
        <v>24.500728607177699</v>
      </c>
      <c r="C93">
        <v>275.010009765625</v>
      </c>
      <c r="D93">
        <v>1842.65283203125</v>
      </c>
      <c r="E93">
        <v>2.9900000095367401</v>
      </c>
    </row>
    <row r="94" spans="1:5" x14ac:dyDescent="0.2">
      <c r="A94" s="1">
        <v>45132</v>
      </c>
      <c r="B94">
        <v>24.566692352294901</v>
      </c>
      <c r="C94">
        <v>274.91000366210898</v>
      </c>
      <c r="D94">
        <v>1829.3212890625</v>
      </c>
      <c r="E94">
        <v>2.9900000095367401</v>
      </c>
    </row>
    <row r="95" spans="1:5" x14ac:dyDescent="0.2">
      <c r="A95" s="1">
        <v>45133</v>
      </c>
      <c r="B95">
        <v>24.5289993286132</v>
      </c>
      <c r="C95">
        <v>283</v>
      </c>
      <c r="D95">
        <v>1836.67004394531</v>
      </c>
      <c r="E95">
        <v>2.9900000095367401</v>
      </c>
    </row>
    <row r="96" spans="1:5" x14ac:dyDescent="0.2">
      <c r="A96" s="1">
        <v>45134</v>
      </c>
      <c r="B96">
        <v>24.331106185913001</v>
      </c>
      <c r="C96">
        <v>269.5</v>
      </c>
      <c r="D96">
        <v>1813.73669433593</v>
      </c>
      <c r="E96">
        <v>2.9900000095367401</v>
      </c>
    </row>
    <row r="97" spans="1:5" x14ac:dyDescent="0.2">
      <c r="A97" s="1">
        <v>45135</v>
      </c>
      <c r="B97">
        <v>24.915357589721602</v>
      </c>
      <c r="C97">
        <v>279.48001098632801</v>
      </c>
      <c r="D97">
        <v>1802.77844238281</v>
      </c>
      <c r="E97">
        <v>3.0499999523162802</v>
      </c>
    </row>
    <row r="98" spans="1:5" x14ac:dyDescent="0.2">
      <c r="A98" s="1">
        <v>45138</v>
      </c>
      <c r="B98">
        <v>25.1792087554931</v>
      </c>
      <c r="C98">
        <v>290.91000366210898</v>
      </c>
      <c r="D98">
        <v>1842.15417480468</v>
      </c>
      <c r="E98">
        <v>3.0499999523162802</v>
      </c>
    </row>
    <row r="99" spans="1:5" x14ac:dyDescent="0.2">
      <c r="A99" s="1">
        <v>45139</v>
      </c>
      <c r="B99">
        <v>24.8022747039794</v>
      </c>
      <c r="C99">
        <v>284.27999877929602</v>
      </c>
      <c r="D99">
        <v>1842.65283203125</v>
      </c>
      <c r="E99">
        <v>3.0499999523162802</v>
      </c>
    </row>
    <row r="100" spans="1:5" x14ac:dyDescent="0.2">
      <c r="A100" s="1">
        <v>45140</v>
      </c>
      <c r="B100">
        <v>23.662050247192301</v>
      </c>
      <c r="C100">
        <v>280.54000854492102</v>
      </c>
      <c r="D100">
        <v>1834.67602539062</v>
      </c>
      <c r="E100">
        <v>3.0499999523162802</v>
      </c>
    </row>
    <row r="101" spans="1:5" x14ac:dyDescent="0.2">
      <c r="A101" s="1">
        <v>45141</v>
      </c>
      <c r="B101">
        <v>23.709165573120099</v>
      </c>
      <c r="C101">
        <v>287.010009765625</v>
      </c>
      <c r="D101">
        <v>1865.10754394531</v>
      </c>
      <c r="E101">
        <v>3.0499999523162802</v>
      </c>
    </row>
    <row r="102" spans="1:5" x14ac:dyDescent="0.2">
      <c r="A102" s="1">
        <v>45142</v>
      </c>
      <c r="B102">
        <v>24.5855407714843</v>
      </c>
      <c r="C102">
        <v>271.45001220703102</v>
      </c>
      <c r="D102">
        <v>1864.58923339843</v>
      </c>
      <c r="E102">
        <v>3</v>
      </c>
    </row>
    <row r="103" spans="1:5" x14ac:dyDescent="0.2">
      <c r="A103" s="1">
        <v>45145</v>
      </c>
      <c r="B103">
        <v>25.0190124511718</v>
      </c>
      <c r="C103">
        <v>254.61999511718699</v>
      </c>
      <c r="D103">
        <v>1873.56311035156</v>
      </c>
      <c r="E103">
        <v>3</v>
      </c>
    </row>
    <row r="104" spans="1:5" x14ac:dyDescent="0.2">
      <c r="A104" s="1">
        <v>45146</v>
      </c>
      <c r="B104">
        <v>24.425340652465799</v>
      </c>
      <c r="C104">
        <v>269.760009765625</v>
      </c>
      <c r="D104">
        <v>1859.60363769531</v>
      </c>
      <c r="E104">
        <v>3.0899999141693102</v>
      </c>
    </row>
    <row r="105" spans="1:5" x14ac:dyDescent="0.2">
      <c r="A105" s="1">
        <v>45147</v>
      </c>
      <c r="B105">
        <v>23.991867065429599</v>
      </c>
      <c r="C105">
        <v>266.100006103515</v>
      </c>
      <c r="D105">
        <v>1854.63793945312</v>
      </c>
      <c r="E105">
        <v>3.0999999046325599</v>
      </c>
    </row>
    <row r="106" spans="1:5" x14ac:dyDescent="0.2">
      <c r="A106" s="1">
        <v>45148</v>
      </c>
      <c r="B106">
        <v>23.690319061279201</v>
      </c>
      <c r="C106">
        <v>245.69999694824199</v>
      </c>
      <c r="D106">
        <v>1834.78552246093</v>
      </c>
      <c r="E106">
        <v>3.0999999046325599</v>
      </c>
    </row>
    <row r="107" spans="1:5" x14ac:dyDescent="0.2">
      <c r="A107" s="1">
        <v>45149</v>
      </c>
      <c r="B107">
        <v>23.464159011840799</v>
      </c>
      <c r="C107">
        <v>248.100006103515</v>
      </c>
      <c r="D107">
        <v>1834.67602539062</v>
      </c>
      <c r="E107">
        <v>3</v>
      </c>
    </row>
    <row r="108" spans="1:5" x14ac:dyDescent="0.2">
      <c r="A108" s="1">
        <v>45152</v>
      </c>
      <c r="B108">
        <v>23.9259033203125</v>
      </c>
      <c r="C108">
        <v>252.64999389648401</v>
      </c>
      <c r="D108">
        <v>1824.73474121093</v>
      </c>
      <c r="E108">
        <v>2.9000000953674299</v>
      </c>
    </row>
    <row r="109" spans="1:5" x14ac:dyDescent="0.2">
      <c r="A109" s="1">
        <v>45153</v>
      </c>
      <c r="B109">
        <v>23.643203735351499</v>
      </c>
      <c r="C109">
        <v>240.07000732421801</v>
      </c>
      <c r="D109">
        <v>1814.73388671875</v>
      </c>
      <c r="E109">
        <v>2.9700000286102202</v>
      </c>
    </row>
    <row r="110" spans="1:5" x14ac:dyDescent="0.2">
      <c r="A110" s="1">
        <v>45154</v>
      </c>
      <c r="B110">
        <v>23.454734802246001</v>
      </c>
      <c r="C110">
        <v>232.11999511718699</v>
      </c>
      <c r="D110">
        <v>1806.806640625</v>
      </c>
      <c r="E110">
        <v>3</v>
      </c>
    </row>
    <row r="111" spans="1:5" x14ac:dyDescent="0.2">
      <c r="A111" s="1">
        <v>45155</v>
      </c>
      <c r="B111">
        <v>23.294538497924801</v>
      </c>
      <c r="C111">
        <v>210.419998168945</v>
      </c>
      <c r="D111">
        <v>1824.68505859375</v>
      </c>
      <c r="E111">
        <v>3</v>
      </c>
    </row>
    <row r="112" spans="1:5" x14ac:dyDescent="0.2">
      <c r="A112" s="1">
        <v>45156</v>
      </c>
      <c r="B112">
        <v>23.483005523681602</v>
      </c>
      <c r="C112">
        <v>192</v>
      </c>
      <c r="D112">
        <v>1779.46594238281</v>
      </c>
      <c r="E112">
        <v>3</v>
      </c>
    </row>
    <row r="113" spans="1:5" x14ac:dyDescent="0.2">
      <c r="A113" s="1">
        <v>45159</v>
      </c>
      <c r="B113">
        <v>23.0777988433837</v>
      </c>
      <c r="C113">
        <v>188</v>
      </c>
      <c r="D113">
        <v>1746.611328125</v>
      </c>
      <c r="E113">
        <v>2.9700000286102202</v>
      </c>
    </row>
    <row r="114" spans="1:5" x14ac:dyDescent="0.2">
      <c r="A114" s="1">
        <v>45160</v>
      </c>
      <c r="B114">
        <v>22.691444396972599</v>
      </c>
      <c r="C114">
        <v>185.850006103515</v>
      </c>
      <c r="D114">
        <v>1710.53625488281</v>
      </c>
      <c r="E114">
        <v>2.9400000572204501</v>
      </c>
    </row>
    <row r="115" spans="1:5" x14ac:dyDescent="0.2">
      <c r="A115" s="1">
        <v>45161</v>
      </c>
      <c r="B115">
        <v>23.897634506225501</v>
      </c>
      <c r="C115">
        <v>198.61000061035099</v>
      </c>
      <c r="D115">
        <v>1665.93530273437</v>
      </c>
      <c r="E115">
        <v>2.9400000572204501</v>
      </c>
    </row>
    <row r="116" spans="1:5" x14ac:dyDescent="0.2">
      <c r="A116" s="1">
        <v>45162</v>
      </c>
      <c r="B116">
        <v>22.729139328002901</v>
      </c>
      <c r="C116">
        <v>176.5</v>
      </c>
      <c r="D116">
        <v>1636.66064453125</v>
      </c>
      <c r="E116">
        <v>2.9800000190734801</v>
      </c>
    </row>
    <row r="117" spans="1:5" x14ac:dyDescent="0.2">
      <c r="A117" s="1">
        <v>45163</v>
      </c>
      <c r="B117">
        <v>22.314510345458899</v>
      </c>
      <c r="C117">
        <v>177.03999328613199</v>
      </c>
      <c r="D117">
        <v>1650.31115722656</v>
      </c>
      <c r="E117">
        <v>2.9800000190734801</v>
      </c>
    </row>
    <row r="118" spans="1:5" x14ac:dyDescent="0.2">
      <c r="A118" s="1">
        <v>45166</v>
      </c>
      <c r="B118">
        <v>23.322811126708899</v>
      </c>
      <c r="C118">
        <v>177.009994506835</v>
      </c>
      <c r="D118">
        <v>1679.11730957031</v>
      </c>
      <c r="E118">
        <v>2.9800000190734801</v>
      </c>
    </row>
    <row r="119" spans="1:5" x14ac:dyDescent="0.2">
      <c r="A119" s="1">
        <v>45167</v>
      </c>
      <c r="B119">
        <v>23.935327529907202</v>
      </c>
      <c r="C119">
        <v>229.99000549316401</v>
      </c>
      <c r="D119">
        <v>1711.70275878906</v>
      </c>
      <c r="E119">
        <v>2.9700000286102202</v>
      </c>
    </row>
    <row r="120" spans="1:5" x14ac:dyDescent="0.2">
      <c r="A120" s="1">
        <v>45168</v>
      </c>
      <c r="B120">
        <v>24.020135879516602</v>
      </c>
      <c r="C120">
        <v>226</v>
      </c>
      <c r="D120">
        <v>1706.04931640625</v>
      </c>
      <c r="E120">
        <v>3</v>
      </c>
    </row>
    <row r="121" spans="1:5" x14ac:dyDescent="0.2">
      <c r="A121" s="1">
        <v>45169</v>
      </c>
      <c r="B121">
        <v>23.8128242492675</v>
      </c>
      <c r="C121">
        <v>213.83999633789</v>
      </c>
      <c r="D121">
        <v>1724.994140625</v>
      </c>
      <c r="E121">
        <v>2.8900001049041699</v>
      </c>
    </row>
    <row r="122" spans="1:5" x14ac:dyDescent="0.2">
      <c r="A122" s="1">
        <v>45170</v>
      </c>
      <c r="B122">
        <v>23.907056808471602</v>
      </c>
      <c r="C122">
        <v>205</v>
      </c>
      <c r="D122">
        <v>1740.82141113281</v>
      </c>
      <c r="E122">
        <v>2.8499999046325599</v>
      </c>
    </row>
    <row r="123" spans="1:5" x14ac:dyDescent="0.2">
      <c r="A123" s="1">
        <v>45173</v>
      </c>
      <c r="B123">
        <v>23.935327529907202</v>
      </c>
      <c r="C123">
        <v>215.19999694824199</v>
      </c>
      <c r="D123">
        <v>1725.73217773437</v>
      </c>
      <c r="E123">
        <v>2.8499999046325599</v>
      </c>
    </row>
    <row r="124" spans="1:5" x14ac:dyDescent="0.2">
      <c r="A124" s="1">
        <v>45174</v>
      </c>
      <c r="B124">
        <v>24.274570465087798</v>
      </c>
      <c r="C124">
        <v>209.78999328613199</v>
      </c>
      <c r="D124">
        <v>1736.83251953125</v>
      </c>
      <c r="E124">
        <v>2.8499999046325599</v>
      </c>
    </row>
    <row r="125" spans="1:5" x14ac:dyDescent="0.2">
      <c r="A125" s="1">
        <v>45175</v>
      </c>
      <c r="B125">
        <v>24.3216838836669</v>
      </c>
      <c r="C125">
        <v>213.63999938964801</v>
      </c>
      <c r="D125">
        <v>1736.33361816406</v>
      </c>
      <c r="E125">
        <v>2.7999999523162802</v>
      </c>
    </row>
    <row r="126" spans="1:5" x14ac:dyDescent="0.2">
      <c r="A126" s="1">
        <v>45176</v>
      </c>
      <c r="B126">
        <v>24.095523834228501</v>
      </c>
      <c r="C126">
        <v>217.69999694824199</v>
      </c>
      <c r="D126">
        <v>1720.95520019531</v>
      </c>
      <c r="E126">
        <v>2.92000007629394</v>
      </c>
    </row>
    <row r="127" spans="1:5" x14ac:dyDescent="0.2">
      <c r="A127" s="1">
        <v>45177</v>
      </c>
      <c r="B127">
        <v>24.708042144775298</v>
      </c>
      <c r="C127">
        <v>191.21000671386699</v>
      </c>
      <c r="D127">
        <v>1716.357421875</v>
      </c>
      <c r="E127">
        <v>2.9400000572204501</v>
      </c>
    </row>
    <row r="128" spans="1:5" x14ac:dyDescent="0.2">
      <c r="A128" s="1">
        <v>45180</v>
      </c>
      <c r="B128">
        <v>25.0661296844482</v>
      </c>
      <c r="C128">
        <v>173.91000366210901</v>
      </c>
      <c r="D128">
        <v>1666.15344238281</v>
      </c>
      <c r="E128">
        <v>2.9400000572204501</v>
      </c>
    </row>
    <row r="129" spans="1:5" x14ac:dyDescent="0.2">
      <c r="A129" s="1">
        <v>45181</v>
      </c>
      <c r="B129">
        <v>24.8022747039794</v>
      </c>
      <c r="C129">
        <v>175</v>
      </c>
      <c r="D129">
        <v>1653.24829101562</v>
      </c>
      <c r="E129">
        <v>2.7999999523162802</v>
      </c>
    </row>
    <row r="130" spans="1:5" x14ac:dyDescent="0.2">
      <c r="A130" s="1">
        <v>45182</v>
      </c>
      <c r="B130">
        <v>24.0484085083007</v>
      </c>
      <c r="C130">
        <v>172</v>
      </c>
      <c r="D130">
        <v>1684.513671875</v>
      </c>
      <c r="E130">
        <v>2.7999999523162802</v>
      </c>
    </row>
    <row r="131" spans="1:5" x14ac:dyDescent="0.2">
      <c r="A131" s="1">
        <v>45183</v>
      </c>
      <c r="B131">
        <v>24.783430099487301</v>
      </c>
      <c r="C131">
        <v>172.03999328613199</v>
      </c>
      <c r="D131">
        <v>1662.55334472656</v>
      </c>
      <c r="E131">
        <v>2.7999999523162802</v>
      </c>
    </row>
    <row r="132" spans="1:5" x14ac:dyDescent="0.2">
      <c r="A132" s="1">
        <v>45184</v>
      </c>
      <c r="B132">
        <v>24.227449417114201</v>
      </c>
      <c r="C132">
        <v>167</v>
      </c>
      <c r="D132">
        <v>1637.470703125</v>
      </c>
      <c r="E132">
        <v>2.70000004768371</v>
      </c>
    </row>
    <row r="133" spans="1:5" x14ac:dyDescent="0.2">
      <c r="A133" s="1">
        <v>45187</v>
      </c>
      <c r="B133">
        <v>24.0012893676757</v>
      </c>
      <c r="C133">
        <v>167</v>
      </c>
      <c r="D133">
        <v>1633.22216796875</v>
      </c>
      <c r="E133">
        <v>2.6900000572204501</v>
      </c>
    </row>
    <row r="134" spans="1:5" x14ac:dyDescent="0.2">
      <c r="A134" s="1">
        <v>45188</v>
      </c>
      <c r="B134">
        <v>24.170911788940401</v>
      </c>
      <c r="C134">
        <v>164.47000122070301</v>
      </c>
      <c r="D134">
        <v>1610.74304199218</v>
      </c>
      <c r="E134">
        <v>2.5999999046325599</v>
      </c>
    </row>
    <row r="135" spans="1:5" x14ac:dyDescent="0.2">
      <c r="A135" s="1">
        <v>45189</v>
      </c>
      <c r="B135">
        <v>23.728013992309499</v>
      </c>
      <c r="C135">
        <v>159.07000732421801</v>
      </c>
      <c r="D135">
        <v>1601.8173828125</v>
      </c>
      <c r="E135">
        <v>2.5</v>
      </c>
    </row>
    <row r="136" spans="1:5" x14ac:dyDescent="0.2">
      <c r="A136" s="1">
        <v>45190</v>
      </c>
      <c r="B136">
        <v>23.850515365600501</v>
      </c>
      <c r="C136">
        <v>160</v>
      </c>
      <c r="D136">
        <v>1576.72497558593</v>
      </c>
      <c r="E136">
        <v>2.4700000286102202</v>
      </c>
    </row>
    <row r="137" spans="1:5" x14ac:dyDescent="0.2">
      <c r="A137" s="1">
        <v>45191</v>
      </c>
      <c r="B137">
        <v>24.029558181762599</v>
      </c>
      <c r="C137">
        <v>149.61999511718699</v>
      </c>
      <c r="D137">
        <v>1556.30029296875</v>
      </c>
      <c r="E137">
        <v>2.4000000953674299</v>
      </c>
    </row>
    <row r="138" spans="1:5" x14ac:dyDescent="0.2">
      <c r="A138" s="1">
        <v>45194</v>
      </c>
      <c r="B138">
        <v>23.784551620483398</v>
      </c>
      <c r="C138">
        <v>149.5</v>
      </c>
      <c r="D138">
        <v>1607.04333496093</v>
      </c>
      <c r="E138">
        <v>2.4000000953674299</v>
      </c>
    </row>
    <row r="139" spans="1:5" x14ac:dyDescent="0.2">
      <c r="A139" s="1">
        <v>45195</v>
      </c>
      <c r="B139">
        <v>24.227449417114201</v>
      </c>
      <c r="C139">
        <v>144.89999389648401</v>
      </c>
      <c r="D139">
        <v>1579.72717285156</v>
      </c>
      <c r="E139">
        <v>2.25</v>
      </c>
    </row>
    <row r="140" spans="1:5" x14ac:dyDescent="0.2">
      <c r="A140" s="1">
        <v>45196</v>
      </c>
      <c r="B140">
        <v>23.756282806396399</v>
      </c>
      <c r="C140">
        <v>142.55999755859301</v>
      </c>
      <c r="D140">
        <v>1575.73779296875</v>
      </c>
      <c r="E140">
        <v>2.0499999523162802</v>
      </c>
    </row>
    <row r="141" spans="1:5" x14ac:dyDescent="0.2">
      <c r="A141" s="1">
        <v>45197</v>
      </c>
      <c r="B141">
        <v>23.822246551513601</v>
      </c>
      <c r="C141">
        <v>152</v>
      </c>
      <c r="D141">
        <v>1574.251953125</v>
      </c>
      <c r="E141">
        <v>1.95000004768371</v>
      </c>
    </row>
    <row r="142" spans="1:5" x14ac:dyDescent="0.2">
      <c r="A142" s="1">
        <v>45198</v>
      </c>
      <c r="B142">
        <v>23.652626037597599</v>
      </c>
      <c r="C142">
        <v>147</v>
      </c>
      <c r="D142">
        <v>1665.49499511718</v>
      </c>
      <c r="E142">
        <v>1.9700000286102199</v>
      </c>
    </row>
    <row r="143" spans="1:5" x14ac:dyDescent="0.2">
      <c r="A143" s="1">
        <v>45201</v>
      </c>
      <c r="B143">
        <v>24.133216857910099</v>
      </c>
      <c r="C143">
        <v>151.05999755859301</v>
      </c>
      <c r="D143">
        <v>1666.12341308593</v>
      </c>
      <c r="E143">
        <v>1.95000004768371</v>
      </c>
    </row>
    <row r="144" spans="1:5" x14ac:dyDescent="0.2">
      <c r="A144" s="1">
        <v>45202</v>
      </c>
      <c r="B144">
        <v>23.643203735351499</v>
      </c>
      <c r="C144">
        <v>130.66000366210901</v>
      </c>
      <c r="D144">
        <v>1700.45056152343</v>
      </c>
      <c r="E144">
        <v>1.95000004768371</v>
      </c>
    </row>
    <row r="145" spans="1:5" x14ac:dyDescent="0.2">
      <c r="A145" s="1">
        <v>45203</v>
      </c>
      <c r="B145">
        <v>23.011837005615199</v>
      </c>
      <c r="C145">
        <v>135.169998168945</v>
      </c>
      <c r="D145">
        <v>1723.04956054687</v>
      </c>
      <c r="E145">
        <v>1.87999999523162</v>
      </c>
    </row>
    <row r="146" spans="1:5" x14ac:dyDescent="0.2">
      <c r="A146" s="1">
        <v>45204</v>
      </c>
      <c r="B146">
        <v>23.633781433105401</v>
      </c>
      <c r="C146">
        <v>136.16000366210901</v>
      </c>
      <c r="D146">
        <v>1733.34155273437</v>
      </c>
      <c r="E146">
        <v>1.7699999809265099</v>
      </c>
    </row>
    <row r="147" spans="1:5" x14ac:dyDescent="0.2">
      <c r="A147" s="1">
        <v>45205</v>
      </c>
      <c r="B147">
        <v>24.283992767333899</v>
      </c>
      <c r="C147">
        <v>144.27999877929599</v>
      </c>
      <c r="D147">
        <v>1763.23083496093</v>
      </c>
      <c r="E147">
        <v>1.6900000572204501</v>
      </c>
    </row>
    <row r="148" spans="1:5" x14ac:dyDescent="0.2">
      <c r="A148" s="1">
        <v>45208</v>
      </c>
      <c r="B148">
        <v>23.963596343994102</v>
      </c>
      <c r="C148">
        <v>152.02999877929599</v>
      </c>
      <c r="D148">
        <v>1760.23889160156</v>
      </c>
      <c r="E148">
        <v>1.7300000190734801</v>
      </c>
    </row>
    <row r="149" spans="1:5" x14ac:dyDescent="0.2">
      <c r="A149" s="1">
        <v>45209</v>
      </c>
      <c r="B149">
        <v>25.254596710205</v>
      </c>
      <c r="C149">
        <v>153.759994506835</v>
      </c>
      <c r="D149">
        <v>1745.39880371093</v>
      </c>
      <c r="E149">
        <v>1.8400000333786</v>
      </c>
    </row>
    <row r="150" spans="1:5" x14ac:dyDescent="0.2">
      <c r="A150" s="1">
        <v>45210</v>
      </c>
      <c r="B150">
        <v>26.602138519287099</v>
      </c>
      <c r="C150">
        <v>141.42999267578099</v>
      </c>
      <c r="D150">
        <v>1748.27124023437</v>
      </c>
      <c r="E150">
        <v>1.87999999523162</v>
      </c>
    </row>
    <row r="151" spans="1:5" x14ac:dyDescent="0.2">
      <c r="A151" s="1">
        <v>45211</v>
      </c>
      <c r="B151">
        <v>23.907056808471602</v>
      </c>
      <c r="C151">
        <v>140</v>
      </c>
      <c r="D151">
        <v>1779.18762207031</v>
      </c>
      <c r="E151">
        <v>2</v>
      </c>
    </row>
    <row r="152" spans="1:5" x14ac:dyDescent="0.2">
      <c r="A152" s="1">
        <v>45212</v>
      </c>
      <c r="B152">
        <v>23.728013992309499</v>
      </c>
      <c r="C152">
        <v>139.02000427246</v>
      </c>
      <c r="D152">
        <v>1802.25524902343</v>
      </c>
      <c r="E152">
        <v>2.0499999523162802</v>
      </c>
    </row>
    <row r="153" spans="1:5" x14ac:dyDescent="0.2">
      <c r="A153" s="1">
        <v>45215</v>
      </c>
      <c r="B153">
        <v>24.0484085083007</v>
      </c>
      <c r="C153">
        <v>145.30000305175699</v>
      </c>
      <c r="D153">
        <v>1825.08337402343</v>
      </c>
      <c r="E153">
        <v>2.0999999046325599</v>
      </c>
    </row>
    <row r="154" spans="1:5" x14ac:dyDescent="0.2">
      <c r="A154" s="1">
        <v>45216</v>
      </c>
      <c r="B154">
        <v>23.746862411498999</v>
      </c>
      <c r="C154">
        <v>151.69000244140599</v>
      </c>
      <c r="D154">
        <v>1835.04650878906</v>
      </c>
      <c r="E154">
        <v>2.0999999046325599</v>
      </c>
    </row>
    <row r="155" spans="1:5" x14ac:dyDescent="0.2">
      <c r="A155" s="1">
        <v>45217</v>
      </c>
      <c r="B155">
        <v>23.2003078460693</v>
      </c>
      <c r="C155">
        <v>140.47000122070301</v>
      </c>
      <c r="D155">
        <v>1894.81494140625</v>
      </c>
      <c r="E155">
        <v>2.0499999523162802</v>
      </c>
    </row>
    <row r="156" spans="1:5" x14ac:dyDescent="0.2">
      <c r="A156" s="1">
        <v>45218</v>
      </c>
      <c r="B156">
        <v>23.266269683837798</v>
      </c>
      <c r="C156">
        <v>140.19999694824199</v>
      </c>
      <c r="D156">
        <v>1880.11462402343</v>
      </c>
      <c r="E156">
        <v>2.0999999046325599</v>
      </c>
    </row>
    <row r="157" spans="1:5" x14ac:dyDescent="0.2">
      <c r="A157" s="1">
        <v>45219</v>
      </c>
      <c r="B157">
        <v>22.8799114227294</v>
      </c>
      <c r="C157">
        <v>141</v>
      </c>
      <c r="D157">
        <v>1859.98901367187</v>
      </c>
      <c r="E157">
        <v>2.0799999237060498</v>
      </c>
    </row>
    <row r="158" spans="1:5" x14ac:dyDescent="0.2">
      <c r="A158" s="1">
        <v>45222</v>
      </c>
      <c r="B158">
        <v>23.0401096343994</v>
      </c>
      <c r="C158">
        <v>159.44999694824199</v>
      </c>
      <c r="D158">
        <v>1855.03247070312</v>
      </c>
      <c r="E158">
        <v>2.0799999237060498</v>
      </c>
    </row>
    <row r="159" spans="1:5" x14ac:dyDescent="0.2">
      <c r="A159" s="1">
        <v>45223</v>
      </c>
      <c r="B159">
        <v>22.719713211059499</v>
      </c>
      <c r="C159">
        <v>178.55999755859301</v>
      </c>
      <c r="D159">
        <v>1914.521484375</v>
      </c>
      <c r="E159">
        <v>2.0999999046325599</v>
      </c>
    </row>
    <row r="160" spans="1:5" x14ac:dyDescent="0.2">
      <c r="A160" s="1">
        <v>45224</v>
      </c>
      <c r="B160">
        <v>22.729139328002901</v>
      </c>
      <c r="C160">
        <v>173.80000305175699</v>
      </c>
      <c r="D160">
        <v>1895.05432128906</v>
      </c>
      <c r="E160">
        <v>2.0999999046325599</v>
      </c>
    </row>
    <row r="161" spans="1:5" x14ac:dyDescent="0.2">
      <c r="A161" s="1">
        <v>45225</v>
      </c>
      <c r="B161">
        <v>23.247421264648398</v>
      </c>
      <c r="C161">
        <v>162.22999572753901</v>
      </c>
      <c r="D161">
        <v>1821.07446289062</v>
      </c>
      <c r="E161">
        <v>2.0599999427795401</v>
      </c>
    </row>
    <row r="162" spans="1:5" x14ac:dyDescent="0.2">
      <c r="A162" s="1">
        <v>45226</v>
      </c>
      <c r="B162">
        <v>22.945873260498001</v>
      </c>
      <c r="C162">
        <v>164.30999755859301</v>
      </c>
      <c r="D162">
        <v>1807.09204101562</v>
      </c>
      <c r="E162">
        <v>2</v>
      </c>
    </row>
    <row r="163" spans="1:5" x14ac:dyDescent="0.2">
      <c r="A163" s="1">
        <v>45229</v>
      </c>
      <c r="B163">
        <v>22.992992401123001</v>
      </c>
      <c r="C163">
        <v>160.13999938964801</v>
      </c>
      <c r="D163">
        <v>1832.04467773437</v>
      </c>
      <c r="E163">
        <v>2</v>
      </c>
    </row>
    <row r="164" spans="1:5" x14ac:dyDescent="0.2">
      <c r="A164" s="1">
        <v>45230</v>
      </c>
      <c r="B164">
        <v>22.870487213134702</v>
      </c>
      <c r="C164">
        <v>157.33000183105401</v>
      </c>
      <c r="D164">
        <v>1839.01574707031</v>
      </c>
      <c r="E164">
        <v>2</v>
      </c>
    </row>
    <row r="165" spans="1:5" x14ac:dyDescent="0.2">
      <c r="A165" s="1">
        <v>45231</v>
      </c>
      <c r="B165">
        <v>23.464159011840799</v>
      </c>
      <c r="C165">
        <v>157.509994506835</v>
      </c>
      <c r="D165">
        <v>1786.3681640625</v>
      </c>
      <c r="E165">
        <v>1.9900000095367401</v>
      </c>
    </row>
    <row r="166" spans="1:5" x14ac:dyDescent="0.2">
      <c r="A166" s="1">
        <v>45233</v>
      </c>
      <c r="B166">
        <v>24.745735168456999</v>
      </c>
      <c r="C166">
        <v>165.14999389648401</v>
      </c>
      <c r="D166">
        <v>1867.84790039062</v>
      </c>
      <c r="E166">
        <v>2</v>
      </c>
    </row>
    <row r="167" spans="1:5" x14ac:dyDescent="0.2">
      <c r="A167" s="1">
        <v>45236</v>
      </c>
      <c r="B167">
        <v>25.5373001098632</v>
      </c>
      <c r="C167">
        <v>162.5</v>
      </c>
      <c r="D167">
        <v>1864.95568847656</v>
      </c>
      <c r="E167">
        <v>2</v>
      </c>
    </row>
    <row r="168" spans="1:5" x14ac:dyDescent="0.2">
      <c r="A168" s="1">
        <v>45237</v>
      </c>
      <c r="B168">
        <v>24.5101509094238</v>
      </c>
      <c r="C168">
        <v>161</v>
      </c>
      <c r="D168">
        <v>1907.669921875</v>
      </c>
      <c r="E168">
        <v>2.0399999618530198</v>
      </c>
    </row>
    <row r="169" spans="1:5" x14ac:dyDescent="0.2">
      <c r="A169" s="1">
        <v>45238</v>
      </c>
      <c r="B169">
        <v>24.868236541748001</v>
      </c>
      <c r="C169">
        <v>149.52000427246</v>
      </c>
      <c r="D169">
        <v>1912.63659667968</v>
      </c>
      <c r="E169">
        <v>2.0499999523162802</v>
      </c>
    </row>
    <row r="170" spans="1:5" x14ac:dyDescent="0.2">
      <c r="A170" s="1">
        <v>45239</v>
      </c>
      <c r="B170">
        <v>24.868236541748001</v>
      </c>
      <c r="C170">
        <v>166.02000427246</v>
      </c>
      <c r="D170">
        <v>1900.85852050781</v>
      </c>
      <c r="E170">
        <v>2.0999999046325599</v>
      </c>
    </row>
    <row r="171" spans="1:5" x14ac:dyDescent="0.2">
      <c r="A171" s="1">
        <v>45240</v>
      </c>
      <c r="B171">
        <v>25.169786453246999</v>
      </c>
      <c r="C171">
        <v>169.38999938964801</v>
      </c>
      <c r="D171">
        <v>1865.45422363281</v>
      </c>
      <c r="E171">
        <v>2.0999999046325599</v>
      </c>
    </row>
    <row r="172" spans="1:5" x14ac:dyDescent="0.2">
      <c r="A172" s="1">
        <v>45243</v>
      </c>
      <c r="B172">
        <v>25.772882461547798</v>
      </c>
      <c r="C172">
        <v>160</v>
      </c>
      <c r="D172">
        <v>1832.54333496093</v>
      </c>
      <c r="E172">
        <v>2.0499999523162802</v>
      </c>
    </row>
    <row r="173" spans="1:5" x14ac:dyDescent="0.2">
      <c r="A173" s="1">
        <v>45244</v>
      </c>
      <c r="B173">
        <v>26.4513626098632</v>
      </c>
      <c r="C173">
        <v>158.33000183105401</v>
      </c>
      <c r="D173">
        <v>1835.03649902343</v>
      </c>
      <c r="E173">
        <v>2.0599999427795401</v>
      </c>
    </row>
    <row r="174" spans="1:5" x14ac:dyDescent="0.2">
      <c r="A174" s="1">
        <v>45245</v>
      </c>
      <c r="B174">
        <v>26.347703933715799</v>
      </c>
      <c r="C174">
        <v>177.38000488281199</v>
      </c>
      <c r="D174">
        <v>1869.94226074218</v>
      </c>
      <c r="E174">
        <v>2.0399999618530198</v>
      </c>
    </row>
    <row r="175" spans="1:5" x14ac:dyDescent="0.2">
      <c r="A175" s="1">
        <v>45246</v>
      </c>
      <c r="B175">
        <v>25.395946502685501</v>
      </c>
      <c r="C175">
        <v>167.75</v>
      </c>
      <c r="D175">
        <v>1848.99865722656</v>
      </c>
      <c r="E175">
        <v>2.1099998950958199</v>
      </c>
    </row>
    <row r="176" spans="1:5" x14ac:dyDescent="0.2">
      <c r="A176" s="1">
        <v>45247</v>
      </c>
      <c r="B176">
        <v>25.5467224121093</v>
      </c>
      <c r="C176">
        <v>171.600006103515</v>
      </c>
      <c r="D176">
        <v>1826.998046875</v>
      </c>
      <c r="E176">
        <v>2.0499999523162802</v>
      </c>
    </row>
    <row r="177" spans="1:5" x14ac:dyDescent="0.2">
      <c r="A177" s="1">
        <v>45251</v>
      </c>
      <c r="B177">
        <v>26.0367336273193</v>
      </c>
      <c r="C177">
        <v>176.57000732421801</v>
      </c>
      <c r="D177">
        <v>1834.01916503906</v>
      </c>
      <c r="E177">
        <v>2.0099999904632502</v>
      </c>
    </row>
    <row r="178" spans="1:5" x14ac:dyDescent="0.2">
      <c r="A178" s="1">
        <v>45252</v>
      </c>
      <c r="B178">
        <v>25.628545761108398</v>
      </c>
      <c r="C178">
        <v>188.350006103515</v>
      </c>
      <c r="D178">
        <v>1875.91589355468</v>
      </c>
      <c r="E178">
        <v>2.0599999427795401</v>
      </c>
    </row>
    <row r="179" spans="1:5" x14ac:dyDescent="0.2">
      <c r="A179" s="1">
        <v>45253</v>
      </c>
      <c r="B179">
        <v>26.240829467773398</v>
      </c>
      <c r="C179">
        <v>186.05000305175699</v>
      </c>
      <c r="D179">
        <v>1849.99597167968</v>
      </c>
      <c r="E179">
        <v>2.0599999427795401</v>
      </c>
    </row>
    <row r="180" spans="1:5" x14ac:dyDescent="0.2">
      <c r="A180" s="1">
        <v>45254</v>
      </c>
      <c r="B180">
        <v>25.531356811523398</v>
      </c>
      <c r="C180">
        <v>194.600006103515</v>
      </c>
      <c r="D180">
        <v>1830.05993652343</v>
      </c>
      <c r="E180">
        <v>2.1199998855590798</v>
      </c>
    </row>
    <row r="181" spans="1:5" x14ac:dyDescent="0.2">
      <c r="A181" s="1">
        <v>45257</v>
      </c>
      <c r="B181">
        <v>25.609107971191399</v>
      </c>
      <c r="C181">
        <v>193.919998168945</v>
      </c>
      <c r="D181">
        <v>1876.91333007812</v>
      </c>
      <c r="E181">
        <v>2.1199998855590798</v>
      </c>
    </row>
    <row r="182" spans="1:5" x14ac:dyDescent="0.2">
      <c r="A182" s="1">
        <v>45258</v>
      </c>
      <c r="B182">
        <v>26.522678375244102</v>
      </c>
      <c r="C182">
        <v>212.05999755859301</v>
      </c>
      <c r="D182">
        <v>1865.95300292968</v>
      </c>
      <c r="E182">
        <v>2.20000004768371</v>
      </c>
    </row>
    <row r="183" spans="1:5" x14ac:dyDescent="0.2">
      <c r="A183" s="1">
        <v>45259</v>
      </c>
      <c r="B183">
        <v>25.6868572235107</v>
      </c>
      <c r="C183">
        <v>214</v>
      </c>
      <c r="D183">
        <v>1903.85021972656</v>
      </c>
      <c r="E183">
        <v>2.2200000286102202</v>
      </c>
    </row>
    <row r="184" spans="1:5" x14ac:dyDescent="0.2">
      <c r="A184" s="1">
        <v>45260</v>
      </c>
      <c r="B184">
        <v>25.754888534545898</v>
      </c>
      <c r="C184">
        <v>207.91000366210901</v>
      </c>
      <c r="D184">
        <v>1904.84777832031</v>
      </c>
      <c r="E184">
        <v>2.2400000095367401</v>
      </c>
    </row>
    <row r="185" spans="1:5" x14ac:dyDescent="0.2">
      <c r="A185" s="1">
        <v>45261</v>
      </c>
      <c r="B185">
        <v>25.774328231811499</v>
      </c>
      <c r="C185">
        <v>234.38999938964801</v>
      </c>
      <c r="D185">
        <v>1944.119140625</v>
      </c>
      <c r="E185">
        <v>2.5</v>
      </c>
    </row>
    <row r="186" spans="1:5" x14ac:dyDescent="0.2">
      <c r="A186" s="1">
        <v>45264</v>
      </c>
      <c r="B186">
        <v>25.6479797363281</v>
      </c>
      <c r="C186">
        <v>261.04000854492102</v>
      </c>
      <c r="D186">
        <v>2006.07373046875</v>
      </c>
      <c r="E186">
        <v>2.4700000286102202</v>
      </c>
    </row>
    <row r="187" spans="1:5" x14ac:dyDescent="0.2">
      <c r="A187" s="1">
        <v>45265</v>
      </c>
      <c r="B187">
        <v>25.5410766601562</v>
      </c>
      <c r="C187">
        <v>266.329986572265</v>
      </c>
      <c r="D187">
        <v>2004.21813964843</v>
      </c>
      <c r="E187">
        <v>2.5499999523162802</v>
      </c>
    </row>
    <row r="188" spans="1:5" x14ac:dyDescent="0.2">
      <c r="A188" s="1">
        <v>45266</v>
      </c>
      <c r="B188">
        <v>25.3758544921875</v>
      </c>
      <c r="C188">
        <v>270.64999389648398</v>
      </c>
      <c r="D188">
        <v>2015.24060058593</v>
      </c>
      <c r="E188">
        <v>2.5699999332427899</v>
      </c>
    </row>
    <row r="189" spans="1:5" x14ac:dyDescent="0.2">
      <c r="A189" s="1">
        <v>45267</v>
      </c>
      <c r="B189">
        <v>24.948226928710898</v>
      </c>
      <c r="C189">
        <v>269.45001220703102</v>
      </c>
      <c r="D189">
        <v>2004.96643066406</v>
      </c>
      <c r="E189">
        <v>2.5</v>
      </c>
    </row>
    <row r="190" spans="1:5" x14ac:dyDescent="0.2">
      <c r="A190" s="1">
        <v>45268</v>
      </c>
      <c r="B190">
        <v>24.889913558959901</v>
      </c>
      <c r="C190">
        <v>289.64999389648398</v>
      </c>
      <c r="D190">
        <v>2006.96130371093</v>
      </c>
      <c r="E190">
        <v>2.5</v>
      </c>
    </row>
    <row r="191" spans="1:5" x14ac:dyDescent="0.2">
      <c r="A191" s="1">
        <v>45271</v>
      </c>
      <c r="B191">
        <v>25.025976181030199</v>
      </c>
      <c r="C191">
        <v>255.5</v>
      </c>
      <c r="D191">
        <v>2064.78588867187</v>
      </c>
      <c r="E191">
        <v>2.3900001049041699</v>
      </c>
    </row>
    <row r="192" spans="1:5" x14ac:dyDescent="0.2">
      <c r="A192" s="1">
        <v>45273</v>
      </c>
      <c r="B192">
        <v>26.2699890136718</v>
      </c>
      <c r="C192">
        <v>287.010009765625</v>
      </c>
      <c r="D192">
        <v>2087.55908203125</v>
      </c>
      <c r="E192">
        <v>2.3299999237060498</v>
      </c>
    </row>
    <row r="193" spans="1:5" x14ac:dyDescent="0.2">
      <c r="A193" s="1">
        <v>45274</v>
      </c>
      <c r="B193">
        <v>26.590709686279201</v>
      </c>
      <c r="C193">
        <v>305.02999877929602</v>
      </c>
      <c r="D193">
        <v>2077.78344726562</v>
      </c>
      <c r="E193">
        <v>2.3399999141693102</v>
      </c>
    </row>
    <row r="194" spans="1:5" x14ac:dyDescent="0.2">
      <c r="A194" s="1">
        <v>45275</v>
      </c>
      <c r="B194">
        <v>26.425487518310501</v>
      </c>
      <c r="C194">
        <v>311.67999267578102</v>
      </c>
      <c r="D194">
        <v>2079.908203125</v>
      </c>
      <c r="E194">
        <v>2.2799999713897701</v>
      </c>
    </row>
    <row r="195" spans="1:5" x14ac:dyDescent="0.2">
      <c r="A195" s="1">
        <v>45278</v>
      </c>
      <c r="B195">
        <v>26.406051635742099</v>
      </c>
      <c r="C195">
        <v>342</v>
      </c>
      <c r="D195">
        <v>2074.81103515625</v>
      </c>
      <c r="E195">
        <v>2.2799999713897701</v>
      </c>
    </row>
    <row r="196" spans="1:5" x14ac:dyDescent="0.2">
      <c r="A196" s="1">
        <v>45279</v>
      </c>
      <c r="B196">
        <v>25.852077484130799</v>
      </c>
      <c r="C196">
        <v>374.80999755859301</v>
      </c>
      <c r="D196">
        <v>2084.01782226562</v>
      </c>
      <c r="E196">
        <v>2.3399999141693102</v>
      </c>
    </row>
    <row r="197" spans="1:5" x14ac:dyDescent="0.2">
      <c r="A197" s="1">
        <v>45280</v>
      </c>
      <c r="B197">
        <v>25.793766021728501</v>
      </c>
      <c r="C197">
        <v>392.41000366210898</v>
      </c>
      <c r="D197">
        <v>2076.7861328125</v>
      </c>
      <c r="E197">
        <v>2.3499999046325599</v>
      </c>
    </row>
    <row r="198" spans="1:5" x14ac:dyDescent="0.2">
      <c r="A198" s="1">
        <v>45281</v>
      </c>
      <c r="B198">
        <v>27.455684661865199</v>
      </c>
      <c r="C198">
        <v>424.67001342773398</v>
      </c>
      <c r="D198">
        <v>2081.9033203125</v>
      </c>
      <c r="E198">
        <v>2.20000004768371</v>
      </c>
    </row>
    <row r="199" spans="1:5" x14ac:dyDescent="0.2">
      <c r="A199" s="1">
        <v>45282</v>
      </c>
      <c r="B199">
        <v>28.6608161926269</v>
      </c>
      <c r="C199">
        <v>456.14001464843699</v>
      </c>
      <c r="D199">
        <v>1830.50427246093</v>
      </c>
      <c r="E199">
        <v>2.20000004768371</v>
      </c>
    </row>
    <row r="200" spans="1:5" x14ac:dyDescent="0.2">
      <c r="A200" s="1">
        <v>45286</v>
      </c>
      <c r="B200">
        <v>28.612224578857401</v>
      </c>
      <c r="C200">
        <v>456.579986572265</v>
      </c>
      <c r="D200">
        <v>1829.05786132812</v>
      </c>
      <c r="E200">
        <v>2.20000004768371</v>
      </c>
    </row>
    <row r="201" spans="1:5" x14ac:dyDescent="0.2">
      <c r="A201" s="1">
        <v>45287</v>
      </c>
      <c r="B201">
        <v>28.903787612915</v>
      </c>
      <c r="C201">
        <v>524.84002685546795</v>
      </c>
      <c r="D201">
        <v>1807.46215820312</v>
      </c>
      <c r="E201">
        <v>2.2599999904632502</v>
      </c>
    </row>
    <row r="202" spans="1:5" x14ac:dyDescent="0.2">
      <c r="A202" s="1">
        <v>45288</v>
      </c>
      <c r="B202">
        <v>28.2720642089843</v>
      </c>
      <c r="C202">
        <v>479.69000244140602</v>
      </c>
      <c r="D202">
        <v>1845.35705566406</v>
      </c>
      <c r="E202">
        <v>2.20000004768371</v>
      </c>
    </row>
    <row r="203" spans="1:5" x14ac:dyDescent="0.2">
      <c r="A203" s="1">
        <v>45289</v>
      </c>
      <c r="B203">
        <v>29.380010604858398</v>
      </c>
      <c r="C203">
        <v>398.45999145507801</v>
      </c>
      <c r="D203">
        <v>1840.37963867187</v>
      </c>
      <c r="E203">
        <v>2.2400000095367401</v>
      </c>
    </row>
    <row r="204" spans="1:5" x14ac:dyDescent="0.2">
      <c r="A204" s="1">
        <v>45293</v>
      </c>
      <c r="B204">
        <v>28.621944427490199</v>
      </c>
      <c r="C204">
        <v>389.89999389648398</v>
      </c>
      <c r="D204">
        <v>1811.46203613281</v>
      </c>
      <c r="E204">
        <v>2.2599999904632502</v>
      </c>
    </row>
    <row r="205" spans="1:5" x14ac:dyDescent="0.2">
      <c r="A205" s="1">
        <v>45294</v>
      </c>
      <c r="B205">
        <v>28.456724166870099</v>
      </c>
      <c r="C205">
        <v>402.75</v>
      </c>
      <c r="D205">
        <v>1773.88635253906</v>
      </c>
      <c r="E205">
        <v>2.0899999141693102</v>
      </c>
    </row>
    <row r="206" spans="1:5" x14ac:dyDescent="0.2">
      <c r="A206" s="1">
        <v>45295</v>
      </c>
      <c r="B206">
        <v>27.1446819305419</v>
      </c>
      <c r="C206">
        <v>451.92999267578102</v>
      </c>
      <c r="D206">
        <v>1746.94396972656</v>
      </c>
      <c r="E206">
        <v>2.1199998855590798</v>
      </c>
    </row>
    <row r="207" spans="1:5" x14ac:dyDescent="0.2">
      <c r="A207" s="1">
        <v>45296</v>
      </c>
      <c r="B207">
        <v>28.884349822998001</v>
      </c>
      <c r="C207">
        <v>404.42999267578102</v>
      </c>
      <c r="D207">
        <v>1722.69494628906</v>
      </c>
      <c r="E207">
        <v>2.1900000572204501</v>
      </c>
    </row>
    <row r="208" spans="1:5" x14ac:dyDescent="0.2">
      <c r="A208" s="1">
        <v>45299</v>
      </c>
      <c r="B208">
        <v>28.136001586913999</v>
      </c>
      <c r="C208">
        <v>438.89999389648398</v>
      </c>
      <c r="D208">
        <v>1739.52270507812</v>
      </c>
      <c r="E208">
        <v>2.1900000572204501</v>
      </c>
    </row>
    <row r="209" spans="1:5" x14ac:dyDescent="0.2">
      <c r="A209" s="1">
        <v>45300</v>
      </c>
      <c r="B209">
        <v>27.280744552612301</v>
      </c>
      <c r="C209">
        <v>434.29000854492102</v>
      </c>
      <c r="D209">
        <v>1734.44555664062</v>
      </c>
      <c r="E209">
        <v>2.0499999523162802</v>
      </c>
    </row>
    <row r="210" spans="1:5" x14ac:dyDescent="0.2">
      <c r="A210" s="1">
        <v>45301</v>
      </c>
      <c r="B210">
        <v>27.533433914184499</v>
      </c>
      <c r="C210">
        <v>432.14001464843699</v>
      </c>
      <c r="D210">
        <v>1759.25317382812</v>
      </c>
      <c r="E210">
        <v>1.9800000190734801</v>
      </c>
    </row>
    <row r="211" spans="1:5" x14ac:dyDescent="0.2">
      <c r="A211" s="1">
        <v>45302</v>
      </c>
      <c r="B211">
        <v>28.8066005706787</v>
      </c>
      <c r="C211">
        <v>379.95001220703102</v>
      </c>
      <c r="D211">
        <v>1791.4921875</v>
      </c>
      <c r="E211">
        <v>1.8899999856948799</v>
      </c>
    </row>
    <row r="212" spans="1:5" x14ac:dyDescent="0.2">
      <c r="A212" s="1">
        <v>45303</v>
      </c>
      <c r="B212">
        <v>29.448041915893501</v>
      </c>
      <c r="C212">
        <v>320.83999633789</v>
      </c>
      <c r="D212">
        <v>1769.99597167968</v>
      </c>
      <c r="E212">
        <v>1.8999999761581401</v>
      </c>
    </row>
    <row r="213" spans="1:5" x14ac:dyDescent="0.2">
      <c r="A213" s="1">
        <v>45306</v>
      </c>
      <c r="B213">
        <v>28.738569259643501</v>
      </c>
      <c r="C213">
        <v>320.70001220703102</v>
      </c>
      <c r="D213">
        <v>1769.99597167968</v>
      </c>
      <c r="E213">
        <v>1.91999995708465</v>
      </c>
    </row>
    <row r="214" spans="1:5" x14ac:dyDescent="0.2">
      <c r="A214" s="1">
        <v>45307</v>
      </c>
      <c r="B214">
        <v>28.738569259643501</v>
      </c>
      <c r="C214">
        <v>305.11999511718699</v>
      </c>
      <c r="D214">
        <v>1753.07897949218</v>
      </c>
      <c r="E214">
        <v>1.91999995708465</v>
      </c>
    </row>
    <row r="215" spans="1:5" x14ac:dyDescent="0.2">
      <c r="A215" s="1">
        <v>45308</v>
      </c>
      <c r="B215">
        <v>26.6587409973144</v>
      </c>
      <c r="C215">
        <v>297.04000854492102</v>
      </c>
      <c r="D215">
        <v>1731.61267089843</v>
      </c>
      <c r="E215">
        <v>1.91999995708465</v>
      </c>
    </row>
    <row r="216" spans="1:5" x14ac:dyDescent="0.2">
      <c r="A216" s="1">
        <v>45309</v>
      </c>
      <c r="B216">
        <v>28.651098251342699</v>
      </c>
      <c r="C216">
        <v>277.80999755859301</v>
      </c>
      <c r="D216">
        <v>1730.625</v>
      </c>
      <c r="E216">
        <v>1.91999995708465</v>
      </c>
    </row>
    <row r="217" spans="1:5" x14ac:dyDescent="0.2">
      <c r="A217" s="1">
        <v>45310</v>
      </c>
      <c r="B217">
        <v>28.1457195281982</v>
      </c>
      <c r="C217">
        <v>276</v>
      </c>
      <c r="D217">
        <v>1734.29577636718</v>
      </c>
      <c r="E217">
        <v>1.91999995708465</v>
      </c>
    </row>
    <row r="218" spans="1:5" x14ac:dyDescent="0.2">
      <c r="A218" s="1">
        <v>45313</v>
      </c>
      <c r="B218">
        <v>27.893032073974599</v>
      </c>
      <c r="C218">
        <v>284.22000122070301</v>
      </c>
      <c r="D218">
        <v>1730.66491699218</v>
      </c>
      <c r="E218">
        <v>1.91999995708465</v>
      </c>
    </row>
    <row r="219" spans="1:5" x14ac:dyDescent="0.2">
      <c r="A219" s="1">
        <v>45314</v>
      </c>
      <c r="B219">
        <v>27.300182342529201</v>
      </c>
      <c r="C219">
        <v>280.510009765625</v>
      </c>
      <c r="D219">
        <v>1761.5771484375</v>
      </c>
      <c r="E219">
        <v>1.9400000572204501</v>
      </c>
    </row>
    <row r="220" spans="1:5" x14ac:dyDescent="0.2">
      <c r="A220" s="1">
        <v>45315</v>
      </c>
      <c r="B220">
        <v>27.679214477538999</v>
      </c>
      <c r="C220">
        <v>269.010009765625</v>
      </c>
      <c r="D220">
        <v>1736.44067382812</v>
      </c>
      <c r="E220">
        <v>1.95000004768371</v>
      </c>
    </row>
    <row r="221" spans="1:5" x14ac:dyDescent="0.2">
      <c r="A221" s="1">
        <v>45316</v>
      </c>
      <c r="B221">
        <v>27.591747283935501</v>
      </c>
      <c r="C221">
        <v>279.30999755859301</v>
      </c>
      <c r="D221">
        <v>1720.68005371093</v>
      </c>
      <c r="E221">
        <v>1.8999999761581401</v>
      </c>
    </row>
    <row r="222" spans="1:5" x14ac:dyDescent="0.2">
      <c r="A222" s="1">
        <v>45317</v>
      </c>
      <c r="B222">
        <v>27.630622863769499</v>
      </c>
      <c r="C222">
        <v>304.010009765625</v>
      </c>
      <c r="D222">
        <v>1760.56994628906</v>
      </c>
      <c r="E222">
        <v>1.8899999856948799</v>
      </c>
    </row>
    <row r="223" spans="1:5" x14ac:dyDescent="0.2">
      <c r="A223" s="1">
        <v>45320</v>
      </c>
      <c r="B223">
        <v>27.1446819305419</v>
      </c>
      <c r="C223">
        <v>318.850006103515</v>
      </c>
      <c r="D223">
        <v>1782.02612304687</v>
      </c>
      <c r="E223">
        <v>1.91999995708465</v>
      </c>
    </row>
    <row r="224" spans="1:5" x14ac:dyDescent="0.2">
      <c r="A224" s="1">
        <v>45321</v>
      </c>
      <c r="B224">
        <v>27.348775863647401</v>
      </c>
      <c r="C224">
        <v>313.44000244140602</v>
      </c>
      <c r="D224">
        <v>1782.33520507812</v>
      </c>
      <c r="E224">
        <v>1.9700000286102199</v>
      </c>
    </row>
    <row r="225" spans="1:5" x14ac:dyDescent="0.2">
      <c r="A225" s="1">
        <v>45322</v>
      </c>
      <c r="B225">
        <v>26.9794616699218</v>
      </c>
      <c r="C225">
        <v>304.95001220703102</v>
      </c>
      <c r="D225">
        <v>1735.65246582031</v>
      </c>
      <c r="E225">
        <v>1.90999996662139</v>
      </c>
    </row>
    <row r="226" spans="1:5" x14ac:dyDescent="0.2">
      <c r="A226" s="1">
        <v>45323</v>
      </c>
      <c r="B226">
        <v>26.7850837707519</v>
      </c>
      <c r="C226">
        <v>318.82000732421801</v>
      </c>
      <c r="D226">
        <v>1730.66491699218</v>
      </c>
      <c r="E226">
        <v>1.91999995708465</v>
      </c>
    </row>
    <row r="227" spans="1:5" x14ac:dyDescent="0.2">
      <c r="A227" s="1">
        <v>45324</v>
      </c>
      <c r="B227">
        <v>26.503238677978501</v>
      </c>
      <c r="C227">
        <v>310.14001464843699</v>
      </c>
      <c r="D227">
        <v>1720.68005371093</v>
      </c>
      <c r="E227">
        <v>1.87000000476837</v>
      </c>
    </row>
    <row r="228" spans="1:5" x14ac:dyDescent="0.2">
      <c r="A228" s="1">
        <v>45328</v>
      </c>
      <c r="B228">
        <v>26.629581451416001</v>
      </c>
      <c r="C228">
        <v>290.739990234375</v>
      </c>
      <c r="D228">
        <v>1742.77465820312</v>
      </c>
      <c r="E228">
        <v>1.8600000143051101</v>
      </c>
    </row>
    <row r="229" spans="1:5" x14ac:dyDescent="0.2">
      <c r="A229" s="1">
        <v>45329</v>
      </c>
      <c r="B229">
        <v>27.202995300292901</v>
      </c>
      <c r="C229">
        <v>299.97000122070301</v>
      </c>
      <c r="D229">
        <v>1755.60241699218</v>
      </c>
      <c r="E229">
        <v>1.8099999427795399</v>
      </c>
    </row>
    <row r="230" spans="1:5" x14ac:dyDescent="0.2">
      <c r="A230" s="1">
        <v>45330</v>
      </c>
      <c r="B230">
        <v>26.7559280395507</v>
      </c>
      <c r="C230">
        <v>367.92001342773398</v>
      </c>
      <c r="D230">
        <v>1772.05114746093</v>
      </c>
      <c r="E230">
        <v>1.8200000524520801</v>
      </c>
    </row>
    <row r="231" spans="1:5" x14ac:dyDescent="0.2">
      <c r="A231" s="1">
        <v>45331</v>
      </c>
      <c r="B231">
        <v>25.958984375</v>
      </c>
      <c r="C231">
        <v>407.5</v>
      </c>
      <c r="D231">
        <v>1781.52734375</v>
      </c>
      <c r="E231">
        <v>1.75999999046325</v>
      </c>
    </row>
    <row r="232" spans="1:5" x14ac:dyDescent="0.2">
      <c r="A232" s="1">
        <v>45334</v>
      </c>
      <c r="B232">
        <v>27.397371292114201</v>
      </c>
      <c r="C232">
        <v>466.83999633789</v>
      </c>
      <c r="D232">
        <v>1826.8037109375</v>
      </c>
      <c r="E232">
        <v>1.75999999046325</v>
      </c>
    </row>
    <row r="233" spans="1:5" x14ac:dyDescent="0.2">
      <c r="A233" s="1">
        <v>45335</v>
      </c>
      <c r="B233">
        <v>28.184597015380799</v>
      </c>
      <c r="C233">
        <v>439.60998535156199</v>
      </c>
      <c r="D233">
        <v>1798.49475097656</v>
      </c>
      <c r="E233">
        <v>1.75999999046325</v>
      </c>
    </row>
    <row r="234" spans="1:5" x14ac:dyDescent="0.2">
      <c r="A234" s="1">
        <v>45336</v>
      </c>
      <c r="B234">
        <v>29.4091682434082</v>
      </c>
      <c r="C234">
        <v>502.36999511718699</v>
      </c>
      <c r="D234">
        <v>1809.45727539062</v>
      </c>
      <c r="E234">
        <v>1.7200000286102199</v>
      </c>
    </row>
    <row r="235" spans="1:5" x14ac:dyDescent="0.2">
      <c r="A235" s="1">
        <v>45337</v>
      </c>
      <c r="B235">
        <v>30.662895202636701</v>
      </c>
      <c r="C235">
        <v>460.25</v>
      </c>
      <c r="D235">
        <v>1802.47485351562</v>
      </c>
      <c r="E235">
        <v>1.75</v>
      </c>
    </row>
    <row r="236" spans="1:5" x14ac:dyDescent="0.2">
      <c r="A236" s="1">
        <v>45338</v>
      </c>
      <c r="B236">
        <v>29.5063571929931</v>
      </c>
      <c r="C236">
        <v>455</v>
      </c>
      <c r="D236">
        <v>1763.57238769531</v>
      </c>
      <c r="E236">
        <v>1.6799999475479099</v>
      </c>
    </row>
    <row r="237" spans="1:5" x14ac:dyDescent="0.2">
      <c r="A237" s="1">
        <v>45341</v>
      </c>
      <c r="B237">
        <v>30.410207748413001</v>
      </c>
      <c r="C237">
        <v>454</v>
      </c>
      <c r="D237">
        <v>1763.57238769531</v>
      </c>
      <c r="E237">
        <v>1.6900000572204501</v>
      </c>
    </row>
    <row r="238" spans="1:5" x14ac:dyDescent="0.2">
      <c r="A238" s="1">
        <v>45342</v>
      </c>
      <c r="B238">
        <v>30.905866622924801</v>
      </c>
      <c r="C238">
        <v>418.35998535156199</v>
      </c>
      <c r="D238">
        <v>1751.48291015625</v>
      </c>
      <c r="E238">
        <v>1.6799999475479099</v>
      </c>
    </row>
    <row r="239" spans="1:5" x14ac:dyDescent="0.2">
      <c r="A239" s="1">
        <v>45343</v>
      </c>
      <c r="B239">
        <v>30.254703521728501</v>
      </c>
      <c r="C239">
        <v>390.27999877929602</v>
      </c>
      <c r="D239">
        <v>1785.51708984375</v>
      </c>
      <c r="E239">
        <v>1.6799999475479099</v>
      </c>
    </row>
    <row r="240" spans="1:5" x14ac:dyDescent="0.2">
      <c r="A240" s="1">
        <v>45344</v>
      </c>
      <c r="B240">
        <v>31.712530136108398</v>
      </c>
      <c r="C240">
        <v>420.73001098632801</v>
      </c>
      <c r="D240">
        <v>1783.52233886718</v>
      </c>
      <c r="E240">
        <v>1.6900000572204501</v>
      </c>
    </row>
    <row r="241" spans="1:5" x14ac:dyDescent="0.2">
      <c r="A241" s="1">
        <v>45345</v>
      </c>
      <c r="B241">
        <v>30.9641799926757</v>
      </c>
      <c r="C241">
        <v>409.04998779296801</v>
      </c>
      <c r="D241">
        <v>1805.16796875</v>
      </c>
      <c r="E241">
        <v>1.6799999475479099</v>
      </c>
    </row>
    <row r="242" spans="1:5" x14ac:dyDescent="0.2">
      <c r="A242" s="1">
        <v>45348</v>
      </c>
      <c r="B242">
        <v>31.177995681762599</v>
      </c>
      <c r="C242">
        <v>500.54000854492102</v>
      </c>
      <c r="D242">
        <v>1783.77172851562</v>
      </c>
      <c r="E242">
        <v>1.6799999475479099</v>
      </c>
    </row>
    <row r="243" spans="1:5" x14ac:dyDescent="0.2">
      <c r="A243" s="1">
        <v>45349</v>
      </c>
      <c r="B243">
        <v>29.700731277465799</v>
      </c>
      <c r="C243">
        <v>519.94000244140602</v>
      </c>
      <c r="D243">
        <v>1780.52978515625</v>
      </c>
      <c r="E243">
        <v>1.6799999475479099</v>
      </c>
    </row>
    <row r="244" spans="1:5" x14ac:dyDescent="0.2">
      <c r="A244" s="1">
        <v>45350</v>
      </c>
      <c r="B244">
        <v>28.767724990844702</v>
      </c>
      <c r="C244">
        <v>528.239990234375</v>
      </c>
      <c r="D244">
        <v>1782.52478027343</v>
      </c>
      <c r="E244">
        <v>1.6000000238418499</v>
      </c>
    </row>
    <row r="245" spans="1:5" x14ac:dyDescent="0.2">
      <c r="A245" s="1">
        <v>45351</v>
      </c>
      <c r="B245">
        <v>28.369255065917901</v>
      </c>
      <c r="C245">
        <v>441.07000732421801</v>
      </c>
      <c r="D245">
        <v>1763.67211914062</v>
      </c>
      <c r="E245">
        <v>1.5299999713897701</v>
      </c>
    </row>
    <row r="246" spans="1:5" x14ac:dyDescent="0.2">
      <c r="A246" s="1">
        <v>45352</v>
      </c>
      <c r="B246">
        <v>28.767724990844702</v>
      </c>
      <c r="C246">
        <v>453.35998535156199</v>
      </c>
      <c r="D246">
        <v>1731.01721191406</v>
      </c>
      <c r="E246">
        <v>1.41999995708465</v>
      </c>
    </row>
    <row r="247" spans="1:5" x14ac:dyDescent="0.2">
      <c r="A247" s="1">
        <v>45355</v>
      </c>
      <c r="B247">
        <v>29.098165512084901</v>
      </c>
      <c r="C247">
        <v>437.25</v>
      </c>
      <c r="D247">
        <v>1698.58203125</v>
      </c>
      <c r="E247">
        <v>1.29999995231628</v>
      </c>
    </row>
    <row r="248" spans="1:5" x14ac:dyDescent="0.2">
      <c r="A248" s="1">
        <v>45356</v>
      </c>
      <c r="B248">
        <v>30.449081420898398</v>
      </c>
      <c r="C248">
        <v>377.44000244140602</v>
      </c>
      <c r="D248">
        <v>1665.4482421875</v>
      </c>
      <c r="E248">
        <v>1.2200000286102199</v>
      </c>
    </row>
    <row r="249" spans="1:5" x14ac:dyDescent="0.2">
      <c r="A249" s="1">
        <v>45357</v>
      </c>
      <c r="B249">
        <v>29.933982849121001</v>
      </c>
      <c r="C249">
        <v>381.54000854492102</v>
      </c>
      <c r="D249">
        <v>1645.21472167968</v>
      </c>
      <c r="E249">
        <v>1.2200000286102199</v>
      </c>
    </row>
    <row r="250" spans="1:5" x14ac:dyDescent="0.2">
      <c r="A250" s="1">
        <v>45358</v>
      </c>
      <c r="B250">
        <v>29.924266815185501</v>
      </c>
      <c r="C250">
        <v>367.51998901367102</v>
      </c>
      <c r="D250">
        <v>1664.10119628906</v>
      </c>
      <c r="E250">
        <v>1.28999996185302</v>
      </c>
    </row>
    <row r="251" spans="1:5" x14ac:dyDescent="0.2">
      <c r="A251" s="1">
        <v>45359</v>
      </c>
      <c r="B251">
        <v>29.205070495605401</v>
      </c>
      <c r="C251">
        <v>395.79998779296801</v>
      </c>
      <c r="D251">
        <v>1663.46276855468</v>
      </c>
      <c r="E251">
        <v>1.3899999856948799</v>
      </c>
    </row>
    <row r="252" spans="1:5" x14ac:dyDescent="0.2">
      <c r="A252" s="1">
        <v>45362</v>
      </c>
      <c r="B252">
        <v>29.039852142333899</v>
      </c>
      <c r="C252">
        <v>348.44000244140602</v>
      </c>
      <c r="D252">
        <v>1700.57702636718</v>
      </c>
      <c r="E252">
        <v>1.45000004768371</v>
      </c>
    </row>
    <row r="253" spans="1:5" x14ac:dyDescent="0.2">
      <c r="A253" s="1">
        <v>45363</v>
      </c>
      <c r="B253">
        <v>28.6316604614257</v>
      </c>
      <c r="C253">
        <v>339.60998535156199</v>
      </c>
      <c r="D253">
        <v>1680.13439941406</v>
      </c>
      <c r="E253">
        <v>1.6000000238418499</v>
      </c>
    </row>
    <row r="254" spans="1:5" x14ac:dyDescent="0.2">
      <c r="A254" s="1">
        <v>45364</v>
      </c>
      <c r="B254">
        <v>29.924266815185501</v>
      </c>
      <c r="C254">
        <v>329.95999145507801</v>
      </c>
      <c r="D254">
        <v>1693.1044921875</v>
      </c>
      <c r="E254">
        <v>1.6399999856948799</v>
      </c>
    </row>
    <row r="255" spans="1:5" x14ac:dyDescent="0.2">
      <c r="A255" s="1">
        <v>45365</v>
      </c>
      <c r="B255">
        <v>29.516075134277301</v>
      </c>
      <c r="C255">
        <v>297.66000366210898</v>
      </c>
      <c r="D255">
        <v>1668.76049804687</v>
      </c>
      <c r="E255">
        <v>1.62000000476837</v>
      </c>
    </row>
    <row r="256" spans="1:5" x14ac:dyDescent="0.2">
      <c r="A256" s="1">
        <v>45366</v>
      </c>
      <c r="B256">
        <v>29.1467590332031</v>
      </c>
      <c r="C256">
        <v>323.30999755859301</v>
      </c>
      <c r="D256">
        <v>1661.18774414062</v>
      </c>
      <c r="E256">
        <v>1.5</v>
      </c>
    </row>
    <row r="257" spans="1:5" x14ac:dyDescent="0.2">
      <c r="A257" s="1">
        <v>45370</v>
      </c>
      <c r="B257">
        <v>29.3119792938232</v>
      </c>
      <c r="C257">
        <v>324.92001342773398</v>
      </c>
      <c r="D257">
        <v>1666.22631835937</v>
      </c>
      <c r="E257">
        <v>1.5</v>
      </c>
    </row>
    <row r="258" spans="1:5" x14ac:dyDescent="0.2">
      <c r="A258" s="1">
        <v>45371</v>
      </c>
      <c r="B258">
        <v>29.185634613037099</v>
      </c>
      <c r="C258">
        <v>371.5</v>
      </c>
      <c r="D258">
        <v>1668.81042480468</v>
      </c>
      <c r="E258">
        <v>1.5</v>
      </c>
    </row>
    <row r="259" spans="1:5" x14ac:dyDescent="0.2">
      <c r="A259" s="1">
        <v>45372</v>
      </c>
      <c r="B259">
        <v>29.525791168212798</v>
      </c>
      <c r="C259">
        <v>367.13000488281199</v>
      </c>
      <c r="D259">
        <v>1685.88110351562</v>
      </c>
      <c r="E259">
        <v>1.5</v>
      </c>
    </row>
    <row r="260" spans="1:5" x14ac:dyDescent="0.2">
      <c r="A260" s="1">
        <v>45373</v>
      </c>
      <c r="B260">
        <v>29.0009765625</v>
      </c>
      <c r="C260">
        <v>351.79998779296801</v>
      </c>
      <c r="D260">
        <v>1574.96630859375</v>
      </c>
      <c r="E260">
        <v>1.5</v>
      </c>
    </row>
    <row r="261" spans="1:5" x14ac:dyDescent="0.2">
      <c r="A261" s="1">
        <v>45376</v>
      </c>
      <c r="B261">
        <v>30.1186408996582</v>
      </c>
      <c r="C261">
        <v>351.239990234375</v>
      </c>
      <c r="D261">
        <v>1567.63305664062</v>
      </c>
      <c r="E261">
        <v>1.4800000190734801</v>
      </c>
    </row>
    <row r="262" spans="1:5" x14ac:dyDescent="0.2">
      <c r="A262" s="1">
        <v>45377</v>
      </c>
      <c r="B262">
        <v>29.156476974487301</v>
      </c>
      <c r="C262">
        <v>341.04000854492102</v>
      </c>
      <c r="D262">
        <v>1537.50256347656</v>
      </c>
      <c r="E262">
        <v>1.3999999761581401</v>
      </c>
    </row>
    <row r="263" spans="1:5" x14ac:dyDescent="0.2">
      <c r="A263" s="1">
        <v>45378</v>
      </c>
      <c r="B263">
        <v>29.253665924072202</v>
      </c>
      <c r="C263">
        <v>362.67999267578102</v>
      </c>
      <c r="D263">
        <v>1553.63525390625</v>
      </c>
      <c r="E263">
        <v>1.41999995708465</v>
      </c>
    </row>
    <row r="264" spans="1:5" x14ac:dyDescent="0.2">
      <c r="A264" s="1">
        <v>45383</v>
      </c>
      <c r="B264">
        <v>28.981540679931602</v>
      </c>
      <c r="C264">
        <v>360.85998535156199</v>
      </c>
      <c r="D264">
        <v>1536.25537109375</v>
      </c>
      <c r="E264">
        <v>1.45000004768371</v>
      </c>
    </row>
    <row r="265" spans="1:5" x14ac:dyDescent="0.2">
      <c r="A265" s="1">
        <v>45384</v>
      </c>
      <c r="B265">
        <v>28.9523830413818</v>
      </c>
      <c r="C265">
        <v>326.5</v>
      </c>
      <c r="D265">
        <v>1506.45385742187</v>
      </c>
      <c r="E265">
        <v>1.41999995708465</v>
      </c>
    </row>
    <row r="266" spans="1:5" x14ac:dyDescent="0.2">
      <c r="A266" s="1">
        <v>45385</v>
      </c>
      <c r="B266">
        <v>28.913507461547798</v>
      </c>
      <c r="C266">
        <v>322.92999267578102</v>
      </c>
      <c r="D266">
        <v>1492.78540039062</v>
      </c>
      <c r="E266">
        <v>1.3999999761581401</v>
      </c>
    </row>
    <row r="267" spans="1:5" x14ac:dyDescent="0.2">
      <c r="A267" s="1">
        <v>45386</v>
      </c>
      <c r="B267">
        <v>28.427566528320298</v>
      </c>
      <c r="C267">
        <v>307.01998901367102</v>
      </c>
      <c r="D267">
        <v>1476.732421875</v>
      </c>
      <c r="E267">
        <v>1.3999999761581401</v>
      </c>
    </row>
    <row r="268" spans="1:5" x14ac:dyDescent="0.2">
      <c r="A268" s="1">
        <v>45387</v>
      </c>
      <c r="B268">
        <v>28.748287200927699</v>
      </c>
      <c r="C268">
        <v>303.35998535156199</v>
      </c>
      <c r="D268">
        <v>1461.05859375</v>
      </c>
      <c r="E268">
        <v>1.3999999761581401</v>
      </c>
    </row>
    <row r="269" spans="1:5" x14ac:dyDescent="0.2">
      <c r="A269" s="1">
        <v>45390</v>
      </c>
      <c r="B269">
        <v>28.427566528320298</v>
      </c>
      <c r="C269">
        <v>293.08999633789</v>
      </c>
      <c r="D269">
        <v>1465.46826171875</v>
      </c>
      <c r="E269">
        <v>1.3999999761581401</v>
      </c>
    </row>
    <row r="270" spans="1:5" x14ac:dyDescent="0.2">
      <c r="A270" s="1">
        <v>45391</v>
      </c>
      <c r="B270">
        <v>28.136001586913999</v>
      </c>
      <c r="C270">
        <v>294.83999633789</v>
      </c>
      <c r="D270">
        <v>1490.57043457031</v>
      </c>
      <c r="E270">
        <v>1.3999999761581401</v>
      </c>
    </row>
    <row r="271" spans="1:5" x14ac:dyDescent="0.2">
      <c r="A271" s="1">
        <v>45392</v>
      </c>
      <c r="B271">
        <v>27.2224311828613</v>
      </c>
      <c r="C271">
        <v>285.14999389648398</v>
      </c>
      <c r="D271">
        <v>1462.3056640625</v>
      </c>
      <c r="E271">
        <v>1.37999999523162</v>
      </c>
    </row>
    <row r="272" spans="1:5" x14ac:dyDescent="0.2">
      <c r="A272" s="1">
        <v>45393</v>
      </c>
      <c r="B272">
        <v>27.319622039794901</v>
      </c>
      <c r="C272">
        <v>289</v>
      </c>
      <c r="D272">
        <v>1510.19543457031</v>
      </c>
      <c r="E272">
        <v>1.37999999523162</v>
      </c>
    </row>
    <row r="273" spans="1:5" x14ac:dyDescent="0.2">
      <c r="A273" s="1">
        <v>45394</v>
      </c>
      <c r="B273">
        <v>26.639303207397401</v>
      </c>
      <c r="C273">
        <v>267.75</v>
      </c>
      <c r="D273">
        <v>1524.49255371093</v>
      </c>
      <c r="E273">
        <v>1.37999999523162</v>
      </c>
    </row>
    <row r="274" spans="1:5" x14ac:dyDescent="0.2">
      <c r="A274" s="1">
        <v>45397</v>
      </c>
      <c r="B274">
        <v>26.901710510253899</v>
      </c>
      <c r="C274">
        <v>254</v>
      </c>
      <c r="D274">
        <v>1553.26623535156</v>
      </c>
      <c r="E274">
        <v>1.2699999809265099</v>
      </c>
    </row>
    <row r="275" spans="1:5" x14ac:dyDescent="0.2">
      <c r="A275" s="1">
        <v>45398</v>
      </c>
      <c r="B275">
        <v>26.474082946777301</v>
      </c>
      <c r="C275">
        <v>249.63000488281199</v>
      </c>
      <c r="D275">
        <v>1586.40002441406</v>
      </c>
      <c r="E275">
        <v>1.2699999809265099</v>
      </c>
    </row>
    <row r="276" spans="1:5" x14ac:dyDescent="0.2">
      <c r="A276" s="1">
        <v>45399</v>
      </c>
      <c r="B276">
        <v>26.367174148559499</v>
      </c>
      <c r="C276">
        <v>248.16000366210901</v>
      </c>
      <c r="D276">
        <v>1601.39562988281</v>
      </c>
      <c r="E276">
        <v>1.2699999809265099</v>
      </c>
    </row>
    <row r="277" spans="1:5" x14ac:dyDescent="0.2">
      <c r="A277" s="1">
        <v>45400</v>
      </c>
      <c r="B277">
        <v>26.969741821288999</v>
      </c>
      <c r="C277">
        <v>257.77999877929602</v>
      </c>
      <c r="D277">
        <v>1628.18383789062</v>
      </c>
      <c r="E277">
        <v>1.2699999809265099</v>
      </c>
    </row>
    <row r="278" spans="1:5" x14ac:dyDescent="0.2">
      <c r="A278" s="1">
        <v>45401</v>
      </c>
      <c r="B278">
        <v>27.066932678222599</v>
      </c>
      <c r="C278">
        <v>282.600006103515</v>
      </c>
      <c r="D278">
        <v>1622.26745605468</v>
      </c>
      <c r="E278">
        <v>1.2699999809265099</v>
      </c>
    </row>
    <row r="279" spans="1:5" x14ac:dyDescent="0.2">
      <c r="A279" s="1">
        <v>45404</v>
      </c>
      <c r="B279">
        <v>27.212713241577099</v>
      </c>
      <c r="C279">
        <v>299.23001098632801</v>
      </c>
      <c r="D279">
        <v>1615.28356933593</v>
      </c>
      <c r="E279">
        <v>1.2699999809265099</v>
      </c>
    </row>
    <row r="280" spans="1:5" x14ac:dyDescent="0.2">
      <c r="A280" s="1">
        <v>45405</v>
      </c>
      <c r="B280">
        <v>27.115524291992099</v>
      </c>
      <c r="C280">
        <v>329.850006103515</v>
      </c>
      <c r="D280">
        <v>1596.97570800781</v>
      </c>
      <c r="E280">
        <v>1.2699999809265099</v>
      </c>
    </row>
    <row r="281" spans="1:5" x14ac:dyDescent="0.2">
      <c r="A281" s="1">
        <v>45406</v>
      </c>
      <c r="B281">
        <v>27.02805519104</v>
      </c>
      <c r="C281">
        <v>325.98001098632801</v>
      </c>
      <c r="D281">
        <v>1605.69567871093</v>
      </c>
      <c r="E281">
        <v>1.25999999046325</v>
      </c>
    </row>
    <row r="282" spans="1:5" x14ac:dyDescent="0.2">
      <c r="A282" s="1">
        <v>45407</v>
      </c>
      <c r="B282">
        <v>27.309900283813398</v>
      </c>
      <c r="C282">
        <v>326</v>
      </c>
      <c r="D282">
        <v>1614.18615722656</v>
      </c>
      <c r="E282">
        <v>1.25999999046325</v>
      </c>
    </row>
    <row r="283" spans="1:5" x14ac:dyDescent="0.2">
      <c r="A283" s="1">
        <v>45408</v>
      </c>
      <c r="B283">
        <v>27.883312225341701</v>
      </c>
      <c r="C283">
        <v>330.69000244140602</v>
      </c>
      <c r="D283">
        <v>1606.85290527343</v>
      </c>
      <c r="E283">
        <v>1.25999999046325</v>
      </c>
    </row>
    <row r="284" spans="1:5" x14ac:dyDescent="0.2">
      <c r="A284" s="1">
        <v>45411</v>
      </c>
      <c r="B284">
        <v>28.709413528442301</v>
      </c>
      <c r="C284">
        <v>304.91000366210898</v>
      </c>
      <c r="D284">
        <v>1598.75170898437</v>
      </c>
      <c r="E284">
        <v>1.25999999046325</v>
      </c>
    </row>
    <row r="285" spans="1:5" x14ac:dyDescent="0.2">
      <c r="A285" s="1">
        <v>45412</v>
      </c>
      <c r="B285">
        <v>27.863874435424801</v>
      </c>
      <c r="C285">
        <v>277.02999877929602</v>
      </c>
      <c r="D285">
        <v>1578.37829589843</v>
      </c>
      <c r="E285">
        <v>1.25</v>
      </c>
    </row>
    <row r="286" spans="1:5" x14ac:dyDescent="0.2">
      <c r="A286" s="1">
        <v>45414</v>
      </c>
      <c r="B286">
        <v>27.9513435363769</v>
      </c>
      <c r="C286">
        <v>289.989990234375</v>
      </c>
      <c r="D286">
        <v>1573.36987304687</v>
      </c>
      <c r="E286">
        <v>1.2400000095367401</v>
      </c>
    </row>
    <row r="287" spans="1:5" x14ac:dyDescent="0.2">
      <c r="A287" s="1">
        <v>45415</v>
      </c>
      <c r="B287">
        <v>28.524755477905199</v>
      </c>
      <c r="C287">
        <v>296.94000244140602</v>
      </c>
      <c r="D287">
        <v>1562.19567871093</v>
      </c>
      <c r="E287">
        <v>1.2400000095367401</v>
      </c>
    </row>
    <row r="288" spans="1:5" x14ac:dyDescent="0.2">
      <c r="A288" s="1">
        <v>45418</v>
      </c>
      <c r="B288">
        <v>27.718091964721602</v>
      </c>
      <c r="C288">
        <v>349.63000488281199</v>
      </c>
      <c r="D288">
        <v>1567.39379882812</v>
      </c>
      <c r="E288">
        <v>1.21000003814697</v>
      </c>
    </row>
    <row r="289" spans="1:5" x14ac:dyDescent="0.2">
      <c r="A289" s="1">
        <v>45419</v>
      </c>
      <c r="B289">
        <v>28.6802558898925</v>
      </c>
      <c r="C289">
        <v>339.48001098632801</v>
      </c>
      <c r="D289">
        <v>1579.25646972656</v>
      </c>
      <c r="E289">
        <v>1.1900000572204501</v>
      </c>
    </row>
    <row r="290" spans="1:5" x14ac:dyDescent="0.2">
      <c r="A290" s="1">
        <v>45420</v>
      </c>
      <c r="B290">
        <v>27.902748107910099</v>
      </c>
      <c r="C290">
        <v>341.600006103515</v>
      </c>
      <c r="D290">
        <v>1575.20568847656</v>
      </c>
      <c r="E290">
        <v>1.1799999475479099</v>
      </c>
    </row>
    <row r="291" spans="1:5" x14ac:dyDescent="0.2">
      <c r="A291" s="1">
        <v>45421</v>
      </c>
      <c r="B291">
        <v>28.758007049560501</v>
      </c>
      <c r="C291">
        <v>329.20999145507801</v>
      </c>
      <c r="D291">
        <v>1573.3798828125</v>
      </c>
      <c r="E291">
        <v>1.16999995708465</v>
      </c>
    </row>
    <row r="292" spans="1:5" x14ac:dyDescent="0.2">
      <c r="A292" s="1">
        <v>45422</v>
      </c>
      <c r="B292">
        <v>27.7569675445556</v>
      </c>
      <c r="C292">
        <v>289.260009765625</v>
      </c>
      <c r="D292">
        <v>1525.18090820312</v>
      </c>
      <c r="E292">
        <v>1.20000004768371</v>
      </c>
    </row>
    <row r="293" spans="1:5" x14ac:dyDescent="0.2">
      <c r="A293" s="1">
        <v>45425</v>
      </c>
      <c r="B293">
        <v>28.3886909484863</v>
      </c>
      <c r="C293">
        <v>288.11999511718699</v>
      </c>
      <c r="D293">
        <v>1551.53015136718</v>
      </c>
      <c r="E293">
        <v>1.20000004768371</v>
      </c>
    </row>
    <row r="294" spans="1:5" x14ac:dyDescent="0.2">
      <c r="A294" s="1">
        <v>45426</v>
      </c>
      <c r="B294">
        <v>27.7278118133544</v>
      </c>
      <c r="C294">
        <v>304</v>
      </c>
      <c r="D294">
        <v>1557.40686035156</v>
      </c>
      <c r="E294">
        <v>1.15999996662139</v>
      </c>
    </row>
    <row r="295" spans="1:5" x14ac:dyDescent="0.2">
      <c r="A295" s="1">
        <v>45427</v>
      </c>
      <c r="B295">
        <v>27.844436645507798</v>
      </c>
      <c r="C295">
        <v>334.58999633789</v>
      </c>
      <c r="D295">
        <v>1519.72351074218</v>
      </c>
      <c r="E295">
        <v>1.1900000572204501</v>
      </c>
    </row>
    <row r="296" spans="1:5" x14ac:dyDescent="0.2">
      <c r="A296" s="1">
        <v>45428</v>
      </c>
      <c r="B296">
        <v>27.358493804931602</v>
      </c>
      <c r="C296">
        <v>327.600006103515</v>
      </c>
      <c r="D296">
        <v>1536.44482421875</v>
      </c>
      <c r="E296">
        <v>1.25</v>
      </c>
    </row>
    <row r="297" spans="1:5" x14ac:dyDescent="0.2">
      <c r="A297" s="1">
        <v>45429</v>
      </c>
      <c r="B297">
        <v>27.4654026031494</v>
      </c>
      <c r="C297">
        <v>321.76998901367102</v>
      </c>
      <c r="D297">
        <v>1524.36254882812</v>
      </c>
      <c r="E297">
        <v>1.25</v>
      </c>
    </row>
    <row r="298" spans="1:5" x14ac:dyDescent="0.2">
      <c r="A298" s="1">
        <v>45432</v>
      </c>
      <c r="B298">
        <v>28.077688217163001</v>
      </c>
      <c r="C298">
        <v>371.35998535156199</v>
      </c>
      <c r="D298">
        <v>1511.18310546875</v>
      </c>
      <c r="E298">
        <v>1.2699999809265099</v>
      </c>
    </row>
    <row r="299" spans="1:5" x14ac:dyDescent="0.2">
      <c r="A299" s="1">
        <v>45433</v>
      </c>
      <c r="B299">
        <v>27.893032073974599</v>
      </c>
      <c r="C299">
        <v>356.27999877929602</v>
      </c>
      <c r="D299">
        <v>1533.970703125</v>
      </c>
      <c r="E299">
        <v>1.25999999046325</v>
      </c>
    </row>
    <row r="300" spans="1:5" x14ac:dyDescent="0.2">
      <c r="A300" s="1">
        <v>45434</v>
      </c>
      <c r="B300">
        <v>27.883312225341701</v>
      </c>
      <c r="C300">
        <v>353.079986572265</v>
      </c>
      <c r="D300">
        <v>1537.31286621093</v>
      </c>
      <c r="E300">
        <v>1.25999999046325</v>
      </c>
    </row>
    <row r="301" spans="1:5" x14ac:dyDescent="0.2">
      <c r="A301" s="1">
        <v>45435</v>
      </c>
      <c r="B301">
        <v>27.990219116210898</v>
      </c>
      <c r="C301">
        <v>336.14999389648398</v>
      </c>
      <c r="D301">
        <v>1524.3125</v>
      </c>
      <c r="E301">
        <v>1.2699999809265099</v>
      </c>
    </row>
    <row r="302" spans="1:5" x14ac:dyDescent="0.2">
      <c r="A302" s="1">
        <v>45436</v>
      </c>
      <c r="B302">
        <v>27.747247695922798</v>
      </c>
      <c r="C302">
        <v>352.600006103515</v>
      </c>
      <c r="D302">
        <v>1529.10180664062</v>
      </c>
      <c r="E302">
        <v>1.2699999809265099</v>
      </c>
    </row>
    <row r="303" spans="1:5" x14ac:dyDescent="0.2">
      <c r="A303" s="1">
        <v>45439</v>
      </c>
      <c r="B303">
        <v>28.126283645629801</v>
      </c>
      <c r="C303">
        <v>352.5</v>
      </c>
      <c r="D303">
        <v>1529.10180664062</v>
      </c>
      <c r="E303">
        <v>1.29999995231628</v>
      </c>
    </row>
    <row r="304" spans="1:5" x14ac:dyDescent="0.2">
      <c r="A304" s="1">
        <v>45440</v>
      </c>
      <c r="B304">
        <v>27.7083740234375</v>
      </c>
      <c r="C304">
        <v>349.20999145507801</v>
      </c>
      <c r="D304">
        <v>1544.15710449218</v>
      </c>
      <c r="E304">
        <v>1.3200000524520801</v>
      </c>
    </row>
    <row r="305" spans="1:5" x14ac:dyDescent="0.2">
      <c r="A305" s="1">
        <v>45441</v>
      </c>
      <c r="B305">
        <v>27.815280914306602</v>
      </c>
      <c r="C305">
        <v>344.29998779296801</v>
      </c>
      <c r="D305">
        <v>1554.42370605468</v>
      </c>
      <c r="E305">
        <v>1.3099999427795399</v>
      </c>
    </row>
    <row r="306" spans="1:5" x14ac:dyDescent="0.2">
      <c r="A306" s="1">
        <v>45442</v>
      </c>
      <c r="B306">
        <v>28.106843948364201</v>
      </c>
      <c r="C306">
        <v>339</v>
      </c>
      <c r="D306">
        <v>1581.08227539062</v>
      </c>
      <c r="E306">
        <v>1.3500000238418499</v>
      </c>
    </row>
    <row r="307" spans="1:5" x14ac:dyDescent="0.2">
      <c r="A307" s="1">
        <v>45443</v>
      </c>
      <c r="B307">
        <v>28.184597015380799</v>
      </c>
      <c r="C307">
        <v>327.60998535156199</v>
      </c>
      <c r="D307">
        <v>1603.16137695312</v>
      </c>
      <c r="E307">
        <v>1.3200000524520801</v>
      </c>
    </row>
    <row r="308" spans="1:5" x14ac:dyDescent="0.2">
      <c r="A308" s="1">
        <v>45446</v>
      </c>
      <c r="B308">
        <v>25.317541122436499</v>
      </c>
      <c r="C308">
        <v>344.67001342773398</v>
      </c>
      <c r="D308">
        <v>1669.47424316406</v>
      </c>
      <c r="E308">
        <v>1.29999995231628</v>
      </c>
    </row>
    <row r="309" spans="1:5" x14ac:dyDescent="0.2">
      <c r="A309" s="1">
        <v>45447</v>
      </c>
      <c r="B309">
        <v>25.7646083831787</v>
      </c>
      <c r="C309">
        <v>367.32000732421801</v>
      </c>
      <c r="D309">
        <v>1684.02404785156</v>
      </c>
      <c r="E309">
        <v>1.29999995231628</v>
      </c>
    </row>
    <row r="310" spans="1:5" x14ac:dyDescent="0.2">
      <c r="A310" s="1">
        <v>45448</v>
      </c>
      <c r="B310">
        <v>26.1047668457031</v>
      </c>
      <c r="C310">
        <v>369.19000244140602</v>
      </c>
      <c r="D310">
        <v>1646.26232910156</v>
      </c>
      <c r="E310">
        <v>1.29999995231628</v>
      </c>
    </row>
    <row r="311" spans="1:5" x14ac:dyDescent="0.2">
      <c r="A311" s="1">
        <v>45449</v>
      </c>
      <c r="B311">
        <v>25.6674194335937</v>
      </c>
      <c r="C311">
        <v>369.23001098632801</v>
      </c>
      <c r="D311">
        <v>1702.27624511718</v>
      </c>
      <c r="E311">
        <v>1.2400000095367401</v>
      </c>
    </row>
    <row r="312" spans="1:5" x14ac:dyDescent="0.2">
      <c r="A312" s="1">
        <v>45450</v>
      </c>
      <c r="B312">
        <v>24.384534835815401</v>
      </c>
      <c r="C312">
        <v>355.260009765625</v>
      </c>
      <c r="D312">
        <v>1782.25061035156</v>
      </c>
      <c r="E312">
        <v>1.25</v>
      </c>
    </row>
    <row r="313" spans="1:5" x14ac:dyDescent="0.2">
      <c r="A313" s="1">
        <v>45453</v>
      </c>
      <c r="B313">
        <v>25.210634231567301</v>
      </c>
      <c r="C313">
        <v>355.30999755859301</v>
      </c>
      <c r="D313">
        <v>1756.3642578125</v>
      </c>
      <c r="E313">
        <v>1.2200000286102199</v>
      </c>
    </row>
    <row r="314" spans="1:5" x14ac:dyDescent="0.2">
      <c r="A314" s="1">
        <v>45454</v>
      </c>
      <c r="B314">
        <v>25.113447189331001</v>
      </c>
      <c r="C314">
        <v>366.17001342773398</v>
      </c>
      <c r="D314">
        <v>1759.47778320312</v>
      </c>
      <c r="E314">
        <v>1.2200000286102199</v>
      </c>
    </row>
    <row r="315" spans="1:5" x14ac:dyDescent="0.2">
      <c r="A315" s="1">
        <v>45455</v>
      </c>
      <c r="B315">
        <v>24.8801956176757</v>
      </c>
      <c r="C315">
        <v>382.579986572265</v>
      </c>
      <c r="D315">
        <v>1746.40502929687</v>
      </c>
      <c r="E315">
        <v>1.2200000286102199</v>
      </c>
    </row>
    <row r="316" spans="1:5" x14ac:dyDescent="0.2">
      <c r="A316" s="1">
        <v>45456</v>
      </c>
      <c r="B316">
        <v>24.685817718505799</v>
      </c>
      <c r="C316">
        <v>367.91000366210898</v>
      </c>
      <c r="D316">
        <v>1742.10375976562</v>
      </c>
      <c r="E316">
        <v>1.2200000286102199</v>
      </c>
    </row>
    <row r="317" spans="1:5" x14ac:dyDescent="0.2">
      <c r="A317" s="1">
        <v>45457</v>
      </c>
      <c r="B317">
        <v>24.481723785400298</v>
      </c>
      <c r="C317">
        <v>357.38000488281199</v>
      </c>
      <c r="D317">
        <v>1726.42626953125</v>
      </c>
      <c r="E317">
        <v>1.2200000286102199</v>
      </c>
    </row>
    <row r="318" spans="1:5" x14ac:dyDescent="0.2">
      <c r="A318" s="1">
        <v>45460</v>
      </c>
      <c r="B318">
        <v>24.899633407592699</v>
      </c>
      <c r="C318">
        <v>369.92999267578102</v>
      </c>
      <c r="D318">
        <v>1758.56958007812</v>
      </c>
      <c r="E318">
        <v>1.21000003814697</v>
      </c>
    </row>
    <row r="319" spans="1:5" x14ac:dyDescent="0.2">
      <c r="A319" s="1">
        <v>45461</v>
      </c>
      <c r="B319">
        <v>25.949266433715799</v>
      </c>
      <c r="C319">
        <v>371.44000244140602</v>
      </c>
      <c r="D319">
        <v>1736.54541015625</v>
      </c>
      <c r="E319">
        <v>1.21000003814697</v>
      </c>
    </row>
    <row r="320" spans="1:5" x14ac:dyDescent="0.2">
      <c r="A320" s="1">
        <v>45462</v>
      </c>
      <c r="B320">
        <v>25.949266433715799</v>
      </c>
      <c r="C320">
        <v>373</v>
      </c>
      <c r="D320">
        <v>1736.54541015625</v>
      </c>
      <c r="E320">
        <v>1.21000003814697</v>
      </c>
    </row>
    <row r="321" spans="1:5" x14ac:dyDescent="0.2">
      <c r="A321" s="1">
        <v>45463</v>
      </c>
      <c r="B321">
        <v>26.153362274169901</v>
      </c>
      <c r="C321">
        <v>379.95001220703102</v>
      </c>
      <c r="D321">
        <v>1750.37658691406</v>
      </c>
      <c r="E321">
        <v>1.20000004768371</v>
      </c>
    </row>
    <row r="322" spans="1:5" x14ac:dyDescent="0.2">
      <c r="A322" s="1">
        <v>45464</v>
      </c>
      <c r="B322">
        <v>26.231111526489201</v>
      </c>
      <c r="C322">
        <v>346.66000366210898</v>
      </c>
      <c r="D322">
        <v>1753.61987304687</v>
      </c>
      <c r="E322">
        <v>1.20000004768371</v>
      </c>
    </row>
    <row r="323" spans="1:5" x14ac:dyDescent="0.2">
      <c r="A323" s="1">
        <v>45467</v>
      </c>
      <c r="B323">
        <v>26.7559280395507</v>
      </c>
      <c r="C323">
        <v>335.61999511718699</v>
      </c>
      <c r="D323">
        <v>1745.94592285156</v>
      </c>
      <c r="E323">
        <v>1.20000004768371</v>
      </c>
    </row>
    <row r="324" spans="1:5" x14ac:dyDescent="0.2">
      <c r="A324" s="1">
        <v>45468</v>
      </c>
      <c r="B324">
        <v>25.793766021728501</v>
      </c>
      <c r="C324">
        <v>345</v>
      </c>
      <c r="D324">
        <v>1719.05151367187</v>
      </c>
      <c r="E324">
        <v>1.20000004768371</v>
      </c>
    </row>
    <row r="325" spans="1:5" x14ac:dyDescent="0.2">
      <c r="A325" s="1">
        <v>45469</v>
      </c>
      <c r="B325">
        <v>26.075609207153299</v>
      </c>
      <c r="C325">
        <v>356.54000854492102</v>
      </c>
      <c r="D325">
        <v>1725.27868652343</v>
      </c>
      <c r="E325">
        <v>1.20000004768371</v>
      </c>
    </row>
    <row r="326" spans="1:5" x14ac:dyDescent="0.2">
      <c r="A326" s="1">
        <v>45470</v>
      </c>
      <c r="B326">
        <v>25.706295013427699</v>
      </c>
      <c r="C326">
        <v>361.55999755859301</v>
      </c>
      <c r="D326">
        <v>1733.63122558593</v>
      </c>
      <c r="E326">
        <v>1.20000004768371</v>
      </c>
    </row>
    <row r="327" spans="1:5" x14ac:dyDescent="0.2">
      <c r="A327" s="1">
        <v>45471</v>
      </c>
      <c r="B327">
        <v>26.580989837646399</v>
      </c>
      <c r="C327">
        <v>367.989990234375</v>
      </c>
      <c r="D327">
        <v>1380.40258789062</v>
      </c>
      <c r="E327">
        <v>1.20000004768371</v>
      </c>
    </row>
    <row r="328" spans="1:5" x14ac:dyDescent="0.2">
      <c r="A328" s="1">
        <v>45474</v>
      </c>
      <c r="B328">
        <v>26.085330963134702</v>
      </c>
      <c r="C328">
        <v>414.70999145507801</v>
      </c>
      <c r="D328">
        <v>1406.72814941406</v>
      </c>
      <c r="E328">
        <v>1.20000004768371</v>
      </c>
    </row>
    <row r="329" spans="1:5" x14ac:dyDescent="0.2">
      <c r="A329" s="1">
        <v>45475</v>
      </c>
      <c r="B329">
        <v>26.289424896240199</v>
      </c>
      <c r="C329">
        <v>403.11999511718699</v>
      </c>
      <c r="D329">
        <v>1386.84936523437</v>
      </c>
      <c r="E329">
        <v>1.20000004768371</v>
      </c>
    </row>
    <row r="330" spans="1:5" x14ac:dyDescent="0.2">
      <c r="A330" s="1">
        <v>45476</v>
      </c>
      <c r="B330">
        <v>26.143642425537099</v>
      </c>
      <c r="C330">
        <v>378.89001464843699</v>
      </c>
      <c r="D330">
        <v>1367.16979980468</v>
      </c>
      <c r="E330">
        <v>1.20000004768371</v>
      </c>
    </row>
    <row r="331" spans="1:5" x14ac:dyDescent="0.2">
      <c r="A331" s="1">
        <v>45477</v>
      </c>
      <c r="B331">
        <v>26.114486694335898</v>
      </c>
      <c r="C331">
        <v>378</v>
      </c>
      <c r="D331">
        <v>1380.14318847656</v>
      </c>
      <c r="E331">
        <v>1.20000004768371</v>
      </c>
    </row>
    <row r="332" spans="1:5" x14ac:dyDescent="0.2">
      <c r="A332" s="1">
        <v>45478</v>
      </c>
      <c r="B332">
        <v>25.5216369628906</v>
      </c>
      <c r="C332">
        <v>365.05999755859301</v>
      </c>
      <c r="D332">
        <v>1365.91259765625</v>
      </c>
      <c r="E332">
        <v>1.1799999475479099</v>
      </c>
    </row>
    <row r="333" spans="1:5" x14ac:dyDescent="0.2">
      <c r="A333" s="1">
        <v>45481</v>
      </c>
      <c r="B333">
        <v>26.454645156860298</v>
      </c>
      <c r="C333">
        <v>350.05999755859301</v>
      </c>
      <c r="D333">
        <v>1313.57080078125</v>
      </c>
      <c r="E333">
        <v>1.1799999475479099</v>
      </c>
    </row>
    <row r="334" spans="1:5" x14ac:dyDescent="0.2">
      <c r="A334" s="1">
        <v>45482</v>
      </c>
      <c r="B334">
        <v>25.5702304840087</v>
      </c>
      <c r="C334">
        <v>340.89001464843699</v>
      </c>
      <c r="D334">
        <v>1296.7158203125</v>
      </c>
      <c r="E334">
        <v>1.16999995708465</v>
      </c>
    </row>
    <row r="335" spans="1:5" x14ac:dyDescent="0.2">
      <c r="A335" s="1">
        <v>45483</v>
      </c>
      <c r="B335">
        <v>26.133922576904201</v>
      </c>
      <c r="C335">
        <v>336.5</v>
      </c>
      <c r="D335">
        <v>1289.29113769531</v>
      </c>
      <c r="E335">
        <v>1.12000000476837</v>
      </c>
    </row>
    <row r="336" spans="1:5" x14ac:dyDescent="0.2">
      <c r="A336" s="1">
        <v>45484</v>
      </c>
      <c r="B336">
        <v>26.182518005371001</v>
      </c>
      <c r="C336">
        <v>339</v>
      </c>
      <c r="D336">
        <v>1296.49621582031</v>
      </c>
      <c r="E336">
        <v>1.1000000238418499</v>
      </c>
    </row>
    <row r="337" spans="1:5" x14ac:dyDescent="0.2">
      <c r="A337" s="1">
        <v>45485</v>
      </c>
      <c r="B337">
        <v>26.0561714172363</v>
      </c>
      <c r="C337">
        <v>364.42999267578102</v>
      </c>
      <c r="D337">
        <v>1294.7998046875</v>
      </c>
      <c r="E337">
        <v>1.15999996662139</v>
      </c>
    </row>
    <row r="338" spans="1:5" x14ac:dyDescent="0.2">
      <c r="A338" s="1">
        <v>45488</v>
      </c>
      <c r="B338">
        <v>26.133922576904201</v>
      </c>
      <c r="C338">
        <v>435.61999511718699</v>
      </c>
      <c r="D338">
        <v>1267.59606933593</v>
      </c>
      <c r="E338">
        <v>1.20000004768371</v>
      </c>
    </row>
    <row r="339" spans="1:5" x14ac:dyDescent="0.2">
      <c r="A339" s="1">
        <v>45489</v>
      </c>
      <c r="B339">
        <v>26.046453475952099</v>
      </c>
      <c r="C339">
        <v>468</v>
      </c>
      <c r="D339">
        <v>1283.56298828125</v>
      </c>
      <c r="E339">
        <v>1.20000004768371</v>
      </c>
    </row>
    <row r="340" spans="1:5" x14ac:dyDescent="0.2">
      <c r="A340" s="1">
        <v>45490</v>
      </c>
      <c r="B340">
        <v>24.714973449706999</v>
      </c>
      <c r="C340">
        <v>452.04998779296801</v>
      </c>
      <c r="D340">
        <v>1292.7041015625</v>
      </c>
      <c r="E340">
        <v>1.20000004768371</v>
      </c>
    </row>
    <row r="341" spans="1:5" x14ac:dyDescent="0.2">
      <c r="A341" s="1">
        <v>45491</v>
      </c>
      <c r="B341">
        <v>23.8111248016357</v>
      </c>
      <c r="C341">
        <v>422.67001342773398</v>
      </c>
      <c r="D341">
        <v>1304.31982421875</v>
      </c>
      <c r="E341">
        <v>1.20000004768371</v>
      </c>
    </row>
    <row r="342" spans="1:5" x14ac:dyDescent="0.2">
      <c r="A342" s="1">
        <v>45492</v>
      </c>
      <c r="B342">
        <v>23.966625213623001</v>
      </c>
      <c r="C342">
        <v>447.489990234375</v>
      </c>
      <c r="D342">
        <v>1312.28332519531</v>
      </c>
      <c r="E342">
        <v>1.20000004768371</v>
      </c>
    </row>
    <row r="343" spans="1:5" x14ac:dyDescent="0.2">
      <c r="A343" s="1">
        <v>45495</v>
      </c>
      <c r="B343">
        <v>24.928789138793899</v>
      </c>
      <c r="C343">
        <v>437.079986572265</v>
      </c>
      <c r="D343">
        <v>1342.07189941406</v>
      </c>
      <c r="E343">
        <v>1.20000004768371</v>
      </c>
    </row>
    <row r="344" spans="1:5" x14ac:dyDescent="0.2">
      <c r="A344" s="1">
        <v>45496</v>
      </c>
      <c r="B344">
        <v>24.831600189208899</v>
      </c>
      <c r="C344">
        <v>392.39001464843699</v>
      </c>
      <c r="D344">
        <v>1327.91125488281</v>
      </c>
      <c r="E344">
        <v>1.20000004768371</v>
      </c>
    </row>
    <row r="345" spans="1:5" x14ac:dyDescent="0.2">
      <c r="A345" s="1">
        <v>45497</v>
      </c>
      <c r="B345">
        <v>24.4914436340332</v>
      </c>
      <c r="C345">
        <v>380.32000732421801</v>
      </c>
      <c r="D345">
        <v>1307.26391601562</v>
      </c>
      <c r="E345">
        <v>1.1799999475479099</v>
      </c>
    </row>
    <row r="346" spans="1:5" x14ac:dyDescent="0.2">
      <c r="A346" s="1">
        <v>45498</v>
      </c>
      <c r="B346">
        <v>24.394252777099599</v>
      </c>
      <c r="C346">
        <v>376.55999755859301</v>
      </c>
      <c r="D346">
        <v>1314.27941894531</v>
      </c>
      <c r="E346">
        <v>1.1799999475479099</v>
      </c>
    </row>
    <row r="347" spans="1:5" x14ac:dyDescent="0.2">
      <c r="A347" s="1">
        <v>45499</v>
      </c>
      <c r="B347">
        <v>24.481723785400298</v>
      </c>
      <c r="C347">
        <v>396.42001342773398</v>
      </c>
      <c r="D347">
        <v>1334.99645996093</v>
      </c>
      <c r="E347">
        <v>1.1799999475479099</v>
      </c>
    </row>
    <row r="348" spans="1:5" x14ac:dyDescent="0.2">
      <c r="A348" s="1">
        <v>45502</v>
      </c>
      <c r="B348">
        <v>24.442848205566399</v>
      </c>
      <c r="C348">
        <v>381.69000244140602</v>
      </c>
      <c r="D348">
        <v>1365.36364746093</v>
      </c>
      <c r="E348">
        <v>1.1799999475479099</v>
      </c>
    </row>
    <row r="349" spans="1:5" x14ac:dyDescent="0.2">
      <c r="A349" s="1">
        <v>45503</v>
      </c>
      <c r="B349">
        <v>25.453605651855401</v>
      </c>
      <c r="C349">
        <v>372.94000244140602</v>
      </c>
      <c r="D349">
        <v>1390.81103515625</v>
      </c>
      <c r="E349">
        <v>1.1799999475479099</v>
      </c>
    </row>
    <row r="350" spans="1:5" x14ac:dyDescent="0.2">
      <c r="A350" s="1">
        <v>45504</v>
      </c>
      <c r="B350">
        <v>25.152320861816399</v>
      </c>
      <c r="C350">
        <v>367.01998901367102</v>
      </c>
      <c r="D350">
        <v>1390.52160644531</v>
      </c>
      <c r="E350">
        <v>1.1799999475479099</v>
      </c>
    </row>
    <row r="351" spans="1:5" x14ac:dyDescent="0.2">
      <c r="A351" s="1">
        <v>45505</v>
      </c>
      <c r="B351">
        <v>24.394252777099599</v>
      </c>
      <c r="C351">
        <v>340.55999755859301</v>
      </c>
      <c r="D351">
        <v>1375.81201171875</v>
      </c>
      <c r="E351">
        <v>1.1799999475479099</v>
      </c>
    </row>
    <row r="352" spans="1:5" x14ac:dyDescent="0.2">
      <c r="A352" s="1">
        <v>45506</v>
      </c>
      <c r="B352">
        <v>24.219314575195298</v>
      </c>
      <c r="C352">
        <v>328.16000366210898</v>
      </c>
      <c r="D352">
        <v>1412.1767578125</v>
      </c>
      <c r="E352">
        <v>1.1499999761581401</v>
      </c>
    </row>
    <row r="353" spans="1:5" x14ac:dyDescent="0.2">
      <c r="A353" s="1">
        <v>45509</v>
      </c>
      <c r="B353">
        <v>24.2095947265625</v>
      </c>
      <c r="C353">
        <v>325.95999145507801</v>
      </c>
      <c r="D353">
        <v>1387.47790527343</v>
      </c>
      <c r="E353">
        <v>1.1499999761581401</v>
      </c>
    </row>
    <row r="354" spans="1:5" x14ac:dyDescent="0.2">
      <c r="A354" s="1">
        <v>45510</v>
      </c>
      <c r="B354">
        <v>24.1804389953613</v>
      </c>
      <c r="C354">
        <v>336.5</v>
      </c>
      <c r="D354">
        <v>1417.68530273437</v>
      </c>
      <c r="E354">
        <v>1.1000000238418499</v>
      </c>
    </row>
    <row r="355" spans="1:5" x14ac:dyDescent="0.2">
      <c r="A355" s="1">
        <v>45511</v>
      </c>
      <c r="B355">
        <v>23.227993011474599</v>
      </c>
      <c r="C355">
        <v>308.32000732421801</v>
      </c>
      <c r="D355">
        <v>1400.10180664062</v>
      </c>
      <c r="E355">
        <v>1.1000000238418499</v>
      </c>
    </row>
    <row r="356" spans="1:5" x14ac:dyDescent="0.2">
      <c r="A356" s="1">
        <v>45512</v>
      </c>
      <c r="B356">
        <v>23.995782852172798</v>
      </c>
      <c r="C356">
        <v>330.70999145507801</v>
      </c>
      <c r="D356">
        <v>1402.91577148437</v>
      </c>
      <c r="E356">
        <v>1.1000000238418499</v>
      </c>
    </row>
    <row r="357" spans="1:5" x14ac:dyDescent="0.2">
      <c r="A357" s="1">
        <v>45513</v>
      </c>
      <c r="B357">
        <v>23.393215179443299</v>
      </c>
      <c r="C357">
        <v>321.89999389648398</v>
      </c>
      <c r="D357">
        <v>1397.15795898437</v>
      </c>
      <c r="E357">
        <v>1.0700000524520801</v>
      </c>
    </row>
    <row r="358" spans="1:5" x14ac:dyDescent="0.2">
      <c r="A358" s="1">
        <v>45516</v>
      </c>
      <c r="B358">
        <v>23.684780120849599</v>
      </c>
      <c r="C358">
        <v>290.14001464843699</v>
      </c>
      <c r="D358">
        <v>1414.55187988281</v>
      </c>
      <c r="E358">
        <v>1.04999995231628</v>
      </c>
    </row>
    <row r="359" spans="1:5" x14ac:dyDescent="0.2">
      <c r="A359" s="1">
        <v>45517</v>
      </c>
      <c r="B359">
        <v>23.879156112670898</v>
      </c>
      <c r="C359">
        <v>295.010009765625</v>
      </c>
      <c r="D359">
        <v>1490.76416015625</v>
      </c>
      <c r="E359">
        <v>1.0299999713897701</v>
      </c>
    </row>
    <row r="360" spans="1:5" x14ac:dyDescent="0.2">
      <c r="A360" s="1">
        <v>45518</v>
      </c>
      <c r="B360">
        <v>23.684780120849599</v>
      </c>
      <c r="C360">
        <v>284</v>
      </c>
      <c r="D360">
        <v>1477.28198242187</v>
      </c>
      <c r="E360">
        <v>1</v>
      </c>
    </row>
    <row r="361" spans="1:5" x14ac:dyDescent="0.2">
      <c r="A361" s="1">
        <v>45519</v>
      </c>
      <c r="B361">
        <v>24.083251953125</v>
      </c>
      <c r="C361">
        <v>289</v>
      </c>
      <c r="D361">
        <v>1534.84265136718</v>
      </c>
      <c r="E361">
        <v>1.03999996185302</v>
      </c>
    </row>
    <row r="362" spans="1:5" x14ac:dyDescent="0.2">
      <c r="A362" s="1">
        <v>45520</v>
      </c>
      <c r="B362">
        <v>24.092969894409102</v>
      </c>
      <c r="C362">
        <v>303.29998779296801</v>
      </c>
      <c r="D362">
        <v>1548.78405761718</v>
      </c>
      <c r="E362">
        <v>1.08000004291534</v>
      </c>
    </row>
    <row r="363" spans="1:5" x14ac:dyDescent="0.2">
      <c r="A363" s="1">
        <v>45523</v>
      </c>
      <c r="B363">
        <v>24.442848205566399</v>
      </c>
      <c r="C363">
        <v>309.5</v>
      </c>
      <c r="D363">
        <v>1555.77954101562</v>
      </c>
      <c r="E363">
        <v>1.0299999713897701</v>
      </c>
    </row>
    <row r="364" spans="1:5" x14ac:dyDescent="0.2">
      <c r="A364" s="1">
        <v>45524</v>
      </c>
      <c r="B364">
        <v>24.4914436340332</v>
      </c>
      <c r="C364">
        <v>315</v>
      </c>
      <c r="D364">
        <v>1586.04663085937</v>
      </c>
      <c r="E364">
        <v>1</v>
      </c>
    </row>
    <row r="365" spans="1:5" x14ac:dyDescent="0.2">
      <c r="A365" s="1">
        <v>45525</v>
      </c>
      <c r="B365">
        <v>24.851037979125898</v>
      </c>
      <c r="C365">
        <v>340.239990234375</v>
      </c>
      <c r="D365">
        <v>1618.70910644531</v>
      </c>
      <c r="E365">
        <v>1</v>
      </c>
    </row>
    <row r="366" spans="1:5" x14ac:dyDescent="0.2">
      <c r="A366" s="1">
        <v>45526</v>
      </c>
      <c r="B366">
        <v>25.210634231567301</v>
      </c>
      <c r="C366">
        <v>329.989990234375</v>
      </c>
      <c r="D366">
        <v>1617.84094238281</v>
      </c>
      <c r="E366">
        <v>0.980000019073486</v>
      </c>
    </row>
    <row r="367" spans="1:5" x14ac:dyDescent="0.2">
      <c r="A367" s="1">
        <v>45527</v>
      </c>
      <c r="B367">
        <v>24.957944869995099</v>
      </c>
      <c r="C367">
        <v>355.29000854492102</v>
      </c>
      <c r="D367">
        <v>1600.38708496093</v>
      </c>
      <c r="E367">
        <v>0.980000019073486</v>
      </c>
    </row>
    <row r="368" spans="1:5" x14ac:dyDescent="0.2">
      <c r="A368" s="1">
        <v>45530</v>
      </c>
      <c r="B368">
        <v>24.112407684326101</v>
      </c>
      <c r="C368">
        <v>359.55999755859301</v>
      </c>
      <c r="D368">
        <v>1626.90234375</v>
      </c>
      <c r="E368">
        <v>0.93999999761581399</v>
      </c>
    </row>
    <row r="369" spans="1:5" x14ac:dyDescent="0.2">
      <c r="A369" s="1">
        <v>45531</v>
      </c>
      <c r="B369">
        <v>24.1804389953613</v>
      </c>
      <c r="C369">
        <v>349.97000122070301</v>
      </c>
      <c r="D369">
        <v>1674.12451171875</v>
      </c>
      <c r="E369">
        <v>0.88999998569488503</v>
      </c>
    </row>
    <row r="370" spans="1:5" x14ac:dyDescent="0.2">
      <c r="A370" s="1">
        <v>45532</v>
      </c>
      <c r="B370">
        <v>24.510879516601499</v>
      </c>
      <c r="C370">
        <v>336.60998535156199</v>
      </c>
      <c r="D370">
        <v>1623.75866699218</v>
      </c>
      <c r="E370">
        <v>0.87000000476837103</v>
      </c>
    </row>
    <row r="371" spans="1:5" x14ac:dyDescent="0.2">
      <c r="A371" s="1">
        <v>45533</v>
      </c>
      <c r="B371">
        <v>24.0346565246582</v>
      </c>
      <c r="C371">
        <v>339.600006103515</v>
      </c>
      <c r="D371">
        <v>1649.3056640625</v>
      </c>
      <c r="E371">
        <v>0.80000001192092896</v>
      </c>
    </row>
    <row r="372" spans="1:5" x14ac:dyDescent="0.2">
      <c r="A372" s="1">
        <v>45534</v>
      </c>
      <c r="B372">
        <v>24.277626037597599</v>
      </c>
      <c r="C372">
        <v>328.33999633789</v>
      </c>
      <c r="D372">
        <v>1631.39294433593</v>
      </c>
      <c r="E372">
        <v>0.76999998092651301</v>
      </c>
    </row>
    <row r="373" spans="1:5" x14ac:dyDescent="0.2">
      <c r="A373" s="1">
        <v>45537</v>
      </c>
      <c r="B373">
        <v>24.248472213745099</v>
      </c>
      <c r="C373">
        <v>335.5</v>
      </c>
      <c r="D373">
        <v>1626.6328125</v>
      </c>
      <c r="E373">
        <v>0.75999999046325595</v>
      </c>
    </row>
    <row r="374" spans="1:5" x14ac:dyDescent="0.2">
      <c r="A374" s="1">
        <v>45538</v>
      </c>
      <c r="B374">
        <v>23.869436264038001</v>
      </c>
      <c r="C374">
        <v>301.11999511718699</v>
      </c>
      <c r="D374">
        <v>1605.76110839843</v>
      </c>
      <c r="E374">
        <v>0.75199997425079301</v>
      </c>
    </row>
    <row r="375" spans="1:5" x14ac:dyDescent="0.2">
      <c r="A375" s="1">
        <v>45539</v>
      </c>
      <c r="B375">
        <v>23.8111248016357</v>
      </c>
      <c r="C375">
        <v>295.91000366210898</v>
      </c>
      <c r="D375">
        <v>1610.03332519531</v>
      </c>
      <c r="E375">
        <v>0.72000002861022905</v>
      </c>
    </row>
    <row r="376" spans="1:5" x14ac:dyDescent="0.2">
      <c r="A376" s="1">
        <v>45540</v>
      </c>
      <c r="B376">
        <v>23.6944980621337</v>
      </c>
      <c r="C376">
        <v>277.13000488281199</v>
      </c>
      <c r="D376">
        <v>1608.52612304687</v>
      </c>
      <c r="E376">
        <v>0.72000002861022905</v>
      </c>
    </row>
    <row r="377" spans="1:5" x14ac:dyDescent="0.2">
      <c r="A377" s="1">
        <v>45541</v>
      </c>
      <c r="B377">
        <v>24.1804389953613</v>
      </c>
      <c r="C377">
        <v>267.36999511718699</v>
      </c>
      <c r="D377">
        <v>1613.02795410156</v>
      </c>
      <c r="E377">
        <v>0.66000002622604304</v>
      </c>
    </row>
    <row r="378" spans="1:5" x14ac:dyDescent="0.2">
      <c r="A378" s="1">
        <v>45544</v>
      </c>
      <c r="B378">
        <v>23.752811431884702</v>
      </c>
      <c r="C378">
        <v>289.329986572265</v>
      </c>
      <c r="D378">
        <v>1579.90893554687</v>
      </c>
      <c r="E378">
        <v>0.66000002622604304</v>
      </c>
    </row>
    <row r="379" spans="1:5" x14ac:dyDescent="0.2">
      <c r="A379" s="1">
        <v>45545</v>
      </c>
      <c r="B379">
        <v>23.4029331207275</v>
      </c>
      <c r="C379">
        <v>317.54000854492102</v>
      </c>
      <c r="D379">
        <v>1566.35388183593</v>
      </c>
      <c r="E379">
        <v>0.66000002622604304</v>
      </c>
    </row>
    <row r="380" spans="1:5" x14ac:dyDescent="0.2">
      <c r="A380" s="1">
        <v>45546</v>
      </c>
      <c r="B380">
        <v>22.742052078246999</v>
      </c>
      <c r="C380">
        <v>311.239990234375</v>
      </c>
      <c r="D380">
        <v>1544.70385742187</v>
      </c>
      <c r="E380">
        <v>0.66000002622604304</v>
      </c>
    </row>
    <row r="381" spans="1:5" x14ac:dyDescent="0.2">
      <c r="A381" s="1">
        <v>45547</v>
      </c>
      <c r="B381">
        <v>22.703178405761701</v>
      </c>
      <c r="C381">
        <v>305.489990234375</v>
      </c>
      <c r="D381">
        <v>1528.6533203125</v>
      </c>
      <c r="E381">
        <v>0.66000002622604304</v>
      </c>
    </row>
    <row r="382" spans="1:5" x14ac:dyDescent="0.2">
      <c r="A382" s="1">
        <v>45548</v>
      </c>
      <c r="B382">
        <v>22.810083389282202</v>
      </c>
      <c r="C382">
        <v>310.80999755859301</v>
      </c>
      <c r="D382">
        <v>1515.44775390625</v>
      </c>
      <c r="E382">
        <v>0.64999997615814198</v>
      </c>
    </row>
    <row r="383" spans="1:5" x14ac:dyDescent="0.2">
      <c r="A383" s="1">
        <v>45552</v>
      </c>
      <c r="B383">
        <v>23.315464019775298</v>
      </c>
      <c r="C383">
        <v>303.989990234375</v>
      </c>
      <c r="D383">
        <v>1535.31115722656</v>
      </c>
      <c r="E383">
        <v>0.64999997615814198</v>
      </c>
    </row>
    <row r="384" spans="1:5" x14ac:dyDescent="0.2">
      <c r="A384" s="1">
        <v>45553</v>
      </c>
      <c r="B384">
        <v>23.383495330810501</v>
      </c>
      <c r="C384">
        <v>295.23001098632801</v>
      </c>
      <c r="D384">
        <v>1572.09326171875</v>
      </c>
      <c r="E384">
        <v>0.68999999761581399</v>
      </c>
    </row>
    <row r="385" spans="1:5" x14ac:dyDescent="0.2">
      <c r="A385" s="1">
        <v>45554</v>
      </c>
      <c r="B385">
        <v>23.286306381225501</v>
      </c>
      <c r="C385">
        <v>298.16000366210898</v>
      </c>
      <c r="D385">
        <v>1556.69177246093</v>
      </c>
      <c r="E385">
        <v>0.64999997615814198</v>
      </c>
    </row>
    <row r="386" spans="1:5" x14ac:dyDescent="0.2">
      <c r="A386" s="1">
        <v>45555</v>
      </c>
      <c r="B386">
        <v>23.247430801391602</v>
      </c>
      <c r="C386">
        <v>302.100006103515</v>
      </c>
      <c r="D386">
        <v>1673.09716796875</v>
      </c>
      <c r="E386">
        <v>0.58999997377395597</v>
      </c>
    </row>
    <row r="387" spans="1:5" x14ac:dyDescent="0.2">
      <c r="A387" s="1">
        <v>45558</v>
      </c>
      <c r="B387">
        <v>23.140523910522401</v>
      </c>
      <c r="C387">
        <v>310.579986572265</v>
      </c>
      <c r="D387">
        <v>1667.07836914062</v>
      </c>
      <c r="E387">
        <v>0.54000002145767201</v>
      </c>
    </row>
    <row r="388" spans="1:5" x14ac:dyDescent="0.2">
      <c r="A388" s="1">
        <v>45559</v>
      </c>
      <c r="B388">
        <v>23.548713684081999</v>
      </c>
      <c r="C388">
        <v>313.69000244140602</v>
      </c>
      <c r="D388">
        <v>1681.90087890625</v>
      </c>
      <c r="E388">
        <v>0.50400000810623102</v>
      </c>
    </row>
    <row r="389" spans="1:5" x14ac:dyDescent="0.2">
      <c r="A389" s="1">
        <v>45560</v>
      </c>
      <c r="B389">
        <v>22.9947414398193</v>
      </c>
      <c r="C389">
        <v>316.510009765625</v>
      </c>
      <c r="D389">
        <v>1720.06066894531</v>
      </c>
      <c r="E389">
        <v>0.52999997138976995</v>
      </c>
    </row>
    <row r="390" spans="1:5" x14ac:dyDescent="0.2">
      <c r="A390" s="1">
        <v>45561</v>
      </c>
      <c r="B390">
        <v>23.1308059692382</v>
      </c>
      <c r="C390">
        <v>344</v>
      </c>
      <c r="D390">
        <v>1746.78137207031</v>
      </c>
      <c r="E390">
        <v>0.55000001192092896</v>
      </c>
    </row>
    <row r="391" spans="1:5" x14ac:dyDescent="0.2">
      <c r="A391" s="1">
        <v>45562</v>
      </c>
      <c r="B391">
        <v>23.364057540893501</v>
      </c>
      <c r="C391">
        <v>337.92001342773398</v>
      </c>
      <c r="D391">
        <v>1761.27478027343</v>
      </c>
      <c r="E391">
        <v>0.55000001192092896</v>
      </c>
    </row>
    <row r="392" spans="1:5" x14ac:dyDescent="0.2">
      <c r="A392" s="1">
        <v>45565</v>
      </c>
      <c r="B392">
        <v>22.887834548950099</v>
      </c>
      <c r="C392">
        <v>318.67999267578102</v>
      </c>
      <c r="D392">
        <v>1739.015625</v>
      </c>
      <c r="E392">
        <v>0.53600001335143999</v>
      </c>
    </row>
    <row r="393" spans="1:5" x14ac:dyDescent="0.2">
      <c r="A393" s="1">
        <v>45567</v>
      </c>
      <c r="B393">
        <v>22.839241027831999</v>
      </c>
      <c r="C393">
        <v>294.88000488281199</v>
      </c>
      <c r="D393">
        <v>1611.4208984375</v>
      </c>
      <c r="E393">
        <v>0.55000001192092896</v>
      </c>
    </row>
    <row r="394" spans="1:5" x14ac:dyDescent="0.2">
      <c r="A394" s="1">
        <v>45568</v>
      </c>
      <c r="B394">
        <v>22.7906475067138</v>
      </c>
      <c r="C394">
        <v>298</v>
      </c>
      <c r="D394">
        <v>1587.86413574218</v>
      </c>
      <c r="E394">
        <v>0.55000001192092896</v>
      </c>
    </row>
    <row r="395" spans="1:5" x14ac:dyDescent="0.2">
      <c r="A395" s="1">
        <v>45569</v>
      </c>
      <c r="B395">
        <v>23.4029331207275</v>
      </c>
      <c r="C395">
        <v>313.510009765625</v>
      </c>
      <c r="D395">
        <v>1582.18481445312</v>
      </c>
      <c r="E395">
        <v>0.55000001192092896</v>
      </c>
    </row>
    <row r="396" spans="1:5" x14ac:dyDescent="0.2">
      <c r="A396" s="1">
        <v>45572</v>
      </c>
      <c r="B396">
        <v>22.907272338867099</v>
      </c>
      <c r="C396">
        <v>307</v>
      </c>
      <c r="D396">
        <v>1556.1328125</v>
      </c>
      <c r="E396">
        <v>0.490999996662139</v>
      </c>
    </row>
    <row r="397" spans="1:5" x14ac:dyDescent="0.2">
      <c r="A397" s="1">
        <v>45573</v>
      </c>
      <c r="B397">
        <v>22.703178405761701</v>
      </c>
      <c r="C397">
        <v>307.29000854492102</v>
      </c>
      <c r="D397">
        <v>1560.71423339843</v>
      </c>
      <c r="E397">
        <v>0.5</v>
      </c>
    </row>
    <row r="398" spans="1:5" x14ac:dyDescent="0.2">
      <c r="A398" s="1">
        <v>45574</v>
      </c>
      <c r="B398">
        <v>22.926710128784102</v>
      </c>
      <c r="C398">
        <v>300.17999267578102</v>
      </c>
      <c r="D398">
        <v>1609.03527832031</v>
      </c>
      <c r="E398">
        <v>0.49500000476837103</v>
      </c>
    </row>
    <row r="399" spans="1:5" x14ac:dyDescent="0.2">
      <c r="A399" s="1">
        <v>45575</v>
      </c>
      <c r="B399">
        <v>22.878116607666001</v>
      </c>
      <c r="C399">
        <v>296.739990234375</v>
      </c>
      <c r="D399">
        <v>1597.06713867187</v>
      </c>
      <c r="E399">
        <v>0.479999989271163</v>
      </c>
    </row>
    <row r="400" spans="1:5" x14ac:dyDescent="0.2">
      <c r="A400" s="1">
        <v>45576</v>
      </c>
      <c r="B400">
        <v>23.383495330810501</v>
      </c>
      <c r="C400">
        <v>309.350006103515</v>
      </c>
      <c r="D400">
        <v>1576.13598632812</v>
      </c>
      <c r="E400">
        <v>0.37999999523162797</v>
      </c>
    </row>
    <row r="401" spans="1:5" x14ac:dyDescent="0.2">
      <c r="A401" s="1">
        <v>45579</v>
      </c>
      <c r="B401">
        <v>22.780929565429599</v>
      </c>
      <c r="C401">
        <v>329</v>
      </c>
      <c r="D401">
        <v>1570.11694335937</v>
      </c>
      <c r="E401">
        <v>0.37000000476837103</v>
      </c>
    </row>
    <row r="402" spans="1:5" x14ac:dyDescent="0.2">
      <c r="A402" s="1">
        <v>45580</v>
      </c>
      <c r="B402">
        <v>22.1880798339843</v>
      </c>
      <c r="C402">
        <v>334.64999389648398</v>
      </c>
      <c r="D402">
        <v>1616.76098632812</v>
      </c>
      <c r="E402">
        <v>0.34999999403953502</v>
      </c>
    </row>
    <row r="403" spans="1:5" x14ac:dyDescent="0.2">
      <c r="A403" s="1">
        <v>45581</v>
      </c>
      <c r="B403">
        <v>22.508800506591701</v>
      </c>
      <c r="C403">
        <v>357.60998535156199</v>
      </c>
      <c r="D403">
        <v>1670.96118164062</v>
      </c>
      <c r="E403">
        <v>0.35100001096725397</v>
      </c>
    </row>
    <row r="404" spans="1:5" x14ac:dyDescent="0.2">
      <c r="A404" s="1">
        <v>45582</v>
      </c>
      <c r="B404">
        <v>22.256111145019499</v>
      </c>
      <c r="C404">
        <v>358</v>
      </c>
      <c r="D404">
        <v>1659.18273925781</v>
      </c>
      <c r="E404">
        <v>0.34999999403953502</v>
      </c>
    </row>
    <row r="405" spans="1:5" x14ac:dyDescent="0.2">
      <c r="A405" s="1">
        <v>45583</v>
      </c>
      <c r="B405">
        <v>22.6254272460937</v>
      </c>
      <c r="C405">
        <v>374.04998779296801</v>
      </c>
      <c r="D405">
        <v>1640.8466796875</v>
      </c>
      <c r="E405">
        <v>0.34999999403953502</v>
      </c>
    </row>
    <row r="406" spans="1:5" x14ac:dyDescent="0.2">
      <c r="A406" s="1">
        <v>45586</v>
      </c>
      <c r="B406">
        <v>21.8284816741943</v>
      </c>
      <c r="C406">
        <v>371.82000732421801</v>
      </c>
      <c r="D406">
        <v>1630.64526367187</v>
      </c>
      <c r="E406">
        <v>0.31000000238418501</v>
      </c>
    </row>
    <row r="407" spans="1:5" x14ac:dyDescent="0.2">
      <c r="A407" s="1">
        <v>45587</v>
      </c>
      <c r="B407">
        <v>22.032579421996999</v>
      </c>
      <c r="C407">
        <v>376.54998779296801</v>
      </c>
      <c r="D407">
        <v>1618.07849121093</v>
      </c>
      <c r="E407">
        <v>0.28999999165534901</v>
      </c>
    </row>
    <row r="408" spans="1:5" x14ac:dyDescent="0.2">
      <c r="A408" s="1">
        <v>45588</v>
      </c>
      <c r="B408">
        <v>21.0218200683593</v>
      </c>
      <c r="C408">
        <v>357.01998901367102</v>
      </c>
      <c r="D408">
        <v>1587.07568359375</v>
      </c>
      <c r="E408">
        <v>0.28000000119209201</v>
      </c>
    </row>
    <row r="409" spans="1:5" x14ac:dyDescent="0.2">
      <c r="A409" s="1">
        <v>45589</v>
      </c>
      <c r="B409">
        <v>20.487285614013601</v>
      </c>
      <c r="C409">
        <v>360.55999755859301</v>
      </c>
      <c r="D409">
        <v>1569.29833984375</v>
      </c>
      <c r="E409">
        <v>0.234999999403953</v>
      </c>
    </row>
    <row r="410" spans="1:5" x14ac:dyDescent="0.2">
      <c r="A410" s="1">
        <v>45590</v>
      </c>
      <c r="B410">
        <v>20.030500411987301</v>
      </c>
      <c r="C410">
        <v>341.989990234375</v>
      </c>
      <c r="D410">
        <v>1570.10693359375</v>
      </c>
      <c r="E410">
        <v>0.245000004768371</v>
      </c>
    </row>
    <row r="411" spans="1:5" x14ac:dyDescent="0.2">
      <c r="A411" s="1">
        <v>45593</v>
      </c>
      <c r="B411">
        <v>20.011062622070298</v>
      </c>
      <c r="C411">
        <v>381.39999389648398</v>
      </c>
      <c r="D411">
        <v>1585.07934570312</v>
      </c>
      <c r="E411">
        <v>0.25</v>
      </c>
    </row>
    <row r="412" spans="1:5" x14ac:dyDescent="0.2">
      <c r="A412" s="1">
        <v>45594</v>
      </c>
      <c r="B412">
        <v>19.593152999877901</v>
      </c>
      <c r="C412">
        <v>380.70999145507801</v>
      </c>
      <c r="D412">
        <v>1574.88830566406</v>
      </c>
      <c r="E412">
        <v>0.25</v>
      </c>
    </row>
    <row r="413" spans="1:5" x14ac:dyDescent="0.2">
      <c r="A413" s="1">
        <v>45595</v>
      </c>
      <c r="B413">
        <v>19.8264045715332</v>
      </c>
      <c r="C413">
        <v>372.25</v>
      </c>
      <c r="D413">
        <v>1540.65124511718</v>
      </c>
      <c r="E413">
        <v>0.259999990463256</v>
      </c>
    </row>
    <row r="414" spans="1:5" x14ac:dyDescent="0.2">
      <c r="A414" s="1">
        <v>45596</v>
      </c>
      <c r="B414">
        <v>19.8555603027343</v>
      </c>
      <c r="C414">
        <v>338.29998779296801</v>
      </c>
      <c r="D414">
        <v>1535.17114257812</v>
      </c>
      <c r="E414">
        <v>0.259999990463256</v>
      </c>
    </row>
    <row r="415" spans="1:5" x14ac:dyDescent="0.2">
      <c r="A415" s="1">
        <v>45597</v>
      </c>
      <c r="B415">
        <v>19.884717941284102</v>
      </c>
      <c r="C415">
        <v>328.35998535156199</v>
      </c>
      <c r="D415">
        <v>1576.71472167968</v>
      </c>
      <c r="E415">
        <v>0.259999990463256</v>
      </c>
    </row>
    <row r="416" spans="1:5" x14ac:dyDescent="0.2">
      <c r="A416" s="1">
        <v>45600</v>
      </c>
      <c r="B416">
        <v>19.8069667816162</v>
      </c>
      <c r="C416">
        <v>312.95001220703102</v>
      </c>
      <c r="D416">
        <v>1549.46496582031</v>
      </c>
      <c r="E416">
        <v>0.26499998569488498</v>
      </c>
    </row>
    <row r="417" spans="1:5" x14ac:dyDescent="0.2">
      <c r="A417" s="1">
        <v>45601</v>
      </c>
      <c r="B417">
        <v>19.359901428222599</v>
      </c>
      <c r="C417">
        <v>325.079986572265</v>
      </c>
      <c r="D417">
        <v>1558.12915039062</v>
      </c>
      <c r="E417">
        <v>0.270000010728836</v>
      </c>
    </row>
    <row r="418" spans="1:5" x14ac:dyDescent="0.2">
      <c r="A418" s="1">
        <v>45602</v>
      </c>
      <c r="B418">
        <v>19.845842361450099</v>
      </c>
      <c r="C418">
        <v>387.10998535156199</v>
      </c>
      <c r="D418">
        <v>1514.27978515625</v>
      </c>
      <c r="E418">
        <v>0.270000010728836</v>
      </c>
    </row>
    <row r="419" spans="1:5" x14ac:dyDescent="0.2">
      <c r="A419" s="1">
        <v>45603</v>
      </c>
      <c r="B419">
        <v>21.352260589599599</v>
      </c>
      <c r="C419">
        <v>381.80999755859301</v>
      </c>
      <c r="D419">
        <v>1510.34704589843</v>
      </c>
      <c r="E419">
        <v>0.27200001478195102</v>
      </c>
    </row>
    <row r="420" spans="1:5" x14ac:dyDescent="0.2">
      <c r="A420" s="1">
        <v>45604</v>
      </c>
      <c r="B420">
        <v>19.8264045715332</v>
      </c>
      <c r="C420">
        <v>386.489990234375</v>
      </c>
      <c r="D420">
        <v>1530.13061523437</v>
      </c>
      <c r="E420">
        <v>0.27200001478195102</v>
      </c>
    </row>
    <row r="421" spans="1:5" x14ac:dyDescent="0.2">
      <c r="A421" s="1">
        <v>45607</v>
      </c>
      <c r="B421">
        <v>19.544559478759702</v>
      </c>
      <c r="C421">
        <v>509.79998779296801</v>
      </c>
      <c r="D421">
        <v>1552.609375</v>
      </c>
      <c r="E421">
        <v>0.27200001478195102</v>
      </c>
    </row>
    <row r="422" spans="1:5" x14ac:dyDescent="0.2">
      <c r="A422" s="1">
        <v>45608</v>
      </c>
      <c r="B422">
        <v>19.3404636383056</v>
      </c>
      <c r="C422">
        <v>519.90002441406205</v>
      </c>
      <c r="D422">
        <v>1573.26123046875</v>
      </c>
      <c r="E422">
        <v>0.27200001478195102</v>
      </c>
    </row>
    <row r="423" spans="1:5" x14ac:dyDescent="0.2">
      <c r="A423" s="1">
        <v>45609</v>
      </c>
      <c r="B423">
        <v>19.1460876464843</v>
      </c>
      <c r="C423">
        <v>445.52999877929602</v>
      </c>
      <c r="D423">
        <v>1567.81115722656</v>
      </c>
      <c r="E423">
        <v>0.27200001478195102</v>
      </c>
    </row>
    <row r="424" spans="1:5" x14ac:dyDescent="0.2">
      <c r="A424" s="1">
        <v>45610</v>
      </c>
      <c r="B424">
        <v>19.1460876464843</v>
      </c>
      <c r="C424">
        <v>422.989990234375</v>
      </c>
      <c r="D424">
        <v>1548.01770019531</v>
      </c>
      <c r="E424">
        <v>0.270000010728836</v>
      </c>
    </row>
    <row r="425" spans="1:5" x14ac:dyDescent="0.2">
      <c r="A425" s="1">
        <v>45611</v>
      </c>
      <c r="B425">
        <v>18.932271957397401</v>
      </c>
      <c r="C425">
        <v>428.89001464843699</v>
      </c>
      <c r="D425">
        <v>1569.10888671875</v>
      </c>
      <c r="E425">
        <v>0.270000010728836</v>
      </c>
    </row>
    <row r="426" spans="1:5" x14ac:dyDescent="0.2">
      <c r="A426" s="1">
        <v>45615</v>
      </c>
      <c r="B426">
        <v>18.7573337554931</v>
      </c>
      <c r="C426">
        <v>399.16000366210898</v>
      </c>
      <c r="D426">
        <v>1482.76806640625</v>
      </c>
      <c r="E426">
        <v>0.26199999451637201</v>
      </c>
    </row>
    <row r="427" spans="1:5" x14ac:dyDescent="0.2">
      <c r="A427" s="1">
        <v>45616</v>
      </c>
      <c r="B427">
        <v>17.814607620239201</v>
      </c>
      <c r="C427">
        <v>462.54000854492102</v>
      </c>
      <c r="D427">
        <v>1475.26171875</v>
      </c>
      <c r="E427">
        <v>0.26199999451637201</v>
      </c>
    </row>
    <row r="428" spans="1:5" x14ac:dyDescent="0.2">
      <c r="A428" s="1">
        <v>45617</v>
      </c>
      <c r="B428">
        <v>17.406417846679599</v>
      </c>
      <c r="C428">
        <v>490.239990234375</v>
      </c>
      <c r="D428">
        <v>1537.16772460937</v>
      </c>
      <c r="E428">
        <v>0.259999990463256</v>
      </c>
    </row>
    <row r="429" spans="1:5" x14ac:dyDescent="0.2">
      <c r="A429" s="1">
        <v>45618</v>
      </c>
      <c r="B429">
        <v>17.911796569824201</v>
      </c>
      <c r="C429">
        <v>534.02001953125</v>
      </c>
      <c r="D429">
        <v>1580.89709472656</v>
      </c>
      <c r="E429">
        <v>0.25099998712539601</v>
      </c>
    </row>
    <row r="430" spans="1:5" x14ac:dyDescent="0.2">
      <c r="A430" s="1">
        <v>45621</v>
      </c>
      <c r="B430">
        <v>17.309228897094702</v>
      </c>
      <c r="C430">
        <v>532.29998779296795</v>
      </c>
      <c r="D430">
        <v>1612.02978515625</v>
      </c>
      <c r="E430">
        <v>0.25</v>
      </c>
    </row>
    <row r="431" spans="1:5" x14ac:dyDescent="0.2">
      <c r="A431" s="1">
        <v>45622</v>
      </c>
      <c r="B431">
        <v>17.2703533172607</v>
      </c>
      <c r="C431">
        <v>512.14001464843705</v>
      </c>
      <c r="D431">
        <v>1605.04248046875</v>
      </c>
      <c r="E431">
        <v>0.239999994635581</v>
      </c>
    </row>
    <row r="432" spans="1:5" x14ac:dyDescent="0.2">
      <c r="A432" s="1">
        <v>45623</v>
      </c>
      <c r="B432">
        <v>17.309228897094702</v>
      </c>
      <c r="C432">
        <v>552.72998046875</v>
      </c>
      <c r="D432">
        <v>1613.02795410156</v>
      </c>
      <c r="E432">
        <v>0.239999994635581</v>
      </c>
    </row>
    <row r="433" spans="1:5" x14ac:dyDescent="0.2">
      <c r="A433" s="1">
        <v>45624</v>
      </c>
      <c r="B433">
        <v>17.163446426391602</v>
      </c>
      <c r="C433">
        <v>556.22998046875</v>
      </c>
      <c r="D433">
        <v>1597.05712890625</v>
      </c>
      <c r="E433">
        <v>0.25</v>
      </c>
    </row>
    <row r="434" spans="1:5" x14ac:dyDescent="0.2">
      <c r="A434" s="1">
        <v>45625</v>
      </c>
      <c r="B434">
        <v>17.54248046875</v>
      </c>
      <c r="C434">
        <v>560</v>
      </c>
      <c r="D434">
        <v>1597.05712890625</v>
      </c>
      <c r="E434">
        <v>0.25</v>
      </c>
    </row>
    <row r="435" spans="1:5" x14ac:dyDescent="0.2">
      <c r="A435" s="1">
        <v>45628</v>
      </c>
      <c r="B435">
        <v>18.3199863433837</v>
      </c>
      <c r="C435">
        <v>516.010009765625</v>
      </c>
      <c r="D435">
        <v>1609.6572265625</v>
      </c>
      <c r="E435">
        <v>0.25499999523162797</v>
      </c>
    </row>
    <row r="436" spans="1:5" x14ac:dyDescent="0.2">
      <c r="A436" s="1">
        <v>45629</v>
      </c>
      <c r="B436">
        <v>17.697980880737301</v>
      </c>
      <c r="C436">
        <v>508.83999633789</v>
      </c>
      <c r="D436">
        <v>1603.15759277343</v>
      </c>
      <c r="E436">
        <v>0.25499999523162797</v>
      </c>
    </row>
    <row r="437" spans="1:5" x14ac:dyDescent="0.2">
      <c r="A437" s="1">
        <v>45630</v>
      </c>
      <c r="B437">
        <v>17.153728485107401</v>
      </c>
      <c r="C437">
        <v>526.92999267578102</v>
      </c>
      <c r="D437">
        <v>1585.95483398437</v>
      </c>
      <c r="E437">
        <v>0.259999990463256</v>
      </c>
    </row>
    <row r="438" spans="1:5" x14ac:dyDescent="0.2">
      <c r="A438" s="1">
        <v>45631</v>
      </c>
      <c r="B438">
        <v>16.969070434570298</v>
      </c>
      <c r="C438">
        <v>501.36999511718699</v>
      </c>
      <c r="D438">
        <v>1583.47888183593</v>
      </c>
      <c r="E438">
        <v>0.29899999499320901</v>
      </c>
    </row>
    <row r="439" spans="1:5" x14ac:dyDescent="0.2">
      <c r="A439" s="1">
        <v>45632</v>
      </c>
      <c r="B439">
        <v>16.794132232666001</v>
      </c>
      <c r="C439">
        <v>529.010009765625</v>
      </c>
      <c r="D439">
        <v>1592.53442382812</v>
      </c>
      <c r="E439">
        <v>0.31000000238418501</v>
      </c>
    </row>
    <row r="440" spans="1:5" x14ac:dyDescent="0.2">
      <c r="A440" s="1">
        <v>45635</v>
      </c>
      <c r="B440">
        <v>16.8038520812988</v>
      </c>
      <c r="C440">
        <v>484.30999755859301</v>
      </c>
      <c r="D440">
        <v>1571.75756835937</v>
      </c>
      <c r="E440">
        <v>0.31000000238418501</v>
      </c>
    </row>
    <row r="441" spans="1:5" x14ac:dyDescent="0.2">
      <c r="A441" s="1">
        <v>45636</v>
      </c>
      <c r="B441">
        <v>17.0759773254394</v>
      </c>
      <c r="C441">
        <v>460.02999877929602</v>
      </c>
      <c r="D441">
        <v>1547.48608398437</v>
      </c>
      <c r="E441">
        <v>0.31000000238418501</v>
      </c>
    </row>
    <row r="442" spans="1:5" x14ac:dyDescent="0.2">
      <c r="A442" s="1">
        <v>45637</v>
      </c>
      <c r="B442">
        <v>16.8038520812988</v>
      </c>
      <c r="C442">
        <v>472.20999145507801</v>
      </c>
      <c r="D442">
        <v>1578.48669433593</v>
      </c>
      <c r="E442">
        <v>0.31000000238418501</v>
      </c>
    </row>
    <row r="443" spans="1:5" x14ac:dyDescent="0.2">
      <c r="A443" s="1">
        <v>45639</v>
      </c>
      <c r="B443">
        <v>16.6872253417968</v>
      </c>
      <c r="C443">
        <v>456.5</v>
      </c>
      <c r="D443">
        <v>1552.52819824218</v>
      </c>
      <c r="E443">
        <v>0.31000000238418501</v>
      </c>
    </row>
    <row r="444" spans="1:5" x14ac:dyDescent="0.2">
      <c r="A444" s="1">
        <v>45642</v>
      </c>
      <c r="B444">
        <v>16.376222610473601</v>
      </c>
      <c r="C444">
        <v>495</v>
      </c>
      <c r="D444">
        <v>1557.90966796875</v>
      </c>
      <c r="E444">
        <v>0.31000000238418501</v>
      </c>
    </row>
    <row r="445" spans="1:5" x14ac:dyDescent="0.2">
      <c r="A445" s="1">
        <v>45643</v>
      </c>
      <c r="B445">
        <v>16.531723022460898</v>
      </c>
      <c r="C445">
        <v>499.5</v>
      </c>
      <c r="D445">
        <v>1571.60778808593</v>
      </c>
      <c r="E445">
        <v>0.31000000238418501</v>
      </c>
    </row>
    <row r="446" spans="1:5" x14ac:dyDescent="0.2">
      <c r="A446" s="1">
        <v>45644</v>
      </c>
      <c r="B446">
        <v>15.5695600509643</v>
      </c>
      <c r="C446">
        <v>448.85998535156199</v>
      </c>
      <c r="D446">
        <v>1575.521484375</v>
      </c>
      <c r="E446">
        <v>0.31000000238418501</v>
      </c>
    </row>
    <row r="447" spans="1:5" x14ac:dyDescent="0.2">
      <c r="A447" s="1">
        <v>45645</v>
      </c>
      <c r="B447">
        <v>15.1710872650146</v>
      </c>
      <c r="C447">
        <v>414.89001464843699</v>
      </c>
      <c r="D447">
        <v>1565.45751953125</v>
      </c>
      <c r="E447">
        <v>0.31099998950958202</v>
      </c>
    </row>
    <row r="448" spans="1:5" x14ac:dyDescent="0.2">
      <c r="A448" s="1">
        <v>45646</v>
      </c>
      <c r="B448">
        <v>14.7920532226562</v>
      </c>
      <c r="C448">
        <v>400.70999145507801</v>
      </c>
      <c r="D448">
        <v>1536.24401855468</v>
      </c>
      <c r="E448">
        <v>0.31099998950958202</v>
      </c>
    </row>
    <row r="449" spans="1:5" x14ac:dyDescent="0.2">
      <c r="A449" s="1">
        <v>45649</v>
      </c>
      <c r="B449">
        <v>14.481050491333001</v>
      </c>
      <c r="C449">
        <v>390.27999877929602</v>
      </c>
      <c r="D449">
        <v>1540.55712890625</v>
      </c>
      <c r="E449">
        <v>0.30000001192092801</v>
      </c>
    </row>
    <row r="450" spans="1:5" x14ac:dyDescent="0.2">
      <c r="A450" s="1">
        <v>45650</v>
      </c>
      <c r="B450">
        <v>14.850365638732899</v>
      </c>
      <c r="C450">
        <v>403</v>
      </c>
      <c r="D450">
        <v>1542.73376464843</v>
      </c>
      <c r="E450">
        <v>0.30000001192092801</v>
      </c>
    </row>
    <row r="451" spans="1:5" x14ac:dyDescent="0.2">
      <c r="A451" s="1">
        <v>45652</v>
      </c>
      <c r="B451">
        <v>15.064180374145501</v>
      </c>
      <c r="C451">
        <v>391.86999511718699</v>
      </c>
      <c r="D451">
        <v>1554.78466796875</v>
      </c>
      <c r="E451">
        <v>0.298000007867813</v>
      </c>
    </row>
    <row r="452" spans="1:5" x14ac:dyDescent="0.2">
      <c r="A452" s="1">
        <v>45653</v>
      </c>
      <c r="B452">
        <v>15.4432153701782</v>
      </c>
      <c r="C452">
        <v>375.14999389648398</v>
      </c>
      <c r="D452">
        <v>1552.03881835937</v>
      </c>
      <c r="E452">
        <v>0.28499999642372098</v>
      </c>
    </row>
    <row r="453" spans="1:5" x14ac:dyDescent="0.2">
      <c r="A453" s="1">
        <v>45656</v>
      </c>
      <c r="B453">
        <v>15.2002449035644</v>
      </c>
      <c r="C453">
        <v>360.38000488281199</v>
      </c>
      <c r="D453">
        <v>1546.53784179687</v>
      </c>
      <c r="E453">
        <v>0.28099998831748901</v>
      </c>
    </row>
    <row r="454" spans="1:5" x14ac:dyDescent="0.2">
      <c r="A454" s="1">
        <v>45657</v>
      </c>
      <c r="B454">
        <v>15.3363075256347</v>
      </c>
      <c r="C454">
        <v>350.92999267578102</v>
      </c>
      <c r="D454">
        <v>1582.27099609375</v>
      </c>
      <c r="E454">
        <v>0.28099998831748901</v>
      </c>
    </row>
    <row r="455" spans="1:5" x14ac:dyDescent="0.2">
      <c r="A455" s="1">
        <v>45659</v>
      </c>
      <c r="B455">
        <v>15.550121307373001</v>
      </c>
      <c r="C455">
        <v>353.23001098632801</v>
      </c>
      <c r="D455">
        <v>1514.58850097656</v>
      </c>
      <c r="E455">
        <v>0.28099998831748901</v>
      </c>
    </row>
    <row r="456" spans="1:5" x14ac:dyDescent="0.2">
      <c r="A456" s="1">
        <v>45660</v>
      </c>
      <c r="B456">
        <v>15.054461479186999</v>
      </c>
      <c r="C456">
        <v>400.79998779296801</v>
      </c>
      <c r="D456">
        <v>1517.58374023437</v>
      </c>
      <c r="E456">
        <v>0.30000001192092801</v>
      </c>
    </row>
    <row r="457" spans="1:5" x14ac:dyDescent="0.2">
      <c r="A457" s="1">
        <v>45663</v>
      </c>
      <c r="B457">
        <v>15.073900222778301</v>
      </c>
      <c r="C457">
        <v>415.77999877929602</v>
      </c>
      <c r="D457">
        <v>1462.91088867187</v>
      </c>
      <c r="E457">
        <v>0.31000000238418501</v>
      </c>
    </row>
    <row r="458" spans="1:5" x14ac:dyDescent="0.2">
      <c r="A458" s="1">
        <v>45664</v>
      </c>
      <c r="B458">
        <v>14.9864301681518</v>
      </c>
      <c r="C458">
        <v>387.92001342773398</v>
      </c>
      <c r="D458">
        <v>1462.68115234375</v>
      </c>
      <c r="E458">
        <v>0.46999999880790699</v>
      </c>
    </row>
    <row r="459" spans="1:5" x14ac:dyDescent="0.2">
      <c r="A459" s="1">
        <v>45665</v>
      </c>
      <c r="B459">
        <v>14.9475545883178</v>
      </c>
      <c r="C459">
        <v>375.079986572265</v>
      </c>
      <c r="D459">
        <v>1449.69177246093</v>
      </c>
      <c r="E459">
        <v>0.46999999880790699</v>
      </c>
    </row>
    <row r="460" spans="1:5" x14ac:dyDescent="0.2">
      <c r="A460" s="1">
        <v>45666</v>
      </c>
      <c r="B460">
        <v>15.015586853027299</v>
      </c>
      <c r="C460">
        <v>369.64999389648398</v>
      </c>
      <c r="D460">
        <v>1477.6474609375</v>
      </c>
      <c r="E460">
        <v>0.51999998092651301</v>
      </c>
    </row>
    <row r="461" spans="1:5" x14ac:dyDescent="0.2">
      <c r="A461" s="1">
        <v>45667</v>
      </c>
      <c r="B461">
        <v>14.976710319519</v>
      </c>
      <c r="C461">
        <v>371.02999877929602</v>
      </c>
      <c r="D461">
        <v>1472.6552734375</v>
      </c>
      <c r="E461">
        <v>0.58999997377395597</v>
      </c>
    </row>
    <row r="462" spans="1:5" x14ac:dyDescent="0.2">
      <c r="A462" s="1">
        <v>45670</v>
      </c>
      <c r="B462">
        <v>16.3470649719238</v>
      </c>
      <c r="C462">
        <v>354.80999755859301</v>
      </c>
      <c r="D462">
        <v>1497.61547851562</v>
      </c>
      <c r="E462">
        <v>0.63999998569488503</v>
      </c>
    </row>
    <row r="463" spans="1:5" x14ac:dyDescent="0.2">
      <c r="A463" s="1">
        <v>45671</v>
      </c>
      <c r="B463">
        <v>15.8514041900634</v>
      </c>
      <c r="C463">
        <v>354.989990234375</v>
      </c>
      <c r="D463">
        <v>1454.18469238281</v>
      </c>
      <c r="E463">
        <v>0.78200000524520796</v>
      </c>
    </row>
    <row r="464" spans="1:5" x14ac:dyDescent="0.2">
      <c r="A464" s="1">
        <v>45672</v>
      </c>
      <c r="B464">
        <v>16.4928474426269</v>
      </c>
      <c r="C464">
        <v>374.600006103515</v>
      </c>
      <c r="D464">
        <v>1452.15795898437</v>
      </c>
      <c r="E464">
        <v>0.83999997377395597</v>
      </c>
    </row>
    <row r="465" spans="1:5" x14ac:dyDescent="0.2">
      <c r="A465" s="1">
        <v>45673</v>
      </c>
      <c r="B465">
        <v>17.600795745849599</v>
      </c>
      <c r="C465">
        <v>381</v>
      </c>
      <c r="D465">
        <v>1472.6552734375</v>
      </c>
      <c r="E465">
        <v>0.68999999761581399</v>
      </c>
    </row>
    <row r="466" spans="1:5" x14ac:dyDescent="0.2">
      <c r="A466" s="1">
        <v>45674</v>
      </c>
      <c r="B466">
        <v>16.9107570648193</v>
      </c>
      <c r="C466">
        <v>414.5</v>
      </c>
      <c r="D466">
        <v>1474.71215820312</v>
      </c>
      <c r="E466">
        <v>0.64999997615814198</v>
      </c>
    </row>
    <row r="467" spans="1:5" x14ac:dyDescent="0.2">
      <c r="A467" s="1">
        <v>45677</v>
      </c>
      <c r="B467">
        <v>17.2995090484619</v>
      </c>
      <c r="C467">
        <v>420.100006103515</v>
      </c>
      <c r="D467">
        <v>1473.65380859375</v>
      </c>
      <c r="E467">
        <v>0.55900001525878895</v>
      </c>
    </row>
    <row r="468" spans="1:5" x14ac:dyDescent="0.2">
      <c r="A468" s="1">
        <v>45678</v>
      </c>
      <c r="B468">
        <v>17.056539535522401</v>
      </c>
      <c r="C468">
        <v>402.350006103515</v>
      </c>
      <c r="D468">
        <v>1507.2802734375</v>
      </c>
      <c r="E468">
        <v>0.549000024795532</v>
      </c>
    </row>
    <row r="469" spans="1:5" x14ac:dyDescent="0.2">
      <c r="A469" s="1">
        <v>45679</v>
      </c>
      <c r="B469">
        <v>17.1245727539062</v>
      </c>
      <c r="C469">
        <v>403.35998535156199</v>
      </c>
      <c r="D469">
        <v>1514.37890625</v>
      </c>
      <c r="E469">
        <v>0.52499997615814198</v>
      </c>
    </row>
    <row r="470" spans="1:5" x14ac:dyDescent="0.2">
      <c r="A470" s="1">
        <v>45680</v>
      </c>
      <c r="B470">
        <v>17.6396675109863</v>
      </c>
      <c r="C470">
        <v>409.989990234375</v>
      </c>
      <c r="D470">
        <v>1512.59167480468</v>
      </c>
      <c r="E470">
        <v>0.51499998569488503</v>
      </c>
    </row>
    <row r="471" spans="1:5" x14ac:dyDescent="0.2">
      <c r="A471" s="1">
        <v>45681</v>
      </c>
      <c r="B471">
        <v>16.9107570648193</v>
      </c>
      <c r="C471">
        <v>406.41000366210898</v>
      </c>
      <c r="D471">
        <v>1483.63781738281</v>
      </c>
      <c r="E471">
        <v>0.51200002431869496</v>
      </c>
    </row>
    <row r="472" spans="1:5" x14ac:dyDescent="0.2">
      <c r="A472" s="1">
        <v>45684</v>
      </c>
      <c r="B472">
        <v>17.007946014404201</v>
      </c>
      <c r="C472">
        <v>375</v>
      </c>
      <c r="D472">
        <v>1559.08764648437</v>
      </c>
      <c r="E472">
        <v>0.56000000238418501</v>
      </c>
    </row>
    <row r="473" spans="1:5" x14ac:dyDescent="0.2">
      <c r="A473" s="1">
        <v>45685</v>
      </c>
      <c r="B473">
        <v>17.027381896972599</v>
      </c>
      <c r="C473">
        <v>374</v>
      </c>
      <c r="D473">
        <v>1525.57104492187</v>
      </c>
      <c r="E473">
        <v>0.60000002384185702</v>
      </c>
    </row>
    <row r="474" spans="1:5" x14ac:dyDescent="0.2">
      <c r="A474" s="1">
        <v>45686</v>
      </c>
      <c r="B474">
        <v>17.105134963989201</v>
      </c>
      <c r="C474">
        <v>378</v>
      </c>
      <c r="D474">
        <v>1574.49304199218</v>
      </c>
      <c r="E474">
        <v>0.63999998569488503</v>
      </c>
    </row>
    <row r="475" spans="1:5" x14ac:dyDescent="0.2">
      <c r="A475" s="1">
        <v>45687</v>
      </c>
      <c r="B475">
        <v>17.318946838378899</v>
      </c>
      <c r="C475">
        <v>394.70001220703102</v>
      </c>
      <c r="D475">
        <v>1607.43090820312</v>
      </c>
      <c r="E475">
        <v>0.66900002956390303</v>
      </c>
    </row>
    <row r="476" spans="1:5" x14ac:dyDescent="0.2">
      <c r="A476" s="1">
        <v>45688</v>
      </c>
      <c r="B476">
        <v>17.309228897094702</v>
      </c>
      <c r="C476">
        <v>375</v>
      </c>
      <c r="D476">
        <v>1605.44384765625</v>
      </c>
      <c r="E476">
        <v>0.72000002861022905</v>
      </c>
    </row>
    <row r="477" spans="1:5" x14ac:dyDescent="0.2">
      <c r="A477" s="1">
        <v>45692</v>
      </c>
      <c r="B477">
        <v>17.484167098998999</v>
      </c>
      <c r="C477">
        <v>362.70001220703102</v>
      </c>
      <c r="D477">
        <v>1568.50280761718</v>
      </c>
      <c r="E477">
        <v>0.80000001192092896</v>
      </c>
    </row>
    <row r="478" spans="1:5" x14ac:dyDescent="0.2">
      <c r="A478" s="1">
        <v>45693</v>
      </c>
      <c r="B478">
        <v>17.4938869476318</v>
      </c>
      <c r="C478">
        <v>350.89999389648398</v>
      </c>
      <c r="D478">
        <v>1529.56469726562</v>
      </c>
      <c r="E478">
        <v>0.80000001192092896</v>
      </c>
    </row>
    <row r="479" spans="1:5" x14ac:dyDescent="0.2">
      <c r="A479" s="1">
        <v>45694</v>
      </c>
      <c r="B479">
        <v>16.706661224365199</v>
      </c>
      <c r="C479">
        <v>344.26998901367102</v>
      </c>
      <c r="D479">
        <v>1467.91296386718</v>
      </c>
      <c r="E479">
        <v>0.82999998331069902</v>
      </c>
    </row>
    <row r="480" spans="1:5" x14ac:dyDescent="0.2">
      <c r="A480" s="1">
        <v>45695</v>
      </c>
      <c r="B480">
        <v>16.094375610351499</v>
      </c>
      <c r="C480">
        <v>344.97000122070301</v>
      </c>
      <c r="D480">
        <v>1418.70129394531</v>
      </c>
      <c r="E480">
        <v>0.77999997138976995</v>
      </c>
    </row>
    <row r="481" spans="1:5" x14ac:dyDescent="0.2">
      <c r="A481" s="1">
        <v>45698</v>
      </c>
      <c r="B481">
        <v>16.191564559936499</v>
      </c>
      <c r="C481">
        <v>346.04998779296801</v>
      </c>
      <c r="D481">
        <v>1450.69030761718</v>
      </c>
      <c r="E481">
        <v>0.80000001192092896</v>
      </c>
    </row>
    <row r="482" spans="1:5" x14ac:dyDescent="0.2">
      <c r="A482" s="1">
        <v>45699</v>
      </c>
      <c r="B482">
        <v>16.036062240600501</v>
      </c>
      <c r="C482">
        <v>330.16000366210898</v>
      </c>
      <c r="D482">
        <v>1463.6796875</v>
      </c>
      <c r="E482">
        <v>0.80000001192092896</v>
      </c>
    </row>
    <row r="483" spans="1:5" x14ac:dyDescent="0.2">
      <c r="A483" s="1">
        <v>45700</v>
      </c>
      <c r="B483">
        <v>15.462652206420801</v>
      </c>
      <c r="C483">
        <v>334.23001098632801</v>
      </c>
      <c r="D483">
        <v>1483.32836914062</v>
      </c>
      <c r="E483">
        <v>0.80000001192092896</v>
      </c>
    </row>
    <row r="484" spans="1:5" x14ac:dyDescent="0.2">
      <c r="A484" s="1">
        <v>45701</v>
      </c>
      <c r="B484">
        <v>15.0836191177368</v>
      </c>
      <c r="C484">
        <v>344.100006103515</v>
      </c>
      <c r="D484">
        <v>1496.77697753906</v>
      </c>
      <c r="E484">
        <v>0.77999997138976995</v>
      </c>
    </row>
    <row r="485" spans="1:5" x14ac:dyDescent="0.2">
      <c r="A485" s="1">
        <v>45702</v>
      </c>
      <c r="B485">
        <v>14.50048828125</v>
      </c>
      <c r="C485">
        <v>342.850006103515</v>
      </c>
      <c r="D485">
        <v>1481.91052246093</v>
      </c>
      <c r="E485">
        <v>0.70999997854232699</v>
      </c>
    </row>
    <row r="486" spans="1:5" x14ac:dyDescent="0.2">
      <c r="A486" s="1">
        <v>45705</v>
      </c>
      <c r="B486">
        <v>14.490770339965801</v>
      </c>
      <c r="C486">
        <v>347.5</v>
      </c>
      <c r="D486">
        <v>1487.63146972656</v>
      </c>
      <c r="E486">
        <v>0.74000000953674305</v>
      </c>
    </row>
    <row r="487" spans="1:5" x14ac:dyDescent="0.2">
      <c r="A487" s="1">
        <v>45706</v>
      </c>
      <c r="B487">
        <v>14.578238487243601</v>
      </c>
      <c r="C487">
        <v>326.01998901367102</v>
      </c>
      <c r="D487">
        <v>1566.45593261718</v>
      </c>
      <c r="E487">
        <v>0.80000001192092896</v>
      </c>
    </row>
    <row r="488" spans="1:5" x14ac:dyDescent="0.2">
      <c r="A488" s="1">
        <v>45707</v>
      </c>
      <c r="B488">
        <v>13.6743879318237</v>
      </c>
      <c r="C488">
        <v>324.26998901367102</v>
      </c>
      <c r="D488">
        <v>1569.50134277343</v>
      </c>
      <c r="E488">
        <v>0.79000002145767201</v>
      </c>
    </row>
    <row r="489" spans="1:5" x14ac:dyDescent="0.2">
      <c r="A489" s="1">
        <v>45708</v>
      </c>
      <c r="B489">
        <v>13.859045982360801</v>
      </c>
      <c r="C489">
        <v>323.20001220703102</v>
      </c>
      <c r="D489">
        <v>1563.08142089843</v>
      </c>
      <c r="E489">
        <v>0.74900001287460305</v>
      </c>
    </row>
    <row r="490" spans="1:5" x14ac:dyDescent="0.2">
      <c r="A490" s="1">
        <v>45709</v>
      </c>
      <c r="B490">
        <v>13.820171356201101</v>
      </c>
      <c r="C490">
        <v>300.850006103515</v>
      </c>
      <c r="D490">
        <v>1552.52819824218</v>
      </c>
      <c r="E490">
        <v>0.74000000953674305</v>
      </c>
    </row>
    <row r="491" spans="1:5" x14ac:dyDescent="0.2">
      <c r="A491" s="1">
        <v>45712</v>
      </c>
      <c r="B491">
        <v>13.3342294692993</v>
      </c>
      <c r="C491">
        <v>284.97000122070301</v>
      </c>
      <c r="D491">
        <v>1647.36706542968</v>
      </c>
      <c r="E491">
        <v>0.69999998807907104</v>
      </c>
    </row>
    <row r="492" spans="1:5" x14ac:dyDescent="0.2">
      <c r="A492" s="1">
        <v>45713</v>
      </c>
      <c r="B492">
        <v>12.974633216857899</v>
      </c>
      <c r="C492">
        <v>254.13999938964801</v>
      </c>
      <c r="D492">
        <v>1671.89819335937</v>
      </c>
      <c r="E492">
        <v>0.68000000715255704</v>
      </c>
    </row>
    <row r="493" spans="1:5" x14ac:dyDescent="0.2">
      <c r="A493" s="1">
        <v>45714</v>
      </c>
      <c r="B493">
        <v>12.926038742065399</v>
      </c>
      <c r="C493">
        <v>252.19999694824199</v>
      </c>
      <c r="D493">
        <v>1648.37548828125</v>
      </c>
      <c r="E493">
        <v>0.60000002384185702</v>
      </c>
    </row>
    <row r="494" spans="1:5" x14ac:dyDescent="0.2">
      <c r="A494" s="1">
        <v>45715</v>
      </c>
      <c r="B494">
        <v>12.741380691528301</v>
      </c>
      <c r="C494">
        <v>269</v>
      </c>
      <c r="D494">
        <v>1628.44738769531</v>
      </c>
      <c r="E494">
        <v>0.61000001430511397</v>
      </c>
    </row>
    <row r="495" spans="1:5" x14ac:dyDescent="0.2">
      <c r="A495" s="1">
        <v>45716</v>
      </c>
      <c r="B495">
        <v>12.1485328674316</v>
      </c>
      <c r="C495">
        <v>282.70999145507801</v>
      </c>
      <c r="D495">
        <v>1622.82629394531</v>
      </c>
      <c r="E495">
        <v>0.64999997615814198</v>
      </c>
    </row>
    <row r="496" spans="1:5" x14ac:dyDescent="0.2">
      <c r="A496" s="1">
        <v>45719</v>
      </c>
      <c r="B496">
        <v>12.0513439178466</v>
      </c>
      <c r="C496">
        <v>282</v>
      </c>
      <c r="D496">
        <v>1614.01806640625</v>
      </c>
      <c r="E496">
        <v>0.61000001430511397</v>
      </c>
    </row>
    <row r="497" spans="1:5" x14ac:dyDescent="0.2">
      <c r="A497" s="1">
        <v>45720</v>
      </c>
      <c r="B497">
        <v>11.7111854553222</v>
      </c>
      <c r="C497">
        <v>289.92999267578102</v>
      </c>
      <c r="D497">
        <v>1607.83642578125</v>
      </c>
      <c r="E497">
        <v>0.55000001192092896</v>
      </c>
    </row>
    <row r="498" spans="1:5" x14ac:dyDescent="0.2">
      <c r="A498" s="1">
        <v>45721</v>
      </c>
      <c r="B498">
        <v>11.536246299743601</v>
      </c>
      <c r="C498">
        <v>305.94000244140602</v>
      </c>
      <c r="D498">
        <v>1561.26904296875</v>
      </c>
      <c r="E498">
        <v>0.56999999284744196</v>
      </c>
    </row>
    <row r="499" spans="1:5" x14ac:dyDescent="0.2">
      <c r="A499" s="1">
        <v>45722</v>
      </c>
      <c r="B499">
        <v>11.720905303955</v>
      </c>
      <c r="C499">
        <v>301.63000488281199</v>
      </c>
      <c r="D499">
        <v>1574.88073730468</v>
      </c>
      <c r="E499">
        <v>0.56900000572204501</v>
      </c>
    </row>
    <row r="500" spans="1:5" x14ac:dyDescent="0.2">
      <c r="A500" s="1">
        <v>45723</v>
      </c>
      <c r="B500">
        <v>11.7597799301147</v>
      </c>
      <c r="C500">
        <v>325.73001098632801</v>
      </c>
      <c r="D500">
        <v>1578.87536621093</v>
      </c>
      <c r="E500">
        <v>0.56000000238418501</v>
      </c>
    </row>
    <row r="501" spans="1:5" x14ac:dyDescent="0.2">
      <c r="A501" s="1">
        <v>45726</v>
      </c>
      <c r="B501">
        <v>11.439058303833001</v>
      </c>
      <c r="C501">
        <v>273.33999633789</v>
      </c>
      <c r="D501">
        <v>1547.9169921875</v>
      </c>
      <c r="E501">
        <v>0.59799998998641901</v>
      </c>
    </row>
    <row r="502" spans="1:5" x14ac:dyDescent="0.2">
      <c r="A502" s="1">
        <v>45727</v>
      </c>
      <c r="B502">
        <v>11.108618736266999</v>
      </c>
      <c r="C502">
        <v>269.329986572265</v>
      </c>
      <c r="D502">
        <v>1497.994140625</v>
      </c>
      <c r="E502">
        <v>0.57999998331069902</v>
      </c>
    </row>
    <row r="503" spans="1:5" x14ac:dyDescent="0.2">
      <c r="A503" s="1">
        <v>45728</v>
      </c>
      <c r="B503">
        <v>11.0114297866821</v>
      </c>
      <c r="C503">
        <v>266.20999145507801</v>
      </c>
      <c r="D503">
        <v>1485.00170898437</v>
      </c>
      <c r="E503">
        <v>0.55000001192092896</v>
      </c>
    </row>
    <row r="504" spans="1:5" x14ac:dyDescent="0.2">
      <c r="A504" s="1">
        <v>45729</v>
      </c>
      <c r="B504">
        <v>10.855929374694799</v>
      </c>
      <c r="C504">
        <v>244.92999267578099</v>
      </c>
      <c r="D504">
        <v>1457.3388671875</v>
      </c>
      <c r="E504">
        <v>0.54000002145767201</v>
      </c>
    </row>
    <row r="505" spans="1:5" x14ac:dyDescent="0.2">
      <c r="A505" s="1">
        <v>45730</v>
      </c>
      <c r="B505">
        <v>11.244681358337401</v>
      </c>
      <c r="C505">
        <v>262.36999511718699</v>
      </c>
      <c r="D505">
        <v>1423.09509277343</v>
      </c>
      <c r="E505">
        <v>0.52100002765655495</v>
      </c>
    </row>
    <row r="506" spans="1:5" x14ac:dyDescent="0.2">
      <c r="A506" s="1">
        <v>45734</v>
      </c>
      <c r="B506">
        <v>11.584840774536101</v>
      </c>
      <c r="C506">
        <v>241.14999389648401</v>
      </c>
      <c r="D506">
        <v>1453.08471679687</v>
      </c>
      <c r="E506">
        <v>0.52999997138976995</v>
      </c>
    </row>
    <row r="507" spans="1:5" x14ac:dyDescent="0.2">
      <c r="A507" s="1">
        <v>45735</v>
      </c>
      <c r="B507">
        <v>11.536246299743601</v>
      </c>
      <c r="C507">
        <v>251.71000671386699</v>
      </c>
      <c r="D507">
        <v>1454.38293457031</v>
      </c>
      <c r="E507">
        <v>0.56000000238418501</v>
      </c>
    </row>
    <row r="508" spans="1:5" x14ac:dyDescent="0.2">
      <c r="A508" s="1">
        <v>45736</v>
      </c>
      <c r="B508">
        <v>11.341869354248001</v>
      </c>
      <c r="C508">
        <v>251.02000427246</v>
      </c>
      <c r="D508">
        <v>1442.31921386718</v>
      </c>
      <c r="E508">
        <v>0.54699999094009399</v>
      </c>
    </row>
    <row r="509" spans="1:5" x14ac:dyDescent="0.2">
      <c r="A509" s="1">
        <v>45737</v>
      </c>
      <c r="B509">
        <v>11.45849609375</v>
      </c>
      <c r="C509">
        <v>251.58000183105401</v>
      </c>
      <c r="D509">
        <v>1371.05517578125</v>
      </c>
      <c r="E509">
        <v>0.55900001525878895</v>
      </c>
    </row>
    <row r="510" spans="1:5" x14ac:dyDescent="0.2">
      <c r="A510" s="1">
        <v>45740</v>
      </c>
      <c r="B510">
        <v>11.5556840896606</v>
      </c>
      <c r="C510">
        <v>290.04998779296801</v>
      </c>
      <c r="D510">
        <v>1356.65441894531</v>
      </c>
      <c r="E510">
        <v>0.55000001192092896</v>
      </c>
    </row>
    <row r="511" spans="1:5" x14ac:dyDescent="0.2">
      <c r="A511" s="1">
        <v>45741</v>
      </c>
      <c r="B511">
        <v>11.5654029846191</v>
      </c>
      <c r="C511">
        <v>288.489990234375</v>
      </c>
      <c r="D511">
        <v>1335.283203125</v>
      </c>
      <c r="E511">
        <v>0.54799997806548995</v>
      </c>
    </row>
    <row r="512" spans="1:5" x14ac:dyDescent="0.2">
      <c r="A512" s="1">
        <v>45742</v>
      </c>
      <c r="B512">
        <v>11.584840774536101</v>
      </c>
      <c r="C512">
        <v>277.14001464843699</v>
      </c>
      <c r="D512">
        <v>1322.8798828125</v>
      </c>
      <c r="E512">
        <v>0.55000001192092896</v>
      </c>
    </row>
    <row r="513" spans="1:5" x14ac:dyDescent="0.2">
      <c r="A513" s="1">
        <v>45743</v>
      </c>
      <c r="B513">
        <v>11.788936614990201</v>
      </c>
      <c r="C513">
        <v>277.350006103515</v>
      </c>
      <c r="D513">
        <v>1340.25659179687</v>
      </c>
      <c r="E513">
        <v>0.52999997138976995</v>
      </c>
    </row>
    <row r="514" spans="1:5" x14ac:dyDescent="0.2">
      <c r="A514" s="1">
        <v>45744</v>
      </c>
      <c r="B514">
        <v>11.6528720855712</v>
      </c>
      <c r="C514">
        <v>254</v>
      </c>
      <c r="D514">
        <v>1293.259765625</v>
      </c>
      <c r="E514">
        <v>0.52999997138976995</v>
      </c>
    </row>
    <row r="515" spans="1:5" x14ac:dyDescent="0.2">
      <c r="A515" s="1">
        <v>45747</v>
      </c>
      <c r="B515">
        <v>11.594560623168899</v>
      </c>
      <c r="C515">
        <v>235.28999328613199</v>
      </c>
      <c r="D515">
        <v>1303.93530273437</v>
      </c>
      <c r="E515">
        <v>0.51599997282028198</v>
      </c>
    </row>
    <row r="516" spans="1:5" x14ac:dyDescent="0.2">
      <c r="A516" s="1">
        <v>45748</v>
      </c>
      <c r="B516">
        <v>11.439058303833001</v>
      </c>
      <c r="C516">
        <v>239</v>
      </c>
      <c r="D516">
        <v>1316.09887695312</v>
      </c>
      <c r="E516">
        <v>0.52999997138976995</v>
      </c>
    </row>
    <row r="517" spans="1:5" x14ac:dyDescent="0.2">
      <c r="A517" s="1">
        <v>45749</v>
      </c>
      <c r="B517">
        <v>11.0697431564331</v>
      </c>
      <c r="C517">
        <v>253.13999938964801</v>
      </c>
      <c r="D517">
        <v>1329.21130371093</v>
      </c>
      <c r="E517">
        <v>0.52300000190734797</v>
      </c>
    </row>
    <row r="518" spans="1:5" x14ac:dyDescent="0.2">
      <c r="A518" s="1">
        <v>45750</v>
      </c>
      <c r="B518">
        <v>11.2738380432128</v>
      </c>
      <c r="C518">
        <v>225</v>
      </c>
      <c r="D518">
        <v>1113.39184570312</v>
      </c>
      <c r="E518">
        <v>0.48500001430511402</v>
      </c>
    </row>
    <row r="519" spans="1:5" x14ac:dyDescent="0.2">
      <c r="A519" s="1">
        <v>45751</v>
      </c>
      <c r="B519">
        <v>11.0308675765991</v>
      </c>
      <c r="C519">
        <v>230.009994506835</v>
      </c>
      <c r="D519">
        <v>1179.50268554687</v>
      </c>
      <c r="E519">
        <v>0.44999998807907099</v>
      </c>
    </row>
    <row r="520" spans="1:5" x14ac:dyDescent="0.2">
      <c r="A520" s="1">
        <v>45754</v>
      </c>
      <c r="B520">
        <v>10.418581008911101</v>
      </c>
      <c r="C520">
        <v>233.52999877929599</v>
      </c>
      <c r="D520">
        <v>1148.45458984375</v>
      </c>
      <c r="E520">
        <v>0.42500001192092801</v>
      </c>
    </row>
    <row r="521" spans="1:5" x14ac:dyDescent="0.2">
      <c r="A521" s="1">
        <v>45755</v>
      </c>
      <c r="B521">
        <v>10.7878971099853</v>
      </c>
      <c r="C521">
        <v>214.52000427246</v>
      </c>
      <c r="D521">
        <v>1093.92797851562</v>
      </c>
      <c r="E521">
        <v>0.40999999642372098</v>
      </c>
    </row>
    <row r="522" spans="1:5" x14ac:dyDescent="0.2">
      <c r="A522" s="1">
        <v>45756</v>
      </c>
      <c r="B522">
        <v>10.8850851058959</v>
      </c>
      <c r="C522">
        <v>250.02999877929599</v>
      </c>
      <c r="D522">
        <v>1191.39685058593</v>
      </c>
      <c r="E522">
        <v>0.40999999642372098</v>
      </c>
    </row>
    <row r="523" spans="1:5" x14ac:dyDescent="0.2">
      <c r="A523" s="1">
        <v>45757</v>
      </c>
      <c r="B523">
        <v>10.8850851058959</v>
      </c>
      <c r="C523">
        <v>236.509994506835</v>
      </c>
      <c r="D523">
        <v>1108.50842285156</v>
      </c>
      <c r="E523">
        <v>0.38100001215934698</v>
      </c>
    </row>
    <row r="524" spans="1:5" x14ac:dyDescent="0.2">
      <c r="A524" s="1">
        <v>45758</v>
      </c>
      <c r="B524">
        <v>10.4574575424194</v>
      </c>
      <c r="C524">
        <v>252.47999572753901</v>
      </c>
      <c r="D524">
        <v>1101.26806640625</v>
      </c>
      <c r="E524">
        <v>0.38100001215934698</v>
      </c>
    </row>
    <row r="525" spans="1:5" x14ac:dyDescent="0.2">
      <c r="A525" s="1">
        <v>45761</v>
      </c>
      <c r="B525">
        <v>10.6032390594482</v>
      </c>
      <c r="C525">
        <v>260.510009765625</v>
      </c>
      <c r="D525">
        <v>1116.22790527343</v>
      </c>
      <c r="E525">
        <v>0.34999999403953502</v>
      </c>
    </row>
    <row r="526" spans="1:5" x14ac:dyDescent="0.2">
      <c r="A526" s="1">
        <v>45762</v>
      </c>
      <c r="B526">
        <v>10.4866132736206</v>
      </c>
      <c r="C526">
        <v>250.100006103515</v>
      </c>
      <c r="D526">
        <v>1098.41186523437</v>
      </c>
      <c r="E526">
        <v>0.40000000596046398</v>
      </c>
    </row>
    <row r="527" spans="1:5" x14ac:dyDescent="0.2">
      <c r="A527" s="1">
        <v>45763</v>
      </c>
      <c r="B527">
        <v>10.5449266433715</v>
      </c>
      <c r="C527">
        <v>247.97999572753901</v>
      </c>
      <c r="D527">
        <v>1067.25378417968</v>
      </c>
      <c r="E527">
        <v>0.40000000596046398</v>
      </c>
    </row>
    <row r="528" spans="1:5" x14ac:dyDescent="0.2">
      <c r="A528" s="1">
        <v>45768</v>
      </c>
      <c r="B528">
        <v>10.02011013031</v>
      </c>
      <c r="C528">
        <v>243.259994506835</v>
      </c>
      <c r="D528">
        <v>1102.51635742187</v>
      </c>
      <c r="E528">
        <v>0.34000000357627802</v>
      </c>
    </row>
    <row r="529" spans="1:5" x14ac:dyDescent="0.2">
      <c r="A529" s="1">
        <v>45769</v>
      </c>
      <c r="B529">
        <v>10.0492658615112</v>
      </c>
      <c r="C529">
        <v>274.42001342773398</v>
      </c>
      <c r="D529">
        <v>1118.49487304687</v>
      </c>
      <c r="E529">
        <v>0.31900000572204501</v>
      </c>
    </row>
    <row r="530" spans="1:5" x14ac:dyDescent="0.2">
      <c r="A530" s="1">
        <v>45770</v>
      </c>
      <c r="B530">
        <v>10.3991441726684</v>
      </c>
      <c r="C530">
        <v>278.05999755859301</v>
      </c>
      <c r="D530">
        <v>1125.96484375</v>
      </c>
      <c r="E530">
        <v>0.30000001192092801</v>
      </c>
    </row>
    <row r="531" spans="1:5" x14ac:dyDescent="0.2">
      <c r="A531" s="1">
        <v>45771</v>
      </c>
      <c r="B531">
        <v>10.9336795806884</v>
      </c>
      <c r="C531">
        <v>274.60998535156199</v>
      </c>
      <c r="D531">
        <v>1140.46533203125</v>
      </c>
      <c r="E531">
        <v>0.29899999499320901</v>
      </c>
    </row>
    <row r="532" spans="1:5" x14ac:dyDescent="0.2">
      <c r="A532" s="1">
        <v>45772</v>
      </c>
      <c r="B532">
        <v>10.953117370605399</v>
      </c>
      <c r="C532">
        <v>277.30999755859301</v>
      </c>
      <c r="D532">
        <v>1123.50830078125</v>
      </c>
      <c r="E532">
        <v>0.28000000119209201</v>
      </c>
    </row>
    <row r="533" spans="1:5" x14ac:dyDescent="0.2">
      <c r="A533" s="1">
        <v>45775</v>
      </c>
      <c r="B533">
        <v>10.9822740554809</v>
      </c>
      <c r="C533">
        <v>275.45999145507801</v>
      </c>
      <c r="D533">
        <v>1121.31115722656</v>
      </c>
      <c r="E533">
        <v>0.29899999499320901</v>
      </c>
    </row>
    <row r="534" spans="1:5" x14ac:dyDescent="0.2">
      <c r="A534" s="1">
        <v>45776</v>
      </c>
      <c r="B534">
        <v>11.6528720855712</v>
      </c>
      <c r="C534">
        <v>282</v>
      </c>
      <c r="D534">
        <v>1126.583984375</v>
      </c>
      <c r="E534">
        <v>0.29699999094009399</v>
      </c>
    </row>
    <row r="535" spans="1:5" x14ac:dyDescent="0.2">
      <c r="A535" s="1">
        <v>45777</v>
      </c>
      <c r="B535">
        <v>11.779217720031699</v>
      </c>
      <c r="C535">
        <v>263.079986572265</v>
      </c>
      <c r="D535">
        <v>1103.25549316406</v>
      </c>
      <c r="E535">
        <v>0.29499998688697798</v>
      </c>
    </row>
    <row r="536" spans="1:5" x14ac:dyDescent="0.2">
      <c r="A536" s="1">
        <v>45779</v>
      </c>
      <c r="B536">
        <v>12.158251762390099</v>
      </c>
      <c r="C536">
        <v>283.579986572265</v>
      </c>
      <c r="D536">
        <v>1148.28479003906</v>
      </c>
      <c r="E536">
        <v>0.239999994635581</v>
      </c>
    </row>
    <row r="537" spans="1:5" x14ac:dyDescent="0.2">
      <c r="A537" s="1">
        <v>45782</v>
      </c>
      <c r="B537">
        <v>12.0902194976806</v>
      </c>
      <c r="C537">
        <v>258.82000732421801</v>
      </c>
      <c r="D537">
        <v>1129.42004394531</v>
      </c>
      <c r="E537">
        <v>0.22400000691413799</v>
      </c>
    </row>
    <row r="538" spans="1:5" x14ac:dyDescent="0.2">
      <c r="A538" s="1">
        <v>45783</v>
      </c>
      <c r="B538">
        <v>12.294314384460399</v>
      </c>
      <c r="C538">
        <v>259</v>
      </c>
      <c r="D538">
        <v>1123.49829101562</v>
      </c>
      <c r="E538">
        <v>0.230000004172325</v>
      </c>
    </row>
    <row r="539" spans="1:5" x14ac:dyDescent="0.2">
      <c r="A539" s="1">
        <v>45784</v>
      </c>
      <c r="B539">
        <v>12.2457218170166</v>
      </c>
      <c r="C539">
        <v>260.239990234375</v>
      </c>
      <c r="D539">
        <v>1146.45739746093</v>
      </c>
      <c r="E539">
        <v>0.28999999165534901</v>
      </c>
    </row>
    <row r="540" spans="1:5" x14ac:dyDescent="0.2">
      <c r="A540" s="1">
        <v>45785</v>
      </c>
      <c r="B540">
        <v>12.2457218170166</v>
      </c>
      <c r="C540">
        <v>278.01998901367102</v>
      </c>
      <c r="D540">
        <v>1159.44982910156</v>
      </c>
      <c r="E540">
        <v>0.37999999523162797</v>
      </c>
    </row>
    <row r="541" spans="1:5" x14ac:dyDescent="0.2">
      <c r="A541" s="1">
        <v>45786</v>
      </c>
      <c r="B541">
        <v>12.197126388549799</v>
      </c>
      <c r="C541">
        <v>302.989990234375</v>
      </c>
      <c r="D541">
        <v>1137.86889648437</v>
      </c>
      <c r="E541">
        <v>0.30000001192092801</v>
      </c>
    </row>
    <row r="542" spans="1:5" x14ac:dyDescent="0.2">
      <c r="A542" s="1">
        <v>45789</v>
      </c>
      <c r="B542">
        <v>12.1485328674316</v>
      </c>
      <c r="C542">
        <v>312</v>
      </c>
      <c r="D542">
        <v>1222.1455078125</v>
      </c>
      <c r="E542">
        <v>0.31499999761581399</v>
      </c>
    </row>
    <row r="543" spans="1:5" x14ac:dyDescent="0.2">
      <c r="A543" s="1">
        <v>45790</v>
      </c>
      <c r="B543">
        <v>12.1485328674316</v>
      </c>
      <c r="C543">
        <v>316.61999511718699</v>
      </c>
      <c r="D543">
        <v>1213.16760253906</v>
      </c>
      <c r="E543">
        <v>0.33899998664855902</v>
      </c>
    </row>
    <row r="544" spans="1:5" x14ac:dyDescent="0.2">
      <c r="A544" s="1">
        <v>45791</v>
      </c>
      <c r="B544">
        <v>12.391502380371</v>
      </c>
      <c r="C544">
        <v>308</v>
      </c>
      <c r="D544">
        <v>1197.15905761718</v>
      </c>
      <c r="E544">
        <v>0.31999999284744202</v>
      </c>
    </row>
    <row r="545" spans="1:5" x14ac:dyDescent="0.2">
      <c r="A545" s="1">
        <v>45792</v>
      </c>
      <c r="B545">
        <v>12.585880279541</v>
      </c>
      <c r="C545">
        <v>303.55999755859301</v>
      </c>
      <c r="D545">
        <v>1216.28344726562</v>
      </c>
      <c r="E545">
        <v>0.31999999284744202</v>
      </c>
    </row>
    <row r="546" spans="1:5" x14ac:dyDescent="0.2">
      <c r="A546" s="1">
        <v>45793</v>
      </c>
      <c r="B546">
        <v>12.692787170410099</v>
      </c>
      <c r="C546">
        <v>315.95001220703102</v>
      </c>
      <c r="D546">
        <v>1228.34704589843</v>
      </c>
      <c r="E546">
        <v>0.33100000023841802</v>
      </c>
    </row>
    <row r="547" spans="1:5" x14ac:dyDescent="0.2">
      <c r="A547" s="1">
        <v>45796</v>
      </c>
      <c r="B547">
        <v>13.1884460449218</v>
      </c>
      <c r="C547">
        <v>314</v>
      </c>
      <c r="D547">
        <v>1196.76953125</v>
      </c>
      <c r="E547">
        <v>0.33899998664855902</v>
      </c>
    </row>
    <row r="548" spans="1:5" x14ac:dyDescent="0.2">
      <c r="A548" s="1">
        <v>45797</v>
      </c>
      <c r="B548">
        <v>13.314790725708001</v>
      </c>
      <c r="C548">
        <v>311.19000244140602</v>
      </c>
      <c r="D548">
        <v>1203.38061523437</v>
      </c>
      <c r="E548">
        <v>0.33300000429153398</v>
      </c>
    </row>
    <row r="549" spans="1:5" x14ac:dyDescent="0.2">
      <c r="A549" s="1">
        <v>45798</v>
      </c>
      <c r="B549">
        <v>13.2953548431396</v>
      </c>
      <c r="C549">
        <v>308.67001342773398</v>
      </c>
      <c r="D549">
        <v>1163.1748046875</v>
      </c>
      <c r="E549">
        <v>0.31000000238418501</v>
      </c>
    </row>
    <row r="550" spans="1:5" x14ac:dyDescent="0.2">
      <c r="A550" s="1">
        <v>45799</v>
      </c>
      <c r="B550">
        <v>13.023226737976</v>
      </c>
      <c r="C550">
        <v>302.010009765625</v>
      </c>
      <c r="D550">
        <v>1183.97680664062</v>
      </c>
      <c r="E550">
        <v>0.32499998807907099</v>
      </c>
    </row>
    <row r="551" spans="1:5" x14ac:dyDescent="0.2">
      <c r="A551" s="1">
        <v>45800</v>
      </c>
      <c r="B551">
        <v>12.6733493804931</v>
      </c>
      <c r="C551">
        <v>285.510009765625</v>
      </c>
      <c r="D551">
        <v>1154.50659179687</v>
      </c>
      <c r="E551">
        <v>0.32199999690055803</v>
      </c>
    </row>
    <row r="552" spans="1:5" x14ac:dyDescent="0.2">
      <c r="A552" s="1">
        <v>45803</v>
      </c>
      <c r="B552">
        <v>12.780256271362299</v>
      </c>
      <c r="C552">
        <v>285</v>
      </c>
      <c r="D552">
        <v>1156.50378417968</v>
      </c>
      <c r="E552">
        <v>0.32499998807907099</v>
      </c>
    </row>
    <row r="553" spans="1:5" x14ac:dyDescent="0.2">
      <c r="A553" s="1">
        <v>45804</v>
      </c>
      <c r="B553">
        <v>12.585880279541</v>
      </c>
      <c r="C553">
        <v>313.79000854492102</v>
      </c>
      <c r="D553">
        <v>1200.75415039062</v>
      </c>
      <c r="E553">
        <v>0.31900000572204501</v>
      </c>
    </row>
    <row r="554" spans="1:5" x14ac:dyDescent="0.2">
      <c r="A554" s="1">
        <v>45805</v>
      </c>
      <c r="B554">
        <v>12.692787170410099</v>
      </c>
      <c r="C554">
        <v>288.54000854492102</v>
      </c>
      <c r="D554">
        <v>1196.8994140625</v>
      </c>
      <c r="E554">
        <v>0.31600001454353299</v>
      </c>
    </row>
    <row r="555" spans="1:5" x14ac:dyDescent="0.2">
      <c r="A555" s="1">
        <v>45806</v>
      </c>
      <c r="B555">
        <v>12.9551954269409</v>
      </c>
      <c r="C555">
        <v>281.579986572265</v>
      </c>
      <c r="D555">
        <v>1183.55737304687</v>
      </c>
      <c r="E555">
        <v>0.31000000238418501</v>
      </c>
    </row>
    <row r="556" spans="1:5" x14ac:dyDescent="0.2">
      <c r="A556" s="1">
        <v>45807</v>
      </c>
      <c r="B556">
        <v>12.8288507461547</v>
      </c>
      <c r="C556">
        <v>275.32000732421801</v>
      </c>
      <c r="D556">
        <v>1180.42163085937</v>
      </c>
      <c r="E556">
        <v>0.31000000238418501</v>
      </c>
    </row>
    <row r="557" spans="1:5" x14ac:dyDescent="0.2">
      <c r="A557" s="1">
        <v>45810</v>
      </c>
      <c r="B557">
        <v>13.0135087966918</v>
      </c>
      <c r="C557">
        <v>275.079986572265</v>
      </c>
      <c r="D557">
        <v>1177.82421875</v>
      </c>
      <c r="E557">
        <v>0.31200000643730103</v>
      </c>
    </row>
    <row r="558" spans="1:5" x14ac:dyDescent="0.2">
      <c r="A558" s="1">
        <v>45811</v>
      </c>
      <c r="B558">
        <v>13.4022607803344</v>
      </c>
      <c r="C558">
        <v>295.97000122070301</v>
      </c>
      <c r="D558">
        <v>1196.95495605468</v>
      </c>
      <c r="E558">
        <v>0.31900000572204501</v>
      </c>
    </row>
    <row r="559" spans="1:5" x14ac:dyDescent="0.2">
      <c r="A559" s="1">
        <v>45812</v>
      </c>
      <c r="B559">
        <v>12.9066009521484</v>
      </c>
      <c r="C559">
        <v>300.739990234375</v>
      </c>
      <c r="D559">
        <v>1202.0498046875</v>
      </c>
      <c r="E559">
        <v>0.31000000238418501</v>
      </c>
    </row>
    <row r="560" spans="1:5" x14ac:dyDescent="0.2">
      <c r="A560" s="1">
        <v>45813</v>
      </c>
      <c r="B560">
        <v>12.9066009521484</v>
      </c>
      <c r="C560">
        <v>285.100006103515</v>
      </c>
      <c r="D560">
        <v>1197.79418945312</v>
      </c>
      <c r="E560">
        <v>0.29699999094009399</v>
      </c>
    </row>
    <row r="561" spans="1:5" x14ac:dyDescent="0.2">
      <c r="A561" s="1">
        <v>45814</v>
      </c>
      <c r="B561">
        <v>13.003788948059</v>
      </c>
      <c r="C561">
        <v>300.79000854492102</v>
      </c>
      <c r="D561">
        <v>1198.79309082031</v>
      </c>
      <c r="E561">
        <v>0.29499998688697798</v>
      </c>
    </row>
    <row r="562" spans="1:5" x14ac:dyDescent="0.2">
      <c r="A562" s="1">
        <v>45817</v>
      </c>
      <c r="B562">
        <v>13.431417465209901</v>
      </c>
      <c r="C562">
        <v>309.64001464843699</v>
      </c>
      <c r="D562">
        <v>1181.07092285156</v>
      </c>
      <c r="E562">
        <v>0.29600000381469699</v>
      </c>
    </row>
    <row r="563" spans="1:5" x14ac:dyDescent="0.2">
      <c r="A563" s="1">
        <v>45818</v>
      </c>
      <c r="B563">
        <v>13.509167671203601</v>
      </c>
      <c r="C563">
        <v>316.67001342773398</v>
      </c>
      <c r="D563">
        <v>1217.77392578125</v>
      </c>
      <c r="E563">
        <v>0.30000001192092801</v>
      </c>
    </row>
    <row r="564" spans="1:5" x14ac:dyDescent="0.2">
      <c r="A564" s="1">
        <v>45819</v>
      </c>
      <c r="B564">
        <v>13.761857986450099</v>
      </c>
      <c r="C564">
        <v>306.61999511718699</v>
      </c>
      <c r="D564">
        <v>1191.80004882812</v>
      </c>
      <c r="E564">
        <v>0.30000001192092801</v>
      </c>
    </row>
    <row r="565" spans="1:5" x14ac:dyDescent="0.2">
      <c r="A565" s="1">
        <v>45820</v>
      </c>
      <c r="B565">
        <v>13.9853906631469</v>
      </c>
      <c r="C565">
        <v>302.04998779296801</v>
      </c>
      <c r="D565">
        <v>1184.61743164062</v>
      </c>
      <c r="E565">
        <v>0.29499998688697798</v>
      </c>
    </row>
    <row r="566" spans="1:5" x14ac:dyDescent="0.2">
      <c r="A566" s="1">
        <v>45821</v>
      </c>
      <c r="B566">
        <v>13.7812957763671</v>
      </c>
      <c r="C566">
        <v>284.04998779296801</v>
      </c>
      <c r="D566">
        <v>1140.85144042968</v>
      </c>
      <c r="E566">
        <v>0.29899999499320901</v>
      </c>
    </row>
    <row r="567" spans="1:5" x14ac:dyDescent="0.2">
      <c r="A567" s="1">
        <v>45824</v>
      </c>
      <c r="B567">
        <v>13.7035455703735</v>
      </c>
      <c r="C567">
        <v>289.94000244140602</v>
      </c>
      <c r="D567">
        <v>1169.7822265625</v>
      </c>
      <c r="E567">
        <v>0.30099999904632502</v>
      </c>
    </row>
    <row r="568" spans="1:5" x14ac:dyDescent="0.2">
      <c r="A568" s="1">
        <v>45825</v>
      </c>
      <c r="B568">
        <v>13.8882026672363</v>
      </c>
      <c r="C568">
        <v>278.29998779296801</v>
      </c>
      <c r="D568">
        <v>1138.24401855468</v>
      </c>
      <c r="E568">
        <v>0.30099999904632502</v>
      </c>
    </row>
    <row r="569" spans="1:5" x14ac:dyDescent="0.2">
      <c r="A569" s="1">
        <v>45826</v>
      </c>
      <c r="B569">
        <v>13.7812957763671</v>
      </c>
      <c r="C569">
        <v>278.23001098632801</v>
      </c>
      <c r="D569">
        <v>1129.86254882812</v>
      </c>
      <c r="E569">
        <v>0.30000001192092801</v>
      </c>
    </row>
    <row r="570" spans="1:5" x14ac:dyDescent="0.2">
      <c r="A570" s="1">
        <v>45827</v>
      </c>
      <c r="B570">
        <v>13.7715759277343</v>
      </c>
      <c r="C570">
        <v>280.89999389648398</v>
      </c>
      <c r="D570">
        <v>1129.86254882812</v>
      </c>
      <c r="E570">
        <v>0.30000001192092801</v>
      </c>
    </row>
    <row r="571" spans="1:5" x14ac:dyDescent="0.2">
      <c r="A571" s="1">
        <v>45828</v>
      </c>
      <c r="B571">
        <v>13.6063566207885</v>
      </c>
      <c r="C571">
        <v>274.79000854492102</v>
      </c>
      <c r="D571">
        <v>1148.78332519531</v>
      </c>
      <c r="E571">
        <v>0.29699999094009399</v>
      </c>
    </row>
    <row r="572" spans="1:5" x14ac:dyDescent="0.2">
      <c r="A572" s="1">
        <v>45831</v>
      </c>
      <c r="B572">
        <v>12.498410224914499</v>
      </c>
      <c r="C572">
        <v>270.100006103515</v>
      </c>
      <c r="D572">
        <v>1165.41674804687</v>
      </c>
      <c r="E572">
        <v>0.29499998688697798</v>
      </c>
    </row>
    <row r="573" spans="1:5" x14ac:dyDescent="0.2">
      <c r="A573" s="1">
        <v>45832</v>
      </c>
      <c r="B573">
        <v>12.916318893432599</v>
      </c>
      <c r="C573">
        <v>282.04998779296801</v>
      </c>
      <c r="D573">
        <v>1163.18896484375</v>
      </c>
      <c r="E573">
        <v>0.29499998688697798</v>
      </c>
    </row>
    <row r="574" spans="1:5" x14ac:dyDescent="0.2">
      <c r="A574" s="1">
        <v>45833</v>
      </c>
      <c r="B574">
        <v>13.4897308349609</v>
      </c>
      <c r="C574">
        <v>283.79998779296801</v>
      </c>
      <c r="D574">
        <v>1151.5107421875</v>
      </c>
      <c r="E574">
        <v>0.298000007867813</v>
      </c>
    </row>
    <row r="575" spans="1:5" x14ac:dyDescent="0.2">
      <c r="A575" s="1">
        <v>45834</v>
      </c>
      <c r="B575">
        <v>13.4897308349609</v>
      </c>
      <c r="C575">
        <v>288.11999511718699</v>
      </c>
      <c r="D575">
        <v>1177.07495117187</v>
      </c>
      <c r="E575">
        <v>0.29899999499320901</v>
      </c>
    </row>
    <row r="576" spans="1:5" x14ac:dyDescent="0.2">
      <c r="A576" s="1">
        <v>45835</v>
      </c>
      <c r="B576">
        <v>13.2856349945068</v>
      </c>
      <c r="C576">
        <v>282.010009765625</v>
      </c>
      <c r="D576">
        <v>1361.009765625</v>
      </c>
      <c r="E576">
        <v>0.30000001192092801</v>
      </c>
    </row>
    <row r="577" spans="1:5" x14ac:dyDescent="0.2">
      <c r="A577" s="1">
        <v>45838</v>
      </c>
      <c r="B577">
        <v>13.577199935913001</v>
      </c>
      <c r="C577">
        <v>294.92999267578102</v>
      </c>
      <c r="D577">
        <v>1328.66247558593</v>
      </c>
      <c r="E577">
        <v>0.29600000381469699</v>
      </c>
    </row>
    <row r="578" spans="1:5" x14ac:dyDescent="0.2">
      <c r="A578" s="1">
        <v>45839</v>
      </c>
      <c r="B578">
        <v>13.625794410705501</v>
      </c>
      <c r="C578">
        <v>295.29998779296801</v>
      </c>
      <c r="D578">
        <v>1374.07666015625</v>
      </c>
      <c r="E578">
        <v>0.29699999094009399</v>
      </c>
    </row>
    <row r="579" spans="1:5" x14ac:dyDescent="0.2">
      <c r="A579" s="1">
        <v>45840</v>
      </c>
      <c r="B579">
        <v>14.092298507690399</v>
      </c>
      <c r="C579">
        <v>333.25</v>
      </c>
      <c r="D579">
        <v>1435.55480957031</v>
      </c>
      <c r="E579">
        <v>0.30000001192092801</v>
      </c>
    </row>
    <row r="580" spans="1:5" x14ac:dyDescent="0.2">
      <c r="A580" s="1">
        <v>45841</v>
      </c>
      <c r="B580">
        <v>13.8882026672363</v>
      </c>
      <c r="C580">
        <v>328</v>
      </c>
      <c r="D580">
        <v>1424.56579589843</v>
      </c>
      <c r="E580">
        <v>0.298000007867813</v>
      </c>
    </row>
    <row r="581" spans="1:5" x14ac:dyDescent="0.2">
      <c r="A581" s="1">
        <v>45842</v>
      </c>
      <c r="B581">
        <v>13.820171356201101</v>
      </c>
      <c r="C581">
        <v>329.489990234375</v>
      </c>
      <c r="D581">
        <v>1427.56286621093</v>
      </c>
      <c r="E581">
        <v>0.298000007867813</v>
      </c>
    </row>
    <row r="582" spans="1:5" x14ac:dyDescent="0.2">
      <c r="A582" s="1">
        <v>45845</v>
      </c>
      <c r="B582">
        <v>13.5480432510375</v>
      </c>
      <c r="C582">
        <v>309.89001464843699</v>
      </c>
      <c r="D582">
        <v>1425.97436523437</v>
      </c>
      <c r="E582">
        <v>0.29499998688697798</v>
      </c>
    </row>
    <row r="583" spans="1:5" x14ac:dyDescent="0.2">
      <c r="A583" s="1">
        <v>45846</v>
      </c>
      <c r="B583">
        <v>13.314790725708001</v>
      </c>
      <c r="C583">
        <v>321.07000732421801</v>
      </c>
      <c r="D583">
        <v>1373.41735839843</v>
      </c>
      <c r="E583">
        <v>0.28400000929832397</v>
      </c>
    </row>
    <row r="584" spans="1:5" x14ac:dyDescent="0.2">
      <c r="A584" s="1">
        <v>45847</v>
      </c>
      <c r="B584">
        <v>13.1690101623535</v>
      </c>
      <c r="C584">
        <v>341.98001098632801</v>
      </c>
      <c r="D584">
        <v>1368.57214355468</v>
      </c>
      <c r="E584">
        <v>0.28700000047683699</v>
      </c>
    </row>
    <row r="585" spans="1:5" x14ac:dyDescent="0.2">
      <c r="A585" s="1">
        <v>45848</v>
      </c>
      <c r="B585">
        <v>12.877444267272899</v>
      </c>
      <c r="C585">
        <v>350.79000854492102</v>
      </c>
      <c r="D585">
        <v>1389.30126953125</v>
      </c>
      <c r="E585">
        <v>0.277999997138977</v>
      </c>
    </row>
    <row r="586" spans="1:5" x14ac:dyDescent="0.2">
      <c r="A586" s="1">
        <v>45849</v>
      </c>
      <c r="B586">
        <v>12.916318893432599</v>
      </c>
      <c r="C586">
        <v>355.239990234375</v>
      </c>
      <c r="D586">
        <v>1353.63720703125</v>
      </c>
      <c r="E586">
        <v>0.270000010728836</v>
      </c>
    </row>
    <row r="587" spans="1:5" x14ac:dyDescent="0.2">
      <c r="A587" s="1">
        <v>45852</v>
      </c>
      <c r="B587">
        <v>12.8288507461547</v>
      </c>
      <c r="C587">
        <v>357.760009765625</v>
      </c>
      <c r="D587">
        <v>1348.64221191406</v>
      </c>
      <c r="E587">
        <v>0.26300001144409102</v>
      </c>
    </row>
    <row r="588" spans="1:5" x14ac:dyDescent="0.2">
      <c r="A588" s="1">
        <v>45853</v>
      </c>
      <c r="B588">
        <v>13.0621013641357</v>
      </c>
      <c r="C588">
        <v>353.58999633789</v>
      </c>
      <c r="D588">
        <v>1355.63513183593</v>
      </c>
      <c r="E588">
        <v>0.27500000596046398</v>
      </c>
    </row>
    <row r="589" spans="1:5" x14ac:dyDescent="0.2">
      <c r="A589" s="1">
        <v>45854</v>
      </c>
      <c r="B589">
        <v>13.1690101623535</v>
      </c>
      <c r="C589">
        <v>364.850006103515</v>
      </c>
      <c r="D589">
        <v>1350.64025878906</v>
      </c>
      <c r="E589">
        <v>0.27500000596046398</v>
      </c>
    </row>
    <row r="590" spans="1:5" x14ac:dyDescent="0.2">
      <c r="A590" s="1">
        <v>45855</v>
      </c>
      <c r="B590">
        <v>12.7510995864868</v>
      </c>
      <c r="C590">
        <v>373.79998779296801</v>
      </c>
      <c r="D590">
        <v>1369.62121582031</v>
      </c>
      <c r="E590">
        <v>0.27599999308586098</v>
      </c>
    </row>
    <row r="591" spans="1:5" x14ac:dyDescent="0.2">
      <c r="A591" s="1">
        <v>45856</v>
      </c>
      <c r="B591">
        <v>12.7705383300781</v>
      </c>
      <c r="C591">
        <v>365.19000244140602</v>
      </c>
      <c r="D591">
        <v>1353.64721679687</v>
      </c>
      <c r="E591">
        <v>0.27099999785423201</v>
      </c>
    </row>
    <row r="592" spans="1:5" x14ac:dyDescent="0.2">
      <c r="A592" s="1">
        <v>45859</v>
      </c>
      <c r="B592">
        <v>12.6247549057006</v>
      </c>
      <c r="C592">
        <v>350.39999389648398</v>
      </c>
      <c r="D592">
        <v>1383.59704589843</v>
      </c>
      <c r="E592">
        <v>0.31499999761581399</v>
      </c>
    </row>
    <row r="593" spans="1:5" x14ac:dyDescent="0.2">
      <c r="A593" s="1">
        <v>45860</v>
      </c>
      <c r="B593">
        <v>12.916318893432599</v>
      </c>
      <c r="C593">
        <v>369.54998779296801</v>
      </c>
      <c r="D593">
        <v>1407.57299804687</v>
      </c>
      <c r="E593">
        <v>0.29100000858306801</v>
      </c>
    </row>
    <row r="594" spans="1:5" x14ac:dyDescent="0.2">
      <c r="A594" s="1">
        <v>45861</v>
      </c>
      <c r="B594">
        <v>13.023226737976</v>
      </c>
      <c r="C594">
        <v>323.82000732421801</v>
      </c>
      <c r="D594">
        <v>1421.4189453125</v>
      </c>
      <c r="E594">
        <v>0.29899999499320901</v>
      </c>
    </row>
    <row r="595" spans="1:5" x14ac:dyDescent="0.2">
      <c r="A595" s="1">
        <v>45862</v>
      </c>
      <c r="B595">
        <v>13.120414733886699</v>
      </c>
      <c r="C595">
        <v>321.47000122070301</v>
      </c>
      <c r="D595">
        <v>1397.56298828125</v>
      </c>
      <c r="E595">
        <v>0.29899999499320901</v>
      </c>
    </row>
    <row r="596" spans="1:5" x14ac:dyDescent="0.2">
      <c r="A596" s="1">
        <v>45863</v>
      </c>
      <c r="B596">
        <v>13.130133628845201</v>
      </c>
      <c r="C596">
        <v>318.76998901367102</v>
      </c>
      <c r="D596">
        <v>1415.57482910156</v>
      </c>
      <c r="E596">
        <v>0.29899999499320901</v>
      </c>
    </row>
    <row r="597" spans="1:5" x14ac:dyDescent="0.2">
      <c r="A597" s="1">
        <v>45866</v>
      </c>
      <c r="B597">
        <v>13.266197204589799</v>
      </c>
      <c r="C597">
        <v>320.45001220703102</v>
      </c>
      <c r="D597">
        <v>1485.98413085937</v>
      </c>
      <c r="E597">
        <v>0.28299999237060502</v>
      </c>
    </row>
    <row r="598" spans="1:5" x14ac:dyDescent="0.2">
      <c r="A598" s="1">
        <v>45867</v>
      </c>
      <c r="B598">
        <v>13.1009769439697</v>
      </c>
      <c r="C598">
        <v>312.58999633789</v>
      </c>
      <c r="D598">
        <v>1459.54064941406</v>
      </c>
      <c r="E598">
        <v>0.29199999570846502</v>
      </c>
    </row>
    <row r="599" spans="1:5" x14ac:dyDescent="0.2">
      <c r="A599" s="1">
        <v>45868</v>
      </c>
      <c r="B599">
        <v>13.2953548431396</v>
      </c>
      <c r="C599">
        <v>312.41000366210898</v>
      </c>
      <c r="D599">
        <v>1441.73852539062</v>
      </c>
      <c r="E599">
        <v>0.28600001335143999</v>
      </c>
    </row>
    <row r="600" spans="1:5" x14ac:dyDescent="0.2">
      <c r="A600" s="1">
        <v>45869</v>
      </c>
      <c r="B600">
        <v>13.324510574340801</v>
      </c>
      <c r="C600">
        <v>305.23001098632801</v>
      </c>
      <c r="D600">
        <v>1406.583984375</v>
      </c>
      <c r="E600">
        <v>0.287999987602233</v>
      </c>
    </row>
    <row r="601" spans="1:5" x14ac:dyDescent="0.2">
      <c r="A601" s="1">
        <v>45870</v>
      </c>
      <c r="B601">
        <v>13.567481994628899</v>
      </c>
      <c r="C601">
        <v>293.95999145507801</v>
      </c>
      <c r="D601">
        <v>1393.017578125</v>
      </c>
      <c r="E601">
        <v>0.28999999165534901</v>
      </c>
    </row>
    <row r="602" spans="1:5" x14ac:dyDescent="0.2">
      <c r="A602" s="1">
        <v>45873</v>
      </c>
      <c r="B602">
        <v>13.3050727844238</v>
      </c>
      <c r="C602">
        <v>304.66000366210898</v>
      </c>
      <c r="D602">
        <v>1416.57385253906</v>
      </c>
      <c r="E602">
        <v>0.29100000858306801</v>
      </c>
    </row>
    <row r="603" spans="1:5" x14ac:dyDescent="0.2">
      <c r="A603" s="1">
        <v>45874</v>
      </c>
      <c r="B603">
        <v>13.3050727844238</v>
      </c>
      <c r="C603">
        <v>291.02999877929602</v>
      </c>
      <c r="D603">
        <v>1392.59802246093</v>
      </c>
      <c r="E603">
        <v>0.28999999165534901</v>
      </c>
    </row>
    <row r="604" spans="1:5" x14ac:dyDescent="0.2">
      <c r="A604" s="1">
        <v>45875</v>
      </c>
      <c r="B604">
        <v>13.2078847885131</v>
      </c>
      <c r="C604">
        <v>298.45999145507801</v>
      </c>
      <c r="D604">
        <v>1405.58508300781</v>
      </c>
      <c r="E604">
        <v>0.28999999165534901</v>
      </c>
    </row>
    <row r="605" spans="1:5" x14ac:dyDescent="0.2">
      <c r="A605" s="1">
        <v>45876</v>
      </c>
      <c r="B605">
        <v>13.091259002685501</v>
      </c>
      <c r="C605">
        <v>296.89001464843699</v>
      </c>
      <c r="D605">
        <v>1383.60705566406</v>
      </c>
      <c r="E605">
        <v>0.28700000047683699</v>
      </c>
    </row>
    <row r="606" spans="1:5" x14ac:dyDescent="0.2">
      <c r="A606" s="1">
        <v>45877</v>
      </c>
      <c r="B606">
        <v>13.1690101623535</v>
      </c>
      <c r="C606">
        <v>287.44000244140602</v>
      </c>
      <c r="D606">
        <v>1373.6171875</v>
      </c>
      <c r="E606">
        <v>0.28499999642372098</v>
      </c>
    </row>
    <row r="607" spans="1:5" x14ac:dyDescent="0.2">
      <c r="A607" s="1">
        <v>45880</v>
      </c>
      <c r="B607">
        <v>13.2078847885131</v>
      </c>
      <c r="C607">
        <v>291.85998535156199</v>
      </c>
      <c r="D607">
        <v>1379.61096191406</v>
      </c>
      <c r="E607">
        <v>0.28999999165534901</v>
      </c>
    </row>
    <row r="608" spans="1:5" x14ac:dyDescent="0.2">
      <c r="A608" s="1">
        <v>45881</v>
      </c>
      <c r="B608">
        <v>13.1009769439697</v>
      </c>
      <c r="C608">
        <v>294.100006103515</v>
      </c>
      <c r="D608">
        <v>1394.5859375</v>
      </c>
      <c r="E608">
        <v>0.29300001263618403</v>
      </c>
    </row>
    <row r="609" spans="1:5" x14ac:dyDescent="0.2">
      <c r="A609" s="1">
        <v>45882</v>
      </c>
      <c r="B609">
        <v>13.120414733886699</v>
      </c>
      <c r="C609">
        <v>296.75</v>
      </c>
      <c r="D609">
        <v>1443.49682617187</v>
      </c>
      <c r="E609">
        <v>0.26300001144409102</v>
      </c>
    </row>
    <row r="610" spans="1:5" x14ac:dyDescent="0.2">
      <c r="A610" s="1">
        <v>45883</v>
      </c>
      <c r="B610">
        <v>13.4994497299194</v>
      </c>
      <c r="C610">
        <v>294.92999267578102</v>
      </c>
      <c r="D610">
        <v>1437.55261230468</v>
      </c>
      <c r="E610">
        <v>0.287999987602233</v>
      </c>
    </row>
    <row r="611" spans="1:5" x14ac:dyDescent="0.2">
      <c r="A611" s="1">
        <v>45884</v>
      </c>
      <c r="B611">
        <v>13.431417465209901</v>
      </c>
      <c r="C611">
        <v>295.79000854492102</v>
      </c>
      <c r="D611">
        <v>1443.71655273437</v>
      </c>
      <c r="E611">
        <v>0.24199999868869701</v>
      </c>
    </row>
    <row r="612" spans="1:5" x14ac:dyDescent="0.2">
      <c r="A612" s="1">
        <v>45887</v>
      </c>
      <c r="B612">
        <v>13.4994497299194</v>
      </c>
      <c r="C612">
        <v>301.010009765625</v>
      </c>
      <c r="D612">
        <v>1452.22790527343</v>
      </c>
      <c r="E612">
        <v>0.259999990463256</v>
      </c>
    </row>
    <row r="613" spans="1:5" x14ac:dyDescent="0.2">
      <c r="A613" s="1">
        <v>45888</v>
      </c>
      <c r="B613">
        <v>13.431417465209901</v>
      </c>
      <c r="C613">
        <v>286.17001342773398</v>
      </c>
      <c r="D613">
        <v>1443.55676269531</v>
      </c>
      <c r="E613">
        <v>0.26300001144409102</v>
      </c>
    </row>
    <row r="614" spans="1:5" x14ac:dyDescent="0.2">
      <c r="A614" s="1">
        <v>45889</v>
      </c>
      <c r="B614">
        <v>13.579885482788001</v>
      </c>
      <c r="C614">
        <v>287.67999267578102</v>
      </c>
      <c r="D614">
        <v>1428.58178710937</v>
      </c>
      <c r="E614">
        <v>0.26300001144409102</v>
      </c>
    </row>
    <row r="615" spans="1:5" x14ac:dyDescent="0.2">
      <c r="A615" s="1">
        <v>45890</v>
      </c>
      <c r="B615">
        <v>13.500702857971101</v>
      </c>
      <c r="C615">
        <v>288.100006103515</v>
      </c>
      <c r="D615">
        <v>1422.07836914062</v>
      </c>
      <c r="E615">
        <v>0.26699998974800099</v>
      </c>
    </row>
    <row r="616" spans="1:5" x14ac:dyDescent="0.2">
      <c r="A616" s="1">
        <v>45891</v>
      </c>
      <c r="B616">
        <v>13.6491708755493</v>
      </c>
      <c r="C616">
        <v>303.17001342773398</v>
      </c>
      <c r="D616">
        <v>1460.52954101562</v>
      </c>
      <c r="E616">
        <v>0.26499998569488498</v>
      </c>
    </row>
    <row r="617" spans="1:5" x14ac:dyDescent="0.2">
      <c r="A617" s="1">
        <v>45894</v>
      </c>
      <c r="B617">
        <v>13.6491708755493</v>
      </c>
      <c r="C617">
        <v>288.489990234375</v>
      </c>
      <c r="D617">
        <v>1480.50952148437</v>
      </c>
      <c r="E617">
        <v>0.26499998569488498</v>
      </c>
    </row>
    <row r="618" spans="1:5" x14ac:dyDescent="0.2">
      <c r="A618" s="1">
        <v>45895</v>
      </c>
      <c r="B618">
        <v>13.500702857971101</v>
      </c>
      <c r="C618">
        <v>296.88000488281199</v>
      </c>
      <c r="D618">
        <v>1464.03601074218</v>
      </c>
      <c r="E618">
        <v>0.26399999856948803</v>
      </c>
    </row>
    <row r="619" spans="1:5" x14ac:dyDescent="0.2">
      <c r="A619" s="1">
        <v>45896</v>
      </c>
      <c r="B619">
        <v>13.500702857971101</v>
      </c>
      <c r="C619">
        <v>295.22000122070301</v>
      </c>
      <c r="D619">
        <v>1452.54760742187</v>
      </c>
      <c r="E619">
        <v>0.27099999785423201</v>
      </c>
    </row>
    <row r="620" spans="1:5" x14ac:dyDescent="0.2">
      <c r="A620" s="1">
        <v>45897</v>
      </c>
      <c r="B620">
        <v>13.4710083007812</v>
      </c>
      <c r="C620">
        <v>298.30999755859301</v>
      </c>
      <c r="D620">
        <v>1450.91931152343</v>
      </c>
      <c r="E620">
        <v>0.26600000262260398</v>
      </c>
    </row>
    <row r="621" spans="1:5" x14ac:dyDescent="0.2">
      <c r="A621" s="1">
        <v>45898</v>
      </c>
      <c r="B621">
        <v>13.4710083007812</v>
      </c>
      <c r="C621">
        <v>297.17999267578102</v>
      </c>
      <c r="D621">
        <v>1439.22106933593</v>
      </c>
      <c r="E621">
        <v>0.26499998569488498</v>
      </c>
    </row>
    <row r="622" spans="1:5" x14ac:dyDescent="0.2">
      <c r="A622" s="1">
        <v>45901</v>
      </c>
      <c r="B622">
        <v>13.461111068725501</v>
      </c>
      <c r="C622">
        <v>293</v>
      </c>
      <c r="D622">
        <v>1448.53161621093</v>
      </c>
      <c r="E622">
        <v>0.26600000262260398</v>
      </c>
    </row>
    <row r="623" spans="1:5" x14ac:dyDescent="0.2">
      <c r="A623" s="1">
        <v>45902</v>
      </c>
      <c r="B623">
        <v>13.708558082580501</v>
      </c>
      <c r="C623">
        <v>300.72000122070301</v>
      </c>
      <c r="D623">
        <v>1387.52624511718</v>
      </c>
      <c r="E623">
        <v>0.26800000667571999</v>
      </c>
    </row>
    <row r="624" spans="1:5" x14ac:dyDescent="0.2">
      <c r="A624" s="1">
        <v>45903</v>
      </c>
      <c r="B624">
        <v>13.6491708755493</v>
      </c>
      <c r="C624">
        <v>295.54998779296801</v>
      </c>
      <c r="D624">
        <v>1398.97778320312</v>
      </c>
      <c r="E624">
        <v>0.26399999856948803</v>
      </c>
    </row>
    <row r="625" spans="1:5" x14ac:dyDescent="0.2">
      <c r="A625" s="1">
        <v>45904</v>
      </c>
      <c r="B625">
        <v>13.708558082580501</v>
      </c>
      <c r="C625">
        <v>283.5</v>
      </c>
      <c r="D625">
        <v>1413.96691894531</v>
      </c>
      <c r="E625">
        <v>0.26499998569488498</v>
      </c>
    </row>
    <row r="626" spans="1:5" x14ac:dyDescent="0.2">
      <c r="A626" s="1">
        <v>45905</v>
      </c>
      <c r="B626">
        <v>13.5897827148437</v>
      </c>
      <c r="C626">
        <v>284.30999755859301</v>
      </c>
      <c r="D626">
        <v>1378.99243164062</v>
      </c>
      <c r="E626">
        <v>0.26199999451637201</v>
      </c>
    </row>
    <row r="627" spans="1:5" x14ac:dyDescent="0.2">
      <c r="A627" s="1">
        <v>45908</v>
      </c>
      <c r="B627">
        <v>13.560090065002401</v>
      </c>
      <c r="C627">
        <v>283.26998901367102</v>
      </c>
      <c r="D627">
        <v>1380.00170898437</v>
      </c>
      <c r="E627">
        <v>0.259999990463256</v>
      </c>
    </row>
    <row r="628" spans="1:5" x14ac:dyDescent="0.2">
      <c r="A628" s="1">
        <v>45909</v>
      </c>
      <c r="B628">
        <v>13.500702857971101</v>
      </c>
      <c r="C628">
        <v>297.29998779296801</v>
      </c>
      <c r="D628">
        <v>1368.00061035156</v>
      </c>
      <c r="E628">
        <v>0.25</v>
      </c>
    </row>
    <row r="629" spans="1:5" x14ac:dyDescent="0.2">
      <c r="A629" s="1">
        <v>45910</v>
      </c>
      <c r="B629">
        <v>13.550191879272401</v>
      </c>
      <c r="C629">
        <v>295.07000732421801</v>
      </c>
      <c r="D629">
        <v>1378.982421875</v>
      </c>
      <c r="E629">
        <v>0.25200000405311501</v>
      </c>
    </row>
    <row r="630" spans="1:5" x14ac:dyDescent="0.2">
      <c r="A630" s="1">
        <v>45911</v>
      </c>
      <c r="B630">
        <v>13.5996809005737</v>
      </c>
      <c r="C630">
        <v>292.20001220703102</v>
      </c>
      <c r="D630">
        <v>1373.99609375</v>
      </c>
      <c r="E630">
        <v>0.25200000405311501</v>
      </c>
    </row>
    <row r="631" spans="1:5" x14ac:dyDescent="0.2">
      <c r="A631" s="1">
        <v>45912</v>
      </c>
      <c r="B631">
        <v>13.550191879272401</v>
      </c>
      <c r="C631">
        <v>302.35998535156199</v>
      </c>
      <c r="D631">
        <v>1348.01501464843</v>
      </c>
      <c r="E631">
        <v>0.25099998712539601</v>
      </c>
    </row>
    <row r="632" spans="1:5" x14ac:dyDescent="0.2">
      <c r="A632" s="1">
        <v>45915</v>
      </c>
      <c r="B632">
        <v>13.4809064865112</v>
      </c>
      <c r="C632">
        <v>297.26998901367102</v>
      </c>
      <c r="D632">
        <v>1341.30004882812</v>
      </c>
      <c r="E632">
        <v>0.25200000405311501</v>
      </c>
    </row>
    <row r="633" spans="1:5" x14ac:dyDescent="0.2">
      <c r="A633" s="1">
        <v>45917</v>
      </c>
      <c r="B633">
        <v>13.5996809005737</v>
      </c>
      <c r="C633">
        <v>318.80999755859301</v>
      </c>
      <c r="D633">
        <v>1329.02905273437</v>
      </c>
      <c r="E633">
        <v>0.25400000810623102</v>
      </c>
    </row>
    <row r="634" spans="1:5" x14ac:dyDescent="0.2">
      <c r="A634" s="1">
        <v>45918</v>
      </c>
      <c r="B634">
        <v>13.6095790863037</v>
      </c>
      <c r="C634">
        <v>341.67999267578102</v>
      </c>
      <c r="D634">
        <v>1324.02270507812</v>
      </c>
      <c r="E634">
        <v>0.25400000810623102</v>
      </c>
    </row>
    <row r="635" spans="1:5" x14ac:dyDescent="0.2">
      <c r="A635" s="1">
        <v>45919</v>
      </c>
      <c r="B635">
        <v>13.0454006195068</v>
      </c>
      <c r="C635">
        <v>337.01998901367102</v>
      </c>
      <c r="D635">
        <v>1306.04577636718</v>
      </c>
      <c r="E635">
        <v>0.25699999928474399</v>
      </c>
    </row>
    <row r="636" spans="1:5" x14ac:dyDescent="0.2">
      <c r="A636" s="1">
        <v>45922</v>
      </c>
      <c r="B636">
        <v>13.550191879272401</v>
      </c>
      <c r="C636">
        <v>333.75</v>
      </c>
      <c r="D636">
        <v>1308.35412597656</v>
      </c>
      <c r="E636">
        <v>0.25900000333786</v>
      </c>
    </row>
    <row r="637" spans="1:5" x14ac:dyDescent="0.2">
      <c r="A637" s="1">
        <v>45923</v>
      </c>
      <c r="B637">
        <v>13.3621320724487</v>
      </c>
      <c r="C637">
        <v>325.64999389648398</v>
      </c>
      <c r="D637">
        <v>1299.06091308593</v>
      </c>
      <c r="E637">
        <v>0.25699999928474399</v>
      </c>
    </row>
    <row r="638" spans="1:5" x14ac:dyDescent="0.2">
      <c r="A638" s="1">
        <v>45924</v>
      </c>
      <c r="B638">
        <v>13.4908046722412</v>
      </c>
      <c r="C638">
        <v>325.89001464843699</v>
      </c>
      <c r="D638">
        <v>1309.04357910156</v>
      </c>
      <c r="E638">
        <v>0.25799998641014099</v>
      </c>
    </row>
    <row r="639" spans="1:5" x14ac:dyDescent="0.2">
      <c r="A639" s="1">
        <v>45925</v>
      </c>
      <c r="B639">
        <v>13.659069061279199</v>
      </c>
      <c r="C639">
        <v>296.600006103515</v>
      </c>
      <c r="D639">
        <v>1279.7451171875</v>
      </c>
      <c r="E639">
        <v>0.25499999523162797</v>
      </c>
    </row>
    <row r="640" spans="1:5" x14ac:dyDescent="0.2">
      <c r="A640" s="1">
        <v>45926</v>
      </c>
      <c r="B640">
        <v>13.5106000900268</v>
      </c>
      <c r="C640">
        <v>295.010009765625</v>
      </c>
      <c r="D640">
        <v>1264.08654785156</v>
      </c>
      <c r="E640">
        <v>0.259999990463256</v>
      </c>
    </row>
    <row r="641" spans="1:5" x14ac:dyDescent="0.2">
      <c r="A641" s="1">
        <v>45929</v>
      </c>
      <c r="B641">
        <v>13.3720302581787</v>
      </c>
      <c r="C641">
        <v>341.88000488281199</v>
      </c>
      <c r="D641">
        <v>1278.06628417968</v>
      </c>
      <c r="E641">
        <v>0.25299999117851202</v>
      </c>
    </row>
    <row r="642" spans="1:5" x14ac:dyDescent="0.2">
      <c r="A642" s="1">
        <v>45930</v>
      </c>
      <c r="B642">
        <v>13.6095790863037</v>
      </c>
      <c r="C642">
        <v>334.54998779296801</v>
      </c>
      <c r="D642">
        <v>1279.07556152343</v>
      </c>
      <c r="E642">
        <v>0.25200000405311501</v>
      </c>
    </row>
    <row r="643" spans="1:5" x14ac:dyDescent="0.2">
      <c r="A643" s="1">
        <v>45931</v>
      </c>
      <c r="B643">
        <v>13.6392726898193</v>
      </c>
      <c r="C643">
        <v>341.5</v>
      </c>
      <c r="D643">
        <v>1357.29833984375</v>
      </c>
      <c r="E643">
        <v>0.25099998712539601</v>
      </c>
    </row>
    <row r="644" spans="1:5" x14ac:dyDescent="0.2">
      <c r="A644" s="1">
        <v>45932</v>
      </c>
      <c r="B644">
        <v>13.421520233154199</v>
      </c>
      <c r="C644">
        <v>347.850006103515</v>
      </c>
      <c r="D644">
        <v>1370.15893554687</v>
      </c>
      <c r="E644">
        <v>0.25799998641014099</v>
      </c>
    </row>
    <row r="645" spans="1:5" x14ac:dyDescent="0.2">
      <c r="A645" s="1">
        <v>45933</v>
      </c>
      <c r="B645">
        <v>13.4710083007812</v>
      </c>
      <c r="C645">
        <v>346.27999877929602</v>
      </c>
      <c r="D645">
        <v>1329.02905273437</v>
      </c>
      <c r="E645">
        <v>0.25699999928474399</v>
      </c>
    </row>
    <row r="646" spans="1:5" x14ac:dyDescent="0.2">
      <c r="A646" s="1">
        <v>45936</v>
      </c>
      <c r="B646">
        <v>13.3621320724487</v>
      </c>
      <c r="C646">
        <v>376.489990234375</v>
      </c>
      <c r="D646">
        <v>1307.04504394531</v>
      </c>
      <c r="E646">
        <v>0.25799998641014099</v>
      </c>
    </row>
    <row r="647" spans="1:5" x14ac:dyDescent="0.2">
      <c r="A647" s="1">
        <v>45937</v>
      </c>
      <c r="B647">
        <v>13.560090065002401</v>
      </c>
      <c r="C647">
        <v>372.45001220703102</v>
      </c>
      <c r="D647">
        <v>1269.07275390625</v>
      </c>
      <c r="E647">
        <v>0.25</v>
      </c>
    </row>
    <row r="648" spans="1:5" x14ac:dyDescent="0.2">
      <c r="A648" s="1">
        <v>45938</v>
      </c>
      <c r="B648">
        <v>13.4809064865112</v>
      </c>
      <c r="C648">
        <v>371.88000488281199</v>
      </c>
      <c r="D648">
        <v>1262.517578125</v>
      </c>
      <c r="E648">
        <v>0.25799998641014099</v>
      </c>
    </row>
    <row r="649" spans="1:5" x14ac:dyDescent="0.2">
      <c r="A649" s="1">
        <v>45939</v>
      </c>
      <c r="B649">
        <v>13.3918256759643</v>
      </c>
      <c r="C649">
        <v>373.19000244140602</v>
      </c>
      <c r="D649">
        <v>1249.94677734375</v>
      </c>
      <c r="E649">
        <v>0.25499999523162797</v>
      </c>
    </row>
    <row r="650" spans="1:5" x14ac:dyDescent="0.2">
      <c r="A650" s="1">
        <v>45940</v>
      </c>
      <c r="B650">
        <v>13.3522338867187</v>
      </c>
      <c r="C650">
        <v>342.489990234375</v>
      </c>
      <c r="D650">
        <v>1209.12658691406</v>
      </c>
      <c r="E650">
        <v>0.25600001215934698</v>
      </c>
    </row>
    <row r="651" spans="1:5" x14ac:dyDescent="0.2">
      <c r="A651" s="1">
        <v>45943</v>
      </c>
      <c r="B651">
        <v>13.4116220474243</v>
      </c>
      <c r="C651">
        <v>374.83999633789</v>
      </c>
      <c r="D651">
        <v>1244.80041503906</v>
      </c>
      <c r="E651">
        <v>0.25200000405311501</v>
      </c>
    </row>
    <row r="652" spans="1:5" x14ac:dyDescent="0.2">
      <c r="A652" s="1">
        <v>45944</v>
      </c>
      <c r="B652">
        <v>13.560090065002401</v>
      </c>
      <c r="C652">
        <v>411.17999267578102</v>
      </c>
      <c r="D652">
        <v>1255.0830078125</v>
      </c>
      <c r="E652">
        <v>0.25299999117851202</v>
      </c>
    </row>
    <row r="653" spans="1:5" x14ac:dyDescent="0.2">
      <c r="A653" s="1">
        <v>45945</v>
      </c>
      <c r="B653">
        <v>13.5106000900268</v>
      </c>
      <c r="C653">
        <v>422.67999267578102</v>
      </c>
      <c r="D653">
        <v>1266.07495117187</v>
      </c>
      <c r="E653">
        <v>0.25299999117851202</v>
      </c>
    </row>
    <row r="654" spans="1:5" x14ac:dyDescent="0.2">
      <c r="A654" s="1">
        <v>45946</v>
      </c>
      <c r="B654">
        <v>13.560090065002401</v>
      </c>
      <c r="C654">
        <v>373.67999267578102</v>
      </c>
      <c r="D654">
        <v>1232.09985351562</v>
      </c>
      <c r="E654">
        <v>0.25699999928474399</v>
      </c>
    </row>
    <row r="655" spans="1:5" x14ac:dyDescent="0.2">
      <c r="A655" s="1">
        <v>45947</v>
      </c>
      <c r="B655">
        <v>13.3621320724487</v>
      </c>
      <c r="C655">
        <v>357.989990234375</v>
      </c>
      <c r="D655">
        <v>1238.64501953125</v>
      </c>
      <c r="E655">
        <v>0.25299999117851202</v>
      </c>
    </row>
    <row r="656" spans="1:5" x14ac:dyDescent="0.2">
      <c r="A656" s="1">
        <v>45950</v>
      </c>
      <c r="B656">
        <v>13.4017238616943</v>
      </c>
      <c r="C656">
        <v>382.67001342773398</v>
      </c>
      <c r="D656">
        <v>1255.07299804687</v>
      </c>
      <c r="E656">
        <v>0.25299999117851202</v>
      </c>
    </row>
    <row r="657" spans="1:5" x14ac:dyDescent="0.2">
      <c r="A657" s="1">
        <v>45951</v>
      </c>
      <c r="B657">
        <v>13.5699872970581</v>
      </c>
      <c r="C657">
        <v>367.05999755859301</v>
      </c>
      <c r="D657">
        <v>1259.080078125</v>
      </c>
      <c r="E657">
        <v>0.25200000405311501</v>
      </c>
    </row>
    <row r="658" spans="1:5" x14ac:dyDescent="0.2">
      <c r="A658" s="1">
        <v>45952</v>
      </c>
      <c r="B658">
        <v>13.550191879272401</v>
      </c>
      <c r="C658">
        <v>352.48001098632801</v>
      </c>
      <c r="D658">
        <v>1272.48034667968</v>
      </c>
      <c r="E658">
        <v>0.25299999117851202</v>
      </c>
    </row>
    <row r="659" spans="1:5" x14ac:dyDescent="0.2">
      <c r="A659" s="1">
        <v>45953</v>
      </c>
      <c r="B659">
        <v>13.4809064865112</v>
      </c>
      <c r="C659">
        <v>355.80999755859301</v>
      </c>
      <c r="D659">
        <v>1279.07556152343</v>
      </c>
      <c r="E659">
        <v>0.25099998712539601</v>
      </c>
    </row>
    <row r="660" spans="1:5" x14ac:dyDescent="0.2">
      <c r="A660" s="1">
        <v>45954</v>
      </c>
      <c r="B660">
        <v>13.550191879272401</v>
      </c>
      <c r="C660">
        <v>357.42999267578102</v>
      </c>
      <c r="D660">
        <v>1275.14831542968</v>
      </c>
      <c r="E660">
        <v>0.25200000405311501</v>
      </c>
    </row>
    <row r="661" spans="1:5" x14ac:dyDescent="0.2">
      <c r="A661" s="1">
        <v>45957</v>
      </c>
      <c r="B661">
        <v>13.4116220474243</v>
      </c>
      <c r="C661">
        <v>361.41000366210898</v>
      </c>
      <c r="D661">
        <v>1259.080078125</v>
      </c>
      <c r="E661">
        <v>0.25400000810623102</v>
      </c>
    </row>
    <row r="662" spans="1:5" x14ac:dyDescent="0.2">
      <c r="A662" s="1">
        <v>45958</v>
      </c>
      <c r="B662">
        <v>13.461111068725501</v>
      </c>
      <c r="C662">
        <v>346.350006103515</v>
      </c>
      <c r="D662">
        <v>1241.1533203125</v>
      </c>
      <c r="E662">
        <v>0.259999990463256</v>
      </c>
    </row>
    <row r="663" spans="1:5" x14ac:dyDescent="0.2">
      <c r="A663" s="1">
        <v>45959</v>
      </c>
      <c r="B663">
        <v>13.3720302581787</v>
      </c>
      <c r="C663">
        <v>348.5</v>
      </c>
      <c r="D663">
        <v>1220.7880859375</v>
      </c>
      <c r="E663">
        <v>0.25900000333786</v>
      </c>
    </row>
    <row r="664" spans="1:5" x14ac:dyDescent="0.2">
      <c r="A664" s="1">
        <v>45960</v>
      </c>
      <c r="B664">
        <v>13.4017238616943</v>
      </c>
      <c r="C664">
        <v>332.66000366210898</v>
      </c>
      <c r="D664">
        <v>1202.54150390625</v>
      </c>
      <c r="E664">
        <v>0.25</v>
      </c>
    </row>
    <row r="665" spans="1:5" x14ac:dyDescent="0.2">
      <c r="A665" s="1">
        <v>45961</v>
      </c>
      <c r="B665">
        <v>13.2730512619018</v>
      </c>
      <c r="C665">
        <v>337.60998535156199</v>
      </c>
      <c r="D665">
        <v>1197.12536621093</v>
      </c>
      <c r="E665">
        <v>0.25</v>
      </c>
    </row>
    <row r="666" spans="1:5" x14ac:dyDescent="0.2">
      <c r="A666" s="1">
        <v>45964</v>
      </c>
      <c r="B666">
        <v>13.3918256759643</v>
      </c>
      <c r="C666">
        <v>330.35998535156199</v>
      </c>
      <c r="D666">
        <v>1160.89172363281</v>
      </c>
      <c r="E666">
        <v>0.24899999797344199</v>
      </c>
    </row>
    <row r="667" spans="1:5" x14ac:dyDescent="0.2">
      <c r="A667" s="1">
        <v>45965</v>
      </c>
      <c r="B667">
        <v>13.2928476333618</v>
      </c>
      <c r="C667">
        <v>312.04998779296801</v>
      </c>
      <c r="D667">
        <v>1144.1640625</v>
      </c>
      <c r="E667">
        <v>0.24899999797344199</v>
      </c>
    </row>
    <row r="668" spans="1:5" x14ac:dyDescent="0.2">
      <c r="A668" s="1">
        <v>45966</v>
      </c>
      <c r="B668">
        <v>13.302744865417401</v>
      </c>
      <c r="C668">
        <v>320.01998901367102</v>
      </c>
      <c r="D668">
        <v>1158.31372070312</v>
      </c>
      <c r="E668">
        <v>0.24699999392032601</v>
      </c>
    </row>
    <row r="669" spans="1:5" x14ac:dyDescent="0.2">
      <c r="A669" s="1">
        <v>45967</v>
      </c>
      <c r="B669">
        <v>13.3423357009887</v>
      </c>
      <c r="C669">
        <v>299.52999877929602</v>
      </c>
      <c r="D669">
        <v>1150.15966796875</v>
      </c>
      <c r="E669">
        <v>0.25</v>
      </c>
    </row>
    <row r="670" spans="1:5" x14ac:dyDescent="0.2">
      <c r="A670" s="1">
        <v>45968</v>
      </c>
      <c r="B670">
        <v>13.2433576583862</v>
      </c>
      <c r="C670">
        <v>290.48001098632801</v>
      </c>
      <c r="D670">
        <v>1126.44702148437</v>
      </c>
      <c r="E670">
        <v>0.24799999594688399</v>
      </c>
    </row>
    <row r="671" spans="1:5" x14ac:dyDescent="0.2">
      <c r="A671" s="1">
        <v>45971</v>
      </c>
      <c r="B671">
        <v>13.2631530761718</v>
      </c>
      <c r="C671">
        <v>287.10998535156199</v>
      </c>
      <c r="D671">
        <v>1119.2822265625</v>
      </c>
      <c r="E671">
        <v>0.24899999797344199</v>
      </c>
    </row>
    <row r="672" spans="1:5" x14ac:dyDescent="0.2">
      <c r="A672" s="1">
        <v>45972</v>
      </c>
      <c r="B672">
        <v>13.312643051147401</v>
      </c>
      <c r="C672">
        <v>267.239990234375</v>
      </c>
      <c r="D672">
        <v>1156.1552734375</v>
      </c>
      <c r="E672">
        <v>0.24899999797344199</v>
      </c>
    </row>
    <row r="673" spans="1:5" x14ac:dyDescent="0.2">
      <c r="A673" s="1">
        <v>45973</v>
      </c>
      <c r="B673">
        <v>13.075094223022401</v>
      </c>
      <c r="C673">
        <v>263.22000122070301</v>
      </c>
      <c r="D673">
        <v>1175.44128417968</v>
      </c>
      <c r="E673">
        <v>0.24899999797344199</v>
      </c>
    </row>
    <row r="674" spans="1:5" x14ac:dyDescent="0.2">
      <c r="A674" s="1">
        <v>45974</v>
      </c>
      <c r="B674">
        <v>13.183970451354901</v>
      </c>
      <c r="C674">
        <v>234.419998168945</v>
      </c>
      <c r="D674">
        <v>1211.74475097656</v>
      </c>
      <c r="E674">
        <v>0.246000006794929</v>
      </c>
    </row>
    <row r="675" spans="1:5" x14ac:dyDescent="0.2">
      <c r="A675" s="1">
        <v>45975</v>
      </c>
      <c r="B675">
        <v>13.075094223022401</v>
      </c>
      <c r="C675">
        <v>220.96000671386699</v>
      </c>
      <c r="D675">
        <v>1170.34497070312</v>
      </c>
      <c r="E675">
        <v>0.25</v>
      </c>
    </row>
    <row r="676" spans="1:5" x14ac:dyDescent="0.2">
      <c r="A676" s="1">
        <v>45979</v>
      </c>
      <c r="B676">
        <v>13.0454006195068</v>
      </c>
      <c r="C676">
        <v>219.67999267578099</v>
      </c>
      <c r="D676">
        <v>1141.16625976562</v>
      </c>
      <c r="E676">
        <v>0.245000004768371</v>
      </c>
    </row>
    <row r="677" spans="1:5" x14ac:dyDescent="0.2">
      <c r="A677" s="1">
        <v>45980</v>
      </c>
      <c r="B677">
        <v>13.0552978515625</v>
      </c>
      <c r="C677">
        <v>204.69999694824199</v>
      </c>
      <c r="D677">
        <v>1151.98828125</v>
      </c>
      <c r="E677">
        <v>0.25</v>
      </c>
    </row>
    <row r="678" spans="1:5" x14ac:dyDescent="0.2">
      <c r="A678" s="1">
        <v>45981</v>
      </c>
      <c r="B678">
        <v>13.1146850585937</v>
      </c>
      <c r="C678">
        <v>191.05999755859301</v>
      </c>
      <c r="D678">
        <v>1139.16760253906</v>
      </c>
      <c r="E678">
        <v>0.24899999797344199</v>
      </c>
    </row>
    <row r="679" spans="1:5" x14ac:dyDescent="0.2">
      <c r="A679" s="1">
        <v>45982</v>
      </c>
      <c r="B679">
        <v>12.748464584350501</v>
      </c>
      <c r="C679">
        <v>186.350006103515</v>
      </c>
      <c r="D679">
        <v>1169.1357421875</v>
      </c>
      <c r="E679">
        <v>0.25099998712539601</v>
      </c>
    </row>
    <row r="680" spans="1:5" x14ac:dyDescent="0.2">
      <c r="A680" s="1">
        <v>45985</v>
      </c>
      <c r="B680">
        <v>13.084992408752401</v>
      </c>
      <c r="C680">
        <v>207.19000244140599</v>
      </c>
      <c r="D680">
        <v>1148.66076660156</v>
      </c>
      <c r="E680">
        <v>0.25</v>
      </c>
    </row>
    <row r="681" spans="1:5" x14ac:dyDescent="0.2">
      <c r="A681" s="1">
        <v>45986</v>
      </c>
      <c r="B681">
        <v>12.8474426269531</v>
      </c>
      <c r="C681">
        <v>204.47999572753901</v>
      </c>
      <c r="D681">
        <v>1173.15295410156</v>
      </c>
      <c r="E681">
        <v>0.25900000333786</v>
      </c>
    </row>
    <row r="682" spans="1:5" x14ac:dyDescent="0.2">
      <c r="A682" s="1">
        <v>45987</v>
      </c>
      <c r="B682">
        <v>12.7682590484619</v>
      </c>
      <c r="C682">
        <v>205.05999755859301</v>
      </c>
      <c r="D682">
        <v>1184.12475585937</v>
      </c>
      <c r="E682">
        <v>0.25299999117851202</v>
      </c>
    </row>
    <row r="683" spans="1:5" x14ac:dyDescent="0.2">
      <c r="A683" s="1">
        <v>45988</v>
      </c>
      <c r="B683">
        <v>12.8573408126831</v>
      </c>
      <c r="C683">
        <v>211.94000244140599</v>
      </c>
      <c r="D683">
        <v>1177.4296875</v>
      </c>
      <c r="E683">
        <v>0.25099998712539601</v>
      </c>
    </row>
    <row r="684" spans="1:5" x14ac:dyDescent="0.2">
      <c r="A684" s="1">
        <v>45989</v>
      </c>
      <c r="B684">
        <v>12.7682590484619</v>
      </c>
      <c r="C684">
        <v>216.05999755859301</v>
      </c>
      <c r="D684">
        <v>1179.15844726562</v>
      </c>
      <c r="E684">
        <v>0.245000004768371</v>
      </c>
    </row>
    <row r="685" spans="1:5" x14ac:dyDescent="0.2">
      <c r="A685" s="1">
        <v>45992</v>
      </c>
      <c r="B685">
        <v>12.7781572341918</v>
      </c>
      <c r="C685">
        <v>209.69000244140599</v>
      </c>
      <c r="D685">
        <v>1199.54064941406</v>
      </c>
      <c r="E685">
        <v>0.24899999797344199</v>
      </c>
    </row>
    <row r="686" spans="1:5" x14ac:dyDescent="0.2">
      <c r="A686" s="1">
        <v>45993</v>
      </c>
      <c r="B686">
        <v>12.8078508377075</v>
      </c>
      <c r="C686">
        <v>219.22999572753901</v>
      </c>
      <c r="D686">
        <v>1166.56335449218</v>
      </c>
      <c r="E686">
        <v>0.24799999594688399</v>
      </c>
    </row>
    <row r="687" spans="1:5" x14ac:dyDescent="0.2">
      <c r="A687" s="1">
        <v>45994</v>
      </c>
      <c r="B687">
        <v>12.6791791915893</v>
      </c>
      <c r="C687">
        <v>228.33999633789</v>
      </c>
      <c r="D687">
        <v>1199.54064941406</v>
      </c>
      <c r="E687">
        <v>0.25400000810623102</v>
      </c>
    </row>
    <row r="688" spans="1:5" x14ac:dyDescent="0.2">
      <c r="A688" s="1">
        <v>45995</v>
      </c>
      <c r="B688">
        <v>12.8573408126831</v>
      </c>
      <c r="C688">
        <v>228.42999267578099</v>
      </c>
      <c r="D688">
        <v>1197.54138183593</v>
      </c>
      <c r="E688">
        <v>0.25200000405311501</v>
      </c>
    </row>
    <row r="689" spans="1:5" x14ac:dyDescent="0.2">
      <c r="A689" s="1">
        <v>45996</v>
      </c>
      <c r="B689">
        <v>12.827647209167401</v>
      </c>
      <c r="C689">
        <v>213.36000061035099</v>
      </c>
      <c r="D689">
        <v>1195.54223632812</v>
      </c>
      <c r="E689">
        <v>0.25299999117851202</v>
      </c>
    </row>
    <row r="690" spans="1:5" x14ac:dyDescent="0.2">
      <c r="A690" s="1">
        <v>45999</v>
      </c>
      <c r="B690">
        <v>12.4119358062744</v>
      </c>
      <c r="C690">
        <v>218.71000671386699</v>
      </c>
      <c r="D690">
        <v>1159.55603027343</v>
      </c>
      <c r="E690">
        <v>0.25400000810623102</v>
      </c>
    </row>
    <row r="691" spans="1:5" x14ac:dyDescent="0.2">
      <c r="A691" s="1">
        <v>46000</v>
      </c>
      <c r="B691">
        <v>12.1149997711181</v>
      </c>
      <c r="C691">
        <v>222.61000061035099</v>
      </c>
      <c r="D691">
        <v>1152.55859375</v>
      </c>
      <c r="E691">
        <v>0.25799998641014099</v>
      </c>
    </row>
    <row r="692" spans="1:5" x14ac:dyDescent="0.2">
      <c r="A692" s="1">
        <v>46001</v>
      </c>
      <c r="B692">
        <v>12.4218339920043</v>
      </c>
      <c r="C692">
        <v>217.69999694824199</v>
      </c>
      <c r="D692">
        <v>1199.60070800781</v>
      </c>
      <c r="E692">
        <v>0.25</v>
      </c>
    </row>
    <row r="693" spans="1:5" x14ac:dyDescent="0.2">
      <c r="A693" s="1">
        <v>46002</v>
      </c>
      <c r="B693">
        <v>12.1743869781494</v>
      </c>
      <c r="C693">
        <v>212.14999389648401</v>
      </c>
      <c r="D693">
        <v>1220.53259277343</v>
      </c>
      <c r="E693">
        <v>0.23800000548362699</v>
      </c>
    </row>
    <row r="694" spans="1:5" x14ac:dyDescent="0.2">
      <c r="A694" s="1">
        <v>46006</v>
      </c>
      <c r="B694">
        <v>12.223876953125</v>
      </c>
      <c r="C694">
        <v>192.42999267578099</v>
      </c>
      <c r="D694">
        <v>1221.5322265625</v>
      </c>
      <c r="E694">
        <v>0.236000001430511</v>
      </c>
    </row>
    <row r="695" spans="1:5" x14ac:dyDescent="0.2">
      <c r="A695" s="1">
        <v>46007</v>
      </c>
      <c r="B695">
        <v>12.2832641601562</v>
      </c>
      <c r="C695">
        <v>191.99000549316401</v>
      </c>
      <c r="D695">
        <v>1206.53796386718</v>
      </c>
      <c r="E695">
        <v>0.21500000357627799</v>
      </c>
    </row>
    <row r="696" spans="1:5" x14ac:dyDescent="0.2">
      <c r="A696" s="1">
        <v>46008</v>
      </c>
      <c r="B696">
        <v>11.8873491287231</v>
      </c>
      <c r="C696">
        <v>180.24000549316401</v>
      </c>
      <c r="D696">
        <v>1184.27648925781</v>
      </c>
      <c r="E696">
        <v>0.18500000238418501</v>
      </c>
    </row>
    <row r="697" spans="1:5" x14ac:dyDescent="0.2">
      <c r="A697" s="1">
        <v>46009</v>
      </c>
      <c r="B697">
        <v>12.1149997711181</v>
      </c>
      <c r="C697">
        <v>175.49000549316401</v>
      </c>
      <c r="D697">
        <v>1191.40380859375</v>
      </c>
      <c r="E697">
        <v>0.16500000655651001</v>
      </c>
    </row>
    <row r="698" spans="1:5" x14ac:dyDescent="0.2">
      <c r="A698" s="1">
        <v>46010</v>
      </c>
      <c r="B698">
        <v>12.399999618530201</v>
      </c>
      <c r="C698">
        <v>181.259994506835</v>
      </c>
      <c r="D698">
        <v>1052.15710449218</v>
      </c>
      <c r="E698">
        <v>0.14499999582767401</v>
      </c>
    </row>
    <row r="699" spans="1:5" x14ac:dyDescent="0.2">
      <c r="A699" s="1">
        <v>46013</v>
      </c>
      <c r="B699">
        <v>12.0100002288818</v>
      </c>
      <c r="C699">
        <v>180.16000366210901</v>
      </c>
      <c r="D699">
        <v>1030.02563476562</v>
      </c>
      <c r="E699">
        <v>0.122000001370906</v>
      </c>
    </row>
    <row r="700" spans="1:5" x14ac:dyDescent="0.2">
      <c r="A700" s="1">
        <v>46014</v>
      </c>
      <c r="B700">
        <v>12.2100000381469</v>
      </c>
      <c r="C700">
        <v>177</v>
      </c>
      <c r="D700">
        <v>1026.10705566406</v>
      </c>
      <c r="E700">
        <v>0.103000000119209</v>
      </c>
    </row>
    <row r="701" spans="1:5" x14ac:dyDescent="0.2">
      <c r="A701" s="1">
        <v>46015</v>
      </c>
      <c r="B701">
        <v>12.1800003051757</v>
      </c>
      <c r="C701">
        <v>178</v>
      </c>
      <c r="D701">
        <v>1077.29748535156</v>
      </c>
      <c r="E701">
        <v>8.6999997496604906E-2</v>
      </c>
    </row>
    <row r="702" spans="1:5" x14ac:dyDescent="0.2">
      <c r="A702" s="1">
        <v>46017</v>
      </c>
      <c r="B702">
        <v>12.069999694824199</v>
      </c>
      <c r="C702">
        <v>171.92999267578099</v>
      </c>
      <c r="D702">
        <v>1084.58471679687</v>
      </c>
      <c r="E702">
        <v>7.4000000953674303E-2</v>
      </c>
    </row>
    <row r="703" spans="1:5" x14ac:dyDescent="0.2">
      <c r="A703" s="1">
        <v>46020</v>
      </c>
      <c r="B703">
        <v>11.949999809265099</v>
      </c>
      <c r="C703">
        <v>170.13000488281199</v>
      </c>
      <c r="D703">
        <v>1099.57897949218</v>
      </c>
      <c r="E703">
        <v>6.40000030398368E-2</v>
      </c>
    </row>
    <row r="704" spans="1:5" x14ac:dyDescent="0.2">
      <c r="A704" s="1">
        <v>46021</v>
      </c>
      <c r="B704">
        <v>11.939999580383301</v>
      </c>
      <c r="C704">
        <v>167.97000122070301</v>
      </c>
      <c r="D704">
        <v>1100.47863769531</v>
      </c>
      <c r="E704">
        <v>5.4000001400709097E-2</v>
      </c>
    </row>
    <row r="705" spans="1:5" x14ac:dyDescent="0.2">
      <c r="A705" s="1">
        <v>46022</v>
      </c>
      <c r="B705">
        <v>11.6599998474121</v>
      </c>
      <c r="C705">
        <v>162.02000427246</v>
      </c>
      <c r="D705">
        <v>1153.53820800781</v>
      </c>
      <c r="E705">
        <v>5.2999999374151202E-2</v>
      </c>
    </row>
    <row r="706" spans="1:5" x14ac:dyDescent="0.2">
      <c r="A706" s="1">
        <v>46024</v>
      </c>
      <c r="B706">
        <v>11.670000076293899</v>
      </c>
      <c r="C706">
        <v>177.05000305175699</v>
      </c>
      <c r="D706">
        <v>1136.70471191406</v>
      </c>
      <c r="E706">
        <v>9.0999998152255998E-2</v>
      </c>
    </row>
    <row r="707" spans="1:5" x14ac:dyDescent="0.2">
      <c r="A707" s="1">
        <v>46027</v>
      </c>
      <c r="B707">
        <v>11.4300003051757</v>
      </c>
      <c r="C707">
        <v>189.69999694824199</v>
      </c>
      <c r="D707">
        <v>1154.55786132812</v>
      </c>
      <c r="E707">
        <v>0.18600000441074299</v>
      </c>
    </row>
    <row r="708" spans="1:5" x14ac:dyDescent="0.2">
      <c r="A708" s="1">
        <v>46028</v>
      </c>
      <c r="B708">
        <v>11.7299995422363</v>
      </c>
      <c r="C708">
        <v>186.05000305175699</v>
      </c>
      <c r="D708">
        <v>1169.55212402343</v>
      </c>
      <c r="E708">
        <v>0.19099999964237199</v>
      </c>
    </row>
    <row r="709" spans="1:5" x14ac:dyDescent="0.2">
      <c r="A709" s="1">
        <v>46029</v>
      </c>
      <c r="B709">
        <v>11.7299995422363</v>
      </c>
      <c r="C709">
        <v>179.97999572753901</v>
      </c>
      <c r="D709">
        <v>1137.564453125</v>
      </c>
      <c r="E709">
        <v>0.140000000596046</v>
      </c>
    </row>
    <row r="710" spans="1:5" x14ac:dyDescent="0.2">
      <c r="A710" s="1">
        <v>46030</v>
      </c>
      <c r="B710">
        <v>11.699999809265099</v>
      </c>
      <c r="C710">
        <v>187</v>
      </c>
      <c r="D710">
        <v>1164.55407714843</v>
      </c>
      <c r="E710">
        <v>0.16200000047683699</v>
      </c>
    </row>
    <row r="711" spans="1:5" x14ac:dyDescent="0.2">
      <c r="A711" s="1">
        <v>46031</v>
      </c>
      <c r="B711">
        <v>11.800000190734799</v>
      </c>
      <c r="C711">
        <v>183.11000061035099</v>
      </c>
      <c r="D711">
        <v>1181.32763671875</v>
      </c>
      <c r="E711">
        <v>0.18400000035762701</v>
      </c>
    </row>
    <row r="712" spans="1:5" x14ac:dyDescent="0.2">
      <c r="A712" s="1">
        <v>46034</v>
      </c>
      <c r="B712">
        <v>11.75</v>
      </c>
      <c r="C712">
        <v>191.600006103515</v>
      </c>
      <c r="D712">
        <v>1174.56018066406</v>
      </c>
      <c r="E712">
        <v>0.18500000238418501</v>
      </c>
    </row>
    <row r="713" spans="1:5" x14ac:dyDescent="0.2">
      <c r="A713" s="1">
        <v>46035</v>
      </c>
      <c r="B713">
        <v>11.75</v>
      </c>
      <c r="C713">
        <v>194.19999694824199</v>
      </c>
      <c r="D713">
        <v>1184.54638671875</v>
      </c>
      <c r="E713">
        <v>0.178000003099441</v>
      </c>
    </row>
    <row r="714" spans="1:5" x14ac:dyDescent="0.2">
      <c r="A714" s="1">
        <v>46036</v>
      </c>
      <c r="B714">
        <v>11.7200002670288</v>
      </c>
      <c r="C714">
        <v>196.71000671386699</v>
      </c>
      <c r="D714">
        <v>1166.55334472656</v>
      </c>
      <c r="E714">
        <v>0.17000000178813901</v>
      </c>
    </row>
    <row r="715" spans="1:5" x14ac:dyDescent="0.2">
      <c r="A715" s="1">
        <v>46037</v>
      </c>
      <c r="B715">
        <v>11.75</v>
      </c>
      <c r="C715">
        <v>189.22000122070301</v>
      </c>
      <c r="D715">
        <v>1147.16064453125</v>
      </c>
      <c r="E715">
        <v>0.17399999499320901</v>
      </c>
    </row>
    <row r="716" spans="1:5" x14ac:dyDescent="0.2">
      <c r="A716" s="1">
        <v>46038</v>
      </c>
      <c r="B716">
        <v>11.949999809265099</v>
      </c>
      <c r="C716">
        <v>199.83000183105401</v>
      </c>
      <c r="D716">
        <v>1135.41516113281</v>
      </c>
      <c r="E716">
        <v>0.17000000178813901</v>
      </c>
    </row>
    <row r="717" spans="1:5" x14ac:dyDescent="0.2">
      <c r="A717" s="1">
        <v>46041</v>
      </c>
      <c r="B717">
        <v>11.9600000381469</v>
      </c>
      <c r="C717">
        <v>197.009994506835</v>
      </c>
      <c r="D717">
        <v>1139.56359863281</v>
      </c>
      <c r="E717">
        <v>0.15999999642372101</v>
      </c>
    </row>
    <row r="718" spans="1:5" x14ac:dyDescent="0.2">
      <c r="A718" s="1">
        <v>46042</v>
      </c>
      <c r="B718">
        <v>11.920000076293899</v>
      </c>
      <c r="C718">
        <v>183.36000061035099</v>
      </c>
      <c r="D718">
        <v>1117.40209960937</v>
      </c>
      <c r="E718">
        <v>0.152999997138977</v>
      </c>
    </row>
    <row r="719" spans="1:5" x14ac:dyDescent="0.2">
      <c r="A719" s="1">
        <v>46043</v>
      </c>
      <c r="B719">
        <v>11.800000190734799</v>
      </c>
      <c r="C719">
        <v>185.38000488281199</v>
      </c>
      <c r="D719">
        <v>1134.56555175781</v>
      </c>
      <c r="E719">
        <v>0.15500000119209201</v>
      </c>
    </row>
    <row r="720" spans="1:5" x14ac:dyDescent="0.2">
      <c r="A720" s="1">
        <v>46044</v>
      </c>
      <c r="B720">
        <v>11.8500003814697</v>
      </c>
      <c r="C720">
        <v>178.27000427246</v>
      </c>
      <c r="D720">
        <v>1143.99194335937</v>
      </c>
      <c r="E720">
        <v>0.15500000119209201</v>
      </c>
    </row>
    <row r="721" spans="1:5" x14ac:dyDescent="0.2">
      <c r="A721" s="1">
        <v>46045</v>
      </c>
      <c r="B721">
        <v>11.8400001525878</v>
      </c>
      <c r="C721">
        <v>182.32000732421801</v>
      </c>
      <c r="D721">
        <v>1122.57019042968</v>
      </c>
      <c r="E721">
        <v>0.15000000596046401</v>
      </c>
    </row>
    <row r="722" spans="1:5" x14ac:dyDescent="0.2">
      <c r="A722" s="1">
        <v>46048</v>
      </c>
      <c r="B722">
        <v>11.869999885559</v>
      </c>
      <c r="C722">
        <v>173.5</v>
      </c>
      <c r="D722">
        <v>1129.57751464843</v>
      </c>
      <c r="E722">
        <v>0.14800000190734799</v>
      </c>
    </row>
    <row r="723" spans="1:5" x14ac:dyDescent="0.2">
      <c r="A723" s="1">
        <v>46049</v>
      </c>
      <c r="B723">
        <v>11.8599996566772</v>
      </c>
      <c r="C723">
        <v>178.96000671386699</v>
      </c>
      <c r="D723">
        <v>1089.58276367187</v>
      </c>
      <c r="E723">
        <v>0.15999999642372101</v>
      </c>
    </row>
    <row r="724" spans="1:5" x14ac:dyDescent="0.2">
      <c r="A724" s="1">
        <v>46050</v>
      </c>
      <c r="B724">
        <v>11.8500003814697</v>
      </c>
      <c r="C724">
        <v>177.30000305175699</v>
      </c>
      <c r="D724">
        <v>1072.58923339843</v>
      </c>
      <c r="E724">
        <v>0.16099999845027901</v>
      </c>
    </row>
    <row r="725" spans="1:5" x14ac:dyDescent="0.2">
      <c r="A725" s="1">
        <v>46051</v>
      </c>
      <c r="B725">
        <v>11.75</v>
      </c>
      <c r="C725">
        <v>167.38000488281199</v>
      </c>
      <c r="D725">
        <v>1078.88696289062</v>
      </c>
      <c r="E725">
        <v>0.15000000596046401</v>
      </c>
    </row>
    <row r="726" spans="1:5" x14ac:dyDescent="0.2">
      <c r="A726" s="1">
        <v>46052</v>
      </c>
      <c r="B726">
        <v>11.789999961853001</v>
      </c>
      <c r="C726">
        <v>165.009994506835</v>
      </c>
      <c r="D726">
        <v>1074.59851074218</v>
      </c>
      <c r="E726">
        <v>0.140000000596046</v>
      </c>
    </row>
    <row r="727" spans="1:5" x14ac:dyDescent="0.2">
      <c r="A727" s="1">
        <v>46056</v>
      </c>
      <c r="B727">
        <v>11.869999885559</v>
      </c>
      <c r="C727">
        <v>154.850006103515</v>
      </c>
      <c r="D727">
        <v>1049.60803222656</v>
      </c>
      <c r="E727">
        <v>0.13099999725818601</v>
      </c>
    </row>
    <row r="728" spans="1:5" x14ac:dyDescent="0.2">
      <c r="A728" s="1">
        <v>46057</v>
      </c>
      <c r="B728">
        <v>11.529999732971101</v>
      </c>
      <c r="C728">
        <v>142.97999572753901</v>
      </c>
      <c r="D728">
        <v>1110.57470703125</v>
      </c>
      <c r="E728">
        <v>0.12800000607967299</v>
      </c>
    </row>
    <row r="729" spans="1:5" x14ac:dyDescent="0.2">
      <c r="A729" s="1">
        <v>46058</v>
      </c>
      <c r="B729">
        <v>11.529999732971101</v>
      </c>
      <c r="C729">
        <v>117.139999389648</v>
      </c>
      <c r="D729">
        <v>1089.58276367187</v>
      </c>
      <c r="E729">
        <v>0.13699999451637199</v>
      </c>
    </row>
    <row r="730" spans="1:5" x14ac:dyDescent="0.2">
      <c r="A730" s="1">
        <v>46059</v>
      </c>
      <c r="B730">
        <v>11.8500003814697</v>
      </c>
      <c r="C730">
        <v>143.58999633789</v>
      </c>
      <c r="D730">
        <v>1100.57861328125</v>
      </c>
      <c r="E730">
        <v>0.15999999642372101</v>
      </c>
    </row>
    <row r="731" spans="1:5" x14ac:dyDescent="0.2">
      <c r="A731" s="1">
        <v>46062</v>
      </c>
      <c r="B731">
        <v>11.689999580383301</v>
      </c>
      <c r="C731">
        <v>137.38000488281199</v>
      </c>
      <c r="D731">
        <v>1074.24865722656</v>
      </c>
      <c r="E731">
        <v>0.14599999785423201</v>
      </c>
    </row>
    <row r="732" spans="1:5" x14ac:dyDescent="0.2">
      <c r="A732" s="1">
        <v>46063</v>
      </c>
      <c r="B732">
        <v>11.9899997711181</v>
      </c>
      <c r="C732">
        <v>131.97999572753901</v>
      </c>
      <c r="D732">
        <v>1089.58276367187</v>
      </c>
      <c r="E732">
        <v>0.140000000596046</v>
      </c>
    </row>
    <row r="733" spans="1:5" x14ac:dyDescent="0.2">
      <c r="A733" s="1">
        <v>46064</v>
      </c>
      <c r="B733">
        <v>11.9799995422363</v>
      </c>
      <c r="C733">
        <v>128.850006103515</v>
      </c>
      <c r="D733">
        <v>1070.40014648437</v>
      </c>
      <c r="E733">
        <v>0.14200000464916199</v>
      </c>
    </row>
    <row r="734" spans="1:5" x14ac:dyDescent="0.2">
      <c r="A734" s="1">
        <v>46065</v>
      </c>
      <c r="B734">
        <v>11.770000457763601</v>
      </c>
      <c r="C734">
        <v>124.73999786376901</v>
      </c>
      <c r="D734">
        <v>1054.30627441406</v>
      </c>
      <c r="E734">
        <v>0.149000003933906</v>
      </c>
    </row>
    <row r="735" spans="1:5" x14ac:dyDescent="0.2">
      <c r="A735" s="1">
        <v>46066</v>
      </c>
      <c r="B735">
        <v>11.949999809265099</v>
      </c>
      <c r="C735">
        <v>135.259994506835</v>
      </c>
      <c r="D735">
        <v>1082.83532714843</v>
      </c>
      <c r="E735">
        <v>0.15000000596046401</v>
      </c>
    </row>
    <row r="736" spans="1:5" x14ac:dyDescent="0.2">
      <c r="A736" s="1">
        <v>46069</v>
      </c>
      <c r="B736">
        <v>12.050000190734799</v>
      </c>
      <c r="C736">
        <v>137.5</v>
      </c>
      <c r="D736">
        <v>1087.58349609375</v>
      </c>
      <c r="E736">
        <v>0.15000000596046401</v>
      </c>
    </row>
    <row r="737" spans="1:5" x14ac:dyDescent="0.2">
      <c r="A737" s="1">
        <v>46070</v>
      </c>
      <c r="B737">
        <v>12</v>
      </c>
      <c r="C737">
        <v>129.71000671386699</v>
      </c>
      <c r="D737">
        <v>1095.60046386718</v>
      </c>
      <c r="E737">
        <v>0.15000000596046401</v>
      </c>
    </row>
    <row r="738" spans="1:5" x14ac:dyDescent="0.2">
      <c r="A738" s="1">
        <v>46071</v>
      </c>
      <c r="B738">
        <v>12.170000076293899</v>
      </c>
      <c r="C738">
        <v>129.86000061035099</v>
      </c>
      <c r="D738">
        <v>1128.56787109375</v>
      </c>
      <c r="E738">
        <v>0.149000003933906</v>
      </c>
    </row>
    <row r="739" spans="1:5" x14ac:dyDescent="0.2">
      <c r="A739" s="1">
        <v>46072</v>
      </c>
      <c r="B739">
        <v>12.800000190734799</v>
      </c>
      <c r="C739">
        <v>138.07000732421801</v>
      </c>
      <c r="D739">
        <v>1134.11572265625</v>
      </c>
      <c r="E739">
        <v>0.14499999582767401</v>
      </c>
    </row>
    <row r="740" spans="1:5" x14ac:dyDescent="0.2">
      <c r="A740" s="1">
        <v>46073</v>
      </c>
      <c r="B740">
        <v>13.149999618530201</v>
      </c>
      <c r="C740">
        <v>136.419998168945</v>
      </c>
      <c r="D740">
        <v>1119.78112792968</v>
      </c>
      <c r="E740">
        <v>0.140000000596046</v>
      </c>
    </row>
    <row r="741" spans="1:5" x14ac:dyDescent="0.2">
      <c r="A741" s="1">
        <v>46076</v>
      </c>
      <c r="B741">
        <v>12.399999618530201</v>
      </c>
      <c r="C741">
        <v>135.509994506835</v>
      </c>
      <c r="D741">
        <v>1085.59436035156</v>
      </c>
      <c r="E741">
        <v>0.140000000596046</v>
      </c>
    </row>
    <row r="742" spans="1:5" x14ac:dyDescent="0.2">
      <c r="A742" s="1">
        <v>46077</v>
      </c>
      <c r="B742">
        <v>12.1599998474121</v>
      </c>
      <c r="C742">
        <v>138.08999633789</v>
      </c>
      <c r="D742">
        <v>1104.56701660156</v>
      </c>
      <c r="E742">
        <v>0.138999998569488</v>
      </c>
    </row>
    <row r="743" spans="1:5" x14ac:dyDescent="0.2">
      <c r="A743" s="1">
        <v>46078</v>
      </c>
      <c r="B743">
        <v>11.6599998474121</v>
      </c>
      <c r="C743">
        <v>146.94000244140599</v>
      </c>
      <c r="D743">
        <v>1087.08374023437</v>
      </c>
      <c r="E743">
        <v>0.140000000596046</v>
      </c>
    </row>
    <row r="744" spans="1:5" x14ac:dyDescent="0.2">
      <c r="A744" s="1">
        <v>46079</v>
      </c>
      <c r="B744">
        <v>11.529999732971101</v>
      </c>
      <c r="C744">
        <v>145.47000122070301</v>
      </c>
      <c r="D744">
        <v>1110.57470703125</v>
      </c>
      <c r="E744">
        <v>0.13799999654292999</v>
      </c>
    </row>
    <row r="745" spans="1:5" x14ac:dyDescent="0.2">
      <c r="A745" s="1">
        <v>46080</v>
      </c>
      <c r="B745">
        <v>11.3599996566772</v>
      </c>
      <c r="C745">
        <v>155.419998168945</v>
      </c>
      <c r="D745">
        <v>1070.73999023437</v>
      </c>
      <c r="E745">
        <v>0.13799999654292999</v>
      </c>
    </row>
    <row r="746" spans="1:5" x14ac:dyDescent="0.2">
      <c r="A746" s="1">
        <v>46083</v>
      </c>
      <c r="B746">
        <v>11.149999618530201</v>
      </c>
      <c r="C746">
        <v>165.669998168945</v>
      </c>
      <c r="D746">
        <v>1058.65002441406</v>
      </c>
      <c r="E746">
        <v>0.14300000667571999</v>
      </c>
    </row>
    <row r="747" spans="1:5" x14ac:dyDescent="0.2">
      <c r="A747" s="1">
        <v>46084</v>
      </c>
      <c r="B747">
        <v>11.069999694824199</v>
      </c>
      <c r="C747">
        <v>154.96000671386699</v>
      </c>
      <c r="D747">
        <v>1051.19995117187</v>
      </c>
      <c r="E747">
        <v>0.14699999988078999</v>
      </c>
    </row>
    <row r="748" spans="1:5" x14ac:dyDescent="0.2">
      <c r="A748" s="1">
        <v>46085</v>
      </c>
      <c r="B748">
        <v>11.050000190734799</v>
      </c>
      <c r="C748">
        <v>164.600006103515</v>
      </c>
      <c r="D748">
        <v>1031.10998535156</v>
      </c>
      <c r="E748">
        <v>0.14499999582767401</v>
      </c>
    </row>
    <row r="749" spans="1:5" x14ac:dyDescent="0.2">
      <c r="A749" s="1">
        <v>46086</v>
      </c>
      <c r="B749">
        <v>11</v>
      </c>
      <c r="C749">
        <v>154.5</v>
      </c>
      <c r="D749">
        <v>1030</v>
      </c>
      <c r="E749">
        <v>0.14499999582767401</v>
      </c>
    </row>
    <row r="750" spans="1:5" x14ac:dyDescent="0.2">
      <c r="A750" s="1">
        <v>46087</v>
      </c>
      <c r="B750">
        <v>10.949999809265099</v>
      </c>
      <c r="C750">
        <v>141.919998168945</v>
      </c>
      <c r="D750">
        <v>1015.45001220703</v>
      </c>
      <c r="E750">
        <v>0.13699999451637199</v>
      </c>
    </row>
    <row r="751" spans="1:5" x14ac:dyDescent="0.2">
      <c r="A751" s="1">
        <v>46090</v>
      </c>
      <c r="B751">
        <v>10.9099998474121</v>
      </c>
      <c r="C751">
        <v>152.14999389648401</v>
      </c>
      <c r="D751">
        <v>998.35998535156205</v>
      </c>
      <c r="E751">
        <v>0.129999995231628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5182-9AD5-3A4A-B648-CE0D805228A9}">
  <dimension ref="A1:E794"/>
  <sheetViews>
    <sheetView topLeftCell="C1" zoomScale="75" workbookViewId="0">
      <selection activeCell="V31" sqref="V31"/>
    </sheetView>
  </sheetViews>
  <sheetFormatPr baseColWidth="10" defaultRowHeight="16" x14ac:dyDescent="0.2"/>
  <cols>
    <col min="22" max="22" width="13.5" bestFit="1" customWidth="1"/>
  </cols>
  <sheetData>
    <row r="1" spans="1:5" ht="18" x14ac:dyDescent="0.25">
      <c r="A1" t="str">
        <f>Acciones!A1</f>
        <v>Fecha</v>
      </c>
      <c r="B1" t="s">
        <v>6</v>
      </c>
      <c r="C1" t="s">
        <v>8</v>
      </c>
      <c r="D1" t="s">
        <v>9</v>
      </c>
      <c r="E1" t="s">
        <v>10</v>
      </c>
    </row>
    <row r="2" spans="1:5" x14ac:dyDescent="0.2">
      <c r="A2" s="1">
        <f>Acciones!A3</f>
        <v>44999</v>
      </c>
      <c r="B2" s="4">
        <f>Acciones!B3/Acciones!B2 -1</f>
        <v>1.6117775569163273E-2</v>
      </c>
      <c r="C2" s="4">
        <f>Acciones!C3/Acciones!C2 -1</f>
        <v>3.9212564783771775E-2</v>
      </c>
      <c r="D2" s="4">
        <f>Acciones!D3/Acciones!D2 -1</f>
        <v>-1.2162664384218314E-2</v>
      </c>
      <c r="E2" s="4">
        <f>Acciones!E3/Acciones!E2 -1</f>
        <v>0</v>
      </c>
    </row>
    <row r="3" spans="1:5" x14ac:dyDescent="0.2">
      <c r="A3" s="1">
        <f>Acciones!A4</f>
        <v>45000</v>
      </c>
      <c r="B3" s="4">
        <f>Acciones!B4/Acciones!B3 -1</f>
        <v>-3.5862107882436933E-2</v>
      </c>
      <c r="C3" s="4">
        <f>Acciones!C4/Acciones!C3 -1</f>
        <v>7.7284763258116396E-3</v>
      </c>
      <c r="D3" s="4">
        <f>Acciones!D4/Acciones!D3 -1</f>
        <v>2.389416789514498E-2</v>
      </c>
      <c r="E3" s="4">
        <f>Acciones!E4/Acciones!E3 -1</f>
        <v>-5.3846162310720369E-2</v>
      </c>
    </row>
    <row r="4" spans="1:5" x14ac:dyDescent="0.2">
      <c r="A4" s="1">
        <f>Acciones!A5</f>
        <v>45001</v>
      </c>
      <c r="B4" s="4">
        <f>Acciones!B5/Acciones!B4 -1</f>
        <v>-3.9341193886549553E-3</v>
      </c>
      <c r="C4" s="4">
        <f>Acciones!C5/Acciones!C4 -1</f>
        <v>8.0451104873999979E-2</v>
      </c>
      <c r="D4" s="4">
        <f>Acciones!D5/Acciones!D4 -1</f>
        <v>5.6118380181904293E-3</v>
      </c>
      <c r="E4" s="4">
        <f>Acciones!E5/Acciones!E4 -1</f>
        <v>5.6910578561119474E-2</v>
      </c>
    </row>
    <row r="5" spans="1:5" x14ac:dyDescent="0.2">
      <c r="A5" s="1">
        <f>Acciones!A6</f>
        <v>45002</v>
      </c>
      <c r="B5" s="4">
        <f>Acciones!B6/Acciones!B5 -1</f>
        <v>-5.3860791255143647E-3</v>
      </c>
      <c r="C5" s="4">
        <f>Acciones!C6/Acciones!C5 -1</f>
        <v>7.8636070227809718E-2</v>
      </c>
      <c r="D5" s="4">
        <f>Acciones!D6/Acciones!D5 -1</f>
        <v>-1.109510052096363E-4</v>
      </c>
      <c r="E5" s="4">
        <f>Acciones!E6/Acciones!E5 -1</f>
        <v>0</v>
      </c>
    </row>
    <row r="6" spans="1:5" x14ac:dyDescent="0.2">
      <c r="A6" s="1">
        <f>Acciones!A7</f>
        <v>45006</v>
      </c>
      <c r="B6" s="4">
        <f>Acciones!B7/Acciones!B6 -1</f>
        <v>-2.3826650064198707E-2</v>
      </c>
      <c r="C6" s="4">
        <f>Acciones!C7/Acciones!C6 -1</f>
        <v>6.4903210055438754E-2</v>
      </c>
      <c r="D6" s="4">
        <f>Acciones!D7/Acciones!D6 -1</f>
        <v>3.6580798269883585E-2</v>
      </c>
      <c r="E6" s="4">
        <f>Acciones!E7/Acciones!E6 -1</f>
        <v>-3.8461561974217795E-2</v>
      </c>
    </row>
    <row r="7" spans="1:5" x14ac:dyDescent="0.2">
      <c r="A7" s="1">
        <f>Acciones!A8</f>
        <v>45007</v>
      </c>
      <c r="B7" s="4">
        <f>Acciones!B8/Acciones!B7 -1</f>
        <v>1.3313523784373116E-2</v>
      </c>
      <c r="C7" s="4">
        <f>Acciones!C8/Acciones!C7 -1</f>
        <v>-0.1240155187415205</v>
      </c>
      <c r="D7" s="4">
        <f>Acciones!D8/Acciones!D7 -1</f>
        <v>-4.7147123045220285E-2</v>
      </c>
      <c r="E7" s="4">
        <f>Acciones!E8/Acciones!E7 -1</f>
        <v>-1.3333320617677336E-2</v>
      </c>
    </row>
    <row r="8" spans="1:5" x14ac:dyDescent="0.2">
      <c r="A8" s="1">
        <f>Acciones!A9</f>
        <v>45008</v>
      </c>
      <c r="B8" s="4">
        <f>Acciones!B9/Acciones!B8 -1</f>
        <v>-3.0656940691646817E-2</v>
      </c>
      <c r="C8" s="4">
        <f>Acciones!C9/Acciones!C8 -1</f>
        <v>9.0808529050168341E-2</v>
      </c>
      <c r="D8" s="4">
        <f>Acciones!D9/Acciones!D8 -1</f>
        <v>4.4843211838765384E-3</v>
      </c>
      <c r="E8" s="4">
        <f>Acciones!E9/Acciones!E8 -1</f>
        <v>-2.7027065341189038E-2</v>
      </c>
    </row>
    <row r="9" spans="1:5" x14ac:dyDescent="0.2">
      <c r="A9" s="1">
        <f>Acciones!A10</f>
        <v>45009</v>
      </c>
      <c r="B9" s="4">
        <f>Acciones!B10/Acciones!B9 -1</f>
        <v>1.7319327136190887E-2</v>
      </c>
      <c r="C9" s="4">
        <f>Acciones!C10/Acciones!C9 -1</f>
        <v>-8.3692599835653025E-2</v>
      </c>
      <c r="D9" s="4">
        <f>Acciones!D10/Acciones!D9 -1</f>
        <v>-7.3656497590464109E-3</v>
      </c>
      <c r="E9" s="4">
        <f>Acciones!E10/Acciones!E9 -1</f>
        <v>2.7777818250069419E-2</v>
      </c>
    </row>
    <row r="10" spans="1:5" x14ac:dyDescent="0.2">
      <c r="A10" s="1">
        <f>Acciones!A11</f>
        <v>45012</v>
      </c>
      <c r="B10" s="4">
        <f>Acciones!B11/Acciones!B10 -1</f>
        <v>9.6225890189267638E-3</v>
      </c>
      <c r="C10" s="4">
        <f>Acciones!C11/Acciones!C10 -1</f>
        <v>-8.2618337174248935E-2</v>
      </c>
      <c r="D10" s="4">
        <f>Acciones!D11/Acciones!D10 -1</f>
        <v>-2.5185994994609273E-2</v>
      </c>
      <c r="E10" s="4">
        <f>Acciones!E11/Acciones!E10 -1</f>
        <v>0</v>
      </c>
    </row>
    <row r="11" spans="1:5" x14ac:dyDescent="0.2">
      <c r="A11" s="1">
        <f>Acciones!A12</f>
        <v>45013</v>
      </c>
      <c r="B11" s="4">
        <f>Acciones!B12/Acciones!B11 -1</f>
        <v>1.8328348016612317E-2</v>
      </c>
      <c r="C11" s="4">
        <f>Acciones!C12/Acciones!C11 -1</f>
        <v>1.2822308538102956E-3</v>
      </c>
      <c r="D11" s="4">
        <f>Acciones!D12/Acciones!D11 -1</f>
        <v>-1.2207570962734504E-2</v>
      </c>
      <c r="E11" s="4">
        <f>Acciones!E12/Acciones!E11 -1</f>
        <v>0</v>
      </c>
    </row>
    <row r="12" spans="1:5" x14ac:dyDescent="0.2">
      <c r="A12" s="1">
        <f>Acciones!A13</f>
        <v>45014</v>
      </c>
      <c r="B12" s="4">
        <f>Acciones!B13/Acciones!B12 -1</f>
        <v>-2.1958150675386978E-2</v>
      </c>
      <c r="C12" s="4">
        <f>Acciones!C13/Acciones!C12 -1</f>
        <v>8.7080960893356041E-2</v>
      </c>
      <c r="D12" s="4">
        <f>Acciones!D13/Acciones!D12 -1</f>
        <v>1.3059251436430719E-2</v>
      </c>
      <c r="E12" s="4">
        <f>Acciones!E13/Acciones!E12 -1</f>
        <v>-5.4054001807460894E-3</v>
      </c>
    </row>
    <row r="13" spans="1:5" x14ac:dyDescent="0.2">
      <c r="A13" s="1">
        <f>Acciones!A14</f>
        <v>45015</v>
      </c>
      <c r="B13" s="4">
        <f>Acciones!B14/Acciones!B13 -1</f>
        <v>1.5826263057969525E-2</v>
      </c>
      <c r="C13" s="4">
        <f>Acciones!C14/Acciones!C13 -1</f>
        <v>-3.3331007137187729E-2</v>
      </c>
      <c r="D13" s="4">
        <f>Acciones!D14/Acciones!D13 -1</f>
        <v>0</v>
      </c>
      <c r="E13" s="4">
        <f>Acciones!E14/Acciones!E13 -1</f>
        <v>-4.3478283404402518E-2</v>
      </c>
    </row>
    <row r="14" spans="1:5" x14ac:dyDescent="0.2">
      <c r="A14" s="1">
        <f>Acciones!A15</f>
        <v>45016</v>
      </c>
      <c r="B14" s="4">
        <f>Acciones!B15/Acciones!B14 -1</f>
        <v>1.8115471419621887E-3</v>
      </c>
      <c r="C14" s="4">
        <f>Acciones!C15/Acciones!C14 -1</f>
        <v>0.11949819475946244</v>
      </c>
      <c r="D14" s="4">
        <f>Acciones!D15/Acciones!D14 -1</f>
        <v>1.8902514479163246E-2</v>
      </c>
      <c r="E14" s="4">
        <f>Acciones!E15/Acciones!E14 -1</f>
        <v>7.6704540451571823E-2</v>
      </c>
    </row>
    <row r="15" spans="1:5" x14ac:dyDescent="0.2">
      <c r="A15" s="1">
        <f>Acciones!A16</f>
        <v>45019</v>
      </c>
      <c r="B15" s="4">
        <f>Acciones!B16/Acciones!B15 -1</f>
        <v>-4.6292883019607878E-2</v>
      </c>
      <c r="C15" s="4">
        <f>Acciones!C16/Acciones!C15 -1</f>
        <v>-1.5175738906163971E-2</v>
      </c>
      <c r="D15" s="4">
        <f>Acciones!D16/Acciones!D15 -1</f>
        <v>-6.167250332738905E-3</v>
      </c>
      <c r="E15" s="4">
        <f>Acciones!E16/Acciones!E15 -1</f>
        <v>2.9023782222052708E-2</v>
      </c>
    </row>
    <row r="16" spans="1:5" x14ac:dyDescent="0.2">
      <c r="A16" s="1">
        <f>Acciones!A17</f>
        <v>45020</v>
      </c>
      <c r="B16" s="4">
        <f>Acciones!B17/Acciones!B16 -1</f>
        <v>1.4410190844842408E-2</v>
      </c>
      <c r="C16" s="4">
        <f>Acciones!C17/Acciones!C16 -1</f>
        <v>2.2756231325251619E-3</v>
      </c>
      <c r="D16" s="4">
        <f>Acciones!D17/Acciones!D16 -1</f>
        <v>1.9864469763816617E-2</v>
      </c>
      <c r="E16" s="4">
        <f>Acciones!E17/Acciones!E16 -1</f>
        <v>1.0256400224331719E-2</v>
      </c>
    </row>
    <row r="17" spans="1:5" x14ac:dyDescent="0.2">
      <c r="A17" s="1">
        <f>Acciones!A18</f>
        <v>45021</v>
      </c>
      <c r="B17" s="4">
        <f>Acciones!B18/Acciones!B17 -1</f>
        <v>-9.7195600429945683E-3</v>
      </c>
      <c r="C17" s="4">
        <f>Acciones!C18/Acciones!C17 -1</f>
        <v>-6.2082338270194937E-2</v>
      </c>
      <c r="D17" s="4">
        <f>Acciones!D18/Acciones!D17 -1</f>
        <v>0</v>
      </c>
      <c r="E17" s="4">
        <f>Acciones!E18/Acciones!E17 -1</f>
        <v>1.2690343043183505E-2</v>
      </c>
    </row>
    <row r="18" spans="1:5" x14ac:dyDescent="0.2">
      <c r="A18" s="1">
        <f>Acciones!A19</f>
        <v>45026</v>
      </c>
      <c r="B18" s="4">
        <f>Acciones!B19/Acciones!B18 -1</f>
        <v>1.3212580261527052E-2</v>
      </c>
      <c r="C18" s="4">
        <f>Acciones!C19/Acciones!C18 -1</f>
        <v>0.13231432176330271</v>
      </c>
      <c r="D18" s="4">
        <f>Acciones!D19/Acciones!D18 -1</f>
        <v>4.9098136470494769E-2</v>
      </c>
      <c r="E18" s="4">
        <f>Acciones!E19/Acciones!E18 -1</f>
        <v>-1.002505307203605E-2</v>
      </c>
    </row>
    <row r="19" spans="1:5" x14ac:dyDescent="0.2">
      <c r="A19" s="1">
        <f>Acciones!A20</f>
        <v>45027</v>
      </c>
      <c r="B19" s="4">
        <f>Acciones!B20/Acciones!B19 -1</f>
        <v>4.2473862617381286E-2</v>
      </c>
      <c r="C19" s="4">
        <f>Acciones!C20/Acciones!C19 -1</f>
        <v>0.1426913423269216</v>
      </c>
      <c r="D19" s="4">
        <f>Acciones!D20/Acciones!D19 -1</f>
        <v>-4.7481036899925777E-2</v>
      </c>
      <c r="E19" s="4">
        <f>Acciones!E20/Acciones!E19 -1</f>
        <v>-2.5316431246941162E-3</v>
      </c>
    </row>
    <row r="20" spans="1:5" x14ac:dyDescent="0.2">
      <c r="A20" s="1">
        <f>Acciones!A21</f>
        <v>45028</v>
      </c>
      <c r="B20" s="4">
        <f>Acciones!B21/Acciones!B20 -1</f>
        <v>-3.1451047856257186E-2</v>
      </c>
      <c r="C20" s="4">
        <f>Acciones!C21/Acciones!C20 -1</f>
        <v>-4.8110331146786978E-2</v>
      </c>
      <c r="D20" s="4">
        <f>Acciones!D21/Acciones!D20 -1</f>
        <v>1.4117336602681885E-2</v>
      </c>
      <c r="E20" s="4">
        <f>Acciones!E21/Acciones!E20 -1</f>
        <v>0</v>
      </c>
    </row>
    <row r="21" spans="1:5" x14ac:dyDescent="0.2">
      <c r="A21" s="1">
        <f>Acciones!A22</f>
        <v>45029</v>
      </c>
      <c r="B21" s="4">
        <f>Acciones!B22/Acciones!B21 -1</f>
        <v>1.5129247061680395E-2</v>
      </c>
      <c r="C21" s="4">
        <f>Acciones!C22/Acciones!C21 -1</f>
        <v>0.16864153166804985</v>
      </c>
      <c r="D21" s="4">
        <f>Acciones!D22/Acciones!D21 -1</f>
        <v>4.8499954743013163E-3</v>
      </c>
      <c r="E21" s="4">
        <f>Acciones!E22/Acciones!E21 -1</f>
        <v>-1.7766540772781947E-2</v>
      </c>
    </row>
    <row r="22" spans="1:5" x14ac:dyDescent="0.2">
      <c r="A22" s="1">
        <f>Acciones!A23</f>
        <v>45030</v>
      </c>
      <c r="B22" s="4">
        <f>Acciones!B23/Acciones!B22 -1</f>
        <v>1.2359090965763819E-2</v>
      </c>
      <c r="C22" s="4">
        <f>Acciones!C23/Acciones!C22 -1</f>
        <v>2.5852904691160195E-2</v>
      </c>
      <c r="D22" s="4">
        <f>Acciones!D23/Acciones!D22 -1</f>
        <v>-1.3581457988585899E-2</v>
      </c>
      <c r="E22" s="4">
        <f>Acciones!E23/Acciones!E22 -1</f>
        <v>-3.1007723283625888E-2</v>
      </c>
    </row>
    <row r="23" spans="1:5" x14ac:dyDescent="0.2">
      <c r="A23" s="1">
        <f>Acciones!A24</f>
        <v>45033</v>
      </c>
      <c r="B23" s="4">
        <f>Acciones!B24/Acciones!B23 -1</f>
        <v>-1.9030560659105134E-2</v>
      </c>
      <c r="C23" s="4">
        <f>Acciones!C24/Acciones!C23 -1</f>
        <v>-3.0307295063662809E-2</v>
      </c>
      <c r="D23" s="4">
        <f>Acciones!D24/Acciones!D23 -1</f>
        <v>0</v>
      </c>
      <c r="E23" s="4">
        <f>Acciones!E24/Acciones!E23 -1</f>
        <v>-1.5999984741213336E-2</v>
      </c>
    </row>
    <row r="24" spans="1:5" x14ac:dyDescent="0.2">
      <c r="A24" s="1">
        <f>Acciones!A25</f>
        <v>45034</v>
      </c>
      <c r="B24" s="4">
        <f>Acciones!B25/Acciones!B24 -1</f>
        <v>-2.0863885017012418E-2</v>
      </c>
      <c r="C24" s="4">
        <f>Acciones!C25/Acciones!C24 -1</f>
        <v>1.8743079975710453E-2</v>
      </c>
      <c r="D24" s="4">
        <f>Acciones!D25/Acciones!D24 -1</f>
        <v>1.3750603793617477E-2</v>
      </c>
      <c r="E24" s="4">
        <f>Acciones!E25/Acciones!E24 -1</f>
        <v>-2.7100244737618961E-3</v>
      </c>
    </row>
    <row r="25" spans="1:5" x14ac:dyDescent="0.2">
      <c r="A25" s="1">
        <f>Acciones!A26</f>
        <v>45035</v>
      </c>
      <c r="B25" s="4">
        <f>Acciones!B26/Acciones!B25 -1</f>
        <v>-2.2803719837342751E-2</v>
      </c>
      <c r="C25" s="4">
        <f>Acciones!C26/Acciones!C25 -1</f>
        <v>-8.4973200345244249E-2</v>
      </c>
      <c r="D25" s="4">
        <f>Acciones!D26/Acciones!D25 -1</f>
        <v>-4.6777571888728664E-3</v>
      </c>
      <c r="E25" s="4">
        <f>Acciones!E26/Acciones!E25 -1</f>
        <v>-1.6304396768935914E-2</v>
      </c>
    </row>
    <row r="26" spans="1:5" x14ac:dyDescent="0.2">
      <c r="A26" s="1">
        <f>Acciones!A27</f>
        <v>45036</v>
      </c>
      <c r="B26" s="4">
        <f>Acciones!B27/Acciones!B26 -1</f>
        <v>7.651543643587555E-4</v>
      </c>
      <c r="C26" s="4">
        <f>Acciones!C27/Acciones!C26 -1</f>
        <v>-0.1080997070964107</v>
      </c>
      <c r="D26" s="4">
        <f>Acciones!D27/Acciones!D26 -1</f>
        <v>-8.9413635280065629E-3</v>
      </c>
      <c r="E26" s="4">
        <f>Acciones!E27/Acciones!E26 -1</f>
        <v>-5.5248567841960083E-3</v>
      </c>
    </row>
    <row r="27" spans="1:5" x14ac:dyDescent="0.2">
      <c r="A27" s="1">
        <f>Acciones!A28</f>
        <v>45037</v>
      </c>
      <c r="B27" s="4">
        <f>Acciones!B28/Acciones!B27 -1</f>
        <v>2.6758426573142646E-2</v>
      </c>
      <c r="C27" s="4">
        <f>Acciones!C28/Acciones!C27 -1</f>
        <v>-6.6294832500411904E-2</v>
      </c>
      <c r="D27" s="4">
        <f>Acciones!D28/Acciones!D27 -1</f>
        <v>2.2221208781079138E-3</v>
      </c>
      <c r="E27" s="4">
        <f>Acciones!E28/Acciones!E27 -1</f>
        <v>-1.388887601134059E-2</v>
      </c>
    </row>
    <row r="28" spans="1:5" x14ac:dyDescent="0.2">
      <c r="A28" s="1">
        <f>Acciones!A29</f>
        <v>45040</v>
      </c>
      <c r="B28" s="4">
        <f>Acciones!B29/Acciones!B28 -1</f>
        <v>3.350666560101967E-3</v>
      </c>
      <c r="C28" s="4">
        <f>Acciones!C29/Acciones!C28 -1</f>
        <v>3.1113877379913557E-3</v>
      </c>
      <c r="D28" s="4">
        <f>Acciones!D29/Acciones!D28 -1</f>
        <v>1.0199353065013295E-2</v>
      </c>
      <c r="E28" s="4">
        <f>Acciones!E29/Acciones!E28 -1</f>
        <v>-1.4084493799403131E-2</v>
      </c>
    </row>
    <row r="29" spans="1:5" x14ac:dyDescent="0.2">
      <c r="A29" s="1">
        <f>Acciones!A30</f>
        <v>45041</v>
      </c>
      <c r="B29" s="4">
        <f>Acciones!B30/Acciones!B29 -1</f>
        <v>-1.8181853031421169E-2</v>
      </c>
      <c r="C29" s="4">
        <f>Acciones!C30/Acciones!C29 -1</f>
        <v>1.1166272244632625E-2</v>
      </c>
      <c r="D29" s="4">
        <f>Acciones!D30/Acciones!D29 -1</f>
        <v>-1.4481800645905318E-2</v>
      </c>
      <c r="E29" s="4">
        <f>Acciones!E30/Acciones!E29 -1</f>
        <v>-1.1428560529437193E-2</v>
      </c>
    </row>
    <row r="30" spans="1:5" x14ac:dyDescent="0.2">
      <c r="A30" s="1">
        <f>Acciones!A31</f>
        <v>45042</v>
      </c>
      <c r="B30" s="4">
        <f>Acciones!B31/Acciones!B30 -1</f>
        <v>-2.6077016140902742E-2</v>
      </c>
      <c r="C30" s="4">
        <f>Acciones!C31/Acciones!C30 -1</f>
        <v>5.5889574296631883E-2</v>
      </c>
      <c r="D30" s="4">
        <f>Acciones!D31/Acciones!D30 -1</f>
        <v>-4.4587019738324685E-3</v>
      </c>
      <c r="E30" s="4">
        <f>Acciones!E31/Acciones!E30 -1</f>
        <v>0</v>
      </c>
    </row>
    <row r="31" spans="1:5" x14ac:dyDescent="0.2">
      <c r="A31" s="1">
        <f>Acciones!A32</f>
        <v>45043</v>
      </c>
      <c r="B31" s="4">
        <f>Acciones!B32/Acciones!B31 -1</f>
        <v>-1.2417522071287213E-2</v>
      </c>
      <c r="C31" s="4">
        <f>Acciones!C32/Acciones!C31 -1</f>
        <v>4.7527701160725133E-2</v>
      </c>
      <c r="D31" s="4">
        <f>Acciones!D32/Acciones!D31 -1</f>
        <v>1.2527765700438565E-2</v>
      </c>
      <c r="E31" s="4">
        <f>Acciones!E32/Acciones!E31 -1</f>
        <v>0</v>
      </c>
    </row>
    <row r="32" spans="1:5" x14ac:dyDescent="0.2">
      <c r="A32" s="1">
        <f>Acciones!A33</f>
        <v>45044</v>
      </c>
      <c r="B32" s="4">
        <f>Acciones!B33/Acciones!B32 -1</f>
        <v>-1.3752504444635605E-2</v>
      </c>
      <c r="C32" s="4">
        <f>Acciones!C33/Acciones!C32 -1</f>
        <v>6.7114468851727782E-3</v>
      </c>
      <c r="D32" s="4">
        <f>Acciones!D33/Acciones!D32 -1</f>
        <v>4.4189288236899937E-3</v>
      </c>
      <c r="E32" s="4">
        <f>Acciones!E33/Acciones!E32 -1</f>
        <v>-1.1560682489024532E-2</v>
      </c>
    </row>
    <row r="33" spans="1:5" x14ac:dyDescent="0.2">
      <c r="A33" s="1">
        <f>Acciones!A34</f>
        <v>45048</v>
      </c>
      <c r="B33" s="4">
        <f>Acciones!B34/Acciones!B33 -1</f>
        <v>-1.7928315877778545E-2</v>
      </c>
      <c r="C33" s="4">
        <f>Acciones!C34/Acciones!C33 -1</f>
        <v>-5.4325072233344263E-2</v>
      </c>
      <c r="D33" s="4">
        <f>Acciones!D34/Acciones!D33 -1</f>
        <v>6.5993394411592021E-3</v>
      </c>
      <c r="E33" s="4">
        <f>Acciones!E34/Acciones!E33 -1</f>
        <v>0</v>
      </c>
    </row>
    <row r="34" spans="1:5" x14ac:dyDescent="0.2">
      <c r="A34" s="1">
        <f>Acciones!A35</f>
        <v>45049</v>
      </c>
      <c r="B34" s="4">
        <f>Acciones!B35/Acciones!B34 -1</f>
        <v>4.1785014035712109E-2</v>
      </c>
      <c r="C34" s="4">
        <f>Acciones!C35/Acciones!C34 -1</f>
        <v>-1.8061093652642968E-2</v>
      </c>
      <c r="D34" s="4">
        <f>Acciones!D35/Acciones!D34 -1</f>
        <v>-1.2237890042874788E-2</v>
      </c>
      <c r="E34" s="4">
        <f>Acciones!E35/Acciones!E34 -1</f>
        <v>5.2631527579869442E-2</v>
      </c>
    </row>
    <row r="35" spans="1:5" x14ac:dyDescent="0.2">
      <c r="A35" s="1">
        <f>Acciones!A36</f>
        <v>45050</v>
      </c>
      <c r="B35" s="4">
        <f>Acciones!B36/Acciones!B35 -1</f>
        <v>-4.5950107073187141E-2</v>
      </c>
      <c r="C35" s="4">
        <f>Acciones!C36/Acciones!C35 -1</f>
        <v>9.1729009906992287E-2</v>
      </c>
      <c r="D35" s="4">
        <f>Acciones!D36/Acciones!D35 -1</f>
        <v>-2.0619495081027228E-2</v>
      </c>
      <c r="E35" s="4">
        <f>Acciones!E36/Acciones!E35 -1</f>
        <v>-1.6666651213609995E-2</v>
      </c>
    </row>
    <row r="36" spans="1:5" x14ac:dyDescent="0.2">
      <c r="A36" s="1">
        <f>Acciones!A37</f>
        <v>45051</v>
      </c>
      <c r="B36" s="4">
        <f>Acciones!B37/Acciones!B36 -1</f>
        <v>4.0416609880407961E-2</v>
      </c>
      <c r="C36" s="4">
        <f>Acciones!C37/Acciones!C36 -1</f>
        <v>1.0869565217391353E-2</v>
      </c>
      <c r="D36" s="4">
        <f>Acciones!D37/Acciones!D36 -1</f>
        <v>2.0601969536958142E-2</v>
      </c>
      <c r="E36" s="4">
        <f>Acciones!E37/Acciones!E36 -1</f>
        <v>0</v>
      </c>
    </row>
    <row r="37" spans="1:5" x14ac:dyDescent="0.2">
      <c r="A37" s="1">
        <f>Acciones!A38</f>
        <v>45054</v>
      </c>
      <c r="B37" s="4">
        <f>Acciones!B38/Acciones!B37 -1</f>
        <v>-1.4817824837896287E-2</v>
      </c>
      <c r="C37" s="4">
        <f>Acciones!C38/Acciones!C37 -1</f>
        <v>-0.10629034555086558</v>
      </c>
      <c r="D37" s="4">
        <f>Acciones!D38/Acciones!D37 -1</f>
        <v>-2.545539971349764E-3</v>
      </c>
      <c r="E37" s="4">
        <f>Acciones!E38/Acciones!E37 -1</f>
        <v>0</v>
      </c>
    </row>
    <row r="38" spans="1:5" x14ac:dyDescent="0.2">
      <c r="A38" s="1">
        <f>Acciones!A39</f>
        <v>45055</v>
      </c>
      <c r="B38" s="4">
        <f>Acciones!B39/Acciones!B38 -1</f>
        <v>2.8455309303456522E-2</v>
      </c>
      <c r="C38" s="4">
        <f>Acciones!C39/Acciones!C38 -1</f>
        <v>4.872752086937604E-3</v>
      </c>
      <c r="D38" s="4">
        <f>Acciones!D39/Acciones!D38 -1</f>
        <v>0</v>
      </c>
      <c r="E38" s="4">
        <f>Acciones!E39/Acciones!E38 -1</f>
        <v>0</v>
      </c>
    </row>
    <row r="39" spans="1:5" x14ac:dyDescent="0.2">
      <c r="A39" s="1">
        <f>Acciones!A40</f>
        <v>45056</v>
      </c>
      <c r="B39" s="4">
        <f>Acciones!B40/Acciones!B39 -1</f>
        <v>2.7668007589686017E-2</v>
      </c>
      <c r="C39" s="4">
        <f>Acciones!C40/Acciones!C39 -1</f>
        <v>8.3632673504560273E-2</v>
      </c>
      <c r="D39" s="4">
        <f>Acciones!D40/Acciones!D39 -1</f>
        <v>-4.1384483758524215E-2</v>
      </c>
      <c r="E39" s="4">
        <f>Acciones!E40/Acciones!E39 -1</f>
        <v>-8.4745682805222877E-3</v>
      </c>
    </row>
    <row r="40" spans="1:5" x14ac:dyDescent="0.2">
      <c r="A40" s="1">
        <f>Acciones!A41</f>
        <v>45057</v>
      </c>
      <c r="B40" s="4">
        <f>Acciones!B41/Acciones!B40 -1</f>
        <v>1.8461495824429797E-2</v>
      </c>
      <c r="C40" s="4">
        <f>Acciones!C41/Acciones!C40 -1</f>
        <v>-0.15728413946572417</v>
      </c>
      <c r="D40" s="4">
        <f>Acciones!D41/Acciones!D40 -1</f>
        <v>-6.9444680647008372E-3</v>
      </c>
      <c r="E40" s="4">
        <f>Acciones!E41/Acciones!E40 -1</f>
        <v>5.698000279447335E-3</v>
      </c>
    </row>
    <row r="41" spans="1:5" x14ac:dyDescent="0.2">
      <c r="A41" s="1">
        <f>Acciones!A42</f>
        <v>45058</v>
      </c>
      <c r="B41" s="4">
        <f>Acciones!B42/Acciones!B41 -1</f>
        <v>0</v>
      </c>
      <c r="C41" s="4">
        <f>Acciones!C42/Acciones!C41 -1</f>
        <v>2.4059352230669351E-2</v>
      </c>
      <c r="D41" s="4">
        <f>Acciones!D42/Acciones!D41 -1</f>
        <v>-1.9445217946667315E-2</v>
      </c>
      <c r="E41" s="4">
        <f>Acciones!E42/Acciones!E41 -1</f>
        <v>-2.8328585111347726E-2</v>
      </c>
    </row>
    <row r="42" spans="1:5" x14ac:dyDescent="0.2">
      <c r="A42" s="1">
        <f>Acciones!A43</f>
        <v>45061</v>
      </c>
      <c r="B42" s="4">
        <f>Acciones!B43/Acciones!B42 -1</f>
        <v>5.2114857431836192E-2</v>
      </c>
      <c r="C42" s="4">
        <f>Acciones!C43/Acciones!C42 -1</f>
        <v>5.255739774799717E-2</v>
      </c>
      <c r="D42" s="4">
        <f>Acciones!D43/Acciones!D42 -1</f>
        <v>-1.1073237667146185E-2</v>
      </c>
      <c r="E42" s="4">
        <f>Acciones!E43/Acciones!E42 -1</f>
        <v>2.0408143405367118E-2</v>
      </c>
    </row>
    <row r="43" spans="1:5" x14ac:dyDescent="0.2">
      <c r="A43" s="1">
        <f>Acciones!A44</f>
        <v>45062</v>
      </c>
      <c r="B43" s="4">
        <f>Acciones!B44/Acciones!B43 -1</f>
        <v>5.7430116181762525E-3</v>
      </c>
      <c r="C43" s="4">
        <f>Acciones!C44/Acciones!C43 -1</f>
        <v>-1.7820172171333803E-2</v>
      </c>
      <c r="D43" s="4">
        <f>Acciones!D44/Acciones!D43 -1</f>
        <v>-1.8269271751078175E-2</v>
      </c>
      <c r="E43" s="4">
        <f>Acciones!E44/Acciones!E43 -1</f>
        <v>0</v>
      </c>
    </row>
    <row r="44" spans="1:5" x14ac:dyDescent="0.2">
      <c r="A44" s="1">
        <f>Acciones!A45</f>
        <v>45063</v>
      </c>
      <c r="B44" s="4">
        <f>Acciones!B45/Acciones!B44 -1</f>
        <v>1.7844349268932191E-2</v>
      </c>
      <c r="C44" s="4">
        <f>Acciones!C45/Acciones!C44 -1</f>
        <v>9.6290713134109307E-2</v>
      </c>
      <c r="D44" s="4">
        <f>Acciones!D45/Acciones!D44 -1</f>
        <v>1.3763041819330191E-3</v>
      </c>
      <c r="E44" s="4">
        <f>Acciones!E45/Acciones!E44 -1</f>
        <v>1.4285700661794243E-2</v>
      </c>
    </row>
    <row r="45" spans="1:5" x14ac:dyDescent="0.2">
      <c r="A45" s="1">
        <f>Acciones!A46</f>
        <v>45064</v>
      </c>
      <c r="B45" s="4">
        <f>Acciones!B46/Acciones!B45 -1</f>
        <v>3.4712500808171676E-2</v>
      </c>
      <c r="C45" s="4">
        <f>Acciones!C46/Acciones!C45 -1</f>
        <v>-6.6143198707380724E-2</v>
      </c>
      <c r="D45" s="4">
        <f>Acciones!D46/Acciones!D45 -1</f>
        <v>3.7260042188094644E-2</v>
      </c>
      <c r="E45" s="4">
        <f>Acciones!E46/Acciones!E45 -1</f>
        <v>0</v>
      </c>
    </row>
    <row r="46" spans="1:5" x14ac:dyDescent="0.2">
      <c r="A46" s="1">
        <f>Acciones!A47</f>
        <v>45065</v>
      </c>
      <c r="B46" s="4">
        <f>Acciones!B47/Acciones!B46 -1</f>
        <v>-2.0670977172720373E-2</v>
      </c>
      <c r="C46" s="4">
        <f>Acciones!C47/Acciones!C46 -1</f>
        <v>-1.9778650192011193E-2</v>
      </c>
      <c r="D46" s="4">
        <f>Acciones!D47/Acciones!D46 -1</f>
        <v>-4.7619053117236354E-2</v>
      </c>
      <c r="E46" s="4">
        <f>Acciones!E47/Acciones!E46 -1</f>
        <v>0</v>
      </c>
    </row>
    <row r="47" spans="1:5" x14ac:dyDescent="0.2">
      <c r="A47" s="1">
        <f>Acciones!A48</f>
        <v>45068</v>
      </c>
      <c r="B47" s="4">
        <f>Acciones!B48/Acciones!B47 -1</f>
        <v>6.2283769982731663E-3</v>
      </c>
      <c r="C47" s="4">
        <f>Acciones!C48/Acciones!C47 -1</f>
        <v>7.0406046118720367E-2</v>
      </c>
      <c r="D47" s="4">
        <f>Acciones!D48/Acciones!D47 -1</f>
        <v>-1.9802049818153478E-2</v>
      </c>
      <c r="E47" s="4">
        <f>Acciones!E48/Acciones!E47 -1</f>
        <v>0</v>
      </c>
    </row>
    <row r="48" spans="1:5" x14ac:dyDescent="0.2">
      <c r="A48" s="1">
        <f>Acciones!A49</f>
        <v>45069</v>
      </c>
      <c r="B48" s="4">
        <f>Acciones!B49/Acciones!B48 -1</f>
        <v>-6.1898244381195511E-3</v>
      </c>
      <c r="C48" s="4">
        <f>Acciones!C49/Acciones!C48 -1</f>
        <v>-3.0264598853149915E-2</v>
      </c>
      <c r="D48" s="4">
        <f>Acciones!D49/Acciones!D48 -1</f>
        <v>-1.2626184230429716E-2</v>
      </c>
      <c r="E48" s="4">
        <f>Acciones!E49/Acciones!E48 -1</f>
        <v>1.4084493799403131E-2</v>
      </c>
    </row>
    <row r="49" spans="1:5" x14ac:dyDescent="0.2">
      <c r="A49" s="1">
        <f>Acciones!A50</f>
        <v>45070</v>
      </c>
      <c r="B49" s="4">
        <f>Acciones!B50/Acciones!B49 -1</f>
        <v>1.5224960460698878E-2</v>
      </c>
      <c r="C49" s="4">
        <f>Acciones!C50/Acciones!C49 -1</f>
        <v>4.6367778720535213E-3</v>
      </c>
      <c r="D49" s="4">
        <f>Acciones!D50/Acciones!D49 -1</f>
        <v>-1.2276245365319904E-2</v>
      </c>
      <c r="E49" s="4">
        <f>Acciones!E50/Acciones!E49 -1</f>
        <v>0</v>
      </c>
    </row>
    <row r="50" spans="1:5" x14ac:dyDescent="0.2">
      <c r="A50" s="1">
        <f>Acciones!A51</f>
        <v>45071</v>
      </c>
      <c r="B50" s="4">
        <f>Acciones!B51/Acciones!B50 -1</f>
        <v>-3.0674861438823031E-3</v>
      </c>
      <c r="C50" s="4">
        <f>Acciones!C51/Acciones!C50 -1</f>
        <v>-3.9940828402366901E-2</v>
      </c>
      <c r="D50" s="4">
        <f>Acciones!D51/Acciones!D50 -1</f>
        <v>-4.5312518329831963E-3</v>
      </c>
      <c r="E50" s="4">
        <f>Acciones!E51/Acciones!E50 -1</f>
        <v>0</v>
      </c>
    </row>
    <row r="51" spans="1:5" x14ac:dyDescent="0.2">
      <c r="A51" s="1">
        <f>Acciones!A52</f>
        <v>45072</v>
      </c>
      <c r="B51" s="4">
        <f>Acciones!B52/Acciones!B51 -1</f>
        <v>-1.7435882815433401E-2</v>
      </c>
      <c r="C51" s="4">
        <f>Acciones!C52/Acciones!C51 -1</f>
        <v>9.2446161161174878E-4</v>
      </c>
      <c r="D51" s="4">
        <f>Acciones!D52/Acciones!D51 -1</f>
        <v>-1.4176125645017357E-2</v>
      </c>
      <c r="E51" s="4">
        <f>Acciones!E52/Acciones!E51 -1</f>
        <v>-4.722217843856058E-2</v>
      </c>
    </row>
    <row r="52" spans="1:5" x14ac:dyDescent="0.2">
      <c r="A52" s="1">
        <f>Acciones!A53</f>
        <v>45075</v>
      </c>
      <c r="B52" s="4">
        <f>Acciones!B53/Acciones!B52 -1</f>
        <v>3.8273417775009921E-3</v>
      </c>
      <c r="C52" s="4">
        <f>Acciones!C53/Acciones!C52 -1</f>
        <v>-2.4630166965337041E-3</v>
      </c>
      <c r="D52" s="4">
        <f>Acciones!D53/Acciones!D52 -1</f>
        <v>2.8490765591593581E-2</v>
      </c>
      <c r="E52" s="4">
        <f>Acciones!E53/Acciones!E52 -1</f>
        <v>0</v>
      </c>
    </row>
    <row r="53" spans="1:5" x14ac:dyDescent="0.2">
      <c r="A53" s="1">
        <f>Acciones!A54</f>
        <v>45076</v>
      </c>
      <c r="B53" s="4">
        <f>Acciones!B54/Acciones!B53 -1</f>
        <v>-3.9514729545281679E-2</v>
      </c>
      <c r="C53" s="4">
        <f>Acciones!C54/Acciones!C53 -1</f>
        <v>2.395064742476527E-2</v>
      </c>
      <c r="D53" s="4">
        <f>Acciones!D54/Acciones!D53 -1</f>
        <v>-3.2832345581656486E-2</v>
      </c>
      <c r="E53" s="4">
        <f>Acciones!E54/Acciones!E53 -1</f>
        <v>0</v>
      </c>
    </row>
    <row r="54" spans="1:5" x14ac:dyDescent="0.2">
      <c r="A54" s="1">
        <f>Acciones!A55</f>
        <v>45077</v>
      </c>
      <c r="B54" s="4">
        <f>Acciones!B55/Acciones!B54 -1</f>
        <v>1.0104766362568185E-2</v>
      </c>
      <c r="C54" s="4">
        <f>Acciones!C55/Acciones!C54 -1</f>
        <v>3.9365798089469717E-2</v>
      </c>
      <c r="D54" s="4">
        <f>Acciones!D55/Acciones!D54 -1</f>
        <v>-9.0186896309123465E-3</v>
      </c>
      <c r="E54" s="4">
        <f>Acciones!E55/Acciones!E54 -1</f>
        <v>0</v>
      </c>
    </row>
    <row r="55" spans="1:5" x14ac:dyDescent="0.2">
      <c r="A55" s="1">
        <f>Acciones!A56</f>
        <v>45078</v>
      </c>
      <c r="B55" s="4">
        <f>Acciones!B56/Acciones!B55 -1</f>
        <v>-3.9300409752001109E-3</v>
      </c>
      <c r="C55" s="4">
        <f>Acciones!C56/Acciones!C55 -1</f>
        <v>2.1866416876020978E-2</v>
      </c>
      <c r="D55" s="4">
        <f>Acciones!D56/Acciones!D55 -1</f>
        <v>-2.5064160348958087E-2</v>
      </c>
      <c r="E55" s="4">
        <f>Acciones!E56/Acciones!E55 -1</f>
        <v>0</v>
      </c>
    </row>
    <row r="56" spans="1:5" x14ac:dyDescent="0.2">
      <c r="A56" s="1">
        <f>Acciones!A57</f>
        <v>45079</v>
      </c>
      <c r="B56" s="4">
        <f>Acciones!B57/Acciones!B56 -1</f>
        <v>-2.2596854916798637E-2</v>
      </c>
      <c r="C56" s="4">
        <f>Acciones!C57/Acciones!C56 -1</f>
        <v>-3.8029185878045713E-3</v>
      </c>
      <c r="D56" s="4">
        <f>Acciones!D57/Acciones!D56 -1</f>
        <v>4.2710961039151174E-2</v>
      </c>
      <c r="E56" s="4">
        <f>Acciones!E57/Acciones!E56 -1</f>
        <v>-3.7900907262612638E-2</v>
      </c>
    </row>
    <row r="57" spans="1:5" x14ac:dyDescent="0.2">
      <c r="A57" s="1">
        <f>Acciones!A58</f>
        <v>45082</v>
      </c>
      <c r="B57" s="4">
        <f>Acciones!B58/Acciones!B57 -1</f>
        <v>2.752297462223674E-2</v>
      </c>
      <c r="C57" s="4">
        <f>Acciones!C58/Acciones!C57 -1</f>
        <v>-8.7231485600649306E-2</v>
      </c>
      <c r="D57" s="4">
        <f>Acciones!D58/Acciones!D57 -1</f>
        <v>-3.1923328300364595E-2</v>
      </c>
      <c r="E57" s="4">
        <f>Acciones!E58/Acciones!E57 -1</f>
        <v>0</v>
      </c>
    </row>
    <row r="58" spans="1:5" x14ac:dyDescent="0.2">
      <c r="A58" s="1">
        <f>Acciones!A59</f>
        <v>45083</v>
      </c>
      <c r="B58" s="4">
        <f>Acciones!B59/Acciones!B58 -1</f>
        <v>-4.642843279047737E-3</v>
      </c>
      <c r="C58" s="4">
        <f>Acciones!C59/Acciones!C58 -1</f>
        <v>9.3445702283874388E-2</v>
      </c>
      <c r="D58" s="4">
        <f>Acciones!D59/Acciones!D58 -1</f>
        <v>6.5233371308466293E-3</v>
      </c>
      <c r="E58" s="4">
        <f>Acciones!E59/Acciones!E58 -1</f>
        <v>0</v>
      </c>
    </row>
    <row r="59" spans="1:5" x14ac:dyDescent="0.2">
      <c r="A59" s="1">
        <f>Acciones!A60</f>
        <v>45084</v>
      </c>
      <c r="B59" s="4">
        <f>Acciones!B60/Acciones!B59 -1</f>
        <v>3.5163169254088134E-2</v>
      </c>
      <c r="C59" s="4">
        <f>Acciones!C60/Acciones!C59 -1</f>
        <v>-5.0921951602362792E-2</v>
      </c>
      <c r="D59" s="4">
        <f>Acciones!D60/Acciones!D59 -1</f>
        <v>8.8433364116080604E-3</v>
      </c>
      <c r="E59" s="4">
        <f>Acciones!E60/Acciones!E59 -1</f>
        <v>-2.4242401473341779E-2</v>
      </c>
    </row>
    <row r="60" spans="1:5" x14ac:dyDescent="0.2">
      <c r="A60" s="1">
        <f>Acciones!A61</f>
        <v>45085</v>
      </c>
      <c r="B60" s="4">
        <f>Acciones!B61/Acciones!B60 -1</f>
        <v>-4.506052726017562E-3</v>
      </c>
      <c r="C60" s="4">
        <f>Acciones!C61/Acciones!C60 -1</f>
        <v>2.195485050516699E-2</v>
      </c>
      <c r="D60" s="4">
        <f>Acciones!D61/Acciones!D60 -1</f>
        <v>-8.7604384915899169E-3</v>
      </c>
      <c r="E60" s="4">
        <f>Acciones!E61/Acciones!E60 -1</f>
        <v>-1.5527935363982115E-2</v>
      </c>
    </row>
    <row r="61" spans="1:5" x14ac:dyDescent="0.2">
      <c r="A61" s="1">
        <f>Acciones!A62</f>
        <v>45086</v>
      </c>
      <c r="B61" s="4">
        <f>Acciones!B62/Acciones!B61 -1</f>
        <v>3.4815044722558142E-4</v>
      </c>
      <c r="C61" s="4">
        <f>Acciones!C62/Acciones!C61 -1</f>
        <v>-5.0735699981484195E-2</v>
      </c>
      <c r="D61" s="4">
        <f>Acciones!D62/Acciones!D61 -1</f>
        <v>-9.735134796384437E-3</v>
      </c>
      <c r="E61" s="4">
        <f>Acciones!E62/Acciones!E61 -1</f>
        <v>-2.2082072547839671E-2</v>
      </c>
    </row>
    <row r="62" spans="1:5" x14ac:dyDescent="0.2">
      <c r="A62" s="1">
        <f>Acciones!A63</f>
        <v>45089</v>
      </c>
      <c r="B62" s="4">
        <f>Acciones!B63/Acciones!B62 -1</f>
        <v>9.7460175305315033E-3</v>
      </c>
      <c r="C62" s="4">
        <f>Acciones!C63/Acciones!C62 -1</f>
        <v>-1.1160260239542197E-3</v>
      </c>
      <c r="D62" s="4">
        <f>Acciones!D63/Acciones!D62 -1</f>
        <v>6.5557640229649827E-3</v>
      </c>
      <c r="E62" s="4">
        <f>Acciones!E63/Acciones!E62 -1</f>
        <v>-1.2903213897924593E-2</v>
      </c>
    </row>
    <row r="63" spans="1:5" x14ac:dyDescent="0.2">
      <c r="A63" s="1">
        <f>Acciones!A64</f>
        <v>45090</v>
      </c>
      <c r="B63" s="4">
        <f>Acciones!B64/Acciones!B63 -1</f>
        <v>-3.1368539223145531E-2</v>
      </c>
      <c r="C63" s="4">
        <f>Acciones!C64/Acciones!C63 -1</f>
        <v>3.0415851712237041E-2</v>
      </c>
      <c r="D63" s="4">
        <f>Acciones!D64/Acciones!D63 -1</f>
        <v>-2.174562806913416E-3</v>
      </c>
      <c r="E63" s="4">
        <f>Acciones!E64/Acciones!E63 -1</f>
        <v>1.9607824804414475E-2</v>
      </c>
    </row>
    <row r="64" spans="1:5" x14ac:dyDescent="0.2">
      <c r="A64" s="1">
        <f>Acciones!A65</f>
        <v>45091</v>
      </c>
      <c r="B64" s="4">
        <f>Acciones!B65/Acciones!B64 -1</f>
        <v>-3.9145127182588224E-3</v>
      </c>
      <c r="C64" s="4">
        <f>Acciones!C65/Acciones!C64 -1</f>
        <v>-4.8192954925181386E-3</v>
      </c>
      <c r="D64" s="4">
        <f>Acciones!D65/Acciones!D64 -1</f>
        <v>5.1967639290614986E-2</v>
      </c>
      <c r="E64" s="4">
        <f>Acciones!E65/Acciones!E64 -1</f>
        <v>0</v>
      </c>
    </row>
    <row r="65" spans="1:5" x14ac:dyDescent="0.2">
      <c r="A65" s="1">
        <f>Acciones!A66</f>
        <v>45092</v>
      </c>
      <c r="B65" s="4">
        <f>Acciones!B66/Acciones!B65 -1</f>
        <v>-1.0719805585648334E-3</v>
      </c>
      <c r="C65" s="4">
        <f>Acciones!C66/Acciones!C65 -1</f>
        <v>-2.8450345248580811E-2</v>
      </c>
      <c r="D65" s="4">
        <f>Acciones!D66/Acciones!D65 -1</f>
        <v>-4.9648224144849262E-3</v>
      </c>
      <c r="E65" s="4">
        <f>Acciones!E66/Acciones!E65 -1</f>
        <v>0</v>
      </c>
    </row>
    <row r="66" spans="1:5" x14ac:dyDescent="0.2">
      <c r="A66" s="1">
        <f>Acciones!A67</f>
        <v>45093</v>
      </c>
      <c r="B66" s="4">
        <f>Acciones!B67/Acciones!B66 -1</f>
        <v>1.4307447234771509E-3</v>
      </c>
      <c r="C66" s="4">
        <f>Acciones!C67/Acciones!C66 -1</f>
        <v>5.6074766355140193E-2</v>
      </c>
      <c r="D66" s="4">
        <f>Acciones!D67/Acciones!D66 -1</f>
        <v>6.2149209335133904E-3</v>
      </c>
      <c r="E66" s="4">
        <f>Acciones!E67/Acciones!E66 -1</f>
        <v>9.6154522143434562E-3</v>
      </c>
    </row>
    <row r="67" spans="1:5" x14ac:dyDescent="0.2">
      <c r="A67" s="1">
        <f>Acciones!A68</f>
        <v>45096</v>
      </c>
      <c r="B67" s="4">
        <f>Acciones!B68/Acciones!B67 -1</f>
        <v>0</v>
      </c>
      <c r="C67" s="4">
        <f>Acciones!C68/Acciones!C67 -1</f>
        <v>1.4749262536873253E-2</v>
      </c>
      <c r="D67" s="4">
        <f>Acciones!D68/Acciones!D67 -1</f>
        <v>1.1367529309859181E-2</v>
      </c>
      <c r="E67" s="4">
        <f>Acciones!E68/Acciones!E67 -1</f>
        <v>0</v>
      </c>
    </row>
    <row r="68" spans="1:5" x14ac:dyDescent="0.2">
      <c r="A68" s="1">
        <f>Acciones!A69</f>
        <v>45097</v>
      </c>
      <c r="B68" s="4">
        <f>Acciones!B69/Acciones!B68 -1</f>
        <v>3.5710286637224975E-4</v>
      </c>
      <c r="C68" s="4">
        <f>Acciones!C69/Acciones!C68 -1</f>
        <v>0.15918607490006975</v>
      </c>
      <c r="D68" s="4">
        <f>Acciones!D69/Acciones!D68 -1</f>
        <v>-3.8265294012567286E-2</v>
      </c>
      <c r="E68" s="4">
        <f>Acciones!E69/Acciones!E68 -1</f>
        <v>0</v>
      </c>
    </row>
    <row r="69" spans="1:5" x14ac:dyDescent="0.2">
      <c r="A69" s="1">
        <f>Acciones!A70</f>
        <v>45098</v>
      </c>
      <c r="B69" s="4">
        <f>Acciones!B70/Acciones!B69 -1</f>
        <v>-9.9964670998420324E-3</v>
      </c>
      <c r="C69" s="4">
        <f>Acciones!C70/Acciones!C69 -1</f>
        <v>4.734678608797549E-2</v>
      </c>
      <c r="D69" s="4">
        <f>Acciones!D70/Acciones!D69 -1</f>
        <v>-4.7638414110348082E-3</v>
      </c>
      <c r="E69" s="4">
        <f>Acciones!E70/Acciones!E69 -1</f>
        <v>-6.3492001019088695E-3</v>
      </c>
    </row>
    <row r="70" spans="1:5" x14ac:dyDescent="0.2">
      <c r="A70" s="1">
        <f>Acciones!A71</f>
        <v>45099</v>
      </c>
      <c r="B70" s="4">
        <f>Acciones!B71/Acciones!B70 -1</f>
        <v>-1.298226377471845E-2</v>
      </c>
      <c r="C70" s="4">
        <f>Acciones!C71/Acciones!C70 -1</f>
        <v>-3.2659740853418939E-2</v>
      </c>
      <c r="D70" s="4">
        <f>Acciones!D71/Acciones!D70 -1</f>
        <v>1.1289758839267083E-2</v>
      </c>
      <c r="E70" s="4">
        <f>Acciones!E71/Acciones!E70 -1</f>
        <v>-1.2779616232935775E-2</v>
      </c>
    </row>
    <row r="71" spans="1:5" x14ac:dyDescent="0.2">
      <c r="A71" s="1">
        <f>Acciones!A72</f>
        <v>45100</v>
      </c>
      <c r="B71" s="4">
        <f>Acciones!B72/Acciones!B71 -1</f>
        <v>-1.278777106901996E-2</v>
      </c>
      <c r="C71" s="4">
        <f>Acciones!C72/Acciones!C71 -1</f>
        <v>7.9554491704049601E-2</v>
      </c>
      <c r="D71" s="4">
        <f>Acciones!D72/Acciones!D71 -1</f>
        <v>-9.0606561019239695E-3</v>
      </c>
      <c r="E71" s="4">
        <f>Acciones!E72/Acciones!E71 -1</f>
        <v>-1.2944971833043994E-2</v>
      </c>
    </row>
    <row r="72" spans="1:5" x14ac:dyDescent="0.2">
      <c r="A72" s="1">
        <f>Acciones!A73</f>
        <v>45103</v>
      </c>
      <c r="B72" s="4">
        <f>Acciones!B73/Acciones!B72 -1</f>
        <v>-1.9245022275949819E-2</v>
      </c>
      <c r="C72" s="4">
        <f>Acciones!C73/Acciones!C72 -1</f>
        <v>-7.2453810799699703E-2</v>
      </c>
      <c r="D72" s="4">
        <f>Acciones!D73/Acciones!D72 -1</f>
        <v>2.135098807480551E-2</v>
      </c>
      <c r="E72" s="4">
        <f>Acciones!E73/Acciones!E72 -1</f>
        <v>0</v>
      </c>
    </row>
    <row r="73" spans="1:5" x14ac:dyDescent="0.2">
      <c r="A73" s="1">
        <f>Acciones!A74</f>
        <v>45104</v>
      </c>
      <c r="B73" s="4">
        <f>Acciones!B74/Acciones!B73 -1</f>
        <v>5.2452842150043644E-2</v>
      </c>
      <c r="C73" s="4">
        <f>Acciones!C74/Acciones!C73 -1</f>
        <v>0.12952981853380163</v>
      </c>
      <c r="D73" s="4">
        <f>Acciones!D74/Acciones!D73 -1</f>
        <v>1.3993689890342331E-2</v>
      </c>
      <c r="E73" s="4">
        <f>Acciones!E74/Acciones!E73 -1</f>
        <v>0</v>
      </c>
    </row>
    <row r="74" spans="1:5" x14ac:dyDescent="0.2">
      <c r="A74" s="1">
        <f>Acciones!A75</f>
        <v>45105</v>
      </c>
      <c r="B74" s="4">
        <f>Acciones!B75/Acciones!B74 -1</f>
        <v>-3.4420933810243914E-2</v>
      </c>
      <c r="C74" s="4">
        <f>Acciones!C75/Acciones!C74 -1</f>
        <v>-2.0921778586938111E-2</v>
      </c>
      <c r="D74" s="4">
        <f>Acciones!D75/Acciones!D74 -1</f>
        <v>-8.7416011620328193E-3</v>
      </c>
      <c r="E74" s="4">
        <f>Acciones!E75/Acciones!E74 -1</f>
        <v>3.2786854490491901E-3</v>
      </c>
    </row>
    <row r="75" spans="1:5" x14ac:dyDescent="0.2">
      <c r="A75" s="1">
        <f>Acciones!A76</f>
        <v>45106</v>
      </c>
      <c r="B75" s="4">
        <f>Acciones!B76/Acciones!B75 -1</f>
        <v>5.1986075214778271E-3</v>
      </c>
      <c r="C75" s="4">
        <f>Acciones!C76/Acciones!C75 -1</f>
        <v>5.4629179164607189E-2</v>
      </c>
      <c r="D75" s="4">
        <f>Acciones!D76/Acciones!D75 -1</f>
        <v>4.3006538866392496E-3</v>
      </c>
      <c r="E75" s="4">
        <f>Acciones!E76/Acciones!E75 -1</f>
        <v>-9.8039124022073487E-3</v>
      </c>
    </row>
    <row r="76" spans="1:5" x14ac:dyDescent="0.2">
      <c r="A76" s="1">
        <f>Acciones!A77</f>
        <v>45107</v>
      </c>
      <c r="B76" s="4">
        <f>Acciones!B77/Acciones!B76 -1</f>
        <v>-6.316944811738856E-2</v>
      </c>
      <c r="C76" s="4">
        <f>Acciones!C77/Acciones!C76 -1</f>
        <v>8.859295093244457E-3</v>
      </c>
      <c r="D76" s="4">
        <f>Acciones!D77/Acciones!D76 -1</f>
        <v>-2.5434718253354416E-2</v>
      </c>
      <c r="E76" s="4">
        <f>Acciones!E77/Acciones!E76 -1</f>
        <v>0</v>
      </c>
    </row>
    <row r="77" spans="1:5" x14ac:dyDescent="0.2">
      <c r="A77" s="1">
        <f>Acciones!A78</f>
        <v>45110</v>
      </c>
      <c r="B77" s="4">
        <f>Acciones!B78/Acciones!B77 -1</f>
        <v>2.6025275429648831E-2</v>
      </c>
      <c r="C77" s="4">
        <f>Acciones!C78/Acciones!C77 -1</f>
        <v>0.10294117647058831</v>
      </c>
      <c r="D77" s="4">
        <f>Acciones!D78/Acciones!D77 -1</f>
        <v>1.556262825330279E-3</v>
      </c>
      <c r="E77" s="4">
        <f>Acciones!E78/Acciones!E77 -1</f>
        <v>-1.6501634583632185E-2</v>
      </c>
    </row>
    <row r="78" spans="1:5" x14ac:dyDescent="0.2">
      <c r="A78" s="1">
        <f>Acciones!A79</f>
        <v>45111</v>
      </c>
      <c r="B78" s="4">
        <f>Acciones!B79/Acciones!B78 -1</f>
        <v>9.992283350395148E-3</v>
      </c>
      <c r="C78" s="4">
        <f>Acciones!C79/Acciones!C78 -1</f>
        <v>3.0400041852678195E-2</v>
      </c>
      <c r="D78" s="4">
        <f>Acciones!D79/Acciones!D78 -1</f>
        <v>1.0612190067371685E-5</v>
      </c>
      <c r="E78" s="4">
        <f>Acciones!E79/Acciones!E78 -1</f>
        <v>-3.0201313286330911E-2</v>
      </c>
    </row>
    <row r="79" spans="1:5" x14ac:dyDescent="0.2">
      <c r="A79" s="1">
        <f>Acciones!A80</f>
        <v>45112</v>
      </c>
      <c r="B79" s="4">
        <f>Acciones!B80/Acciones!B79 -1</f>
        <v>2.4353088709032411E-2</v>
      </c>
      <c r="C79" s="4">
        <f>Acciones!C80/Acciones!C79 -1</f>
        <v>-1.9557853926549074E-2</v>
      </c>
      <c r="D79" s="4">
        <f>Acciones!D80/Acciones!D79 -1</f>
        <v>-3.7828497181003895E-2</v>
      </c>
      <c r="E79" s="4">
        <f>Acciones!E80/Acciones!E79 -1</f>
        <v>3.1141837682491902E-2</v>
      </c>
    </row>
    <row r="80" spans="1:5" x14ac:dyDescent="0.2">
      <c r="A80" s="1">
        <f>Acciones!A81</f>
        <v>45113</v>
      </c>
      <c r="B80" s="4">
        <f>Acciones!B81/Acciones!B80 -1</f>
        <v>-1.002972262566848E-2</v>
      </c>
      <c r="C80" s="4">
        <f>Acciones!C81/Acciones!C80 -1</f>
        <v>-4.5251034955443581E-3</v>
      </c>
      <c r="D80" s="4">
        <f>Acciones!D81/Acciones!D80 -1</f>
        <v>-4.8781111114487574E-3</v>
      </c>
      <c r="E80" s="4">
        <f>Acciones!E81/Acciones!E80 -1</f>
        <v>-1.0067104428777007E-2</v>
      </c>
    </row>
    <row r="81" spans="1:5" x14ac:dyDescent="0.2">
      <c r="A81" s="1">
        <f>Acciones!A82</f>
        <v>45114</v>
      </c>
      <c r="B81" s="4">
        <f>Acciones!B82/Acciones!B81 -1</f>
        <v>5.0281493120381215E-2</v>
      </c>
      <c r="C81" s="4">
        <f>Acciones!C82/Acciones!C81 -1</f>
        <v>1.1401984457640513E-2</v>
      </c>
      <c r="D81" s="4">
        <f>Acciones!D82/Acciones!D81 -1</f>
        <v>-1.0217916530092963E-2</v>
      </c>
      <c r="E81" s="4">
        <f>Acciones!E82/Acciones!E81 -1</f>
        <v>0</v>
      </c>
    </row>
    <row r="82" spans="1:5" x14ac:dyDescent="0.2">
      <c r="A82" s="1">
        <f>Acciones!A83</f>
        <v>45117</v>
      </c>
      <c r="B82" s="4">
        <f>Acciones!B83/Acciones!B82 -1</f>
        <v>-1.8578152003576265E-2</v>
      </c>
      <c r="C82" s="4">
        <f>Acciones!C83/Acciones!C82 -1</f>
        <v>7.9026240088071242E-2</v>
      </c>
      <c r="D82" s="4">
        <f>Acciones!D83/Acciones!D82 -1</f>
        <v>3.9207945291412916E-3</v>
      </c>
      <c r="E82" s="4">
        <f>Acciones!E83/Acciones!E82 -1</f>
        <v>0</v>
      </c>
    </row>
    <row r="83" spans="1:5" x14ac:dyDescent="0.2">
      <c r="A83" s="1">
        <f>Acciones!A84</f>
        <v>45118</v>
      </c>
      <c r="B83" s="4">
        <f>Acciones!B84/Acciones!B83 -1</f>
        <v>2.9123103894355129E-3</v>
      </c>
      <c r="C83" s="4">
        <f>Acciones!C84/Acciones!C83 -1</f>
        <v>2.8392893101300221E-2</v>
      </c>
      <c r="D83" s="4">
        <f>Acciones!D84/Acciones!D83 -1</f>
        <v>2.0649615977607505E-2</v>
      </c>
      <c r="E83" s="4">
        <f>Acciones!E84/Acciones!E83 -1</f>
        <v>0</v>
      </c>
    </row>
    <row r="84" spans="1:5" x14ac:dyDescent="0.2">
      <c r="A84" s="1">
        <f>Acciones!A85</f>
        <v>45119</v>
      </c>
      <c r="B84" s="4">
        <f>Acciones!B85/Acciones!B84 -1</f>
        <v>6.8965142297265913E-3</v>
      </c>
      <c r="C84" s="4">
        <f>Acciones!C85/Acciones!C84 -1</f>
        <v>-3.8240808083386368E-2</v>
      </c>
      <c r="D84" s="4">
        <f>Acciones!D85/Acciones!D84 -1</f>
        <v>-9.4002089986722215E-3</v>
      </c>
      <c r="E84" s="4">
        <f>Acciones!E85/Acciones!E84 -1</f>
        <v>0</v>
      </c>
    </row>
    <row r="85" spans="1:5" x14ac:dyDescent="0.2">
      <c r="A85" s="1">
        <f>Acciones!A86</f>
        <v>45120</v>
      </c>
      <c r="B85" s="4">
        <f>Acciones!B86/Acciones!B85 -1</f>
        <v>-1.3698556171886977E-2</v>
      </c>
      <c r="C85" s="4">
        <f>Acciones!C86/Acciones!C85 -1</f>
        <v>0.1399542820031856</v>
      </c>
      <c r="D85" s="4">
        <f>Acciones!D86/Acciones!D85 -1</f>
        <v>3.854503718936364E-5</v>
      </c>
      <c r="E85" s="4">
        <f>Acciones!E86/Acciones!E85 -1</f>
        <v>1.6949136104438045E-2</v>
      </c>
    </row>
    <row r="86" spans="1:5" x14ac:dyDescent="0.2">
      <c r="A86" s="1">
        <f>Acciones!A87</f>
        <v>45121</v>
      </c>
      <c r="B86" s="4">
        <f>Acciones!B87/Acciones!B86 -1</f>
        <v>-2.5950345015745335E-2</v>
      </c>
      <c r="C86" s="4">
        <f>Acciones!C87/Acciones!C86 -1</f>
        <v>-6.4125811757933082E-2</v>
      </c>
      <c r="D86" s="4">
        <f>Acciones!D87/Acciones!D86 -1</f>
        <v>-4.9451443869691358E-3</v>
      </c>
      <c r="E86" s="4">
        <f>Acciones!E87/Acciones!E86 -1</f>
        <v>0</v>
      </c>
    </row>
    <row r="87" spans="1:5" x14ac:dyDescent="0.2">
      <c r="A87" s="1">
        <f>Acciones!A88</f>
        <v>45124</v>
      </c>
      <c r="B87" s="4">
        <f>Acciones!B88/Acciones!B87 -1</f>
        <v>2.251382933781354E-3</v>
      </c>
      <c r="C87" s="4">
        <f>Acciones!C88/Acciones!C87 -1</f>
        <v>-4.7598688225999886E-2</v>
      </c>
      <c r="D87" s="4">
        <f>Acciones!D88/Acciones!D87 -1</f>
        <v>5.5218814795106042E-3</v>
      </c>
      <c r="E87" s="4">
        <f>Acciones!E88/Acciones!E87 -1</f>
        <v>0</v>
      </c>
    </row>
    <row r="88" spans="1:5" x14ac:dyDescent="0.2">
      <c r="A88" s="1">
        <f>Acciones!A89</f>
        <v>45125</v>
      </c>
      <c r="B88" s="4">
        <f>Acciones!B89/Acciones!B88 -1</f>
        <v>-3.7434970946625956E-4</v>
      </c>
      <c r="C88" s="4">
        <f>Acciones!C89/Acciones!C88 -1</f>
        <v>-2.6836559411565375E-2</v>
      </c>
      <c r="D88" s="4">
        <f>Acciones!D89/Acciones!D88 -1</f>
        <v>8.3908883329446571E-3</v>
      </c>
      <c r="E88" s="4">
        <f>Acciones!E89/Acciones!E88 -1</f>
        <v>0</v>
      </c>
    </row>
    <row r="89" spans="1:5" x14ac:dyDescent="0.2">
      <c r="A89" s="1">
        <f>Acciones!A90</f>
        <v>45126</v>
      </c>
      <c r="B89" s="4">
        <f>Acciones!B90/Acciones!B89 -1</f>
        <v>0</v>
      </c>
      <c r="C89" s="4">
        <f>Acciones!C90/Acciones!C89 -1</f>
        <v>4.9652149877522422E-2</v>
      </c>
      <c r="D89" s="4">
        <f>Acciones!D90/Acciones!D89 -1</f>
        <v>3.3709622556525876E-3</v>
      </c>
      <c r="E89" s="4">
        <f>Acciones!E90/Acciones!E89 -1</f>
        <v>0</v>
      </c>
    </row>
    <row r="90" spans="1:5" x14ac:dyDescent="0.2">
      <c r="A90" s="1">
        <f>Acciones!A91</f>
        <v>45127</v>
      </c>
      <c r="B90" s="4">
        <f>Acciones!B91/Acciones!B90 -1</f>
        <v>-1.6104885069124775E-2</v>
      </c>
      <c r="C90" s="4">
        <f>Acciones!C91/Acciones!C90 -1</f>
        <v>-3.2730321811604401E-2</v>
      </c>
      <c r="D90" s="4">
        <f>Acciones!D91/Acciones!D90 -1</f>
        <v>-1.3943071820036734E-2</v>
      </c>
      <c r="E90" s="4">
        <f>Acciones!E91/Acciones!E90 -1</f>
        <v>0</v>
      </c>
    </row>
    <row r="91" spans="1:5" x14ac:dyDescent="0.2">
      <c r="A91" s="1">
        <f>Acciones!A92</f>
        <v>45128</v>
      </c>
      <c r="B91" s="4">
        <f>Acciones!B92/Acciones!B91 -1</f>
        <v>-4.5679761809072073E-3</v>
      </c>
      <c r="C91" s="4">
        <f>Acciones!C92/Acciones!C91 -1</f>
        <v>3.6353969333293712E-3</v>
      </c>
      <c r="D91" s="4">
        <f>Acciones!D92/Acciones!D91 -1</f>
        <v>1.4277763765350837E-2</v>
      </c>
      <c r="E91" s="4">
        <f>Acciones!E92/Acciones!E91 -1</f>
        <v>-3.3333301544199445E-3</v>
      </c>
    </row>
    <row r="92" spans="1:5" x14ac:dyDescent="0.2">
      <c r="A92" s="1">
        <f>Acciones!A93</f>
        <v>45131</v>
      </c>
      <c r="B92" s="4">
        <f>Acciones!B93/Acciones!B92 -1</f>
        <v>-5.7361148758645619E-3</v>
      </c>
      <c r="C92" s="4">
        <f>Acciones!C93/Acciones!C92 -1</f>
        <v>-4.2144043061131287E-2</v>
      </c>
      <c r="D92" s="4">
        <f>Acciones!D93/Acciones!D92 -1</f>
        <v>2.8654890375507946E-3</v>
      </c>
      <c r="E92" s="4">
        <f>Acciones!E93/Acciones!E92 -1</f>
        <v>0</v>
      </c>
    </row>
    <row r="93" spans="1:5" x14ac:dyDescent="0.2">
      <c r="A93" s="1">
        <f>Acciones!A94</f>
        <v>45132</v>
      </c>
      <c r="B93" s="4">
        <f>Acciones!B94/Acciones!B93 -1</f>
        <v>2.6923176928654868E-3</v>
      </c>
      <c r="C93" s="4">
        <f>Acciones!C94/Acciones!C93 -1</f>
        <v>-3.636453218602842E-4</v>
      </c>
      <c r="D93" s="4">
        <f>Acciones!D94/Acciones!D93 -1</f>
        <v>-7.2349727181402201E-3</v>
      </c>
      <c r="E93" s="4">
        <f>Acciones!E94/Acciones!E93 -1</f>
        <v>0</v>
      </c>
    </row>
    <row r="94" spans="1:5" x14ac:dyDescent="0.2">
      <c r="A94" s="1">
        <f>Acciones!A95</f>
        <v>45133</v>
      </c>
      <c r="B94" s="4">
        <f>Acciones!B95/Acciones!B94 -1</f>
        <v>-1.5343141494659207E-3</v>
      </c>
      <c r="C94" s="4">
        <f>Acciones!C95/Acciones!C94 -1</f>
        <v>2.942779902558379E-2</v>
      </c>
      <c r="D94" s="4">
        <f>Acciones!D95/Acciones!D94 -1</f>
        <v>4.0172029521265973E-3</v>
      </c>
      <c r="E94" s="4">
        <f>Acciones!E95/Acciones!E94 -1</f>
        <v>0</v>
      </c>
    </row>
    <row r="95" spans="1:5" x14ac:dyDescent="0.2">
      <c r="A95" s="1">
        <f>Acciones!A96</f>
        <v>45134</v>
      </c>
      <c r="B95" s="4">
        <f>Acciones!B96/Acciones!B95 -1</f>
        <v>-8.0677218034473919E-3</v>
      </c>
      <c r="C95" s="4">
        <f>Acciones!C96/Acciones!C95 -1</f>
        <v>-4.770318021201414E-2</v>
      </c>
      <c r="D95" s="4">
        <f>Acciones!D96/Acciones!D95 -1</f>
        <v>-1.2486374286432733E-2</v>
      </c>
      <c r="E95" s="4">
        <f>Acciones!E96/Acciones!E95 -1</f>
        <v>0</v>
      </c>
    </row>
    <row r="96" spans="1:5" x14ac:dyDescent="0.2">
      <c r="A96" s="1">
        <f>Acciones!A97</f>
        <v>45135</v>
      </c>
      <c r="B96" s="4">
        <f>Acciones!B97/Acciones!B96 -1</f>
        <v>2.4012529448696585E-2</v>
      </c>
      <c r="C96" s="4">
        <f>Acciones!C97/Acciones!C96 -1</f>
        <v>3.7031580654278251E-2</v>
      </c>
      <c r="D96" s="4">
        <f>Acciones!D97/Acciones!D96 -1</f>
        <v>-6.0418097000194404E-3</v>
      </c>
      <c r="E96" s="4">
        <f>Acciones!E97/Acciones!E96 -1</f>
        <v>2.0066870430825334E-2</v>
      </c>
    </row>
    <row r="97" spans="1:5" x14ac:dyDescent="0.2">
      <c r="A97" s="1">
        <f>Acciones!A98</f>
        <v>45138</v>
      </c>
      <c r="B97" s="4">
        <f>Acciones!B98/Acciones!B97 -1</f>
        <v>1.0589900820060727E-2</v>
      </c>
      <c r="C97" s="4">
        <f>Acciones!C98/Acciones!C97 -1</f>
        <v>4.0897353035885375E-2</v>
      </c>
      <c r="D97" s="4">
        <f>Acciones!D98/Acciones!D97 -1</f>
        <v>2.184169252092083E-2</v>
      </c>
      <c r="E97" s="4">
        <f>Acciones!E98/Acciones!E97 -1</f>
        <v>0</v>
      </c>
    </row>
    <row r="98" spans="1:5" x14ac:dyDescent="0.2">
      <c r="A98" s="1">
        <f>Acciones!A99</f>
        <v>45139</v>
      </c>
      <c r="B98" s="4">
        <f>Acciones!B99/Acciones!B98 -1</f>
        <v>-1.4970051488669922E-2</v>
      </c>
      <c r="C98" s="4">
        <f>Acciones!C99/Acciones!C98 -1</f>
        <v>-2.2790570277238298E-2</v>
      </c>
      <c r="D98" s="4">
        <f>Acciones!D99/Acciones!D98 -1</f>
        <v>2.706924498450114E-4</v>
      </c>
      <c r="E98" s="4">
        <f>Acciones!E99/Acciones!E98 -1</f>
        <v>0</v>
      </c>
    </row>
    <row r="99" spans="1:5" x14ac:dyDescent="0.2">
      <c r="A99" s="1">
        <f>Acciones!A100</f>
        <v>45140</v>
      </c>
      <c r="B99" s="4">
        <f>Acciones!B100/Acciones!B99 -1</f>
        <v>-4.5972575918778791E-2</v>
      </c>
      <c r="C99" s="4">
        <f>Acciones!C100/Acciones!C99 -1</f>
        <v>-1.3156009041911498E-2</v>
      </c>
      <c r="D99" s="4">
        <f>Acciones!D100/Acciones!D99 -1</f>
        <v>-4.3289796656035273E-3</v>
      </c>
      <c r="E99" s="4">
        <f>Acciones!E100/Acciones!E99 -1</f>
        <v>0</v>
      </c>
    </row>
    <row r="100" spans="1:5" x14ac:dyDescent="0.2">
      <c r="A100" s="1">
        <f>Acciones!A101</f>
        <v>45141</v>
      </c>
      <c r="B100" s="4">
        <f>Acciones!B101/Acciones!B100 -1</f>
        <v>1.9911768183904499E-3</v>
      </c>
      <c r="C100" s="4">
        <f>Acciones!C101/Acciones!C100 -1</f>
        <v>2.3062668509429285E-2</v>
      </c>
      <c r="D100" s="4">
        <f>Acciones!D101/Acciones!D100 -1</f>
        <v>1.6586862276248837E-2</v>
      </c>
      <c r="E100" s="4">
        <f>Acciones!E101/Acciones!E100 -1</f>
        <v>0</v>
      </c>
    </row>
    <row r="101" spans="1:5" x14ac:dyDescent="0.2">
      <c r="A101" s="1">
        <f>Acciones!A102</f>
        <v>45142</v>
      </c>
      <c r="B101" s="4">
        <f>Acciones!B102/Acciones!B101 -1</f>
        <v>3.6963561440465753E-2</v>
      </c>
      <c r="C101" s="4">
        <f>Acciones!C102/Acciones!C101 -1</f>
        <v>-5.4214128529177175E-2</v>
      </c>
      <c r="D101" s="4">
        <f>Acciones!D102/Acciones!D101 -1</f>
        <v>-2.7789847752346386E-4</v>
      </c>
      <c r="E101" s="4">
        <f>Acciones!E102/Acciones!E101 -1</f>
        <v>-1.6393427245239289E-2</v>
      </c>
    </row>
    <row r="102" spans="1:5" x14ac:dyDescent="0.2">
      <c r="A102" s="1">
        <f>Acciones!A103</f>
        <v>45145</v>
      </c>
      <c r="B102" s="4">
        <f>Acciones!B103/Acciones!B102 -1</f>
        <v>1.7631163118049686E-2</v>
      </c>
      <c r="C102" s="4">
        <f>Acciones!C103/Acciones!C102 -1</f>
        <v>-6.2000428561439946E-2</v>
      </c>
      <c r="D102" s="4">
        <f>Acciones!D103/Acciones!D102 -1</f>
        <v>4.8127902877428408E-3</v>
      </c>
      <c r="E102" s="4">
        <f>Acciones!E103/Acciones!E102 -1</f>
        <v>0</v>
      </c>
    </row>
    <row r="103" spans="1:5" x14ac:dyDescent="0.2">
      <c r="A103" s="1">
        <f>Acciones!A104</f>
        <v>45146</v>
      </c>
      <c r="B103" s="4">
        <f>Acciones!B104/Acciones!B103 -1</f>
        <v>-2.3728826222243482E-2</v>
      </c>
      <c r="C103" s="4">
        <f>Acciones!C104/Acciones!C103 -1</f>
        <v>5.9461216474652412E-2</v>
      </c>
      <c r="D103" s="4">
        <f>Acciones!D104/Acciones!D103 -1</f>
        <v>-7.450761908751824E-3</v>
      </c>
      <c r="E103" s="4">
        <f>Acciones!E104/Acciones!E103 -1</f>
        <v>2.9999971389770064E-2</v>
      </c>
    </row>
    <row r="104" spans="1:5" x14ac:dyDescent="0.2">
      <c r="A104" s="1">
        <f>Acciones!A105</f>
        <v>45147</v>
      </c>
      <c r="B104" s="4">
        <f>Acciones!B105/Acciones!B104 -1</f>
        <v>-1.7746879898374757E-2</v>
      </c>
      <c r="C104" s="4">
        <f>Acciones!C105/Acciones!C104 -1</f>
        <v>-1.3567628742636506E-2</v>
      </c>
      <c r="D104" s="4">
        <f>Acciones!D105/Acciones!D104 -1</f>
        <v>-2.6702992732065001E-3</v>
      </c>
      <c r="E104" s="4">
        <f>Acciones!E105/Acciones!E104 -1</f>
        <v>3.2362429582584173E-3</v>
      </c>
    </row>
    <row r="105" spans="1:5" x14ac:dyDescent="0.2">
      <c r="A105" s="1">
        <f>Acciones!A106</f>
        <v>45148</v>
      </c>
      <c r="B105" s="4">
        <f>Acciones!B106/Acciones!B105 -1</f>
        <v>-1.2568759377001748E-2</v>
      </c>
      <c r="C105" s="4">
        <f>Acciones!C106/Acciones!C105 -1</f>
        <v>-7.6662941327920286E-2</v>
      </c>
      <c r="D105" s="4">
        <f>Acciones!D106/Acciones!D105 -1</f>
        <v>-1.0704200841509803E-2</v>
      </c>
      <c r="E105" s="4">
        <f>Acciones!E106/Acciones!E105 -1</f>
        <v>0</v>
      </c>
    </row>
    <row r="106" spans="1:5" x14ac:dyDescent="0.2">
      <c r="A106" s="1">
        <f>Acciones!A107</f>
        <v>45149</v>
      </c>
      <c r="B106" s="4">
        <f>Acciones!B107/Acciones!B106 -1</f>
        <v>-9.5465176662837825E-3</v>
      </c>
      <c r="C106" s="4">
        <f>Acciones!C107/Acciones!C106 -1</f>
        <v>9.7680471513339473E-3</v>
      </c>
      <c r="D106" s="4">
        <f>Acciones!D107/Acciones!D106 -1</f>
        <v>-5.9678403262708457E-5</v>
      </c>
      <c r="E106" s="4">
        <f>Acciones!E107/Acciones!E106 -1</f>
        <v>-3.2258034744814923E-2</v>
      </c>
    </row>
    <row r="107" spans="1:5" x14ac:dyDescent="0.2">
      <c r="A107" s="1">
        <f>Acciones!A108</f>
        <v>45152</v>
      </c>
      <c r="B107" s="4">
        <f>Acciones!B108/Acciones!B107 -1</f>
        <v>1.9678706926538059E-2</v>
      </c>
      <c r="C107" s="4">
        <f>Acciones!C108/Acciones!C107 -1</f>
        <v>1.8339329629321277E-2</v>
      </c>
      <c r="D107" s="4">
        <f>Acciones!D108/Acciones!D107 -1</f>
        <v>-5.4185502192810597E-3</v>
      </c>
      <c r="E107" s="4">
        <f>Acciones!E108/Acciones!E107 -1</f>
        <v>-3.3333301544190008E-2</v>
      </c>
    </row>
    <row r="108" spans="1:5" x14ac:dyDescent="0.2">
      <c r="A108" s="1">
        <f>Acciones!A109</f>
        <v>45153</v>
      </c>
      <c r="B108" s="4">
        <f>Acciones!B109/Acciones!B108 -1</f>
        <v>-1.1815628491694041E-2</v>
      </c>
      <c r="C108" s="4">
        <f>Acciones!C109/Acciones!C108 -1</f>
        <v>-4.9792150707196448E-2</v>
      </c>
      <c r="D108" s="4">
        <f>Acciones!D109/Acciones!D108 -1</f>
        <v>-5.4807168769873682E-3</v>
      </c>
      <c r="E108" s="4">
        <f>Acciones!E109/Acciones!E108 -1</f>
        <v>2.4137907220972421E-2</v>
      </c>
    </row>
    <row r="109" spans="1:5" x14ac:dyDescent="0.2">
      <c r="A109" s="1">
        <f>Acciones!A110</f>
        <v>45154</v>
      </c>
      <c r="B109" s="4">
        <f>Acciones!B110/Acciones!B109 -1</f>
        <v>-7.971378803613538E-3</v>
      </c>
      <c r="C109" s="4">
        <f>Acciones!C110/Acciones!C109 -1</f>
        <v>-3.3115391196262278E-2</v>
      </c>
      <c r="D109" s="4">
        <f>Acciones!D110/Acciones!D109 -1</f>
        <v>-4.3682691725580591E-3</v>
      </c>
      <c r="E109" s="4">
        <f>Acciones!E110/Acciones!E109 -1</f>
        <v>1.010100037063566E-2</v>
      </c>
    </row>
    <row r="110" spans="1:5" x14ac:dyDescent="0.2">
      <c r="A110" s="1">
        <f>Acciones!A111</f>
        <v>45155</v>
      </c>
      <c r="B110" s="4">
        <f>Acciones!B111/Acciones!B110 -1</f>
        <v>-6.8300198519345434E-3</v>
      </c>
      <c r="C110" s="4">
        <f>Acciones!C111/Acciones!C110 -1</f>
        <v>-9.3486116684116882E-2</v>
      </c>
      <c r="D110" s="4">
        <f>Acciones!D111/Acciones!D110 -1</f>
        <v>9.8950366723058458E-3</v>
      </c>
      <c r="E110" s="4">
        <f>Acciones!E111/Acciones!E110 -1</f>
        <v>0</v>
      </c>
    </row>
    <row r="111" spans="1:5" x14ac:dyDescent="0.2">
      <c r="A111" s="1">
        <f>Acciones!A112</f>
        <v>45156</v>
      </c>
      <c r="B111" s="4">
        <f>Acciones!B112/Acciones!B111 -1</f>
        <v>8.0906099845501345E-3</v>
      </c>
      <c r="C111" s="4">
        <f>Acciones!C112/Acciones!C111 -1</f>
        <v>-8.7539199359538467E-2</v>
      </c>
      <c r="D111" s="4">
        <f>Acciones!D112/Acciones!D111 -1</f>
        <v>-2.4781874547594285E-2</v>
      </c>
      <c r="E111" s="4">
        <f>Acciones!E112/Acciones!E111 -1</f>
        <v>0</v>
      </c>
    </row>
    <row r="112" spans="1:5" x14ac:dyDescent="0.2">
      <c r="A112" s="1">
        <f>Acciones!A113</f>
        <v>45159</v>
      </c>
      <c r="B112" s="4">
        <f>Acciones!B113/Acciones!B112 -1</f>
        <v>-1.7255315972619756E-2</v>
      </c>
      <c r="C112" s="4">
        <f>Acciones!C113/Acciones!C112 -1</f>
        <v>-2.083333333333337E-2</v>
      </c>
      <c r="D112" s="4">
        <f>Acciones!D113/Acciones!D112 -1</f>
        <v>-1.8463188013486675E-2</v>
      </c>
      <c r="E112" s="4">
        <f>Acciones!E113/Acciones!E112 -1</f>
        <v>-9.9999904632599446E-3</v>
      </c>
    </row>
    <row r="113" spans="1:5" x14ac:dyDescent="0.2">
      <c r="A113" s="1">
        <f>Acciones!A114</f>
        <v>45160</v>
      </c>
      <c r="B113" s="4">
        <f>Acciones!B114/Acciones!B113 -1</f>
        <v>-1.6741390677381118E-2</v>
      </c>
      <c r="C113" s="4">
        <f>Acciones!C114/Acciones!C113 -1</f>
        <v>-1.14361377472606E-2</v>
      </c>
      <c r="D113" s="4">
        <f>Acciones!D114/Acciones!D113 -1</f>
        <v>-2.0654322264654579E-2</v>
      </c>
      <c r="E113" s="4">
        <f>Acciones!E114/Acciones!E113 -1</f>
        <v>-1.010100037063244E-2</v>
      </c>
    </row>
    <row r="114" spans="1:5" x14ac:dyDescent="0.2">
      <c r="A114" s="1">
        <f>Acciones!A115</f>
        <v>45161</v>
      </c>
      <c r="B114" s="4">
        <f>Acciones!B115/Acciones!B114 -1</f>
        <v>5.3156162655464412E-2</v>
      </c>
      <c r="C114" s="4">
        <f>Acciones!C115/Acciones!C114 -1</f>
        <v>6.8657487693214891E-2</v>
      </c>
      <c r="D114" s="4">
        <f>Acciones!D115/Acciones!D114 -1</f>
        <v>-2.6074251288813355E-2</v>
      </c>
      <c r="E114" s="4">
        <f>Acciones!E115/Acciones!E114 -1</f>
        <v>0</v>
      </c>
    </row>
    <row r="115" spans="1:5" x14ac:dyDescent="0.2">
      <c r="A115" s="1">
        <f>Acciones!A116</f>
        <v>45162</v>
      </c>
      <c r="B115" s="4">
        <f>Acciones!B116/Acciones!B115 -1</f>
        <v>-4.889585109012351E-2</v>
      </c>
      <c r="C115" s="4">
        <f>Acciones!C116/Acciones!C115 -1</f>
        <v>-0.11132370244400813</v>
      </c>
      <c r="D115" s="4">
        <f>Acciones!D116/Acciones!D115 -1</f>
        <v>-1.7572506060151483E-2</v>
      </c>
      <c r="E115" s="4">
        <f>Acciones!E116/Acciones!E115 -1</f>
        <v>1.3605428936912078E-2</v>
      </c>
    </row>
    <row r="116" spans="1:5" x14ac:dyDescent="0.2">
      <c r="A116" s="1">
        <f>Acciones!A117</f>
        <v>45163</v>
      </c>
      <c r="B116" s="4">
        <f>Acciones!B117/Acciones!B116 -1</f>
        <v>-1.8242176994056614E-2</v>
      </c>
      <c r="C116" s="4">
        <f>Acciones!C117/Acciones!C116 -1</f>
        <v>3.0594520460736074E-3</v>
      </c>
      <c r="D116" s="4">
        <f>Acciones!D117/Acciones!D116 -1</f>
        <v>8.3404661442321171E-3</v>
      </c>
      <c r="E116" s="4">
        <f>Acciones!E117/Acciones!E116 -1</f>
        <v>0</v>
      </c>
    </row>
    <row r="117" spans="1:5" x14ac:dyDescent="0.2">
      <c r="A117" s="1">
        <f>Acciones!A118</f>
        <v>45166</v>
      </c>
      <c r="B117" s="4">
        <f>Acciones!B118/Acciones!B117 -1</f>
        <v>4.5185879754479741E-2</v>
      </c>
      <c r="C117" s="4">
        <f>Acciones!C118/Acciones!C117 -1</f>
        <v>-1.694463422652337E-4</v>
      </c>
      <c r="D117" s="4">
        <f>Acciones!D118/Acciones!D117 -1</f>
        <v>1.745498248473365E-2</v>
      </c>
      <c r="E117" s="4">
        <f>Acciones!E118/Acciones!E117 -1</f>
        <v>0</v>
      </c>
    </row>
    <row r="118" spans="1:5" x14ac:dyDescent="0.2">
      <c r="A118" s="1">
        <f>Acciones!A119</f>
        <v>45167</v>
      </c>
      <c r="B118" s="4">
        <f>Acciones!B119/Acciones!B118 -1</f>
        <v>2.6262546134366183E-2</v>
      </c>
      <c r="C118" s="4">
        <f>Acciones!C119/Acciones!C118 -1</f>
        <v>0.29930519535880373</v>
      </c>
      <c r="D118" s="4">
        <f>Acciones!D119/Acciones!D118 -1</f>
        <v>1.940629700678187E-2</v>
      </c>
      <c r="E118" s="4">
        <f>Acciones!E119/Acciones!E118 -1</f>
        <v>-3.3557014762600756E-3</v>
      </c>
    </row>
    <row r="119" spans="1:5" x14ac:dyDescent="0.2">
      <c r="A119" s="1">
        <f>Acciones!A120</f>
        <v>45168</v>
      </c>
      <c r="B119" s="4">
        <f>Acciones!B120/Acciones!B119 -1</f>
        <v>3.5432291245411918E-3</v>
      </c>
      <c r="C119" s="4">
        <f>Acciones!C120/Acciones!C119 -1</f>
        <v>-1.7348603843059585E-2</v>
      </c>
      <c r="D119" s="4">
        <f>Acciones!D120/Acciones!D119 -1</f>
        <v>-3.3028178249882023E-3</v>
      </c>
      <c r="E119" s="4">
        <f>Acciones!E120/Acciones!E119 -1</f>
        <v>1.010100037063566E-2</v>
      </c>
    </row>
    <row r="120" spans="1:5" x14ac:dyDescent="0.2">
      <c r="A120" s="1">
        <f>Acciones!A121</f>
        <v>45169</v>
      </c>
      <c r="B120" s="4">
        <f>Acciones!B121/Acciones!B120 -1</f>
        <v>-8.6307434432911778E-3</v>
      </c>
      <c r="C120" s="4">
        <f>Acciones!C121/Acciones!C120 -1</f>
        <v>-5.3805325938539816E-2</v>
      </c>
      <c r="D120" s="4">
        <f>Acciones!D121/Acciones!D120 -1</f>
        <v>1.1104499756581898E-2</v>
      </c>
      <c r="E120" s="4">
        <f>Acciones!E121/Acciones!E120 -1</f>
        <v>-3.6666631698610064E-2</v>
      </c>
    </row>
    <row r="121" spans="1:5" x14ac:dyDescent="0.2">
      <c r="A121" s="1">
        <f>Acciones!A122</f>
        <v>45170</v>
      </c>
      <c r="B121" s="4">
        <f>Acciones!B122/Acciones!B121 -1</f>
        <v>3.9572189429399884E-3</v>
      </c>
      <c r="C121" s="4">
        <f>Acciones!C122/Acciones!C121 -1</f>
        <v>-4.1339302699584191E-2</v>
      </c>
      <c r="D121" s="4">
        <f>Acciones!D122/Acciones!D121 -1</f>
        <v>9.1752604458561482E-3</v>
      </c>
      <c r="E121" s="4">
        <f>Acciones!E122/Acciones!E121 -1</f>
        <v>-1.3840899245550875E-2</v>
      </c>
    </row>
    <row r="122" spans="1:5" x14ac:dyDescent="0.2">
      <c r="A122" s="1">
        <f>Acciones!A123</f>
        <v>45173</v>
      </c>
      <c r="B122" s="4">
        <f>Acciones!B123/Acciones!B122 -1</f>
        <v>1.1825262165094941E-3</v>
      </c>
      <c r="C122" s="4">
        <f>Acciones!C123/Acciones!C122 -1</f>
        <v>4.9756082674351054E-2</v>
      </c>
      <c r="D122" s="4">
        <f>Acciones!D123/Acciones!D122 -1</f>
        <v>-8.6678813242657693E-3</v>
      </c>
      <c r="E122" s="4">
        <f>Acciones!E123/Acciones!E122 -1</f>
        <v>0</v>
      </c>
    </row>
    <row r="123" spans="1:5" x14ac:dyDescent="0.2">
      <c r="A123" s="1">
        <f>Acciones!A124</f>
        <v>45174</v>
      </c>
      <c r="B123" s="4">
        <f>Acciones!B124/Acciones!B123 -1</f>
        <v>1.4173314936121617E-2</v>
      </c>
      <c r="C123" s="4">
        <f>Acciones!C124/Acciones!C123 -1</f>
        <v>-2.5139422578203674E-2</v>
      </c>
      <c r="D123" s="4">
        <f>Acciones!D124/Acciones!D123 -1</f>
        <v>6.4322505775218364E-3</v>
      </c>
      <c r="E123" s="4">
        <f>Acciones!E124/Acciones!E123 -1</f>
        <v>0</v>
      </c>
    </row>
    <row r="124" spans="1:5" x14ac:dyDescent="0.2">
      <c r="A124" s="1">
        <f>Acciones!A125</f>
        <v>45175</v>
      </c>
      <c r="B124" s="4">
        <f>Acciones!B125/Acciones!B124 -1</f>
        <v>1.9408548813195647E-3</v>
      </c>
      <c r="C124" s="4">
        <f>Acciones!C125/Acciones!C124 -1</f>
        <v>1.8351714699113453E-2</v>
      </c>
      <c r="D124" s="4">
        <f>Acciones!D125/Acciones!D124 -1</f>
        <v>-2.872478270528056E-4</v>
      </c>
      <c r="E124" s="4">
        <f>Acciones!E125/Acciones!E124 -1</f>
        <v>-1.7543843505049561E-2</v>
      </c>
    </row>
    <row r="125" spans="1:5" x14ac:dyDescent="0.2">
      <c r="A125" s="1">
        <f>Acciones!A126</f>
        <v>45176</v>
      </c>
      <c r="B125" s="4">
        <f>Acciones!B126/Acciones!B125 -1</f>
        <v>-9.2987003087510178E-3</v>
      </c>
      <c r="C125" s="4">
        <f>Acciones!C126/Acciones!C125 -1</f>
        <v>1.9003920474597757E-2</v>
      </c>
      <c r="D125" s="4">
        <f>Acciones!D126/Acciones!D125 -1</f>
        <v>-8.8568336222221156E-3</v>
      </c>
      <c r="E125" s="4">
        <f>Acciones!E126/Acciones!E125 -1</f>
        <v>4.2857187864732138E-2</v>
      </c>
    </row>
    <row r="126" spans="1:5" x14ac:dyDescent="0.2">
      <c r="A126" s="1">
        <f>Acciones!A127</f>
        <v>45177</v>
      </c>
      <c r="B126" s="4">
        <f>Acciones!B127/Acciones!B126 -1</f>
        <v>2.5420418944231304E-2</v>
      </c>
      <c r="C126" s="4">
        <f>Acciones!C127/Acciones!C126 -1</f>
        <v>-0.12168116952556951</v>
      </c>
      <c r="D126" s="4">
        <f>Acciones!D127/Acciones!D126 -1</f>
        <v>-2.6716432361447717E-3</v>
      </c>
      <c r="E126" s="4">
        <f>Acciones!E127/Acciones!E126 -1</f>
        <v>6.8493083575169589E-3</v>
      </c>
    </row>
    <row r="127" spans="1:5" x14ac:dyDescent="0.2">
      <c r="A127" s="1">
        <f>Acciones!A128</f>
        <v>45180</v>
      </c>
      <c r="B127" s="4">
        <f>Acciones!B128/Acciones!B127 -1</f>
        <v>1.4492752504415618E-2</v>
      </c>
      <c r="C127" s="4">
        <f>Acciones!C128/Acciones!C127 -1</f>
        <v>-9.0476452300147003E-2</v>
      </c>
      <c r="D127" s="4">
        <f>Acciones!D128/Acciones!D127 -1</f>
        <v>-2.9250305823448897E-2</v>
      </c>
      <c r="E127" s="4">
        <f>Acciones!E128/Acciones!E127 -1</f>
        <v>0</v>
      </c>
    </row>
    <row r="128" spans="1:5" x14ac:dyDescent="0.2">
      <c r="A128" s="1">
        <f>Acciones!A129</f>
        <v>45181</v>
      </c>
      <c r="B128" s="4">
        <f>Acciones!B129/Acciones!B128 -1</f>
        <v>-1.052635503727184E-2</v>
      </c>
      <c r="C128" s="4">
        <f>Acciones!C129/Acciones!C128 -1</f>
        <v>6.2675884936944648E-3</v>
      </c>
      <c r="D128" s="4">
        <f>Acciones!D129/Acciones!D128 -1</f>
        <v>-7.7454759201133205E-3</v>
      </c>
      <c r="E128" s="4">
        <f>Acciones!E129/Acciones!E128 -1</f>
        <v>-4.7619082373940302E-2</v>
      </c>
    </row>
    <row r="129" spans="1:5" x14ac:dyDescent="0.2">
      <c r="A129" s="1">
        <f>Acciones!A130</f>
        <v>45182</v>
      </c>
      <c r="B129" s="4">
        <f>Acciones!B130/Acciones!B129 -1</f>
        <v>-3.0395042578806097E-2</v>
      </c>
      <c r="C129" s="4">
        <f>Acciones!C130/Acciones!C129 -1</f>
        <v>-1.7142857142857126E-2</v>
      </c>
      <c r="D129" s="4">
        <f>Acciones!D130/Acciones!D129 -1</f>
        <v>1.8911485364471847E-2</v>
      </c>
      <c r="E129" s="4">
        <f>Acciones!E130/Acciones!E129 -1</f>
        <v>0</v>
      </c>
    </row>
    <row r="130" spans="1:5" x14ac:dyDescent="0.2">
      <c r="A130" s="1">
        <f>Acciones!A131</f>
        <v>45183</v>
      </c>
      <c r="B130" s="4">
        <f>Acciones!B131/Acciones!B130 -1</f>
        <v>3.0564250891400802E-2</v>
      </c>
      <c r="C130" s="4">
        <f>Acciones!C131/Acciones!C130 -1</f>
        <v>2.3251910541843834E-4</v>
      </c>
      <c r="D130" s="4">
        <f>Acciones!D131/Acciones!D130 -1</f>
        <v>-1.3036597752273726E-2</v>
      </c>
      <c r="E130" s="4">
        <f>Acciones!E131/Acciones!E130 -1</f>
        <v>0</v>
      </c>
    </row>
    <row r="131" spans="1:5" x14ac:dyDescent="0.2">
      <c r="A131" s="1">
        <f>Acciones!A132</f>
        <v>45184</v>
      </c>
      <c r="B131" s="4">
        <f>Acciones!B132/Acciones!B131 -1</f>
        <v>-2.2433564689845031E-2</v>
      </c>
      <c r="C131" s="4">
        <f>Acciones!C132/Acciones!C131 -1</f>
        <v>-2.9295474789688081E-2</v>
      </c>
      <c r="D131" s="4">
        <f>Acciones!D132/Acciones!D131 -1</f>
        <v>-1.5086819127409945E-2</v>
      </c>
      <c r="E131" s="4">
        <f>Acciones!E132/Acciones!E131 -1</f>
        <v>-3.5714252262699531E-2</v>
      </c>
    </row>
    <row r="132" spans="1:5" x14ac:dyDescent="0.2">
      <c r="A132" s="1">
        <f>Acciones!A133</f>
        <v>45187</v>
      </c>
      <c r="B132" s="4">
        <f>Acciones!B133/Acciones!B132 -1</f>
        <v>-9.3348682952462125E-3</v>
      </c>
      <c r="C132" s="4">
        <f>Acciones!C133/Acciones!C132 -1</f>
        <v>0</v>
      </c>
      <c r="D132" s="4">
        <f>Acciones!D133/Acciones!D132 -1</f>
        <v>-2.5945717063162732E-3</v>
      </c>
      <c r="E132" s="4">
        <f>Acciones!E133/Acciones!E132 -1</f>
        <v>-3.7037001061680508E-3</v>
      </c>
    </row>
    <row r="133" spans="1:5" x14ac:dyDescent="0.2">
      <c r="A133" s="1">
        <f>Acciones!A134</f>
        <v>45188</v>
      </c>
      <c r="B133" s="4">
        <f>Acciones!B134/Acciones!B133 -1</f>
        <v>7.0672212090883146E-3</v>
      </c>
      <c r="C133" s="4">
        <f>Acciones!C134/Acciones!C133 -1</f>
        <v>-1.514969328920357E-2</v>
      </c>
      <c r="D133" s="4">
        <f>Acciones!D134/Acciones!D133 -1</f>
        <v>-1.3763666950790565E-2</v>
      </c>
      <c r="E133" s="4">
        <f>Acciones!E134/Acciones!E133 -1</f>
        <v>-3.3457305083066213E-2</v>
      </c>
    </row>
    <row r="134" spans="1:5" x14ac:dyDescent="0.2">
      <c r="A134" s="1">
        <f>Acciones!A135</f>
        <v>45189</v>
      </c>
      <c r="B134" s="4">
        <f>Acciones!B135/Acciones!B134 -1</f>
        <v>-1.8323586652347679E-2</v>
      </c>
      <c r="C134" s="4">
        <f>Acciones!C135/Acciones!C134 -1</f>
        <v>-3.2832698099386048E-2</v>
      </c>
      <c r="D134" s="4">
        <f>Acciones!D135/Acciones!D134 -1</f>
        <v>-5.5413302724193203E-3</v>
      </c>
      <c r="E134" s="4">
        <f>Acciones!E135/Acciones!E134 -1</f>
        <v>-3.8461503192513513E-2</v>
      </c>
    </row>
    <row r="135" spans="1:5" x14ac:dyDescent="0.2">
      <c r="A135" s="1">
        <f>Acciones!A136</f>
        <v>45190</v>
      </c>
      <c r="B135" s="4">
        <f>Acciones!B136/Acciones!B135 -1</f>
        <v>5.1627318380167431E-3</v>
      </c>
      <c r="C135" s="4">
        <f>Acciones!C136/Acciones!C135 -1</f>
        <v>5.8464363673942366E-3</v>
      </c>
      <c r="D135" s="4">
        <f>Acciones!D136/Acciones!D135 -1</f>
        <v>-1.5664961247025766E-2</v>
      </c>
      <c r="E135" s="4">
        <f>Acciones!E136/Acciones!E135 -1</f>
        <v>-1.1999988555911889E-2</v>
      </c>
    </row>
    <row r="136" spans="1:5" x14ac:dyDescent="0.2">
      <c r="A136" s="1">
        <f>Acciones!A137</f>
        <v>45191</v>
      </c>
      <c r="B136" s="4">
        <f>Acciones!B137/Acciones!B136 -1</f>
        <v>7.5068741038750719E-3</v>
      </c>
      <c r="C136" s="4">
        <f>Acciones!C137/Acciones!C136 -1</f>
        <v>-6.4875030517581367E-2</v>
      </c>
      <c r="D136" s="4">
        <f>Acciones!D137/Acciones!D136 -1</f>
        <v>-1.2953865089623484E-2</v>
      </c>
      <c r="E136" s="4">
        <f>Acciones!E137/Acciones!E136 -1</f>
        <v>-2.8340053616184302E-2</v>
      </c>
    </row>
    <row r="137" spans="1:5" x14ac:dyDescent="0.2">
      <c r="A137" s="1">
        <f>Acciones!A138</f>
        <v>45194</v>
      </c>
      <c r="B137" s="4">
        <f>Acciones!B138/Acciones!B137 -1</f>
        <v>-1.0196049358291992E-2</v>
      </c>
      <c r="C137" s="4">
        <f>Acciones!C138/Acciones!C137 -1</f>
        <v>-8.0199920534018698E-4</v>
      </c>
      <c r="D137" s="4">
        <f>Acciones!D138/Acciones!D137 -1</f>
        <v>3.2604917072516892E-2</v>
      </c>
      <c r="E137" s="4">
        <f>Acciones!E138/Acciones!E137 -1</f>
        <v>0</v>
      </c>
    </row>
    <row r="138" spans="1:5" x14ac:dyDescent="0.2">
      <c r="A138" s="1">
        <f>Acciones!A139</f>
        <v>45195</v>
      </c>
      <c r="B138" s="4">
        <f>Acciones!B139/Acciones!B138 -1</f>
        <v>1.8621238007672902E-2</v>
      </c>
      <c r="C138" s="4">
        <f>Acciones!C139/Acciones!C138 -1</f>
        <v>-3.0769271595424752E-2</v>
      </c>
      <c r="D138" s="4">
        <f>Acciones!D139/Acciones!D138 -1</f>
        <v>-1.699777567605798E-2</v>
      </c>
      <c r="E138" s="4">
        <f>Acciones!E139/Acciones!E138 -1</f>
        <v>-6.2500037252900764E-2</v>
      </c>
    </row>
    <row r="139" spans="1:5" x14ac:dyDescent="0.2">
      <c r="A139" s="1">
        <f>Acciones!A140</f>
        <v>45196</v>
      </c>
      <c r="B139" s="4">
        <f>Acciones!B140/Acciones!B139 -1</f>
        <v>-1.9447635721198564E-2</v>
      </c>
      <c r="C139" s="4">
        <f>Acciones!C140/Acciones!C139 -1</f>
        <v>-1.614904372986159E-2</v>
      </c>
      <c r="D139" s="4">
        <f>Acciones!D140/Acciones!D139 -1</f>
        <v>-2.5253600440440227E-3</v>
      </c>
      <c r="E139" s="4">
        <f>Acciones!E140/Acciones!E139 -1</f>
        <v>-8.8888910081653227E-2</v>
      </c>
    </row>
    <row r="140" spans="1:5" x14ac:dyDescent="0.2">
      <c r="A140" s="1">
        <f>Acciones!A141</f>
        <v>45197</v>
      </c>
      <c r="B140" s="4">
        <f>Acciones!B141/Acciones!B140 -1</f>
        <v>2.7766863046201351E-3</v>
      </c>
      <c r="C140" s="4">
        <f>Acciones!C141/Acciones!C140 -1</f>
        <v>6.6217751143879511E-2</v>
      </c>
      <c r="D140" s="4">
        <f>Acciones!D141/Acciones!D140 -1</f>
        <v>-9.4294866213151529E-4</v>
      </c>
      <c r="E140" s="4">
        <f>Acciones!E141/Acciones!E140 -1</f>
        <v>-4.8780442418830727E-2</v>
      </c>
    </row>
    <row r="141" spans="1:5" x14ac:dyDescent="0.2">
      <c r="A141" s="1">
        <f>Acciones!A142</f>
        <v>45198</v>
      </c>
      <c r="B141" s="4">
        <f>Acciones!B142/Acciones!B141 -1</f>
        <v>-7.1202568384645115E-3</v>
      </c>
      <c r="C141" s="4">
        <f>Acciones!C142/Acciones!C141 -1</f>
        <v>-3.289473684210531E-2</v>
      </c>
      <c r="D141" s="4">
        <f>Acciones!D142/Acciones!D141 -1</f>
        <v>5.7959618097380261E-2</v>
      </c>
      <c r="E141" s="4">
        <f>Acciones!E142/Acciones!E141 -1</f>
        <v>1.0256400224331719E-2</v>
      </c>
    </row>
    <row r="142" spans="1:5" x14ac:dyDescent="0.2">
      <c r="A142" s="1">
        <f>Acciones!A143</f>
        <v>45201</v>
      </c>
      <c r="B142" s="4">
        <f>Acciones!B143/Acciones!B142 -1</f>
        <v>2.0318708778829242E-2</v>
      </c>
      <c r="C142" s="4">
        <f>Acciones!C143/Acciones!C142 -1</f>
        <v>2.7619031010836848E-2</v>
      </c>
      <c r="D142" s="4">
        <f>Acciones!D143/Acciones!D142 -1</f>
        <v>3.7731603552848547E-4</v>
      </c>
      <c r="E142" s="4">
        <f>Acciones!E143/Acciones!E142 -1</f>
        <v>-1.0152274434543695E-2</v>
      </c>
    </row>
    <row r="143" spans="1:5" x14ac:dyDescent="0.2">
      <c r="A143" s="1">
        <f>Acciones!A144</f>
        <v>45202</v>
      </c>
      <c r="B143" s="4">
        <f>Acciones!B144/Acciones!B143 -1</f>
        <v>-2.0304509151998551E-2</v>
      </c>
      <c r="C143" s="4">
        <f>Acciones!C144/Acciones!C143 -1</f>
        <v>-0.13504563899235644</v>
      </c>
      <c r="D143" s="4">
        <f>Acciones!D144/Acciones!D143 -1</f>
        <v>2.0603004656132073E-2</v>
      </c>
      <c r="E143" s="4">
        <f>Acciones!E144/Acciones!E143 -1</f>
        <v>0</v>
      </c>
    </row>
    <row r="144" spans="1:5" x14ac:dyDescent="0.2">
      <c r="A144" s="1">
        <f>Acciones!A145</f>
        <v>45203</v>
      </c>
      <c r="B144" s="4">
        <f>Acciones!B145/Acciones!B144 -1</f>
        <v>-2.6703941513318452E-2</v>
      </c>
      <c r="C144" s="4">
        <f>Acciones!C145/Acciones!C144 -1</f>
        <v>3.4517024188205125E-2</v>
      </c>
      <c r="D144" s="4">
        <f>Acciones!D145/Acciones!D144 -1</f>
        <v>1.3290006504625307E-2</v>
      </c>
      <c r="E144" s="4">
        <f>Acciones!E145/Acciones!E144 -1</f>
        <v>-3.5897461918136364E-2</v>
      </c>
    </row>
    <row r="145" spans="1:5" x14ac:dyDescent="0.2">
      <c r="A145" s="1">
        <f>Acciones!A146</f>
        <v>45204</v>
      </c>
      <c r="B145" s="4">
        <f>Acciones!B146/Acciones!B145 -1</f>
        <v>2.7027152475416871E-2</v>
      </c>
      <c r="C145" s="4">
        <f>Acciones!C146/Acciones!C145 -1</f>
        <v>7.3241511176660445E-3</v>
      </c>
      <c r="D145" s="4">
        <f>Acciones!D146/Acciones!D145 -1</f>
        <v>5.9731260337243519E-3</v>
      </c>
      <c r="E145" s="4">
        <f>Acciones!E146/Acciones!E145 -1</f>
        <v>-5.8510646055378257E-2</v>
      </c>
    </row>
    <row r="146" spans="1:5" x14ac:dyDescent="0.2">
      <c r="A146" s="1">
        <f>Acciones!A147</f>
        <v>45205</v>
      </c>
      <c r="B146" s="4">
        <f>Acciones!B147/Acciones!B146 -1</f>
        <v>2.7511946662826636E-2</v>
      </c>
      <c r="C146" s="4">
        <f>Acciones!C147/Acciones!C146 -1</f>
        <v>5.963568521441398E-2</v>
      </c>
      <c r="D146" s="4">
        <f>Acciones!D147/Acciones!D146 -1</f>
        <v>1.7243734900031171E-2</v>
      </c>
      <c r="E146" s="4">
        <f>Acciones!E147/Acciones!E146 -1</f>
        <v>-4.5197697496122902E-2</v>
      </c>
    </row>
    <row r="147" spans="1:5" x14ac:dyDescent="0.2">
      <c r="A147" s="1">
        <f>Acciones!A148</f>
        <v>45208</v>
      </c>
      <c r="B147" s="4">
        <f>Acciones!B148/Acciones!B147 -1</f>
        <v>-1.3193729153584077E-2</v>
      </c>
      <c r="C147" s="4">
        <f>Acciones!C148/Acciones!C147 -1</f>
        <v>5.3714999068270819E-2</v>
      </c>
      <c r="D147" s="4">
        <f>Acciones!D148/Acciones!D147 -1</f>
        <v>-1.6968529020967571E-3</v>
      </c>
      <c r="E147" s="4">
        <f>Acciones!E148/Acciones!E147 -1</f>
        <v>2.3668615679704796E-2</v>
      </c>
    </row>
    <row r="148" spans="1:5" x14ac:dyDescent="0.2">
      <c r="A148" s="1">
        <f>Acciones!A149</f>
        <v>45209</v>
      </c>
      <c r="B148" s="4">
        <f>Acciones!B149/Acciones!B148 -1</f>
        <v>5.3873398119329341E-2</v>
      </c>
      <c r="C148" s="4">
        <f>Acciones!C149/Acciones!C148 -1</f>
        <v>1.1379305014995511E-2</v>
      </c>
      <c r="D148" s="4">
        <f>Acciones!D149/Acciones!D148 -1</f>
        <v>-8.430723784956129E-3</v>
      </c>
      <c r="E148" s="4">
        <f>Acciones!E149/Acciones!E148 -1</f>
        <v>6.3583822596737116E-2</v>
      </c>
    </row>
    <row r="149" spans="1:5" x14ac:dyDescent="0.2">
      <c r="A149" s="1">
        <f>Acciones!A150</f>
        <v>45210</v>
      </c>
      <c r="B149" s="4">
        <f>Acciones!B150/Acciones!B149 -1</f>
        <v>5.3358278674771942E-2</v>
      </c>
      <c r="C149" s="4">
        <f>Acciones!C150/Acciones!C149 -1</f>
        <v>-8.0189921120905838E-2</v>
      </c>
      <c r="D149" s="4">
        <f>Acciones!D150/Acciones!D149 -1</f>
        <v>1.6457193148826654E-3</v>
      </c>
      <c r="E149" s="4">
        <f>Acciones!E150/Acciones!E149 -1</f>
        <v>2.1739109308368976E-2</v>
      </c>
    </row>
    <row r="150" spans="1:5" x14ac:dyDescent="0.2">
      <c r="A150" s="1">
        <f>Acciones!A151</f>
        <v>45211</v>
      </c>
      <c r="B150" s="4">
        <f>Acciones!B151/Acciones!B150 -1</f>
        <v>-0.10131071638701183</v>
      </c>
      <c r="C150" s="4">
        <f>Acciones!C151/Acciones!C150 -1</f>
        <v>-1.0110957716438218E-2</v>
      </c>
      <c r="D150" s="4">
        <f>Acciones!D151/Acciones!D150 -1</f>
        <v>1.7683973244217777E-2</v>
      </c>
      <c r="E150" s="4">
        <f>Acciones!E151/Acciones!E150 -1</f>
        <v>6.3829789932311032E-2</v>
      </c>
    </row>
    <row r="151" spans="1:5" x14ac:dyDescent="0.2">
      <c r="A151" s="1">
        <f>Acciones!A152</f>
        <v>45212</v>
      </c>
      <c r="B151" s="4">
        <f>Acciones!B152/Acciones!B151 -1</f>
        <v>-7.4891199530113806E-3</v>
      </c>
      <c r="C151" s="4">
        <f>Acciones!C152/Acciones!C151 -1</f>
        <v>-6.9999694824285363E-3</v>
      </c>
      <c r="D151" s="4">
        <f>Acciones!D152/Acciones!D151 -1</f>
        <v>1.2965258226267373E-2</v>
      </c>
      <c r="E151" s="4">
        <f>Acciones!E152/Acciones!E151 -1</f>
        <v>2.4999976158140091E-2</v>
      </c>
    </row>
    <row r="152" spans="1:5" x14ac:dyDescent="0.2">
      <c r="A152" s="1">
        <f>Acciones!A153</f>
        <v>45215</v>
      </c>
      <c r="B152" s="4">
        <f>Acciones!B153/Acciones!B152 -1</f>
        <v>1.3502795307481108E-2</v>
      </c>
      <c r="C152" s="4">
        <f>Acciones!C153/Acciones!C152 -1</f>
        <v>4.5173346182532548E-2</v>
      </c>
      <c r="D152" s="4">
        <f>Acciones!D153/Acciones!D152 -1</f>
        <v>1.2666421702680397E-2</v>
      </c>
      <c r="E152" s="4">
        <f>Acciones!E153/Acciones!E152 -1</f>
        <v>2.4390221209412699E-2</v>
      </c>
    </row>
    <row r="153" spans="1:5" x14ac:dyDescent="0.2">
      <c r="A153" s="1">
        <f>Acciones!A154</f>
        <v>45216</v>
      </c>
      <c r="B153" s="4">
        <f>Acciones!B154/Acciones!B153 -1</f>
        <v>-1.2539129011286398E-2</v>
      </c>
      <c r="C153" s="4">
        <f>Acciones!C154/Acciones!C153 -1</f>
        <v>4.3977971475835709E-2</v>
      </c>
      <c r="D153" s="4">
        <f>Acciones!D154/Acciones!D153 -1</f>
        <v>5.4590025351368698E-3</v>
      </c>
      <c r="E153" s="4">
        <f>Acciones!E154/Acciones!E153 -1</f>
        <v>0</v>
      </c>
    </row>
    <row r="154" spans="1:5" x14ac:dyDescent="0.2">
      <c r="A154" s="1">
        <f>Acciones!A155</f>
        <v>45217</v>
      </c>
      <c r="B154" s="4">
        <f>Acciones!B155/Acciones!B154 -1</f>
        <v>-2.301586441015635E-2</v>
      </c>
      <c r="C154" s="4">
        <f>Acciones!C155/Acciones!C154 -1</f>
        <v>-7.3966649351442815E-2</v>
      </c>
      <c r="D154" s="4">
        <f>Acciones!D155/Acciones!D154 -1</f>
        <v>3.2570527412207673E-2</v>
      </c>
      <c r="E154" s="4">
        <f>Acciones!E155/Acciones!E154 -1</f>
        <v>-2.3809502184252818E-2</v>
      </c>
    </row>
    <row r="155" spans="1:5" x14ac:dyDescent="0.2">
      <c r="A155" s="1">
        <f>Acciones!A156</f>
        <v>45218</v>
      </c>
      <c r="B155" s="4">
        <f>Acciones!B156/Acciones!B155 -1</f>
        <v>2.8431449360992733E-3</v>
      </c>
      <c r="C155" s="4">
        <f>Acciones!C156/Acciones!C155 -1</f>
        <v>-1.9221490006026132E-3</v>
      </c>
      <c r="D155" s="4">
        <f>Acciones!D156/Acciones!D155 -1</f>
        <v>-7.7581810558818853E-3</v>
      </c>
      <c r="E155" s="4">
        <f>Acciones!E156/Acciones!E155 -1</f>
        <v>2.4390221209412699E-2</v>
      </c>
    </row>
    <row r="156" spans="1:5" x14ac:dyDescent="0.2">
      <c r="A156" s="1">
        <f>Acciones!A157</f>
        <v>45219</v>
      </c>
      <c r="B156" s="4">
        <f>Acciones!B157/Acciones!B156 -1</f>
        <v>-1.6605939257069102E-2</v>
      </c>
      <c r="C156" s="4">
        <f>Acciones!C157/Acciones!C156 -1</f>
        <v>5.7061559855335897E-3</v>
      </c>
      <c r="D156" s="4">
        <f>Acciones!D157/Acciones!D156 -1</f>
        <v>-1.0704459235837072E-2</v>
      </c>
      <c r="E156" s="4">
        <f>Acciones!E157/Acciones!E156 -1</f>
        <v>-9.5238008737003055E-3</v>
      </c>
    </row>
    <row r="157" spans="1:5" x14ac:dyDescent="0.2">
      <c r="A157" s="1">
        <f>Acciones!A158</f>
        <v>45222</v>
      </c>
      <c r="B157" s="4">
        <f>Acciones!B158/Acciones!B157 -1</f>
        <v>7.0016971967319375E-3</v>
      </c>
      <c r="C157" s="4">
        <f>Acciones!C158/Acciones!C157 -1</f>
        <v>0.13085104218611332</v>
      </c>
      <c r="D157" s="4">
        <f>Acciones!D158/Acciones!D157 -1</f>
        <v>-2.6648237878379444E-3</v>
      </c>
      <c r="E157" s="4">
        <f>Acciones!E158/Acciones!E157 -1</f>
        <v>0</v>
      </c>
    </row>
    <row r="158" spans="1:5" x14ac:dyDescent="0.2">
      <c r="A158" s="1">
        <f>Acciones!A159</f>
        <v>45223</v>
      </c>
      <c r="B158" s="4">
        <f>Acciones!B159/Acciones!B158 -1</f>
        <v>-1.3906028592048925E-2</v>
      </c>
      <c r="C158" s="4">
        <f>Acciones!C159/Acciones!C158 -1</f>
        <v>0.11984948871811008</v>
      </c>
      <c r="D158" s="4">
        <f>Acciones!D159/Acciones!D158 -1</f>
        <v>3.2068987800160542E-2</v>
      </c>
      <c r="E158" s="4">
        <f>Acciones!E159/Acciones!E158 -1</f>
        <v>9.6153757981274346E-3</v>
      </c>
    </row>
    <row r="159" spans="1:5" x14ac:dyDescent="0.2">
      <c r="A159" s="1">
        <f>Acciones!A160</f>
        <v>45224</v>
      </c>
      <c r="B159" s="4">
        <f>Acciones!B160/Acciones!B159 -1</f>
        <v>4.1488714473802979E-4</v>
      </c>
      <c r="C159" s="4">
        <f>Acciones!C160/Acciones!C159 -1</f>
        <v>-2.6657675693986693E-2</v>
      </c>
      <c r="D159" s="4">
        <f>Acciones!D160/Acciones!D159 -1</f>
        <v>-1.0168161206242643E-2</v>
      </c>
      <c r="E159" s="4">
        <f>Acciones!E160/Acciones!E159 -1</f>
        <v>0</v>
      </c>
    </row>
    <row r="160" spans="1:5" x14ac:dyDescent="0.2">
      <c r="A160" s="1">
        <f>Acciones!A161</f>
        <v>45225</v>
      </c>
      <c r="B160" s="4">
        <f>Acciones!B161/Acciones!B160 -1</f>
        <v>2.2802532430559852E-2</v>
      </c>
      <c r="C160" s="4">
        <f>Acciones!C161/Acciones!C160 -1</f>
        <v>-6.6570811973878263E-2</v>
      </c>
      <c r="D160" s="4">
        <f>Acciones!D161/Acciones!D160 -1</f>
        <v>-3.9038384054403852E-2</v>
      </c>
      <c r="E160" s="4">
        <f>Acciones!E161/Acciones!E160 -1</f>
        <v>-1.9047601747400389E-2</v>
      </c>
    </row>
    <row r="161" spans="1:5" x14ac:dyDescent="0.2">
      <c r="A161" s="1">
        <f>Acciones!A162</f>
        <v>45226</v>
      </c>
      <c r="B161" s="4">
        <f>Acciones!B162/Acciones!B161 -1</f>
        <v>-1.2971245314376101E-2</v>
      </c>
      <c r="C161" s="4">
        <f>Acciones!C162/Acciones!C161 -1</f>
        <v>1.2821314712646137E-2</v>
      </c>
      <c r="D161" s="4">
        <f>Acciones!D162/Acciones!D161 -1</f>
        <v>-7.6781164965684656E-3</v>
      </c>
      <c r="E161" s="4">
        <f>Acciones!E162/Acciones!E161 -1</f>
        <v>-2.9126186624346517E-2</v>
      </c>
    </row>
    <row r="162" spans="1:5" x14ac:dyDescent="0.2">
      <c r="A162" s="1">
        <f>Acciones!A163</f>
        <v>45229</v>
      </c>
      <c r="B162" s="4">
        <f>Acciones!B163/Acciones!B162 -1</f>
        <v>2.0534908429969967E-3</v>
      </c>
      <c r="C162" s="4">
        <f>Acciones!C163/Acciones!C162 -1</f>
        <v>-2.5378846271712607E-2</v>
      </c>
      <c r="D162" s="4">
        <f>Acciones!D163/Acciones!D162 -1</f>
        <v>1.3808171444729567E-2</v>
      </c>
      <c r="E162" s="4">
        <f>Acciones!E163/Acciones!E162 -1</f>
        <v>0</v>
      </c>
    </row>
    <row r="163" spans="1:5" x14ac:dyDescent="0.2">
      <c r="A163" s="1">
        <f>Acciones!A164</f>
        <v>45230</v>
      </c>
      <c r="B163" s="4">
        <f>Acciones!B164/Acciones!B163 -1</f>
        <v>-5.327935827192154E-3</v>
      </c>
      <c r="C163" s="4">
        <f>Acciones!C164/Acciones!C163 -1</f>
        <v>-1.7547131068464616E-2</v>
      </c>
      <c r="D163" s="4">
        <f>Acciones!D164/Acciones!D163 -1</f>
        <v>3.8050760555472518E-3</v>
      </c>
      <c r="E163" s="4">
        <f>Acciones!E164/Acciones!E163 -1</f>
        <v>0</v>
      </c>
    </row>
    <row r="164" spans="1:5" x14ac:dyDescent="0.2">
      <c r="A164" s="1">
        <f>Acciones!A165</f>
        <v>45231</v>
      </c>
      <c r="B164" s="4">
        <f>Acciones!B165/Acciones!B164 -1</f>
        <v>2.5957986516577103E-2</v>
      </c>
      <c r="C164" s="4">
        <f>Acciones!C165/Acciones!C164 -1</f>
        <v>1.1440454693076862E-3</v>
      </c>
      <c r="D164" s="4">
        <f>Acciones!D165/Acciones!D164 -1</f>
        <v>-2.8628130613716385E-2</v>
      </c>
      <c r="E164" s="4">
        <f>Acciones!E165/Acciones!E164 -1</f>
        <v>-4.9999952316299723E-3</v>
      </c>
    </row>
    <row r="165" spans="1:5" x14ac:dyDescent="0.2">
      <c r="A165" s="1">
        <f>Acciones!A166</f>
        <v>45233</v>
      </c>
      <c r="B165" s="4">
        <f>Acciones!B166/Acciones!B165 -1</f>
        <v>5.4618456854536035E-2</v>
      </c>
      <c r="C165" s="4">
        <f>Acciones!C166/Acciones!C165 -1</f>
        <v>4.8504854651096219E-2</v>
      </c>
      <c r="D165" s="4">
        <f>Acciones!D166/Acciones!D165 -1</f>
        <v>4.5611950530299206E-2</v>
      </c>
      <c r="E165" s="4">
        <f>Acciones!E166/Acciones!E165 -1</f>
        <v>5.0251208117269019E-3</v>
      </c>
    </row>
    <row r="166" spans="1:5" x14ac:dyDescent="0.2">
      <c r="A166" s="1">
        <f>Acciones!A167</f>
        <v>45236</v>
      </c>
      <c r="B166" s="4">
        <f>Acciones!B167/Acciones!B166 -1</f>
        <v>3.1987933921445721E-2</v>
      </c>
      <c r="C166" s="4">
        <f>Acciones!C167/Acciones!C166 -1</f>
        <v>-1.6045982406423964E-2</v>
      </c>
      <c r="D166" s="4">
        <f>Acciones!D167/Acciones!D166 -1</f>
        <v>-1.5484193940283886E-3</v>
      </c>
      <c r="E166" s="4">
        <f>Acciones!E167/Acciones!E166 -1</f>
        <v>0</v>
      </c>
    </row>
    <row r="167" spans="1:5" x14ac:dyDescent="0.2">
      <c r="A167" s="1">
        <f>Acciones!A168</f>
        <v>45237</v>
      </c>
      <c r="B167" s="4">
        <f>Acciones!B168/Acciones!B167 -1</f>
        <v>-4.0221526787112771E-2</v>
      </c>
      <c r="C167" s="4">
        <f>Acciones!C168/Acciones!C167 -1</f>
        <v>-9.2307692307692646E-3</v>
      </c>
      <c r="D167" s="4">
        <f>Acciones!D168/Acciones!D167 -1</f>
        <v>2.290361838748689E-2</v>
      </c>
      <c r="E167" s="4">
        <f>Acciones!E168/Acciones!E167 -1</f>
        <v>1.9999980926509897E-2</v>
      </c>
    </row>
    <row r="168" spans="1:5" x14ac:dyDescent="0.2">
      <c r="A168" s="1">
        <f>Acciones!A169</f>
        <v>45238</v>
      </c>
      <c r="B168" s="4">
        <f>Acciones!B169/Acciones!B168 -1</f>
        <v>1.4609686967962388E-2</v>
      </c>
      <c r="C168" s="4">
        <f>Acciones!C169/Acciones!C168 -1</f>
        <v>-7.1304321289068273E-2</v>
      </c>
      <c r="D168" s="4">
        <f>Acciones!D169/Acciones!D168 -1</f>
        <v>2.6035294406687726E-3</v>
      </c>
      <c r="E168" s="4">
        <f>Acciones!E169/Acciones!E168 -1</f>
        <v>4.9019562011054507E-3</v>
      </c>
    </row>
    <row r="169" spans="1:5" x14ac:dyDescent="0.2">
      <c r="A169" s="1">
        <f>Acciones!A170</f>
        <v>45239</v>
      </c>
      <c r="B169" s="4">
        <f>Acciones!B170/Acciones!B169 -1</f>
        <v>0</v>
      </c>
      <c r="C169" s="4">
        <f>Acciones!C170/Acciones!C169 -1</f>
        <v>0.11035312686276533</v>
      </c>
      <c r="D169" s="4">
        <f>Acciones!D170/Acciones!D169 -1</f>
        <v>-6.1580313752840343E-3</v>
      </c>
      <c r="E169" s="4">
        <f>Acciones!E170/Acciones!E169 -1</f>
        <v>2.4390221209412699E-2</v>
      </c>
    </row>
    <row r="170" spans="1:5" x14ac:dyDescent="0.2">
      <c r="A170" s="1">
        <f>Acciones!A171</f>
        <v>45240</v>
      </c>
      <c r="B170" s="4">
        <f>Acciones!B171/Acciones!B170 -1</f>
        <v>1.2125906515034313E-2</v>
      </c>
      <c r="C170" s="4">
        <f>Acciones!C171/Acciones!C170 -1</f>
        <v>2.0298729252273828E-2</v>
      </c>
      <c r="D170" s="4">
        <f>Acciones!D171/Acciones!D170 -1</f>
        <v>-1.8625424508469934E-2</v>
      </c>
      <c r="E170" s="4">
        <f>Acciones!E171/Acciones!E170 -1</f>
        <v>0</v>
      </c>
    </row>
    <row r="171" spans="1:5" x14ac:dyDescent="0.2">
      <c r="A171" s="1">
        <f>Acciones!A172</f>
        <v>45243</v>
      </c>
      <c r="B171" s="4">
        <f>Acciones!B172/Acciones!B171 -1</f>
        <v>2.396110946038621E-2</v>
      </c>
      <c r="C171" s="4">
        <f>Acciones!C172/Acciones!C171 -1</f>
        <v>-5.5434201685355622E-2</v>
      </c>
      <c r="D171" s="4">
        <f>Acciones!D172/Acciones!D171 -1</f>
        <v>-1.7642292292645467E-2</v>
      </c>
      <c r="E171" s="4">
        <f>Acciones!E172/Acciones!E171 -1</f>
        <v>-2.3809502184252818E-2</v>
      </c>
    </row>
    <row r="172" spans="1:5" x14ac:dyDescent="0.2">
      <c r="A172" s="1">
        <f>Acciones!A173</f>
        <v>45244</v>
      </c>
      <c r="B172" s="4">
        <f>Acciones!B173/Acciones!B172 -1</f>
        <v>2.6325349883842719E-2</v>
      </c>
      <c r="C172" s="4">
        <f>Acciones!C173/Acciones!C172 -1</f>
        <v>-1.0437488555912422E-2</v>
      </c>
      <c r="D172" s="4">
        <f>Acciones!D173/Acciones!D172 -1</f>
        <v>1.3604939184443943E-3</v>
      </c>
      <c r="E172" s="4">
        <f>Acciones!E173/Acciones!E172 -1</f>
        <v>4.8780442418845382E-3</v>
      </c>
    </row>
    <row r="173" spans="1:5" x14ac:dyDescent="0.2">
      <c r="A173" s="1">
        <f>Acciones!A174</f>
        <v>45245</v>
      </c>
      <c r="B173" s="4">
        <f>Acciones!B174/Acciones!B173 -1</f>
        <v>-3.9188406917362029E-3</v>
      </c>
      <c r="C173" s="4">
        <f>Acciones!C174/Acciones!C173 -1</f>
        <v>0.12031834037420963</v>
      </c>
      <c r="D173" s="4">
        <f>Acciones!D174/Acciones!D173 -1</f>
        <v>1.9021835117353891E-2</v>
      </c>
      <c r="E173" s="4">
        <f>Acciones!E174/Acciones!E173 -1</f>
        <v>-9.7087288747855771E-3</v>
      </c>
    </row>
    <row r="174" spans="1:5" x14ac:dyDescent="0.2">
      <c r="A174" s="1">
        <f>Acciones!A175</f>
        <v>45246</v>
      </c>
      <c r="B174" s="4">
        <f>Acciones!B175/Acciones!B174 -1</f>
        <v>-3.6122974260857088E-2</v>
      </c>
      <c r="C174" s="4">
        <f>Acciones!C175/Acciones!C174 -1</f>
        <v>-5.4290250409983698E-2</v>
      </c>
      <c r="D174" s="4">
        <f>Acciones!D175/Acciones!D174 -1</f>
        <v>-1.1200133798413336E-2</v>
      </c>
      <c r="E174" s="4">
        <f>Acciones!E175/Acciones!E174 -1</f>
        <v>3.4313693407727275E-2</v>
      </c>
    </row>
    <row r="175" spans="1:5" x14ac:dyDescent="0.2">
      <c r="A175" s="1">
        <f>Acciones!A176</f>
        <v>45247</v>
      </c>
      <c r="B175" s="4">
        <f>Acciones!B176/Acciones!B175 -1</f>
        <v>5.93700689233434E-3</v>
      </c>
      <c r="C175" s="4">
        <f>Acciones!C176/Acciones!C175 -1</f>
        <v>2.2950856056721314E-2</v>
      </c>
      <c r="D175" s="4">
        <f>Acciones!D176/Acciones!D175 -1</f>
        <v>-1.1898662157256656E-2</v>
      </c>
      <c r="E175" s="4">
        <f>Acciones!E176/Acciones!E175 -1</f>
        <v>-2.8435993252414304E-2</v>
      </c>
    </row>
    <row r="176" spans="1:5" x14ac:dyDescent="0.2">
      <c r="A176" s="1">
        <f>Acciones!A177</f>
        <v>45251</v>
      </c>
      <c r="B176" s="4">
        <f>Acciones!B177/Acciones!B176 -1</f>
        <v>1.9180981705024136E-2</v>
      </c>
      <c r="C176" s="4">
        <f>Acciones!C177/Acciones!C176 -1</f>
        <v>2.8962710046204432E-2</v>
      </c>
      <c r="D176" s="4">
        <f>Acciones!D177/Acciones!D176 -1</f>
        <v>3.8429806622231055E-3</v>
      </c>
      <c r="E176" s="4">
        <f>Acciones!E177/Acciones!E176 -1</f>
        <v>-1.9512176967533268E-2</v>
      </c>
    </row>
    <row r="177" spans="1:5" x14ac:dyDescent="0.2">
      <c r="A177" s="1">
        <f>Acciones!A178</f>
        <v>45252</v>
      </c>
      <c r="B177" s="4">
        <f>Acciones!B178/Acciones!B177 -1</f>
        <v>-1.5677383809104439E-2</v>
      </c>
      <c r="C177" s="4">
        <f>Acciones!C178/Acciones!C177 -1</f>
        <v>6.6715740446601224E-2</v>
      </c>
      <c r="D177" s="4">
        <f>Acciones!D178/Acciones!D177 -1</f>
        <v>2.2844215215563235E-2</v>
      </c>
      <c r="E177" s="4">
        <f>Acciones!E178/Acciones!E177 -1</f>
        <v>2.4875598285334588E-2</v>
      </c>
    </row>
    <row r="178" spans="1:5" x14ac:dyDescent="0.2">
      <c r="A178" s="1">
        <f>Acciones!A179</f>
        <v>45253</v>
      </c>
      <c r="B178" s="4">
        <f>Acciones!B179/Acciones!B178 -1</f>
        <v>2.3890692525915691E-2</v>
      </c>
      <c r="C178" s="4">
        <f>Acciones!C179/Acciones!C178 -1</f>
        <v>-1.2211324540621238E-2</v>
      </c>
      <c r="D178" s="4">
        <f>Acciones!D179/Acciones!D178 -1</f>
        <v>-1.38172089506019E-2</v>
      </c>
      <c r="E178" s="4">
        <f>Acciones!E179/Acciones!E178 -1</f>
        <v>0</v>
      </c>
    </row>
    <row r="179" spans="1:5" x14ac:dyDescent="0.2">
      <c r="A179" s="1">
        <f>Acciones!A180</f>
        <v>45254</v>
      </c>
      <c r="B179" s="4">
        <f>Acciones!B180/Acciones!B179 -1</f>
        <v>-2.7036975226766735E-2</v>
      </c>
      <c r="C179" s="4">
        <f>Acciones!C180/Acciones!C179 -1</f>
        <v>4.5955403985559196E-2</v>
      </c>
      <c r="D179" s="4">
        <f>Acciones!D180/Acciones!D179 -1</f>
        <v>-1.0776258684579321E-2</v>
      </c>
      <c r="E179" s="4">
        <f>Acciones!E180/Acciones!E179 -1</f>
        <v>2.9126186624346406E-2</v>
      </c>
    </row>
    <row r="180" spans="1:5" x14ac:dyDescent="0.2">
      <c r="A180" s="1">
        <f>Acciones!A181</f>
        <v>45257</v>
      </c>
      <c r="B180" s="4">
        <f>Acciones!B181/Acciones!B180 -1</f>
        <v>3.0453203189306777E-3</v>
      </c>
      <c r="C180" s="4">
        <f>Acciones!C181/Acciones!C180 -1</f>
        <v>-3.4943880433810914E-3</v>
      </c>
      <c r="D180" s="4">
        <f>Acciones!D181/Acciones!D180 -1</f>
        <v>2.5602108772293741E-2</v>
      </c>
      <c r="E180" s="4">
        <f>Acciones!E181/Acciones!E180 -1</f>
        <v>0</v>
      </c>
    </row>
    <row r="181" spans="1:5" x14ac:dyDescent="0.2">
      <c r="A181" s="1">
        <f>Acciones!A182</f>
        <v>45258</v>
      </c>
      <c r="B181" s="4">
        <f>Acciones!B182/Acciones!B181 -1</f>
        <v>3.5673651931977135E-2</v>
      </c>
      <c r="C181" s="4">
        <f>Acciones!C182/Acciones!C181 -1</f>
        <v>9.3543727108765129E-2</v>
      </c>
      <c r="D181" s="4">
        <f>Acciones!D182/Acciones!D181 -1</f>
        <v>-5.8395488874192214E-3</v>
      </c>
      <c r="E181" s="4">
        <f>Acciones!E182/Acciones!E181 -1</f>
        <v>3.7735927567530414E-2</v>
      </c>
    </row>
    <row r="182" spans="1:5" x14ac:dyDescent="0.2">
      <c r="A182" s="1">
        <f>Acciones!A183</f>
        <v>45259</v>
      </c>
      <c r="B182" s="4">
        <f>Acciones!B183/Acciones!B182 -1</f>
        <v>-3.1513451994107267E-2</v>
      </c>
      <c r="C182" s="4">
        <f>Acciones!C183/Acciones!C182 -1</f>
        <v>9.1483658575020055E-3</v>
      </c>
      <c r="D182" s="4">
        <f>Acciones!D183/Acciones!D182 -1</f>
        <v>2.0309845284087302E-2</v>
      </c>
      <c r="E182" s="4">
        <f>Acciones!E183/Acciones!E182 -1</f>
        <v>9.0909002241010839E-3</v>
      </c>
    </row>
    <row r="183" spans="1:5" x14ac:dyDescent="0.2">
      <c r="A183" s="1">
        <f>Acciones!A184</f>
        <v>45260</v>
      </c>
      <c r="B183" s="4">
        <f>Acciones!B184/Acciones!B183 -1</f>
        <v>2.6484871404559573E-3</v>
      </c>
      <c r="C183" s="4">
        <f>Acciones!C184/Acciones!C183 -1</f>
        <v>-2.8457926812574752E-2</v>
      </c>
      <c r="D183" s="4">
        <f>Acciones!D184/Acciones!D183 -1</f>
        <v>5.2396905145890571E-4</v>
      </c>
      <c r="E183" s="4">
        <f>Acciones!E184/Acciones!E183 -1</f>
        <v>9.0090003012479603E-3</v>
      </c>
    </row>
    <row r="184" spans="1:5" x14ac:dyDescent="0.2">
      <c r="A184" s="1">
        <f>Acciones!A185</f>
        <v>45261</v>
      </c>
      <c r="B184" s="4">
        <f>Acciones!B185/Acciones!B184 -1</f>
        <v>7.547964045553357E-4</v>
      </c>
      <c r="C184" s="4">
        <f>Acciones!C185/Acciones!C184 -1</f>
        <v>0.12736277841913624</v>
      </c>
      <c r="D184" s="4">
        <f>Acciones!D185/Acciones!D184 -1</f>
        <v>2.0616535741937003E-2</v>
      </c>
      <c r="E184" s="4">
        <f>Acciones!E185/Acciones!E184 -1</f>
        <v>0.11607142381978441</v>
      </c>
    </row>
    <row r="185" spans="1:5" x14ac:dyDescent="0.2">
      <c r="A185" s="1">
        <f>Acciones!A186</f>
        <v>45264</v>
      </c>
      <c r="B185" s="4">
        <f>Acciones!B186/Acciones!B185 -1</f>
        <v>-4.9021062487849543E-3</v>
      </c>
      <c r="C185" s="4">
        <f>Acciones!C186/Acciones!C185 -1</f>
        <v>0.11369942926178456</v>
      </c>
      <c r="D185" s="4">
        <f>Acciones!D186/Acciones!D185 -1</f>
        <v>3.1867691927477626E-2</v>
      </c>
      <c r="E185" s="4">
        <f>Acciones!E186/Acciones!E185 -1</f>
        <v>-1.1999988555911889E-2</v>
      </c>
    </row>
    <row r="186" spans="1:5" x14ac:dyDescent="0.2">
      <c r="A186" s="1">
        <f>Acciones!A187</f>
        <v>45265</v>
      </c>
      <c r="B186" s="4">
        <f>Acciones!B187/Acciones!B186 -1</f>
        <v>-4.1680895443192423E-3</v>
      </c>
      <c r="C186" s="4">
        <f>Acciones!C187/Acciones!C186 -1</f>
        <v>2.0265008635385717E-2</v>
      </c>
      <c r="D186" s="4">
        <f>Acciones!D187/Acciones!D186 -1</f>
        <v>-9.249863512675871E-4</v>
      </c>
      <c r="E186" s="4">
        <f>Acciones!E187/Acciones!E186 -1</f>
        <v>3.2388632704216214E-2</v>
      </c>
    </row>
    <row r="187" spans="1:5" x14ac:dyDescent="0.2">
      <c r="A187" s="1">
        <f>Acciones!A188</f>
        <v>45266</v>
      </c>
      <c r="B187" s="4">
        <f>Acciones!B188/Acciones!B187 -1</f>
        <v>-6.4688803125689809E-3</v>
      </c>
      <c r="C187" s="4">
        <f>Acciones!C188/Acciones!C187 -1</f>
        <v>1.6220506672262491E-2</v>
      </c>
      <c r="D187" s="4">
        <f>Acciones!D188/Acciones!D187 -1</f>
        <v>5.499631362199775E-3</v>
      </c>
      <c r="E187" s="4">
        <f>Acciones!E188/Acciones!E187 -1</f>
        <v>7.8431299217645023E-3</v>
      </c>
    </row>
    <row r="188" spans="1:5" x14ac:dyDescent="0.2">
      <c r="A188" s="1">
        <f>Acciones!A189</f>
        <v>45267</v>
      </c>
      <c r="B188" s="4">
        <f>Acciones!B189/Acciones!B188 -1</f>
        <v>-1.6851750297049328E-2</v>
      </c>
      <c r="C188" s="4">
        <f>Acciones!C189/Acciones!C188 -1</f>
        <v>-4.4337029983895215E-3</v>
      </c>
      <c r="D188" s="4">
        <f>Acciones!D189/Acciones!D188 -1</f>
        <v>-5.098234880183905E-3</v>
      </c>
      <c r="E188" s="4">
        <f>Acciones!E189/Acciones!E188 -1</f>
        <v>-2.7237328817540041E-2</v>
      </c>
    </row>
    <row r="189" spans="1:5" x14ac:dyDescent="0.2">
      <c r="A189" s="1">
        <f>Acciones!A190</f>
        <v>45268</v>
      </c>
      <c r="B189" s="4">
        <f>Acciones!B190/Acciones!B189 -1</f>
        <v>-2.3373753139903641E-3</v>
      </c>
      <c r="C189" s="4">
        <f>Acciones!C190/Acciones!C189 -1</f>
        <v>7.4967455091196511E-2</v>
      </c>
      <c r="D189" s="4">
        <f>Acciones!D190/Acciones!D189 -1</f>
        <v>9.9496580908309262E-4</v>
      </c>
      <c r="E189" s="4">
        <f>Acciones!E190/Acciones!E189 -1</f>
        <v>0</v>
      </c>
    </row>
    <row r="190" spans="1:5" x14ac:dyDescent="0.2">
      <c r="A190" s="1">
        <f>Acciones!A191</f>
        <v>45271</v>
      </c>
      <c r="B190" s="4">
        <f>Acciones!B191/Acciones!B190 -1</f>
        <v>5.4665767218511352E-3</v>
      </c>
      <c r="C190" s="4">
        <f>Acciones!C191/Acciones!C190 -1</f>
        <v>-0.11790089630966338</v>
      </c>
      <c r="D190" s="4">
        <f>Acciones!D191/Acciones!D190 -1</f>
        <v>2.8812007911672488E-2</v>
      </c>
      <c r="E190" s="4">
        <f>Acciones!E191/Acciones!E190 -1</f>
        <v>-4.399995803833201E-2</v>
      </c>
    </row>
    <row r="191" spans="1:5" x14ac:dyDescent="0.2">
      <c r="A191" s="1">
        <f>Acciones!A192</f>
        <v>45273</v>
      </c>
      <c r="B191" s="4">
        <f>Acciones!B192/Acciones!B191 -1</f>
        <v>4.9708863448234553E-2</v>
      </c>
      <c r="C191" s="4">
        <f>Acciones!C192/Acciones!C191 -1</f>
        <v>0.12332684839774943</v>
      </c>
      <c r="D191" s="4">
        <f>Acciones!D192/Acciones!D191 -1</f>
        <v>1.1029324388703854E-2</v>
      </c>
      <c r="E191" s="4">
        <f>Acciones!E192/Acciones!E191 -1</f>
        <v>-2.5104677223654726E-2</v>
      </c>
    </row>
    <row r="192" spans="1:5" x14ac:dyDescent="0.2">
      <c r="A192" s="1">
        <f>Acciones!A193</f>
        <v>45274</v>
      </c>
      <c r="B192" s="4">
        <f>Acciones!B193/Acciones!B192 -1</f>
        <v>1.2208633678548075E-2</v>
      </c>
      <c r="C192" s="4">
        <f>Acciones!C193/Acciones!C192 -1</f>
        <v>6.2785228391115444E-2</v>
      </c>
      <c r="D192" s="4">
        <f>Acciones!D193/Acciones!D192 -1</f>
        <v>-4.682806273496265E-3</v>
      </c>
      <c r="E192" s="4">
        <f>Acciones!E193/Acciones!E192 -1</f>
        <v>4.2918415410737598E-3</v>
      </c>
    </row>
    <row r="193" spans="1:5" x14ac:dyDescent="0.2">
      <c r="A193" s="1">
        <f>Acciones!A194</f>
        <v>45275</v>
      </c>
      <c r="B193" s="4">
        <f>Acciones!B194/Acciones!B193 -1</f>
        <v>-6.2135298349691448E-3</v>
      </c>
      <c r="C193" s="4">
        <f>Acciones!C194/Acciones!C193 -1</f>
        <v>2.1801114392347332E-2</v>
      </c>
      <c r="D193" s="4">
        <f>Acciones!D194/Acciones!D193 -1</f>
        <v>1.0226069815775229E-3</v>
      </c>
      <c r="E193" s="4">
        <f>Acciones!E194/Acciones!E193 -1</f>
        <v>-2.5641002128344081E-2</v>
      </c>
    </row>
    <row r="194" spans="1:5" x14ac:dyDescent="0.2">
      <c r="A194" s="1">
        <f>Acciones!A195</f>
        <v>45278</v>
      </c>
      <c r="B194" s="4">
        <f>Acciones!B195/Acciones!B194 -1</f>
        <v>-7.3549759696711625E-4</v>
      </c>
      <c r="C194" s="4">
        <f>Acciones!C195/Acciones!C194 -1</f>
        <v>9.7279286565431722E-2</v>
      </c>
      <c r="D194" s="4">
        <f>Acciones!D195/Acciones!D194 -1</f>
        <v>-2.4506696791193328E-3</v>
      </c>
      <c r="E194" s="4">
        <f>Acciones!E195/Acciones!E194 -1</f>
        <v>0</v>
      </c>
    </row>
    <row r="195" spans="1:5" x14ac:dyDescent="0.2">
      <c r="A195" s="1">
        <f>Acciones!A196</f>
        <v>45279</v>
      </c>
      <c r="B195" s="4">
        <f>Acciones!B196/Acciones!B195 -1</f>
        <v>-2.0979060378018222E-2</v>
      </c>
      <c r="C195" s="4">
        <f>Acciones!C196/Acciones!C195 -1</f>
        <v>9.5935665376003065E-2</v>
      </c>
      <c r="D195" s="4">
        <f>Acciones!D196/Acciones!D195 -1</f>
        <v>4.4374099392028299E-3</v>
      </c>
      <c r="E195" s="4">
        <f>Acciones!E196/Acciones!E195 -1</f>
        <v>2.6315764707210532E-2</v>
      </c>
    </row>
    <row r="196" spans="1:5" x14ac:dyDescent="0.2">
      <c r="A196" s="1">
        <f>Acciones!A197</f>
        <v>45280</v>
      </c>
      <c r="B196" s="4">
        <f>Acciones!B197/Acciones!B196 -1</f>
        <v>-2.2555812946983833E-3</v>
      </c>
      <c r="C196" s="4">
        <f>Acciones!C197/Acciones!C196 -1</f>
        <v>4.6957141533463531E-2</v>
      </c>
      <c r="D196" s="4">
        <f>Acciones!D197/Acciones!D196 -1</f>
        <v>-3.4700708294606031E-3</v>
      </c>
      <c r="E196" s="4">
        <f>Acciones!E197/Acciones!E196 -1</f>
        <v>4.2735003547209605E-3</v>
      </c>
    </row>
    <row r="197" spans="1:5" x14ac:dyDescent="0.2">
      <c r="A197" s="1">
        <f>Acciones!A198</f>
        <v>45281</v>
      </c>
      <c r="B197" s="4">
        <f>Acciones!B198/Acciones!B197 -1</f>
        <v>6.4431019446199E-2</v>
      </c>
      <c r="C197" s="4">
        <f>Acciones!C198/Acciones!C197 -1</f>
        <v>8.2209957607000783E-2</v>
      </c>
      <c r="D197" s="4">
        <f>Acciones!D198/Acciones!D197 -1</f>
        <v>2.4639934845240852E-3</v>
      </c>
      <c r="E197" s="4">
        <f>Acciones!E198/Acciones!E197 -1</f>
        <v>-6.3829728951543707E-2</v>
      </c>
    </row>
    <row r="198" spans="1:5" x14ac:dyDescent="0.2">
      <c r="A198" s="1">
        <f>Acciones!A199</f>
        <v>45282</v>
      </c>
      <c r="B198" s="4">
        <f>Acciones!B199/Acciones!B198 -1</f>
        <v>4.3893697993828473E-2</v>
      </c>
      <c r="C198" s="4">
        <f>Acciones!C199/Acciones!C198 -1</f>
        <v>7.4104599396345838E-2</v>
      </c>
      <c r="D198" s="4">
        <f>Acciones!D199/Acciones!D198 -1</f>
        <v>-0.12075442956392146</v>
      </c>
      <c r="E198" s="4">
        <f>Acciones!E199/Acciones!E198 -1</f>
        <v>0</v>
      </c>
    </row>
    <row r="199" spans="1:5" x14ac:dyDescent="0.2">
      <c r="A199" s="1">
        <f>Acciones!A200</f>
        <v>45286</v>
      </c>
      <c r="B199" s="4">
        <f>Acciones!B200/Acciones!B199 -1</f>
        <v>-1.695402302674065E-3</v>
      </c>
      <c r="C199" s="4">
        <f>Acciones!C200/Acciones!C199 -1</f>
        <v>9.6455454399690943E-4</v>
      </c>
      <c r="D199" s="4">
        <f>Acciones!D200/Acciones!D199 -1</f>
        <v>-7.9017085869204085E-4</v>
      </c>
      <c r="E199" s="4">
        <f>Acciones!E200/Acciones!E199 -1</f>
        <v>0</v>
      </c>
    </row>
    <row r="200" spans="1:5" x14ac:dyDescent="0.2">
      <c r="A200" s="1">
        <f>Acciones!A201</f>
        <v>45287</v>
      </c>
      <c r="B200" s="4">
        <f>Acciones!B201/Acciones!B200 -1</f>
        <v>1.0190156073115908E-2</v>
      </c>
      <c r="C200" s="4">
        <f>Acciones!C201/Acciones!C200 -1</f>
        <v>0.14950291797864224</v>
      </c>
      <c r="D200" s="4">
        <f>Acciones!D201/Acciones!D200 -1</f>
        <v>-1.1807009270509816E-2</v>
      </c>
      <c r="E200" s="4">
        <f>Acciones!E201/Acciones!E200 -1</f>
        <v>2.7272700672307471E-2</v>
      </c>
    </row>
    <row r="201" spans="1:5" x14ac:dyDescent="0.2">
      <c r="A201" s="1">
        <f>Acciones!A202</f>
        <v>45288</v>
      </c>
      <c r="B201" s="4">
        <f>Acciones!B202/Acciones!B201 -1</f>
        <v>-2.1856076870992114E-2</v>
      </c>
      <c r="C201" s="4">
        <f>Acciones!C202/Acciones!C201 -1</f>
        <v>-8.6026259629194524E-2</v>
      </c>
      <c r="D201" s="4">
        <f>Acciones!D202/Acciones!D201 -1</f>
        <v>2.0965804063423965E-2</v>
      </c>
      <c r="E201" s="4">
        <f>Acciones!E202/Acciones!E201 -1</f>
        <v>-2.6548647359614153E-2</v>
      </c>
    </row>
    <row r="202" spans="1:5" x14ac:dyDescent="0.2">
      <c r="A202" s="1">
        <f>Acciones!A203</f>
        <v>45289</v>
      </c>
      <c r="B202" s="4">
        <f>Acciones!B203/Acciones!B202 -1</f>
        <v>3.918873371552456E-2</v>
      </c>
      <c r="C202" s="4">
        <f>Acciones!C203/Acciones!C202 -1</f>
        <v>-0.16933855317580904</v>
      </c>
      <c r="D202" s="4">
        <f>Acciones!D203/Acciones!D202 -1</f>
        <v>-2.6972649964474016E-3</v>
      </c>
      <c r="E202" s="4">
        <f>Acciones!E203/Acciones!E202 -1</f>
        <v>1.8181800448206609E-2</v>
      </c>
    </row>
    <row r="203" spans="1:5" x14ac:dyDescent="0.2">
      <c r="A203" s="1">
        <f>Acciones!A204</f>
        <v>45293</v>
      </c>
      <c r="B203" s="4">
        <f>Acciones!B204/Acciones!B203 -1</f>
        <v>-2.5802107002740216E-2</v>
      </c>
      <c r="C203" s="4">
        <f>Acciones!C204/Acciones!C203 -1</f>
        <v>-2.1482702761035144E-2</v>
      </c>
      <c r="D203" s="4">
        <f>Acciones!D204/Acciones!D203 -1</f>
        <v>-1.5712846377679335E-2</v>
      </c>
      <c r="E203" s="4">
        <f>Acciones!E204/Acciones!E203 -1</f>
        <v>8.9285628756075042E-3</v>
      </c>
    </row>
    <row r="204" spans="1:5" x14ac:dyDescent="0.2">
      <c r="A204" s="1">
        <f>Acciones!A205</f>
        <v>45294</v>
      </c>
      <c r="B204" s="4">
        <f>Acciones!B205/Acciones!B204 -1</f>
        <v>-5.7725030190964866E-3</v>
      </c>
      <c r="C204" s="4">
        <f>Acciones!C205/Acciones!C204 -1</f>
        <v>3.2957184674713424E-2</v>
      </c>
      <c r="D204" s="4">
        <f>Acciones!D205/Acciones!D204 -1</f>
        <v>-2.0743290692400218E-2</v>
      </c>
      <c r="E204" s="4">
        <f>Acciones!E205/Acciones!E204 -1</f>
        <v>-7.5221273013852397E-2</v>
      </c>
    </row>
    <row r="205" spans="1:5" x14ac:dyDescent="0.2">
      <c r="A205" s="1">
        <f>Acciones!A206</f>
        <v>45295</v>
      </c>
      <c r="B205" s="4">
        <f>Acciones!B206/Acciones!B205 -1</f>
        <v>-4.6106580245652617E-2</v>
      </c>
      <c r="C205" s="4">
        <f>Acciones!C206/Acciones!C205 -1</f>
        <v>0.12211047219312476</v>
      </c>
      <c r="D205" s="4">
        <f>Acciones!D206/Acciones!D205 -1</f>
        <v>-1.5188336487247822E-2</v>
      </c>
      <c r="E205" s="4">
        <f>Acciones!E206/Acciones!E205 -1</f>
        <v>1.4354053886022955E-2</v>
      </c>
    </row>
    <row r="206" spans="1:5" x14ac:dyDescent="0.2">
      <c r="A206" s="1">
        <f>Acciones!A207</f>
        <v>45296</v>
      </c>
      <c r="B206" s="4">
        <f>Acciones!B207/Acciones!B206 -1</f>
        <v>6.4088718995034988E-2</v>
      </c>
      <c r="C206" s="4">
        <f>Acciones!C207/Acciones!C206 -1</f>
        <v>-0.10510477456643819</v>
      </c>
      <c r="D206" s="4">
        <f>Acciones!D207/Acciones!D206 -1</f>
        <v>-1.3880824947863468E-2</v>
      </c>
      <c r="E206" s="4">
        <f>Acciones!E207/Acciones!E206 -1</f>
        <v>3.3018950679287506E-2</v>
      </c>
    </row>
    <row r="207" spans="1:5" x14ac:dyDescent="0.2">
      <c r="A207" s="1">
        <f>Acciones!A208</f>
        <v>45299</v>
      </c>
      <c r="B207" s="4">
        <f>Acciones!B208/Acciones!B207 -1</f>
        <v>-2.590843279041577E-2</v>
      </c>
      <c r="C207" s="4">
        <f>Acciones!C208/Acciones!C207 -1</f>
        <v>8.523107050652512E-2</v>
      </c>
      <c r="D207" s="4">
        <f>Acciones!D208/Acciones!D207 -1</f>
        <v>9.7682754717016707E-3</v>
      </c>
      <c r="E207" s="4">
        <f>Acciones!E208/Acciones!E207 -1</f>
        <v>0</v>
      </c>
    </row>
    <row r="208" spans="1:5" x14ac:dyDescent="0.2">
      <c r="A208" s="1">
        <f>Acciones!A209</f>
        <v>45300</v>
      </c>
      <c r="B208" s="4">
        <f>Acciones!B209/Acciones!B208 -1</f>
        <v>-3.0397248580604108E-2</v>
      </c>
      <c r="C208" s="4">
        <f>Acciones!C209/Acciones!C208 -1</f>
        <v>-1.0503498326888239E-2</v>
      </c>
      <c r="D208" s="4">
        <f>Acciones!D209/Acciones!D208 -1</f>
        <v>-2.9187020225022176E-3</v>
      </c>
      <c r="E208" s="4">
        <f>Acciones!E209/Acciones!E208 -1</f>
        <v>-6.3926986870428748E-2</v>
      </c>
    </row>
    <row r="209" spans="1:5" x14ac:dyDescent="0.2">
      <c r="A209" s="1">
        <f>Acciones!A210</f>
        <v>45301</v>
      </c>
      <c r="B209" s="4">
        <f>Acciones!B210/Acciones!B209 -1</f>
        <v>9.2625537065116337E-3</v>
      </c>
      <c r="C209" s="4">
        <f>Acciones!C210/Acciones!C209 -1</f>
        <v>-4.9505948886264806E-3</v>
      </c>
      <c r="D209" s="4">
        <f>Acciones!D210/Acciones!D209 -1</f>
        <v>1.430290912996357E-2</v>
      </c>
      <c r="E209" s="4">
        <f>Acciones!E210/Acciones!E209 -1</f>
        <v>-3.4146309693181998E-2</v>
      </c>
    </row>
    <row r="210" spans="1:5" x14ac:dyDescent="0.2">
      <c r="A210" s="1">
        <f>Acciones!A211</f>
        <v>45302</v>
      </c>
      <c r="B210" s="4">
        <f>Acciones!B211/Acciones!B210 -1</f>
        <v>4.6240750807268416E-2</v>
      </c>
      <c r="C210" s="4">
        <f>Acciones!C211/Acciones!C210 -1</f>
        <v>-0.12077104797588489</v>
      </c>
      <c r="D210" s="4">
        <f>Acciones!D211/Acciones!D210 -1</f>
        <v>1.8325397476321337E-2</v>
      </c>
      <c r="E210" s="4">
        <f>Acciones!E211/Acciones!E210 -1</f>
        <v>-4.545456187455732E-2</v>
      </c>
    </row>
    <row r="211" spans="1:5" x14ac:dyDescent="0.2">
      <c r="A211" s="1">
        <f>Acciones!A212</f>
        <v>45303</v>
      </c>
      <c r="B211" s="4">
        <f>Acciones!B212/Acciones!B211 -1</f>
        <v>2.2267165597724237E-2</v>
      </c>
      <c r="C211" s="4">
        <f>Acciones!C212/Acciones!C211 -1</f>
        <v>-0.15557313849205134</v>
      </c>
      <c r="D211" s="4">
        <f>Acciones!D212/Acciones!D211 -1</f>
        <v>-1.1999056412474562E-2</v>
      </c>
      <c r="E211" s="4">
        <f>Acciones!E212/Acciones!E211 -1</f>
        <v>5.291000285158054E-3</v>
      </c>
    </row>
    <row r="212" spans="1:5" x14ac:dyDescent="0.2">
      <c r="A212" s="1">
        <f>Acciones!A213</f>
        <v>45306</v>
      </c>
      <c r="B212" s="4">
        <f>Acciones!B213/Acciones!B212 -1</f>
        <v>-2.4092354197142285E-2</v>
      </c>
      <c r="C212" s="4">
        <f>Acciones!C213/Acciones!C212 -1</f>
        <v>-4.363051130057416E-4</v>
      </c>
      <c r="D212" s="4">
        <f>Acciones!D213/Acciones!D212 -1</f>
        <v>0</v>
      </c>
      <c r="E212" s="4">
        <f>Acciones!E213/Acciones!E212 -1</f>
        <v>1.0526305882882392E-2</v>
      </c>
    </row>
    <row r="213" spans="1:5" x14ac:dyDescent="0.2">
      <c r="A213" s="1">
        <f>Acciones!A214</f>
        <v>45307</v>
      </c>
      <c r="B213" s="4">
        <f>Acciones!B214/Acciones!B213 -1</f>
        <v>0</v>
      </c>
      <c r="C213" s="4">
        <f>Acciones!C214/Acciones!C213 -1</f>
        <v>-4.8581280002528371E-2</v>
      </c>
      <c r="D213" s="4">
        <f>Acciones!D214/Acciones!D213 -1</f>
        <v>-9.5576444569228647E-3</v>
      </c>
      <c r="E213" s="4">
        <f>Acciones!E214/Acciones!E213 -1</f>
        <v>0</v>
      </c>
    </row>
    <row r="214" spans="1:5" x14ac:dyDescent="0.2">
      <c r="A214" s="1">
        <f>Acciones!A215</f>
        <v>45308</v>
      </c>
      <c r="B214" s="4">
        <f>Acciones!B215/Acciones!B214 -1</f>
        <v>-7.2370626510267044E-2</v>
      </c>
      <c r="C214" s="4">
        <f>Acciones!C215/Acciones!C214 -1</f>
        <v>-2.6481340789097363E-2</v>
      </c>
      <c r="D214" s="4">
        <f>Acciones!D215/Acciones!D214 -1</f>
        <v>-1.2244918138239358E-2</v>
      </c>
      <c r="E214" s="4">
        <f>Acciones!E215/Acciones!E214 -1</f>
        <v>0</v>
      </c>
    </row>
    <row r="215" spans="1:5" x14ac:dyDescent="0.2">
      <c r="A215" s="1">
        <f>Acciones!A216</f>
        <v>45309</v>
      </c>
      <c r="B215" s="4">
        <f>Acciones!B216/Acciones!B215 -1</f>
        <v>7.4735609390893964E-2</v>
      </c>
      <c r="C215" s="4">
        <f>Acciones!C216/Acciones!C215 -1</f>
        <v>-6.4738790846822547E-2</v>
      </c>
      <c r="D215" s="4">
        <f>Acciones!D216/Acciones!D215 -1</f>
        <v>-5.7037634052281572E-4</v>
      </c>
      <c r="E215" s="4">
        <f>Acciones!E216/Acciones!E215 -1</f>
        <v>0</v>
      </c>
    </row>
    <row r="216" spans="1:5" x14ac:dyDescent="0.2">
      <c r="A216" s="1">
        <f>Acciones!A217</f>
        <v>45310</v>
      </c>
      <c r="B216" s="4">
        <f>Acciones!B217/Acciones!B216 -1</f>
        <v>-1.7639069843363386E-2</v>
      </c>
      <c r="C216" s="4">
        <f>Acciones!C217/Acciones!C216 -1</f>
        <v>-6.5152355008795126E-3</v>
      </c>
      <c r="D216" s="4">
        <f>Acciones!D217/Acciones!D216 -1</f>
        <v>2.1210697679623358E-3</v>
      </c>
      <c r="E216" s="4">
        <f>Acciones!E217/Acciones!E216 -1</f>
        <v>0</v>
      </c>
    </row>
    <row r="217" spans="1:5" x14ac:dyDescent="0.2">
      <c r="A217" s="1">
        <f>Acciones!A218</f>
        <v>45313</v>
      </c>
      <c r="B217" s="4">
        <f>Acciones!B218/Acciones!B217 -1</f>
        <v>-8.9778289011386292E-3</v>
      </c>
      <c r="C217" s="4">
        <f>Acciones!C218/Acciones!C217 -1</f>
        <v>2.9782613118489065E-2</v>
      </c>
      <c r="D217" s="4">
        <f>Acciones!D218/Acciones!D217 -1</f>
        <v>-2.0935640993173799E-3</v>
      </c>
      <c r="E217" s="4">
        <f>Acciones!E218/Acciones!E217 -1</f>
        <v>0</v>
      </c>
    </row>
    <row r="218" spans="1:5" x14ac:dyDescent="0.2">
      <c r="A218" s="1">
        <f>Acciones!A219</f>
        <v>45314</v>
      </c>
      <c r="B218" s="4">
        <f>Acciones!B219/Acciones!B218 -1</f>
        <v>-2.125440252867139E-2</v>
      </c>
      <c r="C218" s="4">
        <f>Acciones!C219/Acciones!C218 -1</f>
        <v>-1.3053238474223794E-2</v>
      </c>
      <c r="D218" s="4">
        <f>Acciones!D219/Acciones!D218 -1</f>
        <v>1.7861476905098428E-2</v>
      </c>
      <c r="E218" s="4">
        <f>Acciones!E219/Acciones!E218 -1</f>
        <v>1.0416719053561119E-2</v>
      </c>
    </row>
    <row r="219" spans="1:5" x14ac:dyDescent="0.2">
      <c r="A219" s="1">
        <f>Acciones!A220</f>
        <v>45315</v>
      </c>
      <c r="B219" s="4">
        <f>Acciones!B220/Acciones!B219 -1</f>
        <v>1.3883868256049148E-2</v>
      </c>
      <c r="C219" s="4">
        <f>Acciones!C220/Acciones!C219 -1</f>
        <v>-4.0996754481626541E-2</v>
      </c>
      <c r="D219" s="4">
        <f>Acciones!D220/Acciones!D219 -1</f>
        <v>-1.4269301024752656E-2</v>
      </c>
      <c r="E219" s="4">
        <f>Acciones!E220/Acciones!E219 -1</f>
        <v>5.1546341073760438E-3</v>
      </c>
    </row>
    <row r="220" spans="1:5" x14ac:dyDescent="0.2">
      <c r="A220" s="1">
        <f>Acciones!A221</f>
        <v>45316</v>
      </c>
      <c r="B220" s="4">
        <f>Acciones!B221/Acciones!B220 -1</f>
        <v>-3.1600316430394626E-3</v>
      </c>
      <c r="C220" s="4">
        <f>Acciones!C221/Acciones!C220 -1</f>
        <v>3.8288492691933129E-2</v>
      </c>
      <c r="D220" s="4">
        <f>Acciones!D221/Acciones!D220 -1</f>
        <v>-9.076394232602536E-3</v>
      </c>
      <c r="E220" s="4">
        <f>Acciones!E221/Acciones!E220 -1</f>
        <v>-2.5641061693799538E-2</v>
      </c>
    </row>
    <row r="221" spans="1:5" x14ac:dyDescent="0.2">
      <c r="A221" s="1">
        <f>Acciones!A222</f>
        <v>45317</v>
      </c>
      <c r="B221" s="4">
        <f>Acciones!B222/Acciones!B221 -1</f>
        <v>1.4089567954485016E-3</v>
      </c>
      <c r="C221" s="4">
        <f>Acciones!C222/Acciones!C221 -1</f>
        <v>8.8432252418213064E-2</v>
      </c>
      <c r="D221" s="4">
        <f>Acciones!D222/Acciones!D221 -1</f>
        <v>2.3182632059981723E-2</v>
      </c>
      <c r="E221" s="4">
        <f>Acciones!E222/Acciones!E221 -1</f>
        <v>-5.2631529414439715E-3</v>
      </c>
    </row>
    <row r="222" spans="1:5" x14ac:dyDescent="0.2">
      <c r="A222" s="1">
        <f>Acciones!A223</f>
        <v>45320</v>
      </c>
      <c r="B222" s="4">
        <f>Acciones!B223/Acciones!B222 -1</f>
        <v>-1.7587042305325151E-2</v>
      </c>
      <c r="C222" s="4">
        <f>Acciones!C223/Acciones!C222 -1</f>
        <v>4.8814170129894086E-2</v>
      </c>
      <c r="D222" s="4">
        <f>Acciones!D223/Acciones!D222 -1</f>
        <v>1.2187062946880101E-2</v>
      </c>
      <c r="E222" s="4">
        <f>Acciones!E223/Acciones!E222 -1</f>
        <v>1.5873000855468389E-2</v>
      </c>
    </row>
    <row r="223" spans="1:5" x14ac:dyDescent="0.2">
      <c r="A223" s="1">
        <f>Acciones!A224</f>
        <v>45321</v>
      </c>
      <c r="B223" s="4">
        <f>Acciones!B224/Acciones!B223 -1</f>
        <v>7.5187446892079901E-3</v>
      </c>
      <c r="C223" s="4">
        <f>Acciones!C224/Acciones!C223 -1</f>
        <v>-1.6967237128898249E-2</v>
      </c>
      <c r="D223" s="4">
        <f>Acciones!D224/Acciones!D223 -1</f>
        <v>1.7344416406284147E-4</v>
      </c>
      <c r="E223" s="4">
        <f>Acciones!E224/Acciones!E223 -1</f>
        <v>2.6041704501645224E-2</v>
      </c>
    </row>
    <row r="224" spans="1:5" x14ac:dyDescent="0.2">
      <c r="A224" s="1">
        <f>Acciones!A225</f>
        <v>45322</v>
      </c>
      <c r="B224" s="4">
        <f>Acciones!B225/Acciones!B224 -1</f>
        <v>-1.3503865605059895E-2</v>
      </c>
      <c r="C224" s="4">
        <f>Acciones!C225/Acciones!C224 -1</f>
        <v>-2.7086492369339799E-2</v>
      </c>
      <c r="D224" s="4">
        <f>Acciones!D225/Acciones!D224 -1</f>
        <v>-2.6191896521375102E-2</v>
      </c>
      <c r="E224" s="4">
        <f>Acciones!E225/Acciones!E224 -1</f>
        <v>-3.0456883815965341E-2</v>
      </c>
    </row>
    <row r="225" spans="1:5" x14ac:dyDescent="0.2">
      <c r="A225" s="1">
        <f>Acciones!A226</f>
        <v>45323</v>
      </c>
      <c r="B225" s="4">
        <f>Acciones!B226/Acciones!B225 -1</f>
        <v>-7.2046618849553878E-3</v>
      </c>
      <c r="C225" s="4">
        <f>Acciones!C226/Acciones!C225 -1</f>
        <v>4.5482848211104931E-2</v>
      </c>
      <c r="D225" s="4">
        <f>Acciones!D226/Acciones!D225 -1</f>
        <v>-2.8735872683894881E-3</v>
      </c>
      <c r="E225" s="4">
        <f>Acciones!E226/Acciones!E225 -1</f>
        <v>5.2355971926789646E-3</v>
      </c>
    </row>
    <row r="226" spans="1:5" x14ac:dyDescent="0.2">
      <c r="A226" s="1">
        <f>Acciones!A227</f>
        <v>45324</v>
      </c>
      <c r="B226" s="4">
        <f>Acciones!B227/Acciones!B226 -1</f>
        <v>-1.0522464487535466E-2</v>
      </c>
      <c r="C226" s="4">
        <f>Acciones!C227/Acciones!C226 -1</f>
        <v>-2.722537004070158E-2</v>
      </c>
      <c r="D226" s="4">
        <f>Acciones!D227/Acciones!D226 -1</f>
        <v>-5.7693798396302176E-3</v>
      </c>
      <c r="E226" s="4">
        <f>Acciones!E227/Acciones!E226 -1</f>
        <v>-2.6041642413471955E-2</v>
      </c>
    </row>
    <row r="227" spans="1:5" x14ac:dyDescent="0.2">
      <c r="A227" s="1">
        <f>Acciones!A228</f>
        <v>45328</v>
      </c>
      <c r="B227" s="4">
        <f>Acciones!B228/Acciones!B227 -1</f>
        <v>4.7670692239767387E-3</v>
      </c>
      <c r="C227" s="4">
        <f>Acciones!C228/Acciones!C227 -1</f>
        <v>-6.2552471457296921E-2</v>
      </c>
      <c r="D227" s="4">
        <f>Acciones!D228/Acciones!D227 -1</f>
        <v>1.284062335966496E-2</v>
      </c>
      <c r="E227" s="4">
        <f>Acciones!E228/Acciones!E227 -1</f>
        <v>-5.3475884693907627E-3</v>
      </c>
    </row>
    <row r="228" spans="1:5" x14ac:dyDescent="0.2">
      <c r="A228" s="1">
        <f>Acciones!A229</f>
        <v>45329</v>
      </c>
      <c r="B228" s="4">
        <f>Acciones!B229/Acciones!B228 -1</f>
        <v>2.1532965132142978E-2</v>
      </c>
      <c r="C228" s="4">
        <f>Acciones!C229/Acciones!C228 -1</f>
        <v>3.1746616552086326E-2</v>
      </c>
      <c r="D228" s="4">
        <f>Acciones!D229/Acciones!D228 -1</f>
        <v>7.3605378232237673E-3</v>
      </c>
      <c r="E228" s="4">
        <f>Acciones!E229/Acciones!E228 -1</f>
        <v>-2.6881758677969714E-2</v>
      </c>
    </row>
    <row r="229" spans="1:5" x14ac:dyDescent="0.2">
      <c r="A229" s="1">
        <f>Acciones!A230</f>
        <v>45330</v>
      </c>
      <c r="B229" s="4">
        <f>Acciones!B230/Acciones!B229 -1</f>
        <v>-1.6434486563227435E-2</v>
      </c>
      <c r="C229" s="4">
        <f>Acciones!C230/Acciones!C229 -1</f>
        <v>0.22652269203758379</v>
      </c>
      <c r="D229" s="4">
        <f>Acciones!D230/Acciones!D229 -1</f>
        <v>9.3692799175630892E-3</v>
      </c>
      <c r="E229" s="4">
        <f>Acciones!E230/Acciones!E229 -1</f>
        <v>5.5249226456788314E-3</v>
      </c>
    </row>
    <row r="230" spans="1:5" x14ac:dyDescent="0.2">
      <c r="A230" s="1">
        <f>Acciones!A231</f>
        <v>45331</v>
      </c>
      <c r="B230" s="4">
        <f>Acciones!B231/Acciones!B230 -1</f>
        <v>-2.978568575056173E-2</v>
      </c>
      <c r="C230" s="4">
        <f>Acciones!C231/Acciones!C230 -1</f>
        <v>0.10757769386752924</v>
      </c>
      <c r="D230" s="4">
        <f>Acciones!D231/Acciones!D230 -1</f>
        <v>5.3475862153571363E-3</v>
      </c>
      <c r="E230" s="4">
        <f>Acciones!E231/Acciones!E230 -1</f>
        <v>-3.2967066076724727E-2</v>
      </c>
    </row>
    <row r="231" spans="1:5" x14ac:dyDescent="0.2">
      <c r="A231" s="1">
        <f>Acciones!A232</f>
        <v>45334</v>
      </c>
      <c r="B231" s="4">
        <f>Acciones!B232/Acciones!B231 -1</f>
        <v>5.5409984317392968E-2</v>
      </c>
      <c r="C231" s="4">
        <f>Acciones!C232/Acciones!C231 -1</f>
        <v>0.14561962291506747</v>
      </c>
      <c r="D231" s="4">
        <f>Acciones!D232/Acciones!D231 -1</f>
        <v>2.5414354343950896E-2</v>
      </c>
      <c r="E231" s="4">
        <f>Acciones!E232/Acciones!E231 -1</f>
        <v>0</v>
      </c>
    </row>
    <row r="232" spans="1:5" x14ac:dyDescent="0.2">
      <c r="A232" s="1">
        <f>Acciones!A233</f>
        <v>45335</v>
      </c>
      <c r="B232" s="4">
        <f>Acciones!B233/Acciones!B232 -1</f>
        <v>2.8733622465932918E-2</v>
      </c>
      <c r="C232" s="4">
        <f>Acciones!C233/Acciones!C232 -1</f>
        <v>-5.832835918073187E-2</v>
      </c>
      <c r="D232" s="4">
        <f>Acciones!D233/Acciones!D232 -1</f>
        <v>-1.549644320922261E-2</v>
      </c>
      <c r="E232" s="4">
        <f>Acciones!E233/Acciones!E232 -1</f>
        <v>0</v>
      </c>
    </row>
    <row r="233" spans="1:5" x14ac:dyDescent="0.2">
      <c r="A233" s="1">
        <f>Acciones!A234</f>
        <v>45336</v>
      </c>
      <c r="B233" s="4">
        <f>Acciones!B234/Acciones!B233 -1</f>
        <v>4.344824328547725E-2</v>
      </c>
      <c r="C233" s="4">
        <f>Acciones!C234/Acciones!C233 -1</f>
        <v>0.1427629304539908</v>
      </c>
      <c r="D233" s="4">
        <f>Acciones!D234/Acciones!D233 -1</f>
        <v>6.0953886065597818E-3</v>
      </c>
      <c r="E233" s="4">
        <f>Acciones!E234/Acciones!E233 -1</f>
        <v>-2.2727251176008045E-2</v>
      </c>
    </row>
    <row r="234" spans="1:5" x14ac:dyDescent="0.2">
      <c r="A234" s="1">
        <f>Acciones!A235</f>
        <v>45337</v>
      </c>
      <c r="B234" s="4">
        <f>Acciones!B235/Acciones!B234 -1</f>
        <v>4.26304800207844E-2</v>
      </c>
      <c r="C234" s="4">
        <f>Acciones!C235/Acciones!C234 -1</f>
        <v>-8.384257723704569E-2</v>
      </c>
      <c r="D234" s="4">
        <f>Acciones!D235/Acciones!D234 -1</f>
        <v>-3.8588487111378411E-3</v>
      </c>
      <c r="E234" s="4">
        <f>Acciones!E235/Acciones!E234 -1</f>
        <v>1.7441843541142532E-2</v>
      </c>
    </row>
    <row r="235" spans="1:5" x14ac:dyDescent="0.2">
      <c r="A235" s="1">
        <f>Acciones!A236</f>
        <v>45338</v>
      </c>
      <c r="B235" s="4">
        <f>Acciones!B236/Acciones!B235 -1</f>
        <v>-3.7717834601089795E-2</v>
      </c>
      <c r="C235" s="4">
        <f>Acciones!C236/Acciones!C235 -1</f>
        <v>-1.1406844106463865E-2</v>
      </c>
      <c r="D235" s="4">
        <f>Acciones!D236/Acciones!D235 -1</f>
        <v>-2.1582806408884436E-2</v>
      </c>
      <c r="E235" s="4">
        <f>Acciones!E236/Acciones!E235 -1</f>
        <v>-4.0000029972622864E-2</v>
      </c>
    </row>
    <row r="236" spans="1:5" x14ac:dyDescent="0.2">
      <c r="A236" s="1">
        <f>Acciones!A237</f>
        <v>45341</v>
      </c>
      <c r="B236" s="4">
        <f>Acciones!B237/Acciones!B236 -1</f>
        <v>3.0632400655494552E-2</v>
      </c>
      <c r="C236" s="4">
        <f>Acciones!C237/Acciones!C236 -1</f>
        <v>-2.19780219780219E-3</v>
      </c>
      <c r="D236" s="4">
        <f>Acciones!D237/Acciones!D236 -1</f>
        <v>0</v>
      </c>
      <c r="E236" s="4">
        <f>Acciones!E237/Acciones!E236 -1</f>
        <v>5.9524464194991022E-3</v>
      </c>
    </row>
    <row r="237" spans="1:5" x14ac:dyDescent="0.2">
      <c r="A237" s="1">
        <f>Acciones!A238</f>
        <v>45342</v>
      </c>
      <c r="B237" s="4">
        <f>Acciones!B238/Acciones!B237 -1</f>
        <v>1.6299095310773337E-2</v>
      </c>
      <c r="C237" s="4">
        <f>Acciones!C238/Acciones!C237 -1</f>
        <v>-7.8502234908453761E-2</v>
      </c>
      <c r="D237" s="4">
        <f>Acciones!D238/Acciones!D237 -1</f>
        <v>-6.8551070675691994E-3</v>
      </c>
      <c r="E237" s="4">
        <f>Acciones!E238/Acciones!E237 -1</f>
        <v>-5.9172244579609456E-3</v>
      </c>
    </row>
    <row r="238" spans="1:5" x14ac:dyDescent="0.2">
      <c r="A238" s="1">
        <f>Acciones!A239</f>
        <v>45343</v>
      </c>
      <c r="B238" s="4">
        <f>Acciones!B239/Acciones!B238 -1</f>
        <v>-2.1069239349958635E-2</v>
      </c>
      <c r="C238" s="4">
        <f>Acciones!C239/Acciones!C238 -1</f>
        <v>-6.7119197713589651E-2</v>
      </c>
      <c r="D238" s="4">
        <f>Acciones!D239/Acciones!D238 -1</f>
        <v>1.9431636752004433E-2</v>
      </c>
      <c r="E238" s="4">
        <f>Acciones!E239/Acciones!E238 -1</f>
        <v>0</v>
      </c>
    </row>
    <row r="239" spans="1:5" x14ac:dyDescent="0.2">
      <c r="A239" s="1">
        <f>Acciones!A240</f>
        <v>45344</v>
      </c>
      <c r="B239" s="4">
        <f>Acciones!B240/Acciones!B239 -1</f>
        <v>4.8185123127480134E-2</v>
      </c>
      <c r="C239" s="4">
        <f>Acciones!C240/Acciones!C239 -1</f>
        <v>7.8020939587661431E-2</v>
      </c>
      <c r="D239" s="4">
        <f>Acciones!D240/Acciones!D239 -1</f>
        <v>-1.1171839171500997E-3</v>
      </c>
      <c r="E239" s="4">
        <f>Acciones!E240/Acciones!E239 -1</f>
        <v>5.9524464194991022E-3</v>
      </c>
    </row>
    <row r="240" spans="1:5" x14ac:dyDescent="0.2">
      <c r="A240" s="1">
        <f>Acciones!A241</f>
        <v>45345</v>
      </c>
      <c r="B240" s="4">
        <f>Acciones!B241/Acciones!B240 -1</f>
        <v>-2.3597932433042201E-2</v>
      </c>
      <c r="C240" s="4">
        <f>Acciones!C241/Acciones!C240 -1</f>
        <v>-2.7761326476279269E-2</v>
      </c>
      <c r="D240" s="4">
        <f>Acciones!D241/Acciones!D240 -1</f>
        <v>1.2136450108367169E-2</v>
      </c>
      <c r="E240" s="4">
        <f>Acciones!E241/Acciones!E240 -1</f>
        <v>-5.9172244579609456E-3</v>
      </c>
    </row>
    <row r="241" spans="1:5" x14ac:dyDescent="0.2">
      <c r="A241" s="1">
        <f>Acciones!A242</f>
        <v>45348</v>
      </c>
      <c r="B241" s="4">
        <f>Acciones!B242/Acciones!B241 -1</f>
        <v>6.9052592103997501E-3</v>
      </c>
      <c r="C241" s="4">
        <f>Acciones!C242/Acciones!C241 -1</f>
        <v>0.22366464608784864</v>
      </c>
      <c r="D241" s="4">
        <f>Acciones!D242/Acciones!D241 -1</f>
        <v>-1.1852769717155986E-2</v>
      </c>
      <c r="E241" s="4">
        <f>Acciones!E242/Acciones!E241 -1</f>
        <v>0</v>
      </c>
    </row>
    <row r="242" spans="1:5" x14ac:dyDescent="0.2">
      <c r="A242" s="1">
        <f>Acciones!A243</f>
        <v>45349</v>
      </c>
      <c r="B242" s="4">
        <f>Acciones!B243/Acciones!B242 -1</f>
        <v>-4.738163477137558E-2</v>
      </c>
      <c r="C242" s="4">
        <f>Acciones!C243/Acciones!C242 -1</f>
        <v>3.8758128351979559E-2</v>
      </c>
      <c r="D242" s="4">
        <f>Acciones!D243/Acciones!D242 -1</f>
        <v>-1.8174653783014083E-3</v>
      </c>
      <c r="E242" s="4">
        <f>Acciones!E243/Acciones!E242 -1</f>
        <v>0</v>
      </c>
    </row>
    <row r="243" spans="1:5" x14ac:dyDescent="0.2">
      <c r="A243" s="1">
        <f>Acciones!A244</f>
        <v>45350</v>
      </c>
      <c r="B243" s="4">
        <f>Acciones!B244/Acciones!B243 -1</f>
        <v>-3.1413579615427789E-2</v>
      </c>
      <c r="C243" s="4">
        <f>Acciones!C244/Acciones!C243 -1</f>
        <v>1.5963356837319642E-2</v>
      </c>
      <c r="D243" s="4">
        <f>Acciones!D244/Acciones!D243 -1</f>
        <v>1.1204502917119274E-3</v>
      </c>
      <c r="E243" s="4">
        <f>Acciones!E244/Acciones!E243 -1</f>
        <v>-4.7619003692723982E-2</v>
      </c>
    </row>
    <row r="244" spans="1:5" x14ac:dyDescent="0.2">
      <c r="A244" s="1">
        <f>Acciones!A245</f>
        <v>45351</v>
      </c>
      <c r="B244" s="4">
        <f>Acciones!B245/Acciones!B244 -1</f>
        <v>-1.3851283862509556E-2</v>
      </c>
      <c r="C244" s="4">
        <f>Acciones!C245/Acciones!C244 -1</f>
        <v>-0.16501965871891011</v>
      </c>
      <c r="D244" s="4">
        <f>Acciones!D245/Acciones!D244 -1</f>
        <v>-1.0576380952144748E-2</v>
      </c>
      <c r="E244" s="4">
        <f>Acciones!E245/Acciones!E244 -1</f>
        <v>-4.3750032130623895E-2</v>
      </c>
    </row>
    <row r="245" spans="1:5" x14ac:dyDescent="0.2">
      <c r="A245" s="1">
        <f>Acciones!A246</f>
        <v>45352</v>
      </c>
      <c r="B245" s="4">
        <f>Acciones!B246/Acciones!B245 -1</f>
        <v>1.4045836734201567E-2</v>
      </c>
      <c r="C245" s="4">
        <f>Acciones!C246/Acciones!C245 -1</f>
        <v>2.7864007579889716E-2</v>
      </c>
      <c r="D245" s="4">
        <f>Acciones!D246/Acciones!D245 -1</f>
        <v>-1.8515293671746424E-2</v>
      </c>
      <c r="E245" s="4">
        <f>Acciones!E246/Acciones!E245 -1</f>
        <v>-7.1895435530761498E-2</v>
      </c>
    </row>
    <row r="246" spans="1:5" x14ac:dyDescent="0.2">
      <c r="A246" s="1">
        <f>Acciones!A247</f>
        <v>45355</v>
      </c>
      <c r="B246" s="4">
        <f>Acciones!B247/Acciones!B246 -1</f>
        <v>1.1486501673154903E-2</v>
      </c>
      <c r="C246" s="4">
        <f>Acciones!C247/Acciones!C246 -1</f>
        <v>-3.5534643268239408E-2</v>
      </c>
      <c r="D246" s="4">
        <f>Acciones!D247/Acciones!D246 -1</f>
        <v>-1.8737641914140735E-2</v>
      </c>
      <c r="E246" s="4">
        <f>Acciones!E247/Acciones!E246 -1</f>
        <v>-8.4507048165506693E-2</v>
      </c>
    </row>
    <row r="247" spans="1:5" x14ac:dyDescent="0.2">
      <c r="A247" s="1">
        <f>Acciones!A248</f>
        <v>45356</v>
      </c>
      <c r="B247" s="4">
        <f>Acciones!B248/Acciones!B247 -1</f>
        <v>4.642615384988602E-2</v>
      </c>
      <c r="C247" s="4">
        <f>Acciones!C248/Acciones!C247 -1</f>
        <v>-0.13678672969375405</v>
      </c>
      <c r="D247" s="4">
        <f>Acciones!D248/Acciones!D247 -1</f>
        <v>-1.9506734707488094E-2</v>
      </c>
      <c r="E247" s="4">
        <f>Acciones!E248/Acciones!E247 -1</f>
        <v>-6.153840510803088E-2</v>
      </c>
    </row>
    <row r="248" spans="1:5" x14ac:dyDescent="0.2">
      <c r="A248" s="1">
        <f>Acciones!A249</f>
        <v>45357</v>
      </c>
      <c r="B248" s="4">
        <f>Acciones!B249/Acciones!B248 -1</f>
        <v>-1.6916719577092509E-2</v>
      </c>
      <c r="C248" s="4">
        <f>Acciones!C249/Acciones!C248 -1</f>
        <v>1.0862669767366606E-2</v>
      </c>
      <c r="D248" s="4">
        <f>Acciones!D249/Acciones!D248 -1</f>
        <v>-1.2148993883619008E-2</v>
      </c>
      <c r="E248" s="4">
        <f>Acciones!E249/Acciones!E248 -1</f>
        <v>0</v>
      </c>
    </row>
    <row r="249" spans="1:5" x14ac:dyDescent="0.2">
      <c r="A249" s="1">
        <f>Acciones!A250</f>
        <v>45358</v>
      </c>
      <c r="B249" s="4">
        <f>Acciones!B250/Acciones!B249 -1</f>
        <v>-3.2458206395302724E-4</v>
      </c>
      <c r="C249" s="4">
        <f>Acciones!C250/Acciones!C249 -1</f>
        <v>-3.6745869940922216E-2</v>
      </c>
      <c r="D249" s="4">
        <f>Acciones!D250/Acciones!D249 -1</f>
        <v>1.147964114380029E-2</v>
      </c>
      <c r="E249" s="4">
        <f>Acciones!E250/Acciones!E249 -1</f>
        <v>5.7376993115763719E-2</v>
      </c>
    </row>
    <row r="250" spans="1:5" x14ac:dyDescent="0.2">
      <c r="A250" s="1">
        <f>Acciones!A251</f>
        <v>45359</v>
      </c>
      <c r="B250" s="4">
        <f>Acciones!B251/Acciones!B250 -1</f>
        <v>-2.4033882735437051E-2</v>
      </c>
      <c r="C250" s="4">
        <f>Acciones!C251/Acciones!C250 -1</f>
        <v>7.6948192274366445E-2</v>
      </c>
      <c r="D250" s="4">
        <f>Acciones!D251/Acciones!D250 -1</f>
        <v>-3.8364718191641334E-4</v>
      </c>
      <c r="E250" s="4">
        <f>Acciones!E251/Acciones!E250 -1</f>
        <v>7.7519400619372902E-2</v>
      </c>
    </row>
    <row r="251" spans="1:5" x14ac:dyDescent="0.2">
      <c r="A251" s="1">
        <f>Acciones!A252</f>
        <v>45362</v>
      </c>
      <c r="B251" s="4">
        <f>Acciones!B252/Acciones!B251 -1</f>
        <v>-5.6571804302394391E-3</v>
      </c>
      <c r="C251" s="4">
        <f>Acciones!C252/Acciones!C251 -1</f>
        <v>-0.11965635879790548</v>
      </c>
      <c r="D251" s="4">
        <f>Acciones!D252/Acciones!D251 -1</f>
        <v>2.2311444845108941E-2</v>
      </c>
      <c r="E251" s="4">
        <f>Acciones!E252/Acciones!E251 -1</f>
        <v>4.3165512666415884E-2</v>
      </c>
    </row>
    <row r="252" spans="1:5" x14ac:dyDescent="0.2">
      <c r="A252" s="1">
        <f>Acciones!A253</f>
        <v>45363</v>
      </c>
      <c r="B252" s="4">
        <f>Acciones!B253/Acciones!B252 -1</f>
        <v>-1.4056258926785081E-2</v>
      </c>
      <c r="C252" s="4">
        <f>Acciones!C253/Acciones!C252 -1</f>
        <v>-2.5341571082467484E-2</v>
      </c>
      <c r="D252" s="4">
        <f>Acciones!D253/Acciones!D252 -1</f>
        <v>-1.2020994424927656E-2</v>
      </c>
      <c r="E252" s="4">
        <f>Acciones!E253/Acciones!E252 -1</f>
        <v>0.10344825601747809</v>
      </c>
    </row>
    <row r="253" spans="1:5" x14ac:dyDescent="0.2">
      <c r="A253" s="1">
        <f>Acciones!A254</f>
        <v>45364</v>
      </c>
      <c r="B253" s="4">
        <f>Acciones!B254/Acciones!B253 -1</f>
        <v>4.5146049266031163E-2</v>
      </c>
      <c r="C253" s="4">
        <f>Acciones!C254/Acciones!C253 -1</f>
        <v>-2.8414929809835732E-2</v>
      </c>
      <c r="D253" s="4">
        <f>Acciones!D254/Acciones!D253 -1</f>
        <v>7.7196757461566179E-3</v>
      </c>
      <c r="E253" s="4">
        <f>Acciones!E254/Acciones!E253 -1</f>
        <v>2.4999975785615192E-2</v>
      </c>
    </row>
    <row r="254" spans="1:5" x14ac:dyDescent="0.2">
      <c r="A254" s="1">
        <f>Acciones!A255</f>
        <v>45365</v>
      </c>
      <c r="B254" s="4">
        <f>Acciones!B255/Acciones!B254 -1</f>
        <v>-1.3640824800461138E-2</v>
      </c>
      <c r="C254" s="4">
        <f>Acciones!C255/Acciones!C254 -1</f>
        <v>-9.789061895210549E-2</v>
      </c>
      <c r="D254" s="4">
        <f>Acciones!D255/Acciones!D254 -1</f>
        <v>-1.4378317612977032E-2</v>
      </c>
      <c r="E254" s="4">
        <f>Acciones!E255/Acciones!E254 -1</f>
        <v>-1.2195110427416056E-2</v>
      </c>
    </row>
    <row r="255" spans="1:5" x14ac:dyDescent="0.2">
      <c r="A255" s="1">
        <f>Acciones!A256</f>
        <v>45366</v>
      </c>
      <c r="B255" s="4">
        <f>Acciones!B256/Acciones!B255 -1</f>
        <v>-1.2512371627801944E-2</v>
      </c>
      <c r="C255" s="4">
        <f>Acciones!C256/Acciones!C255 -1</f>
        <v>8.6172121147995551E-2</v>
      </c>
      <c r="D255" s="4">
        <f>Acciones!D256/Acciones!D255 -1</f>
        <v>-4.5379513208235744E-3</v>
      </c>
      <c r="E255" s="4">
        <f>Acciones!E256/Acciones!E255 -1</f>
        <v>-7.407407679947986E-2</v>
      </c>
    </row>
    <row r="256" spans="1:5" x14ac:dyDescent="0.2">
      <c r="A256" s="1">
        <f>Acciones!A257</f>
        <v>45370</v>
      </c>
      <c r="B256" s="4">
        <f>Acciones!B257/Acciones!B256 -1</f>
        <v>5.6685637134434863E-3</v>
      </c>
      <c r="C256" s="4">
        <f>Acciones!C257/Acciones!C256 -1</f>
        <v>4.9797899270009882E-3</v>
      </c>
      <c r="D256" s="4">
        <f>Acciones!D257/Acciones!D256 -1</f>
        <v>3.0331154540010896E-3</v>
      </c>
      <c r="E256" s="4">
        <f>Acciones!E257/Acciones!E256 -1</f>
        <v>0</v>
      </c>
    </row>
    <row r="257" spans="1:5" x14ac:dyDescent="0.2">
      <c r="A257" s="1">
        <f>Acciones!A258</f>
        <v>45371</v>
      </c>
      <c r="B257" s="4">
        <f>Acciones!B258/Acciones!B257 -1</f>
        <v>-4.3103428642474739E-3</v>
      </c>
      <c r="C257" s="4">
        <f>Acciones!C258/Acciones!C257 -1</f>
        <v>0.14335831788529063</v>
      </c>
      <c r="D257" s="4">
        <f>Acciones!D258/Acciones!D257 -1</f>
        <v>1.5508736219305153E-3</v>
      </c>
      <c r="E257" s="4">
        <f>Acciones!E258/Acciones!E257 -1</f>
        <v>0</v>
      </c>
    </row>
    <row r="258" spans="1:5" x14ac:dyDescent="0.2">
      <c r="A258" s="1">
        <f>Acciones!A259</f>
        <v>45372</v>
      </c>
      <c r="B258" s="4">
        <f>Acciones!B259/Acciones!B258 -1</f>
        <v>1.1654930916724204E-2</v>
      </c>
      <c r="C258" s="4">
        <f>Acciones!C259/Acciones!C258 -1</f>
        <v>-1.1763109332942112E-2</v>
      </c>
      <c r="D258" s="4">
        <f>Acciones!D259/Acciones!D258 -1</f>
        <v>1.0229249804056151E-2</v>
      </c>
      <c r="E258" s="4">
        <f>Acciones!E259/Acciones!E258 -1</f>
        <v>0</v>
      </c>
    </row>
    <row r="259" spans="1:5" x14ac:dyDescent="0.2">
      <c r="A259" s="1">
        <f>Acciones!A260</f>
        <v>45373</v>
      </c>
      <c r="B259" s="4">
        <f>Acciones!B260/Acciones!B259 -1</f>
        <v>-1.7774785533192006E-2</v>
      </c>
      <c r="C259" s="4">
        <f>Acciones!C260/Acciones!C259 -1</f>
        <v>-4.1756372091508398E-2</v>
      </c>
      <c r="D259" s="4">
        <f>Acciones!D260/Acciones!D259 -1</f>
        <v>-6.5790401642545238E-2</v>
      </c>
      <c r="E259" s="4">
        <f>Acciones!E260/Acciones!E259 -1</f>
        <v>0</v>
      </c>
    </row>
    <row r="260" spans="1:5" x14ac:dyDescent="0.2">
      <c r="A260" s="1">
        <f>Acciones!A261</f>
        <v>45376</v>
      </c>
      <c r="B260" s="4">
        <f>Acciones!B261/Acciones!B260 -1</f>
        <v>3.8538851777957239E-2</v>
      </c>
      <c r="C260" s="4">
        <f>Acciones!C261/Acciones!C260 -1</f>
        <v>-1.5918066458904256E-3</v>
      </c>
      <c r="D260" s="4">
        <f>Acciones!D261/Acciones!D260 -1</f>
        <v>-4.6561325871647963E-3</v>
      </c>
      <c r="E260" s="4">
        <f>Acciones!E261/Acciones!E260 -1</f>
        <v>-1.3333320617679889E-2</v>
      </c>
    </row>
    <row r="261" spans="1:5" x14ac:dyDescent="0.2">
      <c r="A261" s="1">
        <f>Acciones!A262</f>
        <v>45377</v>
      </c>
      <c r="B261" s="4">
        <f>Acciones!B262/Acciones!B261 -1</f>
        <v>-3.1945794910746339E-2</v>
      </c>
      <c r="C261" s="4">
        <f>Acciones!C262/Acciones!C261 -1</f>
        <v>-2.9039921344513608E-2</v>
      </c>
      <c r="D261" s="4">
        <f>Acciones!D262/Acciones!D261 -1</f>
        <v>-1.9220373694229576E-2</v>
      </c>
      <c r="E261" s="4">
        <f>Acciones!E262/Acciones!E261 -1</f>
        <v>-5.4054082354284105E-2</v>
      </c>
    </row>
    <row r="262" spans="1:5" x14ac:dyDescent="0.2">
      <c r="A262" s="1">
        <f>Acciones!A263</f>
        <v>45378</v>
      </c>
      <c r="B262" s="4">
        <f>Acciones!B263/Acciones!B262 -1</f>
        <v>3.3333571017493124E-3</v>
      </c>
      <c r="C262" s="4">
        <f>Acciones!C263/Acciones!C262 -1</f>
        <v>6.3452919272401598E-2</v>
      </c>
      <c r="D262" s="4">
        <f>Acciones!D263/Acciones!D262 -1</f>
        <v>1.0492789288891524E-2</v>
      </c>
      <c r="E262" s="4">
        <f>Acciones!E263/Acciones!E262 -1</f>
        <v>1.4285700905076748E-2</v>
      </c>
    </row>
    <row r="263" spans="1:5" x14ac:dyDescent="0.2">
      <c r="A263" s="1">
        <f>Acciones!A264</f>
        <v>45383</v>
      </c>
      <c r="B263" s="4">
        <f>Acciones!B264/Acciones!B263 -1</f>
        <v>-9.3022612908378877E-3</v>
      </c>
      <c r="C263" s="4">
        <f>Acciones!C264/Acciones!C263 -1</f>
        <v>-5.0182181564286665E-3</v>
      </c>
      <c r="D263" s="4">
        <f>Acciones!D264/Acciones!D263 -1</f>
        <v>-1.1186591427300829E-2</v>
      </c>
      <c r="E263" s="4">
        <f>Acciones!E264/Acciones!E263 -1</f>
        <v>2.1126825004031735E-2</v>
      </c>
    </row>
    <row r="264" spans="1:5" x14ac:dyDescent="0.2">
      <c r="A264" s="1">
        <f>Acciones!A265</f>
        <v>45384</v>
      </c>
      <c r="B264" s="4">
        <f>Acciones!B265/Acciones!B264 -1</f>
        <v>-1.0060762080185137E-3</v>
      </c>
      <c r="C264" s="4">
        <f>Acciones!C265/Acciones!C264 -1</f>
        <v>-9.5216944926956426E-2</v>
      </c>
      <c r="D264" s="4">
        <f>Acciones!D265/Acciones!D264 -1</f>
        <v>-1.9398801939200072E-2</v>
      </c>
      <c r="E264" s="4">
        <f>Acciones!E265/Acciones!E264 -1</f>
        <v>-2.0689716974136241E-2</v>
      </c>
    </row>
    <row r="265" spans="1:5" x14ac:dyDescent="0.2">
      <c r="A265" s="1">
        <f>Acciones!A266</f>
        <v>45385</v>
      </c>
      <c r="B265" s="4">
        <f>Acciones!B266/Acciones!B265 -1</f>
        <v>-1.3427419697521481E-3</v>
      </c>
      <c r="C265" s="4">
        <f>Acciones!C266/Acciones!C265 -1</f>
        <v>-1.0934172509093343E-2</v>
      </c>
      <c r="D265" s="4">
        <f>Acciones!D266/Acciones!D265 -1</f>
        <v>-9.0732663094255095E-3</v>
      </c>
      <c r="E265" s="4">
        <f>Acciones!E266/Acciones!E265 -1</f>
        <v>-1.4084494035880857E-2</v>
      </c>
    </row>
    <row r="266" spans="1:5" x14ac:dyDescent="0.2">
      <c r="A266" s="1">
        <f>Acciones!A267</f>
        <v>45386</v>
      </c>
      <c r="B266" s="4">
        <f>Acciones!B267/Acciones!B266 -1</f>
        <v>-1.6806709939074516E-2</v>
      </c>
      <c r="C266" s="4">
        <f>Acciones!C267/Acciones!C266 -1</f>
        <v>-4.9267655600152005E-2</v>
      </c>
      <c r="D266" s="4">
        <f>Acciones!D267/Acciones!D266 -1</f>
        <v>-1.0753708142790863E-2</v>
      </c>
      <c r="E266" s="4">
        <f>Acciones!E267/Acciones!E266 -1</f>
        <v>0</v>
      </c>
    </row>
    <row r="267" spans="1:5" x14ac:dyDescent="0.2">
      <c r="A267" s="1">
        <f>Acciones!A268</f>
        <v>45387</v>
      </c>
      <c r="B267" s="4">
        <f>Acciones!B268/Acciones!B267 -1</f>
        <v>1.1282030499792928E-2</v>
      </c>
      <c r="C267" s="4">
        <f>Acciones!C268/Acciones!C267 -1</f>
        <v>-1.1921059843260084E-2</v>
      </c>
      <c r="D267" s="4">
        <f>Acciones!D268/Acciones!D267 -1</f>
        <v>-1.0613857929047898E-2</v>
      </c>
      <c r="E267" s="4">
        <f>Acciones!E268/Acciones!E267 -1</f>
        <v>0</v>
      </c>
    </row>
    <row r="268" spans="1:5" x14ac:dyDescent="0.2">
      <c r="A268" s="1">
        <f>Acciones!A269</f>
        <v>45390</v>
      </c>
      <c r="B268" s="4">
        <f>Acciones!B269/Acciones!B268 -1</f>
        <v>-1.1156166291432124E-2</v>
      </c>
      <c r="C268" s="4">
        <f>Acciones!C269/Acciones!C268 -1</f>
        <v>-3.3854132085911592E-2</v>
      </c>
      <c r="D268" s="4">
        <f>Acciones!D269/Acciones!D268 -1</f>
        <v>3.0181321869042765E-3</v>
      </c>
      <c r="E268" s="4">
        <f>Acciones!E269/Acciones!E268 -1</f>
        <v>0</v>
      </c>
    </row>
    <row r="269" spans="1:5" x14ac:dyDescent="0.2">
      <c r="A269" s="1">
        <f>Acciones!A270</f>
        <v>45391</v>
      </c>
      <c r="B269" s="4">
        <f>Acciones!B270/Acciones!B269 -1</f>
        <v>-1.0256415761645821E-2</v>
      </c>
      <c r="C269" s="4">
        <f>Acciones!C270/Acciones!C269 -1</f>
        <v>5.9708622671055256E-3</v>
      </c>
      <c r="D269" s="4">
        <f>Acciones!D270/Acciones!D269 -1</f>
        <v>1.7129113954415631E-2</v>
      </c>
      <c r="E269" s="4">
        <f>Acciones!E270/Acciones!E269 -1</f>
        <v>0</v>
      </c>
    </row>
    <row r="270" spans="1:5" x14ac:dyDescent="0.2">
      <c r="A270" s="1">
        <f>Acciones!A271</f>
        <v>45392</v>
      </c>
      <c r="B270" s="4">
        <f>Acciones!B271/Acciones!B270 -1</f>
        <v>-3.2469802122757851E-2</v>
      </c>
      <c r="C270" s="4">
        <f>Acciones!C271/Acciones!C270 -1</f>
        <v>-3.2865291553935472E-2</v>
      </c>
      <c r="D270" s="4">
        <f>Acciones!D271/Acciones!D270 -1</f>
        <v>-1.8962385038824414E-2</v>
      </c>
      <c r="E270" s="4">
        <f>Acciones!E271/Acciones!E270 -1</f>
        <v>-1.4285700905084187E-2</v>
      </c>
    </row>
    <row r="271" spans="1:5" x14ac:dyDescent="0.2">
      <c r="A271" s="1">
        <f>Acciones!A272</f>
        <v>45393</v>
      </c>
      <c r="B271" s="4">
        <f>Acciones!B272/Acciones!B271 -1</f>
        <v>3.5702489715463415E-3</v>
      </c>
      <c r="C271" s="4">
        <f>Acciones!C272/Acciones!C271 -1</f>
        <v>1.3501687483513214E-2</v>
      </c>
      <c r="D271" s="4">
        <f>Acciones!D272/Acciones!D271 -1</f>
        <v>3.2749493956526932E-2</v>
      </c>
      <c r="E271" s="4">
        <f>Acciones!E272/Acciones!E271 -1</f>
        <v>0</v>
      </c>
    </row>
    <row r="272" spans="1:5" x14ac:dyDescent="0.2">
      <c r="A272" s="1">
        <f>Acciones!A273</f>
        <v>45394</v>
      </c>
      <c r="B272" s="4">
        <f>Acciones!B273/Acciones!B272 -1</f>
        <v>-2.4902205140558631E-2</v>
      </c>
      <c r="C272" s="4">
        <f>Acciones!C273/Acciones!C272 -1</f>
        <v>-7.3529411764705843E-2</v>
      </c>
      <c r="D272" s="4">
        <f>Acciones!D273/Acciones!D272 -1</f>
        <v>9.467065528964369E-3</v>
      </c>
      <c r="E272" s="4">
        <f>Acciones!E273/Acciones!E272 -1</f>
        <v>0</v>
      </c>
    </row>
    <row r="273" spans="1:5" x14ac:dyDescent="0.2">
      <c r="A273" s="1">
        <f>Acciones!A274</f>
        <v>45397</v>
      </c>
      <c r="B273" s="4">
        <f>Acciones!B274/Acciones!B273 -1</f>
        <v>9.8503816264845501E-3</v>
      </c>
      <c r="C273" s="4">
        <f>Acciones!C274/Acciones!C273 -1</f>
        <v>-5.1353874883286688E-2</v>
      </c>
      <c r="D273" s="4">
        <f>Acciones!D274/Acciones!D273 -1</f>
        <v>1.8874268405305594E-2</v>
      </c>
      <c r="E273" s="4">
        <f>Acciones!E274/Acciones!E273 -1</f>
        <v>-7.9710155568984309E-2</v>
      </c>
    </row>
    <row r="274" spans="1:5" x14ac:dyDescent="0.2">
      <c r="A274" s="1">
        <f>Acciones!A275</f>
        <v>45398</v>
      </c>
      <c r="B274" s="4">
        <f>Acciones!B275/Acciones!B274 -1</f>
        <v>-1.5895924659274141E-2</v>
      </c>
      <c r="C274" s="4">
        <f>Acciones!C275/Acciones!C274 -1</f>
        <v>-1.7204705185779545E-2</v>
      </c>
      <c r="D274" s="4">
        <f>Acciones!D275/Acciones!D274 -1</f>
        <v>2.1331686937108074E-2</v>
      </c>
      <c r="E274" s="4">
        <f>Acciones!E275/Acciones!E274 -1</f>
        <v>0</v>
      </c>
    </row>
    <row r="275" spans="1:5" x14ac:dyDescent="0.2">
      <c r="A275" s="1">
        <f>Acciones!A276</f>
        <v>45399</v>
      </c>
      <c r="B275" s="4">
        <f>Acciones!B276/Acciones!B275 -1</f>
        <v>-4.0382436828020341E-3</v>
      </c>
      <c r="C275" s="4">
        <f>Acciones!C276/Acciones!C275 -1</f>
        <v>-5.8887200735067147E-3</v>
      </c>
      <c r="D275" s="4">
        <f>Acciones!D276/Acciones!D275 -1</f>
        <v>9.4526003769375144E-3</v>
      </c>
      <c r="E275" s="4">
        <f>Acciones!E276/Acciones!E275 -1</f>
        <v>0</v>
      </c>
    </row>
    <row r="276" spans="1:5" x14ac:dyDescent="0.2">
      <c r="A276" s="1">
        <f>Acciones!A277</f>
        <v>45400</v>
      </c>
      <c r="B276" s="4">
        <f>Acciones!B277/Acciones!B276 -1</f>
        <v>2.2852948493246927E-2</v>
      </c>
      <c r="C276" s="4">
        <f>Acciones!C277/Acciones!C276 -1</f>
        <v>3.8765292453353917E-2</v>
      </c>
      <c r="D276" s="4">
        <f>Acciones!D277/Acciones!D276 -1</f>
        <v>1.6728038660734024E-2</v>
      </c>
      <c r="E276" s="4">
        <f>Acciones!E277/Acciones!E276 -1</f>
        <v>0</v>
      </c>
    </row>
    <row r="277" spans="1:5" x14ac:dyDescent="0.2">
      <c r="A277" s="1">
        <f>Acciones!A278</f>
        <v>45401</v>
      </c>
      <c r="B277" s="4">
        <f>Acciones!B278/Acciones!B277 -1</f>
        <v>3.6036999381612311E-3</v>
      </c>
      <c r="C277" s="4">
        <f>Acciones!C278/Acciones!C277 -1</f>
        <v>9.6283681595751514E-2</v>
      </c>
      <c r="D277" s="4">
        <f>Acciones!D278/Acciones!D277 -1</f>
        <v>-3.6337308467604412E-3</v>
      </c>
      <c r="E277" s="4">
        <f>Acciones!E278/Acciones!E277 -1</f>
        <v>0</v>
      </c>
    </row>
    <row r="278" spans="1:5" x14ac:dyDescent="0.2">
      <c r="A278" s="1">
        <f>Acciones!A279</f>
        <v>45404</v>
      </c>
      <c r="B278" s="4">
        <f>Acciones!B279/Acciones!B278 -1</f>
        <v>5.3859284717470146E-3</v>
      </c>
      <c r="C278" s="4">
        <f>Acciones!C279/Acciones!C278 -1</f>
        <v>5.8846442051107006E-2</v>
      </c>
      <c r="D278" s="4">
        <f>Acciones!D279/Acciones!D278 -1</f>
        <v>-4.3050156080518542E-3</v>
      </c>
      <c r="E278" s="4">
        <f>Acciones!E279/Acciones!E278 -1</f>
        <v>0</v>
      </c>
    </row>
    <row r="279" spans="1:5" x14ac:dyDescent="0.2">
      <c r="A279" s="1">
        <f>Acciones!A280</f>
        <v>45405</v>
      </c>
      <c r="B279" s="4">
        <f>Acciones!B280/Acciones!B279 -1</f>
        <v>-3.5714538540210228E-3</v>
      </c>
      <c r="C279" s="4">
        <f>Acciones!C280/Acciones!C279 -1</f>
        <v>0.10232929182556494</v>
      </c>
      <c r="D279" s="4">
        <f>Acciones!D280/Acciones!D279 -1</f>
        <v>-1.1334146942166168E-2</v>
      </c>
      <c r="E279" s="4">
        <f>Acciones!E280/Acciones!E279 -1</f>
        <v>0</v>
      </c>
    </row>
    <row r="280" spans="1:5" x14ac:dyDescent="0.2">
      <c r="A280" s="1">
        <f>Acciones!A281</f>
        <v>45406</v>
      </c>
      <c r="B280" s="4">
        <f>Acciones!B281/Acciones!B280 -1</f>
        <v>-3.2257941985628369E-3</v>
      </c>
      <c r="C280" s="4">
        <f>Acciones!C281/Acciones!C280 -1</f>
        <v>-1.1732590709646606E-2</v>
      </c>
      <c r="D280" s="4">
        <f>Acciones!D281/Acciones!D280 -1</f>
        <v>5.4603026579520542E-3</v>
      </c>
      <c r="E280" s="4">
        <f>Acciones!E281/Acciones!E280 -1</f>
        <v>-7.8740083570431052E-3</v>
      </c>
    </row>
    <row r="281" spans="1:5" x14ac:dyDescent="0.2">
      <c r="A281" s="1">
        <f>Acciones!A282</f>
        <v>45407</v>
      </c>
      <c r="B281" s="4">
        <f>Acciones!B282/Acciones!B281 -1</f>
        <v>1.0427871734805194E-2</v>
      </c>
      <c r="C281" s="4">
        <f>Acciones!C282/Acciones!C281 -1</f>
        <v>6.1319752740374156E-5</v>
      </c>
      <c r="D281" s="4">
        <f>Acciones!D282/Acciones!D281 -1</f>
        <v>5.2877258301189389E-3</v>
      </c>
      <c r="E281" s="4">
        <f>Acciones!E282/Acciones!E281 -1</f>
        <v>0</v>
      </c>
    </row>
    <row r="282" spans="1:5" x14ac:dyDescent="0.2">
      <c r="A282" s="1">
        <f>Acciones!A283</f>
        <v>45408</v>
      </c>
      <c r="B282" s="4">
        <f>Acciones!B283/Acciones!B282 -1</f>
        <v>2.0996486093659117E-2</v>
      </c>
      <c r="C282" s="4">
        <f>Acciones!C283/Acciones!C282 -1</f>
        <v>1.438651055646023E-2</v>
      </c>
      <c r="D282" s="4">
        <f>Acciones!D283/Acciones!D282 -1</f>
        <v>-4.5430026272370583E-3</v>
      </c>
      <c r="E282" s="4">
        <f>Acciones!E283/Acciones!E282 -1</f>
        <v>0</v>
      </c>
    </row>
    <row r="283" spans="1:5" x14ac:dyDescent="0.2">
      <c r="A283" s="1">
        <f>Acciones!A284</f>
        <v>45411</v>
      </c>
      <c r="B283" s="4">
        <f>Acciones!B284/Acciones!B283 -1</f>
        <v>2.9627086496194721E-2</v>
      </c>
      <c r="C283" s="4">
        <f>Acciones!C284/Acciones!C283 -1</f>
        <v>-7.7958204327223113E-2</v>
      </c>
      <c r="D283" s="4">
        <f>Acciones!D284/Acciones!D283 -1</f>
        <v>-5.0416539450954811E-3</v>
      </c>
      <c r="E283" s="4">
        <f>Acciones!E284/Acciones!E283 -1</f>
        <v>0</v>
      </c>
    </row>
    <row r="284" spans="1:5" x14ac:dyDescent="0.2">
      <c r="A284" s="1">
        <f>Acciones!A285</f>
        <v>45412</v>
      </c>
      <c r="B284" s="4">
        <f>Acciones!B285/Acciones!B284 -1</f>
        <v>-2.9451632377646031E-2</v>
      </c>
      <c r="C284" s="4">
        <f>Acciones!C285/Acciones!C284 -1</f>
        <v>-9.1436832337284168E-2</v>
      </c>
      <c r="D284" s="4">
        <f>Acciones!D285/Acciones!D284 -1</f>
        <v>-1.274332529025568E-2</v>
      </c>
      <c r="E284" s="4">
        <f>Acciones!E285/Acciones!E284 -1</f>
        <v>-7.9365004277288653E-3</v>
      </c>
    </row>
    <row r="285" spans="1:5" x14ac:dyDescent="0.2">
      <c r="A285" s="1">
        <f>Acciones!A286</f>
        <v>45414</v>
      </c>
      <c r="B285" s="4">
        <f>Acciones!B286/Acciones!B285 -1</f>
        <v>3.1391578782344887E-3</v>
      </c>
      <c r="C285" s="4">
        <f>Acciones!C286/Acciones!C285 -1</f>
        <v>4.6781906335724877E-2</v>
      </c>
      <c r="D285" s="4">
        <f>Acciones!D286/Acciones!D285 -1</f>
        <v>-3.1731447806745416E-3</v>
      </c>
      <c r="E285" s="4">
        <f>Acciones!E286/Acciones!E285 -1</f>
        <v>-7.9999923706080001E-3</v>
      </c>
    </row>
    <row r="286" spans="1:5" x14ac:dyDescent="0.2">
      <c r="A286" s="1">
        <f>Acciones!A287</f>
        <v>45415</v>
      </c>
      <c r="B286" s="4">
        <f>Acciones!B287/Acciones!B286 -1</f>
        <v>2.0514646846297113E-2</v>
      </c>
      <c r="C286" s="4">
        <f>Acciones!C287/Acciones!C286 -1</f>
        <v>2.3966386568770481E-2</v>
      </c>
      <c r="D286" s="4">
        <f>Acciones!D287/Acciones!D286 -1</f>
        <v>-7.1020772212326833E-3</v>
      </c>
      <c r="E286" s="4">
        <f>Acciones!E287/Acciones!E286 -1</f>
        <v>0</v>
      </c>
    </row>
    <row r="287" spans="1:5" x14ac:dyDescent="0.2">
      <c r="A287" s="1">
        <f>Acciones!A288</f>
        <v>45418</v>
      </c>
      <c r="B287" s="4">
        <f>Acciones!B288/Acciones!B287 -1</f>
        <v>-2.8279419040363907E-2</v>
      </c>
      <c r="C287" s="4">
        <f>Acciones!C288/Acciones!C287 -1</f>
        <v>0.17744326129249988</v>
      </c>
      <c r="D287" s="4">
        <f>Acciones!D288/Acciones!D287 -1</f>
        <v>3.3274449468962963E-3</v>
      </c>
      <c r="E287" s="4">
        <f>Acciones!E288/Acciones!E287 -1</f>
        <v>-2.4193525128260229E-2</v>
      </c>
    </row>
    <row r="288" spans="1:5" x14ac:dyDescent="0.2">
      <c r="A288" s="1">
        <f>Acciones!A289</f>
        <v>45419</v>
      </c>
      <c r="B288" s="4">
        <f>Acciones!B289/Acciones!B288 -1</f>
        <v>3.4712487655914392E-2</v>
      </c>
      <c r="C288" s="4">
        <f>Acciones!C289/Acciones!C288 -1</f>
        <v>-2.903067172362972E-2</v>
      </c>
      <c r="D288" s="4">
        <f>Acciones!D289/Acciones!D288 -1</f>
        <v>7.568404894359837E-3</v>
      </c>
      <c r="E288" s="4">
        <f>Acciones!E289/Acciones!E288 -1</f>
        <v>-1.6528909335530639E-2</v>
      </c>
    </row>
    <row r="289" spans="1:5" x14ac:dyDescent="0.2">
      <c r="A289" s="1">
        <f>Acciones!A290</f>
        <v>45420</v>
      </c>
      <c r="B289" s="4">
        <f>Acciones!B290/Acciones!B289 -1</f>
        <v>-2.7109513421615272E-2</v>
      </c>
      <c r="C289" s="4">
        <f>Acciones!C290/Acciones!C289 -1</f>
        <v>6.2448304718369929E-3</v>
      </c>
      <c r="D289" s="4">
        <f>Acciones!D290/Acciones!D289 -1</f>
        <v>-2.5649926580331162E-3</v>
      </c>
      <c r="E289" s="4">
        <f>Acciones!E290/Acciones!E289 -1</f>
        <v>-8.4034531022612047E-3</v>
      </c>
    </row>
    <row r="290" spans="1:5" x14ac:dyDescent="0.2">
      <c r="A290" s="1">
        <f>Acciones!A291</f>
        <v>45421</v>
      </c>
      <c r="B290" s="4">
        <f>Acciones!B291/Acciones!B290 -1</f>
        <v>3.0651423234113073E-2</v>
      </c>
      <c r="C290" s="4">
        <f>Acciones!C291/Acciones!C290 -1</f>
        <v>-3.627053403705871E-2</v>
      </c>
      <c r="D290" s="4">
        <f>Acciones!D291/Acciones!D290 -1</f>
        <v>-1.1590903190717983E-3</v>
      </c>
      <c r="E290" s="4">
        <f>Acciones!E291/Acciones!E290 -1</f>
        <v>-8.4745685659057823E-3</v>
      </c>
    </row>
    <row r="291" spans="1:5" x14ac:dyDescent="0.2">
      <c r="A291" s="1">
        <f>Acciones!A292</f>
        <v>45422</v>
      </c>
      <c r="B291" s="4">
        <f>Acciones!B292/Acciones!B291 -1</f>
        <v>-3.4809070853892843E-2</v>
      </c>
      <c r="C291" s="4">
        <f>Acciones!C292/Acciones!C291 -1</f>
        <v>-0.12135106080127689</v>
      </c>
      <c r="D291" s="4">
        <f>Acciones!D292/Acciones!D291 -1</f>
        <v>-3.0634035134110005E-2</v>
      </c>
      <c r="E291" s="4">
        <f>Acciones!E292/Acciones!E291 -1</f>
        <v>2.5641104016630001E-2</v>
      </c>
    </row>
    <row r="292" spans="1:5" x14ac:dyDescent="0.2">
      <c r="A292" s="1">
        <f>Acciones!A293</f>
        <v>45425</v>
      </c>
      <c r="B292" s="4">
        <f>Acciones!B293/Acciones!B292 -1</f>
        <v>2.2759092934653502E-2</v>
      </c>
      <c r="C292" s="4">
        <f>Acciones!C293/Acciones!C292 -1</f>
        <v>-3.9411415679675432E-3</v>
      </c>
      <c r="D292" s="4">
        <f>Acciones!D293/Acciones!D292 -1</f>
        <v>1.7276142798760219E-2</v>
      </c>
      <c r="E292" s="4">
        <f>Acciones!E293/Acciones!E292 -1</f>
        <v>0</v>
      </c>
    </row>
    <row r="293" spans="1:5" x14ac:dyDescent="0.2">
      <c r="A293" s="1">
        <f>Acciones!A294</f>
        <v>45426</v>
      </c>
      <c r="B293" s="4">
        <f>Acciones!B294/Acciones!B293 -1</f>
        <v>-2.327966218418176E-2</v>
      </c>
      <c r="C293" s="4">
        <f>Acciones!C294/Acciones!C293 -1</f>
        <v>5.5115941801797241E-2</v>
      </c>
      <c r="D293" s="4">
        <f>Acciones!D294/Acciones!D293 -1</f>
        <v>3.7876859687202558E-3</v>
      </c>
      <c r="E293" s="4">
        <f>Acciones!E294/Acciones!E293 -1</f>
        <v>-3.333339956071657E-2</v>
      </c>
    </row>
    <row r="294" spans="1:5" x14ac:dyDescent="0.2">
      <c r="A294" s="1">
        <f>Acciones!A295</f>
        <v>45427</v>
      </c>
      <c r="B294" s="4">
        <f>Acciones!B295/Acciones!B294 -1</f>
        <v>4.2060597113988685E-3</v>
      </c>
      <c r="C294" s="4">
        <f>Acciones!C295/Acciones!C294 -1</f>
        <v>0.10062498795358543</v>
      </c>
      <c r="D294" s="4">
        <f>Acciones!D295/Acciones!D294 -1</f>
        <v>-2.4196213955853252E-2</v>
      </c>
      <c r="E294" s="4">
        <f>Acciones!E295/Acciones!E294 -1</f>
        <v>2.5862147812329761E-2</v>
      </c>
    </row>
    <row r="295" spans="1:5" x14ac:dyDescent="0.2">
      <c r="A295" s="1">
        <f>Acciones!A296</f>
        <v>45428</v>
      </c>
      <c r="B295" s="4">
        <f>Acciones!B296/Acciones!B295 -1</f>
        <v>-1.7452062211306907E-2</v>
      </c>
      <c r="C295" s="4">
        <f>Acciones!C296/Acciones!C295 -1</f>
        <v>-2.089121106692049E-2</v>
      </c>
      <c r="D295" s="4">
        <f>Acciones!D296/Acciones!D295 -1</f>
        <v>1.1002865559672781E-2</v>
      </c>
      <c r="E295" s="4">
        <f>Acciones!E296/Acciones!E295 -1</f>
        <v>5.0420117558393374E-2</v>
      </c>
    </row>
    <row r="296" spans="1:5" x14ac:dyDescent="0.2">
      <c r="A296" s="1">
        <f>Acciones!A297</f>
        <v>45429</v>
      </c>
      <c r="B296" s="4">
        <f>Acciones!B297/Acciones!B296 -1</f>
        <v>3.9077004377532365E-3</v>
      </c>
      <c r="C296" s="4">
        <f>Acciones!C297/Acciones!C296 -1</f>
        <v>-1.7796144631333721E-2</v>
      </c>
      <c r="D296" s="4">
        <f>Acciones!D297/Acciones!D296 -1</f>
        <v>-7.8637873616930198E-3</v>
      </c>
      <c r="E296" s="4">
        <f>Acciones!E297/Acciones!E296 -1</f>
        <v>0</v>
      </c>
    </row>
    <row r="297" spans="1:5" x14ac:dyDescent="0.2">
      <c r="A297" s="1">
        <f>Acciones!A298</f>
        <v>45432</v>
      </c>
      <c r="B297" s="4">
        <f>Acciones!B298/Acciones!B297 -1</f>
        <v>2.2292977927925728E-2</v>
      </c>
      <c r="C297" s="4">
        <f>Acciones!C298/Acciones!C297 -1</f>
        <v>0.15411628812836242</v>
      </c>
      <c r="D297" s="4">
        <f>Acciones!D298/Acciones!D297 -1</f>
        <v>-8.6458719216776503E-3</v>
      </c>
      <c r="E297" s="4">
        <f>Acciones!E298/Acciones!E297 -1</f>
        <v>1.5999984741208007E-2</v>
      </c>
    </row>
    <row r="298" spans="1:5" x14ac:dyDescent="0.2">
      <c r="A298" s="1">
        <f>Acciones!A299</f>
        <v>45433</v>
      </c>
      <c r="B298" s="4">
        <f>Acciones!B299/Acciones!B298 -1</f>
        <v>-6.5766149178737576E-3</v>
      </c>
      <c r="C298" s="4">
        <f>Acciones!C299/Acciones!C298 -1</f>
        <v>-4.0607462212144174E-2</v>
      </c>
      <c r="D298" s="4">
        <f>Acciones!D299/Acciones!D298 -1</f>
        <v>1.5079309432314947E-2</v>
      </c>
      <c r="E298" s="4">
        <f>Acciones!E299/Acciones!E298 -1</f>
        <v>-7.8740083570431052E-3</v>
      </c>
    </row>
    <row r="299" spans="1:5" x14ac:dyDescent="0.2">
      <c r="A299" s="1">
        <f>Acciones!A300</f>
        <v>45434</v>
      </c>
      <c r="B299" s="4">
        <f>Acciones!B300/Acciones!B299 -1</f>
        <v>-3.4846870025173615E-4</v>
      </c>
      <c r="C299" s="4">
        <f>Acciones!C300/Acciones!C299 -1</f>
        <v>-8.9817340799233092E-3</v>
      </c>
      <c r="D299" s="4">
        <f>Acciones!D300/Acciones!D299 -1</f>
        <v>2.1787659171856877E-3</v>
      </c>
      <c r="E299" s="4">
        <f>Acciones!E300/Acciones!E299 -1</f>
        <v>0</v>
      </c>
    </row>
    <row r="300" spans="1:5" x14ac:dyDescent="0.2">
      <c r="A300" s="1">
        <f>Acciones!A301</f>
        <v>45435</v>
      </c>
      <c r="B300" s="4">
        <f>Acciones!B301/Acciones!B300 -1</f>
        <v>3.8340814751569585E-3</v>
      </c>
      <c r="C300" s="4">
        <f>Acciones!C301/Acciones!C300 -1</f>
        <v>-4.7949454286942306E-2</v>
      </c>
      <c r="D300" s="4">
        <f>Acciones!D301/Acciones!D300 -1</f>
        <v>-8.4565520114148196E-3</v>
      </c>
      <c r="E300" s="4">
        <f>Acciones!E301/Acciones!E300 -1</f>
        <v>7.9365004277367479E-3</v>
      </c>
    </row>
    <row r="301" spans="1:5" x14ac:dyDescent="0.2">
      <c r="A301" s="1">
        <f>Acciones!A302</f>
        <v>45436</v>
      </c>
      <c r="B301" s="4">
        <f>Acciones!B302/Acciones!B301 -1</f>
        <v>-8.6805830022024244E-3</v>
      </c>
      <c r="C301" s="4">
        <f>Acciones!C302/Acciones!C301 -1</f>
        <v>4.8936523890274808E-2</v>
      </c>
      <c r="D301" s="4">
        <f>Acciones!D302/Acciones!D301 -1</f>
        <v>3.1419453954619758E-3</v>
      </c>
      <c r="E301" s="4">
        <f>Acciones!E302/Acciones!E301 -1</f>
        <v>0</v>
      </c>
    </row>
    <row r="302" spans="1:5" x14ac:dyDescent="0.2">
      <c r="A302" s="1">
        <f>Acciones!A303</f>
        <v>45439</v>
      </c>
      <c r="B302" s="4">
        <f>Acciones!B303/Acciones!B302 -1</f>
        <v>1.3660308001023802E-2</v>
      </c>
      <c r="C302" s="4">
        <f>Acciones!C303/Acciones!C302 -1</f>
        <v>-2.83624792353665E-4</v>
      </c>
      <c r="D302" s="4">
        <f>Acciones!D303/Acciones!D302 -1</f>
        <v>0</v>
      </c>
      <c r="E302" s="4">
        <f>Acciones!E303/Acciones!E302 -1</f>
        <v>2.3622025071121655E-2</v>
      </c>
    </row>
    <row r="303" spans="1:5" x14ac:dyDescent="0.2">
      <c r="A303" s="1">
        <f>Acciones!A304</f>
        <v>45440</v>
      </c>
      <c r="B303" s="4">
        <f>Acciones!B304/Acciones!B303 -1</f>
        <v>-1.4858330643950368E-2</v>
      </c>
      <c r="C303" s="4">
        <f>Acciones!C304/Acciones!C303 -1</f>
        <v>-9.3333575742468033E-3</v>
      </c>
      <c r="D303" s="4">
        <f>Acciones!D304/Acciones!D303 -1</f>
        <v>9.8458440021309546E-3</v>
      </c>
      <c r="E303" s="4">
        <f>Acciones!E304/Acciones!E303 -1</f>
        <v>1.5384692976461167E-2</v>
      </c>
    </row>
    <row r="304" spans="1:5" x14ac:dyDescent="0.2">
      <c r="A304" s="1">
        <f>Acciones!A305</f>
        <v>45441</v>
      </c>
      <c r="B304" s="4">
        <f>Acciones!B305/Acciones!B304 -1</f>
        <v>3.8582881398478985E-3</v>
      </c>
      <c r="C304" s="4">
        <f>Acciones!C305/Acciones!C304 -1</f>
        <v>-1.4060318382217885E-2</v>
      </c>
      <c r="D304" s="4">
        <f>Acciones!D305/Acciones!D304 -1</f>
        <v>6.6486768299889309E-3</v>
      </c>
      <c r="E304" s="4">
        <f>Acciones!E305/Acciones!E304 -1</f>
        <v>-7.5758403599784918E-3</v>
      </c>
    </row>
    <row r="305" spans="1:5" x14ac:dyDescent="0.2">
      <c r="A305" s="1">
        <f>Acciones!A306</f>
        <v>45442</v>
      </c>
      <c r="B305" s="4">
        <f>Acciones!B306/Acciones!B305 -1</f>
        <v>1.0482117184286155E-2</v>
      </c>
      <c r="C305" s="4">
        <f>Acciones!C306/Acciones!C305 -1</f>
        <v>-1.5393517225899433E-2</v>
      </c>
      <c r="D305" s="4">
        <f>Acciones!D306/Acciones!D305 -1</f>
        <v>1.7150130451627499E-2</v>
      </c>
      <c r="E305" s="4">
        <f>Acciones!E306/Acciones!E305 -1</f>
        <v>3.0534414358399431E-2</v>
      </c>
    </row>
    <row r="306" spans="1:5" x14ac:dyDescent="0.2">
      <c r="A306" s="1">
        <f>Acciones!A307</f>
        <v>45443</v>
      </c>
      <c r="B306" s="4">
        <f>Acciones!B307/Acciones!B306 -1</f>
        <v>2.7663393001162717E-3</v>
      </c>
      <c r="C306" s="4">
        <f>Acciones!C307/Acciones!C306 -1</f>
        <v>-3.3598863269728607E-2</v>
      </c>
      <c r="D306" s="4">
        <f>Acciones!D307/Acciones!D306 -1</f>
        <v>1.3964549414131611E-2</v>
      </c>
      <c r="E306" s="4">
        <f>Acciones!E307/Acciones!E306 -1</f>
        <v>-2.2222200637001088E-2</v>
      </c>
    </row>
    <row r="307" spans="1:5" x14ac:dyDescent="0.2">
      <c r="A307" s="1">
        <f>Acciones!A308</f>
        <v>45446</v>
      </c>
      <c r="B307" s="4">
        <f>Acciones!B308/Acciones!B307 -1</f>
        <v>-0.10172421097167716</v>
      </c>
      <c r="C307" s="4">
        <f>Acciones!C308/Acciones!C307 -1</f>
        <v>5.2074200540208393E-2</v>
      </c>
      <c r="D307" s="4">
        <f>Acciones!D308/Acciones!D307 -1</f>
        <v>4.1363812255114762E-2</v>
      </c>
      <c r="E307" s="4">
        <f>Acciones!E308/Acciones!E307 -1</f>
        <v>-1.5151590409899773E-2</v>
      </c>
    </row>
    <row r="308" spans="1:5" x14ac:dyDescent="0.2">
      <c r="A308" s="1">
        <f>Acciones!A309</f>
        <v>45447</v>
      </c>
      <c r="B308" s="4">
        <f>Acciones!B309/Acciones!B308 -1</f>
        <v>1.7658399707150441E-2</v>
      </c>
      <c r="C308" s="4">
        <f>Acciones!C309/Acciones!C308 -1</f>
        <v>6.5715011501088938E-2</v>
      </c>
      <c r="D308" s="4">
        <f>Acciones!D309/Acciones!D308 -1</f>
        <v>8.7152016552975997E-3</v>
      </c>
      <c r="E308" s="4">
        <f>Acciones!E309/Acciones!E308 -1</f>
        <v>0</v>
      </c>
    </row>
    <row r="309" spans="1:5" x14ac:dyDescent="0.2">
      <c r="A309" s="1">
        <f>Acciones!A310</f>
        <v>45448</v>
      </c>
      <c r="B309" s="4">
        <f>Acciones!B310/Acciones!B309 -1</f>
        <v>1.3202547365186668E-2</v>
      </c>
      <c r="C309" s="4">
        <f>Acciones!C310/Acciones!C309 -1</f>
        <v>5.09091549575591E-3</v>
      </c>
      <c r="D309" s="4">
        <f>Acciones!D310/Acciones!D309 -1</f>
        <v>-2.2423503273706569E-2</v>
      </c>
      <c r="E309" s="4">
        <f>Acciones!E310/Acciones!E309 -1</f>
        <v>0</v>
      </c>
    </row>
    <row r="310" spans="1:5" x14ac:dyDescent="0.2">
      <c r="A310" s="1">
        <f>Acciones!A311</f>
        <v>45449</v>
      </c>
      <c r="B310" s="4">
        <f>Acciones!B311/Acciones!B310 -1</f>
        <v>-1.6753545997726049E-2</v>
      </c>
      <c r="C310" s="4">
        <f>Acciones!C311/Acciones!C310 -1</f>
        <v>1.083684407958696E-4</v>
      </c>
      <c r="D310" s="4">
        <f>Acciones!D311/Acciones!D310 -1</f>
        <v>3.4024902972899396E-2</v>
      </c>
      <c r="E310" s="4">
        <f>Acciones!E311/Acciones!E310 -1</f>
        <v>-4.6153803831019191E-2</v>
      </c>
    </row>
    <row r="311" spans="1:5" x14ac:dyDescent="0.2">
      <c r="A311" s="1">
        <f>Acciones!A312</f>
        <v>45450</v>
      </c>
      <c r="B311" s="4">
        <f>Acciones!B312/Acciones!B311 -1</f>
        <v>-4.9981050923228021E-2</v>
      </c>
      <c r="C311" s="4">
        <f>Acciones!C312/Acciones!C311 -1</f>
        <v>-3.7835497670909213E-2</v>
      </c>
      <c r="D311" s="4">
        <f>Acciones!D312/Acciones!D311 -1</f>
        <v>4.6980838429590444E-2</v>
      </c>
      <c r="E311" s="4">
        <f>Acciones!E312/Acciones!E311 -1</f>
        <v>8.0645083760892966E-3</v>
      </c>
    </row>
    <row r="312" spans="1:5" x14ac:dyDescent="0.2">
      <c r="A312" s="1">
        <f>Acciones!A313</f>
        <v>45453</v>
      </c>
      <c r="B312" s="4">
        <f>Acciones!B313/Acciones!B312 -1</f>
        <v>3.3878005109145848E-2</v>
      </c>
      <c r="C312" s="4">
        <f>Acciones!C313/Acciones!C312 -1</f>
        <v>1.407076270729668E-4</v>
      </c>
      <c r="D312" s="4">
        <f>Acciones!D313/Acciones!D312 -1</f>
        <v>-1.4524530045723294E-2</v>
      </c>
      <c r="E312" s="4">
        <f>Acciones!E313/Acciones!E312 -1</f>
        <v>-2.3999977111824E-2</v>
      </c>
    </row>
    <row r="313" spans="1:5" x14ac:dyDescent="0.2">
      <c r="A313" s="1">
        <f>Acciones!A314</f>
        <v>45454</v>
      </c>
      <c r="B313" s="4">
        <f>Acciones!B314/Acciones!B313 -1</f>
        <v>-3.8550018751455362E-3</v>
      </c>
      <c r="C313" s="4">
        <f>Acciones!C314/Acciones!C313 -1</f>
        <v>3.0564903728468984E-2</v>
      </c>
      <c r="D313" s="4">
        <f>Acciones!D314/Acciones!D313 -1</f>
        <v>1.7727105164948576E-3</v>
      </c>
      <c r="E313" s="4">
        <f>Acciones!E314/Acciones!E313 -1</f>
        <v>0</v>
      </c>
    </row>
    <row r="314" spans="1:5" x14ac:dyDescent="0.2">
      <c r="A314" s="1">
        <f>Acciones!A315</f>
        <v>45455</v>
      </c>
      <c r="B314" s="4">
        <f>Acciones!B315/Acciones!B314 -1</f>
        <v>-9.2879153505615042E-3</v>
      </c>
      <c r="C314" s="4">
        <f>Acciones!C315/Acciones!C314 -1</f>
        <v>4.4815174762445897E-2</v>
      </c>
      <c r="D314" s="4">
        <f>Acciones!D315/Acciones!D314 -1</f>
        <v>-7.4299056407811648E-3</v>
      </c>
      <c r="E314" s="4">
        <f>Acciones!E315/Acciones!E314 -1</f>
        <v>0</v>
      </c>
    </row>
    <row r="315" spans="1:5" x14ac:dyDescent="0.2">
      <c r="A315" s="1">
        <f>Acciones!A316</f>
        <v>45456</v>
      </c>
      <c r="B315" s="4">
        <f>Acciones!B316/Acciones!B315 -1</f>
        <v>-7.8125551003227489E-3</v>
      </c>
      <c r="C315" s="4">
        <f>Acciones!C316/Acciones!C315 -1</f>
        <v>-3.8344877999479499E-2</v>
      </c>
      <c r="D315" s="4">
        <f>Acciones!D316/Acciones!D315 -1</f>
        <v>-2.4629278197748627E-3</v>
      </c>
      <c r="E315" s="4">
        <f>Acciones!E316/Acciones!E315 -1</f>
        <v>0</v>
      </c>
    </row>
    <row r="316" spans="1:5" x14ac:dyDescent="0.2">
      <c r="A316" s="1">
        <f>Acciones!A317</f>
        <v>45457</v>
      </c>
      <c r="B316" s="4">
        <f>Acciones!B317/Acciones!B316 -1</f>
        <v>-8.2676594080374199E-3</v>
      </c>
      <c r="C316" s="4">
        <f>Acciones!C317/Acciones!C316 -1</f>
        <v>-2.8621126564875365E-2</v>
      </c>
      <c r="D316" s="4">
        <f>Acciones!D317/Acciones!D316 -1</f>
        <v>-8.9991713446960775E-3</v>
      </c>
      <c r="E316" s="4">
        <f>Acciones!E317/Acciones!E316 -1</f>
        <v>0</v>
      </c>
    </row>
    <row r="317" spans="1:5" x14ac:dyDescent="0.2">
      <c r="A317" s="1">
        <f>Acciones!A318</f>
        <v>45460</v>
      </c>
      <c r="B317" s="4">
        <f>Acciones!B318/Acciones!B317 -1</f>
        <v>1.7070269473492772E-2</v>
      </c>
      <c r="C317" s="4">
        <f>Acciones!C318/Acciones!C317 -1</f>
        <v>3.5116647886006547E-2</v>
      </c>
      <c r="D317" s="4">
        <f>Acciones!D318/Acciones!D317 -1</f>
        <v>1.8618409088270838E-2</v>
      </c>
      <c r="E317" s="4">
        <f>Acciones!E318/Acciones!E317 -1</f>
        <v>-8.1967133022460281E-3</v>
      </c>
    </row>
    <row r="318" spans="1:5" x14ac:dyDescent="0.2">
      <c r="A318" s="1">
        <f>Acciones!A319</f>
        <v>45461</v>
      </c>
      <c r="B318" s="4">
        <f>Acciones!B319/Acciones!B318 -1</f>
        <v>4.2154557416216099E-2</v>
      </c>
      <c r="C318" s="4">
        <f>Acciones!C319/Acciones!C318 -1</f>
        <v>4.0818798029940151E-3</v>
      </c>
      <c r="D318" s="4">
        <f>Acciones!D319/Acciones!D318 -1</f>
        <v>-1.2523911576414082E-2</v>
      </c>
      <c r="E318" s="4">
        <f>Acciones!E319/Acciones!E318 -1</f>
        <v>0</v>
      </c>
    </row>
    <row r="319" spans="1:5" x14ac:dyDescent="0.2">
      <c r="A319" s="1">
        <f>Acciones!A320</f>
        <v>45462</v>
      </c>
      <c r="B319" s="4">
        <f>Acciones!B320/Acciones!B319 -1</f>
        <v>0</v>
      </c>
      <c r="C319" s="4">
        <f>Acciones!C320/Acciones!C319 -1</f>
        <v>4.1998641727880592E-3</v>
      </c>
      <c r="D319" s="4">
        <f>Acciones!D320/Acciones!D319 -1</f>
        <v>0</v>
      </c>
      <c r="E319" s="4">
        <f>Acciones!E320/Acciones!E319 -1</f>
        <v>0</v>
      </c>
    </row>
    <row r="320" spans="1:5" x14ac:dyDescent="0.2">
      <c r="A320" s="1">
        <f>Acciones!A321</f>
        <v>45463</v>
      </c>
      <c r="B320" s="4">
        <f>Acciones!B321/Acciones!B320 -1</f>
        <v>7.8651872867172568E-3</v>
      </c>
      <c r="C320" s="4">
        <f>Acciones!C321/Acciones!C320 -1</f>
        <v>1.8632740501423717E-2</v>
      </c>
      <c r="D320" s="4">
        <f>Acciones!D321/Acciones!D320 -1</f>
        <v>7.9647653766599102E-3</v>
      </c>
      <c r="E320" s="4">
        <f>Acciones!E321/Acciones!E320 -1</f>
        <v>-8.2644546677653752E-3</v>
      </c>
    </row>
    <row r="321" spans="1:5" x14ac:dyDescent="0.2">
      <c r="A321" s="1">
        <f>Acciones!A322</f>
        <v>45464</v>
      </c>
      <c r="B321" s="4">
        <f>Acciones!B322/Acciones!B321 -1</f>
        <v>2.9728205308459099E-3</v>
      </c>
      <c r="C321" s="4">
        <f>Acciones!C322/Acciones!C321 -1</f>
        <v>-8.7616811357760005E-2</v>
      </c>
      <c r="D321" s="4">
        <f>Acciones!D322/Acciones!D321 -1</f>
        <v>1.852907629739331E-3</v>
      </c>
      <c r="E321" s="4">
        <f>Acciones!E322/Acciones!E321 -1</f>
        <v>0</v>
      </c>
    </row>
    <row r="322" spans="1:5" x14ac:dyDescent="0.2">
      <c r="A322" s="1">
        <f>Acciones!A323</f>
        <v>45467</v>
      </c>
      <c r="B322" s="4">
        <f>Acciones!B323/Acciones!B322 -1</f>
        <v>2.000740656878075E-2</v>
      </c>
      <c r="C322" s="4">
        <f>Acciones!C323/Acciones!C322 -1</f>
        <v>-3.1846790596825603E-2</v>
      </c>
      <c r="D322" s="4">
        <f>Acciones!D323/Acciones!D322 -1</f>
        <v>-4.3760625168878242E-3</v>
      </c>
      <c r="E322" s="4">
        <f>Acciones!E323/Acciones!E322 -1</f>
        <v>0</v>
      </c>
    </row>
    <row r="323" spans="1:5" x14ac:dyDescent="0.2">
      <c r="A323" s="1">
        <f>Acciones!A324</f>
        <v>45468</v>
      </c>
      <c r="B323" s="4">
        <f>Acciones!B324/Acciones!B323 -1</f>
        <v>-3.5960704349328743E-2</v>
      </c>
      <c r="C323" s="4">
        <f>Acciones!C324/Acciones!C323 -1</f>
        <v>2.7948289789879288E-2</v>
      </c>
      <c r="D323" s="4">
        <f>Acciones!D324/Acciones!D323 -1</f>
        <v>-1.5403918774165026E-2</v>
      </c>
      <c r="E323" s="4">
        <f>Acciones!E324/Acciones!E323 -1</f>
        <v>0</v>
      </c>
    </row>
    <row r="324" spans="1:5" x14ac:dyDescent="0.2">
      <c r="A324" s="1">
        <f>Acciones!A325</f>
        <v>45469</v>
      </c>
      <c r="B324" s="4">
        <f>Acciones!B325/Acciones!B324 -1</f>
        <v>1.092679468315616E-2</v>
      </c>
      <c r="C324" s="4">
        <f>Acciones!C325/Acciones!C324 -1</f>
        <v>3.3449300130205861E-2</v>
      </c>
      <c r="D324" s="4">
        <f>Acciones!D325/Acciones!D324 -1</f>
        <v>3.6224469144958693E-3</v>
      </c>
      <c r="E324" s="4">
        <f>Acciones!E325/Acciones!E324 -1</f>
        <v>0</v>
      </c>
    </row>
    <row r="325" spans="1:5" x14ac:dyDescent="0.2">
      <c r="A325" s="1">
        <f>Acciones!A326</f>
        <v>45470</v>
      </c>
      <c r="B325" s="4">
        <f>Acciones!B326/Acciones!B325 -1</f>
        <v>-1.416320480920108E-2</v>
      </c>
      <c r="C325" s="4">
        <f>Acciones!C326/Acciones!C325 -1</f>
        <v>1.4079735494928469E-2</v>
      </c>
      <c r="D325" s="4">
        <f>Acciones!D326/Acciones!D325 -1</f>
        <v>4.8412694874999662E-3</v>
      </c>
      <c r="E325" s="4">
        <f>Acciones!E326/Acciones!E325 -1</f>
        <v>0</v>
      </c>
    </row>
    <row r="326" spans="1:5" x14ac:dyDescent="0.2">
      <c r="A326" s="1">
        <f>Acciones!A327</f>
        <v>45471</v>
      </c>
      <c r="B326" s="4">
        <f>Acciones!B327/Acciones!B326 -1</f>
        <v>3.4026483542719976E-2</v>
      </c>
      <c r="C326" s="4">
        <f>Acciones!C327/Acciones!C326 -1</f>
        <v>1.7784026770660599E-2</v>
      </c>
      <c r="D326" s="4">
        <f>Acciones!D327/Acciones!D326 -1</f>
        <v>-0.20375073572865898</v>
      </c>
      <c r="E326" s="4">
        <f>Acciones!E327/Acciones!E326 -1</f>
        <v>0</v>
      </c>
    </row>
    <row r="327" spans="1:5" x14ac:dyDescent="0.2">
      <c r="A327" s="1">
        <f>Acciones!A328</f>
        <v>45474</v>
      </c>
      <c r="B327" s="4">
        <f>Acciones!B328/Acciones!B327 -1</f>
        <v>-1.8647118769433479E-2</v>
      </c>
      <c r="C327" s="4">
        <f>Acciones!C328/Acciones!C327 -1</f>
        <v>0.12695997842481188</v>
      </c>
      <c r="D327" s="4">
        <f>Acciones!D328/Acciones!D327 -1</f>
        <v>1.9070930288292098E-2</v>
      </c>
      <c r="E327" s="4">
        <f>Acciones!E328/Acciones!E327 -1</f>
        <v>0</v>
      </c>
    </row>
    <row r="328" spans="1:5" x14ac:dyDescent="0.2">
      <c r="A328" s="1">
        <f>Acciones!A329</f>
        <v>45475</v>
      </c>
      <c r="B328" s="4">
        <f>Acciones!B329/Acciones!B328 -1</f>
        <v>7.824088312083699E-3</v>
      </c>
      <c r="C328" s="4">
        <f>Acciones!C329/Acciones!C328 -1</f>
        <v>-2.7947231985478882E-2</v>
      </c>
      <c r="D328" s="4">
        <f>Acciones!D329/Acciones!D328 -1</f>
        <v>-1.4131219445612131E-2</v>
      </c>
      <c r="E328" s="4">
        <f>Acciones!E329/Acciones!E328 -1</f>
        <v>0</v>
      </c>
    </row>
    <row r="329" spans="1:5" x14ac:dyDescent="0.2">
      <c r="A329" s="1">
        <f>Acciones!A330</f>
        <v>45476</v>
      </c>
      <c r="B329" s="4">
        <f>Acciones!B330/Acciones!B329 -1</f>
        <v>-5.5452894568245314E-3</v>
      </c>
      <c r="C329" s="4">
        <f>Acciones!C330/Acciones!C329 -1</f>
        <v>-6.0106124137321304E-2</v>
      </c>
      <c r="D329" s="4">
        <f>Acciones!D330/Acciones!D329 -1</f>
        <v>-1.4190124697763595E-2</v>
      </c>
      <c r="E329" s="4">
        <f>Acciones!E330/Acciones!E329 -1</f>
        <v>0</v>
      </c>
    </row>
    <row r="330" spans="1:5" x14ac:dyDescent="0.2">
      <c r="A330" s="1">
        <f>Acciones!A331</f>
        <v>45477</v>
      </c>
      <c r="B330" s="4">
        <f>Acciones!B331/Acciones!B330 -1</f>
        <v>-1.1152130497593671E-3</v>
      </c>
      <c r="C330" s="4">
        <f>Acciones!C331/Acciones!C330 -1</f>
        <v>-2.3490052892072288E-3</v>
      </c>
      <c r="D330" s="4">
        <f>Acciones!D331/Acciones!D330 -1</f>
        <v>9.4892299944990821E-3</v>
      </c>
      <c r="E330" s="4">
        <f>Acciones!E331/Acciones!E330 -1</f>
        <v>0</v>
      </c>
    </row>
    <row r="331" spans="1:5" x14ac:dyDescent="0.2">
      <c r="A331" s="1">
        <f>Acciones!A332</f>
        <v>45478</v>
      </c>
      <c r="B331" s="4">
        <f>Acciones!B332/Acciones!B331 -1</f>
        <v>-2.2701948477275025E-2</v>
      </c>
      <c r="C331" s="4">
        <f>Acciones!C332/Acciones!C331 -1</f>
        <v>-3.4232810691552928E-2</v>
      </c>
      <c r="D331" s="4">
        <f>Acciones!D332/Acciones!D331 -1</f>
        <v>-1.031095247154612E-2</v>
      </c>
      <c r="E331" s="4">
        <f>Acciones!E332/Acciones!E331 -1</f>
        <v>-1.6666749450889751E-2</v>
      </c>
    </row>
    <row r="332" spans="1:5" x14ac:dyDescent="0.2">
      <c r="A332" s="1">
        <f>Acciones!A333</f>
        <v>45481</v>
      </c>
      <c r="B332" s="4">
        <f>Acciones!B333/Acciones!B332 -1</f>
        <v>3.6557537250699434E-2</v>
      </c>
      <c r="C332" s="4">
        <f>Acciones!C333/Acciones!C332 -1</f>
        <v>-4.1089136307224328E-2</v>
      </c>
      <c r="D332" s="4">
        <f>Acciones!D333/Acciones!D332 -1</f>
        <v>-3.8320019132126459E-2</v>
      </c>
      <c r="E332" s="4">
        <f>Acciones!E333/Acciones!E332 -1</f>
        <v>0</v>
      </c>
    </row>
    <row r="333" spans="1:5" x14ac:dyDescent="0.2">
      <c r="A333" s="1">
        <f>Acciones!A334</f>
        <v>45482</v>
      </c>
      <c r="B333" s="4">
        <f>Acciones!B334/Acciones!B333 -1</f>
        <v>-3.3431356482294339E-2</v>
      </c>
      <c r="C333" s="4">
        <f>Acciones!C334/Acciones!C333 -1</f>
        <v>-2.6195460704192985E-2</v>
      </c>
      <c r="D333" s="4">
        <f>Acciones!D334/Acciones!D333 -1</f>
        <v>-1.2831421388725617E-2</v>
      </c>
      <c r="E333" s="4">
        <f>Acciones!E334/Acciones!E333 -1</f>
        <v>-8.4745685659057823E-3</v>
      </c>
    </row>
    <row r="334" spans="1:5" x14ac:dyDescent="0.2">
      <c r="A334" s="1">
        <f>Acciones!A335</f>
        <v>45483</v>
      </c>
      <c r="B334" s="4">
        <f>Acciones!B335/Acciones!B334 -1</f>
        <v>2.2044857720309841E-2</v>
      </c>
      <c r="C334" s="4">
        <f>Acciones!C335/Acciones!C334 -1</f>
        <v>-1.2878096922153803E-2</v>
      </c>
      <c r="D334" s="4">
        <f>Acciones!D335/Acciones!D334 -1</f>
        <v>-5.7257592611160701E-3</v>
      </c>
      <c r="E334" s="4">
        <f>Acciones!E335/Acciones!E334 -1</f>
        <v>-4.2735003547237249E-2</v>
      </c>
    </row>
    <row r="335" spans="1:5" x14ac:dyDescent="0.2">
      <c r="A335" s="1">
        <f>Acciones!A336</f>
        <v>45484</v>
      </c>
      <c r="B335" s="4">
        <f>Acciones!B336/Acciones!B335 -1</f>
        <v>1.859477019716449E-3</v>
      </c>
      <c r="C335" s="4">
        <f>Acciones!C336/Acciones!C335 -1</f>
        <v>7.429420505200568E-3</v>
      </c>
      <c r="D335" s="4">
        <f>Acciones!D336/Acciones!D335 -1</f>
        <v>5.5884027387944624E-3</v>
      </c>
      <c r="E335" s="4">
        <f>Acciones!E336/Acciones!E335 -1</f>
        <v>-1.785712575122389E-2</v>
      </c>
    </row>
    <row r="336" spans="1:5" x14ac:dyDescent="0.2">
      <c r="A336" s="1">
        <f>Acciones!A337</f>
        <v>45485</v>
      </c>
      <c r="B336" s="4">
        <f>Acciones!B337/Acciones!B336 -1</f>
        <v>-4.8256087557653204E-3</v>
      </c>
      <c r="C336" s="4">
        <f>Acciones!C337/Acciones!C336 -1</f>
        <v>7.5014727657171099E-2</v>
      </c>
      <c r="D336" s="4">
        <f>Acciones!D337/Acciones!D336 -1</f>
        <v>-1.3084582215587837E-3</v>
      </c>
      <c r="E336" s="4">
        <f>Acciones!E337/Acciones!E336 -1</f>
        <v>5.4545401344615385E-2</v>
      </c>
    </row>
    <row r="337" spans="1:5" x14ac:dyDescent="0.2">
      <c r="A337" s="1">
        <f>Acciones!A338</f>
        <v>45488</v>
      </c>
      <c r="B337" s="4">
        <f>Acciones!B338/Acciones!B337 -1</f>
        <v>2.9839825054447378E-3</v>
      </c>
      <c r="C337" s="4">
        <f>Acciones!C338/Acciones!C337 -1</f>
        <v>0.19534616763758228</v>
      </c>
      <c r="D337" s="4">
        <f>Acciones!D338/Acciones!D337 -1</f>
        <v>-2.1009993400590288E-2</v>
      </c>
      <c r="E337" s="4">
        <f>Acciones!E338/Acciones!E337 -1</f>
        <v>3.448282949423187E-2</v>
      </c>
    </row>
    <row r="338" spans="1:5" x14ac:dyDescent="0.2">
      <c r="A338" s="1">
        <f>Acciones!A339</f>
        <v>45489</v>
      </c>
      <c r="B338" s="4">
        <f>Acciones!B339/Acciones!B338 -1</f>
        <v>-3.3469564584002187E-3</v>
      </c>
      <c r="C338" s="4">
        <f>Acciones!C339/Acciones!C338 -1</f>
        <v>7.4330850846509922E-2</v>
      </c>
      <c r="D338" s="4">
        <f>Acciones!D339/Acciones!D338 -1</f>
        <v>1.2596219988032065E-2</v>
      </c>
      <c r="E338" s="4">
        <f>Acciones!E339/Acciones!E338 -1</f>
        <v>0</v>
      </c>
    </row>
    <row r="339" spans="1:5" x14ac:dyDescent="0.2">
      <c r="A339" s="1">
        <f>Acciones!A340</f>
        <v>45490</v>
      </c>
      <c r="B339" s="4">
        <f>Acciones!B340/Acciones!B339 -1</f>
        <v>-5.1119436566456677E-2</v>
      </c>
      <c r="C339" s="4">
        <f>Acciones!C340/Acciones!C339 -1</f>
        <v>-3.4081222664598232E-2</v>
      </c>
      <c r="D339" s="4">
        <f>Acciones!D340/Acciones!D339 -1</f>
        <v>7.1216709773553877E-3</v>
      </c>
      <c r="E339" s="4">
        <f>Acciones!E340/Acciones!E339 -1</f>
        <v>0</v>
      </c>
    </row>
    <row r="340" spans="1:5" x14ac:dyDescent="0.2">
      <c r="A340" s="1">
        <f>Acciones!A341</f>
        <v>45491</v>
      </c>
      <c r="B340" s="4">
        <f>Acciones!B341/Acciones!B340 -1</f>
        <v>-3.6570892941097388E-2</v>
      </c>
      <c r="C340" s="4">
        <f>Acciones!C341/Acciones!C340 -1</f>
        <v>-6.499275557704387E-2</v>
      </c>
      <c r="D340" s="4">
        <f>Acciones!D341/Acciones!D340 -1</f>
        <v>8.9856005269961514E-3</v>
      </c>
      <c r="E340" s="4">
        <f>Acciones!E341/Acciones!E340 -1</f>
        <v>0</v>
      </c>
    </row>
    <row r="341" spans="1:5" x14ac:dyDescent="0.2">
      <c r="A341" s="1">
        <f>Acciones!A342</f>
        <v>45492</v>
      </c>
      <c r="B341" s="4">
        <f>Acciones!B342/Acciones!B341 -1</f>
        <v>6.5305781764923854E-3</v>
      </c>
      <c r="C341" s="4">
        <f>Acciones!C342/Acciones!C341 -1</f>
        <v>5.8721877630632191E-2</v>
      </c>
      <c r="D341" s="4">
        <f>Acciones!D342/Acciones!D341 -1</f>
        <v>6.1054818217838314E-3</v>
      </c>
      <c r="E341" s="4">
        <f>Acciones!E342/Acciones!E341 -1</f>
        <v>0</v>
      </c>
    </row>
    <row r="342" spans="1:5" x14ac:dyDescent="0.2">
      <c r="A342" s="1">
        <f>Acciones!A343</f>
        <v>45495</v>
      </c>
      <c r="B342" s="4">
        <f>Acciones!B343/Acciones!B342 -1</f>
        <v>4.0145991210476684E-2</v>
      </c>
      <c r="C342" s="4">
        <f>Acciones!C343/Acciones!C342 -1</f>
        <v>-2.326309836932372E-2</v>
      </c>
      <c r="D342" s="4">
        <f>Acciones!D343/Acciones!D342 -1</f>
        <v>2.2699803957591635E-2</v>
      </c>
      <c r="E342" s="4">
        <f>Acciones!E343/Acciones!E342 -1</f>
        <v>0</v>
      </c>
    </row>
    <row r="343" spans="1:5" x14ac:dyDescent="0.2">
      <c r="A343" s="1">
        <f>Acciones!A344</f>
        <v>45496</v>
      </c>
      <c r="B343" s="4">
        <f>Acciones!B344/Acciones!B343 -1</f>
        <v>-3.8986630695895252E-3</v>
      </c>
      <c r="C343" s="4">
        <f>Acciones!C344/Acciones!C343 -1</f>
        <v>-0.10224666719312059</v>
      </c>
      <c r="D343" s="4">
        <f>Acciones!D344/Acciones!D343 -1</f>
        <v>-1.055133077254089E-2</v>
      </c>
      <c r="E343" s="4">
        <f>Acciones!E344/Acciones!E343 -1</f>
        <v>0</v>
      </c>
    </row>
    <row r="344" spans="1:5" x14ac:dyDescent="0.2">
      <c r="A344" s="1">
        <f>Acciones!A345</f>
        <v>45497</v>
      </c>
      <c r="B344" s="4">
        <f>Acciones!B345/Acciones!B344 -1</f>
        <v>-1.3698535438063431E-2</v>
      </c>
      <c r="C344" s="4">
        <f>Acciones!C345/Acciones!C344 -1</f>
        <v>-3.0760230570681446E-2</v>
      </c>
      <c r="D344" s="4">
        <f>Acciones!D345/Acciones!D344 -1</f>
        <v>-1.5548733992025832E-2</v>
      </c>
      <c r="E344" s="4">
        <f>Acciones!E345/Acciones!E344 -1</f>
        <v>-1.6666749450889751E-2</v>
      </c>
    </row>
    <row r="345" spans="1:5" x14ac:dyDescent="0.2">
      <c r="A345" s="1">
        <f>Acciones!A346</f>
        <v>45498</v>
      </c>
      <c r="B345" s="4">
        <f>Acciones!B346/Acciones!B345 -1</f>
        <v>-3.9683596600464943E-3</v>
      </c>
      <c r="C345" s="4">
        <f>Acciones!C346/Acciones!C345 -1</f>
        <v>-9.8864369299920263E-3</v>
      </c>
      <c r="D345" s="4">
        <f>Acciones!D346/Acciones!D345 -1</f>
        <v>5.3665544070644611E-3</v>
      </c>
      <c r="E345" s="4">
        <f>Acciones!E346/Acciones!E345 -1</f>
        <v>0</v>
      </c>
    </row>
    <row r="346" spans="1:5" x14ac:dyDescent="0.2">
      <c r="A346" s="1">
        <f>Acciones!A347</f>
        <v>45499</v>
      </c>
      <c r="B346" s="4">
        <f>Acciones!B347/Acciones!B346 -1</f>
        <v>3.5857219772197357E-3</v>
      </c>
      <c r="C346" s="4">
        <f>Acciones!C347/Acciones!C346 -1</f>
        <v>5.2740641592049942E-2</v>
      </c>
      <c r="D346" s="4">
        <f>Acciones!D347/Acciones!D346 -1</f>
        <v>1.5763041494057051E-2</v>
      </c>
      <c r="E346" s="4">
        <f>Acciones!E347/Acciones!E346 -1</f>
        <v>0</v>
      </c>
    </row>
    <row r="347" spans="1:5" x14ac:dyDescent="0.2">
      <c r="A347" s="1">
        <f>Acciones!A348</f>
        <v>45502</v>
      </c>
      <c r="B347" s="4">
        <f>Acciones!B348/Acciones!B347 -1</f>
        <v>-1.587942915077023E-3</v>
      </c>
      <c r="C347" s="4">
        <f>Acciones!C348/Acciones!C347 -1</f>
        <v>-3.7157586618701832E-2</v>
      </c>
      <c r="D347" s="4">
        <f>Acciones!D348/Acciones!D347 -1</f>
        <v>2.2747017247437995E-2</v>
      </c>
      <c r="E347" s="4">
        <f>Acciones!E348/Acciones!E347 -1</f>
        <v>0</v>
      </c>
    </row>
    <row r="348" spans="1:5" x14ac:dyDescent="0.2">
      <c r="A348" s="1">
        <f>Acciones!A349</f>
        <v>45503</v>
      </c>
      <c r="B348" s="4">
        <f>Acciones!B349/Acciones!B348 -1</f>
        <v>4.1351868562470528E-2</v>
      </c>
      <c r="C348" s="4">
        <f>Acciones!C349/Acciones!C348 -1</f>
        <v>-2.2924362556085653E-2</v>
      </c>
      <c r="D348" s="4">
        <f>Acciones!D349/Acciones!D348 -1</f>
        <v>1.8637809599400645E-2</v>
      </c>
      <c r="E348" s="4">
        <f>Acciones!E349/Acciones!E348 -1</f>
        <v>0</v>
      </c>
    </row>
    <row r="349" spans="1:5" x14ac:dyDescent="0.2">
      <c r="A349" s="1">
        <f>Acciones!A350</f>
        <v>45504</v>
      </c>
      <c r="B349" s="4">
        <f>Acciones!B350/Acciones!B349 -1</f>
        <v>-1.1836625198011652E-2</v>
      </c>
      <c r="C349" s="4">
        <f>Acciones!C350/Acciones!C349 -1</f>
        <v>-1.5873903011155543E-2</v>
      </c>
      <c r="D349" s="4">
        <f>Acciones!D350/Acciones!D349 -1</f>
        <v>-2.0810067192733595E-4</v>
      </c>
      <c r="E349" s="4">
        <f>Acciones!E350/Acciones!E349 -1</f>
        <v>0</v>
      </c>
    </row>
    <row r="350" spans="1:5" x14ac:dyDescent="0.2">
      <c r="A350" s="1">
        <f>Acciones!A351</f>
        <v>45505</v>
      </c>
      <c r="B350" s="4">
        <f>Acciones!B351/Acciones!B350 -1</f>
        <v>-3.0139090896682208E-2</v>
      </c>
      <c r="C350" s="4">
        <f>Acciones!C351/Acciones!C350 -1</f>
        <v>-7.2094142681946471E-2</v>
      </c>
      <c r="D350" s="4">
        <f>Acciones!D351/Acciones!D350 -1</f>
        <v>-1.0578472609399592E-2</v>
      </c>
      <c r="E350" s="4">
        <f>Acciones!E351/Acciones!E350 -1</f>
        <v>0</v>
      </c>
    </row>
    <row r="351" spans="1:5" x14ac:dyDescent="0.2">
      <c r="A351" s="1">
        <f>Acciones!A352</f>
        <v>45506</v>
      </c>
      <c r="B351" s="4">
        <f>Acciones!B352/Acciones!B351 -1</f>
        <v>-7.1712875775611362E-3</v>
      </c>
      <c r="C351" s="4">
        <f>Acciones!C352/Acciones!C351 -1</f>
        <v>-3.6410600144988092E-2</v>
      </c>
      <c r="D351" s="4">
        <f>Acciones!D352/Acciones!D351 -1</f>
        <v>2.6431478853219836E-2</v>
      </c>
      <c r="E351" s="4">
        <f>Acciones!E352/Acciones!E351 -1</f>
        <v>-2.5423705697708798E-2</v>
      </c>
    </row>
    <row r="352" spans="1:5" x14ac:dyDescent="0.2">
      <c r="A352" s="1">
        <f>Acciones!A353</f>
        <v>45509</v>
      </c>
      <c r="B352" s="4">
        <f>Acciones!B353/Acciones!B352 -1</f>
        <v>-4.0132632996781048E-4</v>
      </c>
      <c r="C352" s="4">
        <f>Acciones!C353/Acciones!C352 -1</f>
        <v>-6.704083930033744E-3</v>
      </c>
      <c r="D352" s="4">
        <f>Acciones!D353/Acciones!D352 -1</f>
        <v>-1.7489915764744013E-2</v>
      </c>
      <c r="E352" s="4">
        <f>Acciones!E353/Acciones!E352 -1</f>
        <v>0</v>
      </c>
    </row>
    <row r="353" spans="1:5" x14ac:dyDescent="0.2">
      <c r="A353" s="1">
        <f>Acciones!A354</f>
        <v>45510</v>
      </c>
      <c r="B353" s="4">
        <f>Acciones!B354/Acciones!B353 -1</f>
        <v>-1.2043048027239323E-3</v>
      </c>
      <c r="C353" s="4">
        <f>Acciones!C354/Acciones!C353 -1</f>
        <v>3.2335282921905906E-2</v>
      </c>
      <c r="D353" s="4">
        <f>Acciones!D354/Acciones!D353 -1</f>
        <v>2.1771443960390213E-2</v>
      </c>
      <c r="E353" s="4">
        <f>Acciones!E354/Acciones!E353 -1</f>
        <v>-4.3478220306862436E-2</v>
      </c>
    </row>
    <row r="354" spans="1:5" x14ac:dyDescent="0.2">
      <c r="A354" s="1">
        <f>Acciones!A355</f>
        <v>45511</v>
      </c>
      <c r="B354" s="4">
        <f>Acciones!B355/Acciones!B354 -1</f>
        <v>-3.938911051488414E-2</v>
      </c>
      <c r="C354" s="4">
        <f>Acciones!C355/Acciones!C354 -1</f>
        <v>-8.3744406168742902E-2</v>
      </c>
      <c r="D354" s="4">
        <f>Acciones!D355/Acciones!D354 -1</f>
        <v>-1.240296140464725E-2</v>
      </c>
      <c r="E354" s="4">
        <f>Acciones!E355/Acciones!E354 -1</f>
        <v>0</v>
      </c>
    </row>
    <row r="355" spans="1:5" x14ac:dyDescent="0.2">
      <c r="A355" s="1">
        <f>Acciones!A356</f>
        <v>45512</v>
      </c>
      <c r="B355" s="4">
        <f>Acciones!B356/Acciones!B355 -1</f>
        <v>3.3054506272621742E-2</v>
      </c>
      <c r="C355" s="4">
        <f>Acciones!C356/Acciones!C355 -1</f>
        <v>7.2619303317917661E-2</v>
      </c>
      <c r="D355" s="4">
        <f>Acciones!D356/Acciones!D355 -1</f>
        <v>2.0098287355987399E-3</v>
      </c>
      <c r="E355" s="4">
        <f>Acciones!E356/Acciones!E355 -1</f>
        <v>0</v>
      </c>
    </row>
    <row r="356" spans="1:5" x14ac:dyDescent="0.2">
      <c r="A356" s="1">
        <f>Acciones!A357</f>
        <v>45513</v>
      </c>
      <c r="B356" s="4">
        <f>Acciones!B357/Acciones!B356 -1</f>
        <v>-2.5111398800432894E-2</v>
      </c>
      <c r="C356" s="4">
        <f>Acciones!C357/Acciones!C356 -1</f>
        <v>-2.6639647383592147E-2</v>
      </c>
      <c r="D356" s="4">
        <f>Acciones!D357/Acciones!D356 -1</f>
        <v>-4.1041754729921331E-3</v>
      </c>
      <c r="E356" s="4">
        <f>Acciones!E357/Acciones!E356 -1</f>
        <v>-2.7272700672307471E-2</v>
      </c>
    </row>
    <row r="357" spans="1:5" x14ac:dyDescent="0.2">
      <c r="A357" s="1">
        <f>Acciones!A358</f>
        <v>45516</v>
      </c>
      <c r="B357" s="4">
        <f>Acciones!B358/Acciones!B357 -1</f>
        <v>1.2463654062504048E-2</v>
      </c>
      <c r="C357" s="4">
        <f>Acciones!C358/Acciones!C357 -1</f>
        <v>-9.8664118826483405E-2</v>
      </c>
      <c r="D357" s="4">
        <f>Acciones!D358/Acciones!D357 -1</f>
        <v>1.2449502067099161E-2</v>
      </c>
      <c r="E357" s="4">
        <f>Acciones!E358/Acciones!E357 -1</f>
        <v>-1.8691681453628539E-2</v>
      </c>
    </row>
    <row r="358" spans="1:5" x14ac:dyDescent="0.2">
      <c r="A358" s="1">
        <f>Acciones!A359</f>
        <v>45517</v>
      </c>
      <c r="B358" s="4">
        <f>Acciones!B359/Acciones!B358 -1</f>
        <v>8.2067889517873915E-3</v>
      </c>
      <c r="C358" s="4">
        <f>Acciones!C359/Acciones!C358 -1</f>
        <v>1.6784982668071491E-2</v>
      </c>
      <c r="D358" s="4">
        <f>Acciones!D359/Acciones!D358 -1</f>
        <v>5.3877331299968967E-2</v>
      </c>
      <c r="E358" s="4">
        <f>Acciones!E359/Acciones!E358 -1</f>
        <v>-1.9047601747400389E-2</v>
      </c>
    </row>
    <row r="359" spans="1:5" x14ac:dyDescent="0.2">
      <c r="A359" s="1">
        <f>Acciones!A360</f>
        <v>45518</v>
      </c>
      <c r="B359" s="4">
        <f>Acciones!B360/Acciones!B359 -1</f>
        <v>-8.1399858062052299E-3</v>
      </c>
      <c r="C359" s="4">
        <f>Acciones!C360/Acciones!C359 -1</f>
        <v>-3.7320800654771169E-2</v>
      </c>
      <c r="D359" s="4">
        <f>Acciones!D360/Acciones!D359 -1</f>
        <v>-9.0438032350917963E-3</v>
      </c>
      <c r="E359" s="4">
        <f>Acciones!E360/Acciones!E359 -1</f>
        <v>-2.9126186624346517E-2</v>
      </c>
    </row>
    <row r="360" spans="1:5" x14ac:dyDescent="0.2">
      <c r="A360" s="1">
        <f>Acciones!A361</f>
        <v>45519</v>
      </c>
      <c r="B360" s="4">
        <f>Acciones!B361/Acciones!B360 -1</f>
        <v>1.6823961642972174E-2</v>
      </c>
      <c r="C360" s="4">
        <f>Acciones!C361/Acciones!C360 -1</f>
        <v>1.7605633802816989E-2</v>
      </c>
      <c r="D360" s="4">
        <f>Acciones!D361/Acciones!D360 -1</f>
        <v>3.8963901022433411E-2</v>
      </c>
      <c r="E360" s="4">
        <f>Acciones!E361/Acciones!E360 -1</f>
        <v>3.9999961853020016E-2</v>
      </c>
    </row>
    <row r="361" spans="1:5" x14ac:dyDescent="0.2">
      <c r="A361" s="1">
        <f>Acciones!A362</f>
        <v>45520</v>
      </c>
      <c r="B361" s="4">
        <f>Acciones!B362/Acciones!B361 -1</f>
        <v>4.035144964233961E-4</v>
      </c>
      <c r="C361" s="4">
        <f>Acciones!C362/Acciones!C361 -1</f>
        <v>4.9480926619266397E-2</v>
      </c>
      <c r="D361" s="4">
        <f>Acciones!D362/Acciones!D361 -1</f>
        <v>9.0832804506582043E-3</v>
      </c>
      <c r="E361" s="4">
        <f>Acciones!E362/Acciones!E361 -1</f>
        <v>3.8461617816840876E-2</v>
      </c>
    </row>
    <row r="362" spans="1:5" x14ac:dyDescent="0.2">
      <c r="A362" s="1">
        <f>Acciones!A363</f>
        <v>45523</v>
      </c>
      <c r="B362" s="4">
        <f>Acciones!B363/Acciones!B362 -1</f>
        <v>1.4522008398744068E-2</v>
      </c>
      <c r="C362" s="4">
        <f>Acciones!C363/Acciones!C362 -1</f>
        <v>2.0441847862071372E-2</v>
      </c>
      <c r="D362" s="4">
        <f>Acciones!D363/Acciones!D362 -1</f>
        <v>4.5167583976830628E-3</v>
      </c>
      <c r="E362" s="4">
        <f>Acciones!E363/Acciones!E362 -1</f>
        <v>-4.6296360684023985E-2</v>
      </c>
    </row>
    <row r="363" spans="1:5" x14ac:dyDescent="0.2">
      <c r="A363" s="1">
        <f>Acciones!A364</f>
        <v>45524</v>
      </c>
      <c r="B363" s="4">
        <f>Acciones!B364/Acciones!B363 -1</f>
        <v>1.9881246268074193E-3</v>
      </c>
      <c r="C363" s="4">
        <f>Acciones!C364/Acciones!C363 -1</f>
        <v>1.7770597738287597E-2</v>
      </c>
      <c r="D363" s="4">
        <f>Acciones!D364/Acciones!D363 -1</f>
        <v>1.9454613617037042E-2</v>
      </c>
      <c r="E363" s="4">
        <f>Acciones!E364/Acciones!E363 -1</f>
        <v>-2.9126186624346517E-2</v>
      </c>
    </row>
    <row r="364" spans="1:5" x14ac:dyDescent="0.2">
      <c r="A364" s="1">
        <f>Acciones!A365</f>
        <v>45525</v>
      </c>
      <c r="B364" s="4">
        <f>Acciones!B365/Acciones!B364 -1</f>
        <v>1.4682447897559125E-2</v>
      </c>
      <c r="C364" s="4">
        <f>Acciones!C365/Acciones!C364 -1</f>
        <v>8.0126953124999956E-2</v>
      </c>
      <c r="D364" s="4">
        <f>Acciones!D365/Acciones!D364 -1</f>
        <v>2.0593641416609909E-2</v>
      </c>
      <c r="E364" s="4">
        <f>Acciones!E365/Acciones!E364 -1</f>
        <v>0</v>
      </c>
    </row>
    <row r="365" spans="1:5" x14ac:dyDescent="0.2">
      <c r="A365" s="1">
        <f>Acciones!A366</f>
        <v>45526</v>
      </c>
      <c r="B365" s="4">
        <f>Acciones!B366/Acciones!B365 -1</f>
        <v>1.4470069730827761E-2</v>
      </c>
      <c r="C365" s="4">
        <f>Acciones!C366/Acciones!C365 -1</f>
        <v>-3.0125794422164343E-2</v>
      </c>
      <c r="D365" s="4">
        <f>Acciones!D366/Acciones!D365 -1</f>
        <v>-5.3633111659356913E-4</v>
      </c>
      <c r="E365" s="4">
        <f>Acciones!E366/Acciones!E365 -1</f>
        <v>-1.9999980926514005E-2</v>
      </c>
    </row>
    <row r="366" spans="1:5" x14ac:dyDescent="0.2">
      <c r="A366" s="1">
        <f>Acciones!A367</f>
        <v>45527</v>
      </c>
      <c r="B366" s="4">
        <f>Acciones!B367/Acciones!B366 -1</f>
        <v>-1.0023125925796794E-2</v>
      </c>
      <c r="C366" s="4">
        <f>Acciones!C367/Acciones!C366 -1</f>
        <v>7.6669047726498407E-2</v>
      </c>
      <c r="D366" s="4">
        <f>Acciones!D367/Acciones!D366 -1</f>
        <v>-1.0788364272802609E-2</v>
      </c>
      <c r="E366" s="4">
        <f>Acciones!E367/Acciones!E366 -1</f>
        <v>0</v>
      </c>
    </row>
    <row r="367" spans="1:5" x14ac:dyDescent="0.2">
      <c r="A367" s="1">
        <f>Acciones!A368</f>
        <v>45530</v>
      </c>
      <c r="B367" s="4">
        <f>Acciones!B368/Acciones!B367 -1</f>
        <v>-3.3878477978590227E-2</v>
      </c>
      <c r="C367" s="4">
        <f>Acciones!C368/Acciones!C367 -1</f>
        <v>1.2018319994867355E-2</v>
      </c>
      <c r="D367" s="4">
        <f>Acciones!D368/Acciones!D367 -1</f>
        <v>1.6568028471510177E-2</v>
      </c>
      <c r="E367" s="4">
        <f>Acciones!E368/Acciones!E367 -1</f>
        <v>-4.0816347631797978E-2</v>
      </c>
    </row>
    <row r="368" spans="1:5" x14ac:dyDescent="0.2">
      <c r="A368" s="1">
        <f>Acciones!A369</f>
        <v>45531</v>
      </c>
      <c r="B368" s="4">
        <f>Acciones!B369/Acciones!B368 -1</f>
        <v>2.8214233902250641E-3</v>
      </c>
      <c r="C368" s="4">
        <f>Acciones!C369/Acciones!C368 -1</f>
        <v>-2.6671477369579311E-2</v>
      </c>
      <c r="D368" s="4">
        <f>Acciones!D369/Acciones!D368 -1</f>
        <v>2.9025815931829735E-2</v>
      </c>
      <c r="E368" s="4">
        <f>Acciones!E369/Acciones!E368 -1</f>
        <v>-5.3191502178454697E-2</v>
      </c>
    </row>
    <row r="369" spans="1:5" x14ac:dyDescent="0.2">
      <c r="A369" s="1">
        <f>Acciones!A370</f>
        <v>45532</v>
      </c>
      <c r="B369" s="4">
        <f>Acciones!B370/Acciones!B369 -1</f>
        <v>1.36656129900532E-2</v>
      </c>
      <c r="C369" s="4">
        <f>Acciones!C370/Acciones!C369 -1</f>
        <v>-3.8174745899765661E-2</v>
      </c>
      <c r="D369" s="4">
        <f>Acciones!D370/Acciones!D369 -1</f>
        <v>-3.0084885785981119E-2</v>
      </c>
      <c r="E369" s="4">
        <f>Acciones!E370/Acciones!E369 -1</f>
        <v>-2.2471889042670723E-2</v>
      </c>
    </row>
    <row r="370" spans="1:5" x14ac:dyDescent="0.2">
      <c r="A370" s="1">
        <f>Acciones!A371</f>
        <v>45533</v>
      </c>
      <c r="B370" s="4">
        <f>Acciones!B371/Acciones!B370 -1</f>
        <v>-1.9429045441668014E-2</v>
      </c>
      <c r="C370" s="4">
        <f>Acciones!C371/Acciones!C370 -1</f>
        <v>8.8827452603053025E-3</v>
      </c>
      <c r="D370" s="4">
        <f>Acciones!D371/Acciones!D370 -1</f>
        <v>1.5733247550661522E-2</v>
      </c>
      <c r="E370" s="4">
        <f>Acciones!E371/Acciones!E370 -1</f>
        <v>-8.0459761452620793E-2</v>
      </c>
    </row>
    <row r="371" spans="1:5" x14ac:dyDescent="0.2">
      <c r="A371" s="1">
        <f>Acciones!A372</f>
        <v>45534</v>
      </c>
      <c r="B371" s="4">
        <f>Acciones!B372/Acciones!B371 -1</f>
        <v>1.0109131898353718E-2</v>
      </c>
      <c r="C371" s="4">
        <f>Acciones!C372/Acciones!C371 -1</f>
        <v>-3.3156683048447211E-2</v>
      </c>
      <c r="D371" s="4">
        <f>Acciones!D372/Acciones!D371 -1</f>
        <v>-1.0860764088112207E-2</v>
      </c>
      <c r="E371" s="4">
        <f>Acciones!E372/Acciones!E371 -1</f>
        <v>-3.750003818422587E-2</v>
      </c>
    </row>
    <row r="372" spans="1:5" x14ac:dyDescent="0.2">
      <c r="A372" s="1">
        <f>Acciones!A373</f>
        <v>45537</v>
      </c>
      <c r="B372" s="4">
        <f>Acciones!B373/Acciones!B372 -1</f>
        <v>-1.2008515086010529E-3</v>
      </c>
      <c r="C372" s="4">
        <f>Acciones!C373/Acciones!C372 -1</f>
        <v>2.1806675220711558E-2</v>
      </c>
      <c r="D372" s="4">
        <f>Acciones!D373/Acciones!D372 -1</f>
        <v>-2.9178327958673256E-3</v>
      </c>
      <c r="E372" s="4">
        <f>Acciones!E373/Acciones!E372 -1</f>
        <v>-1.2987000923330494E-2</v>
      </c>
    </row>
    <row r="373" spans="1:5" x14ac:dyDescent="0.2">
      <c r="A373" s="1">
        <f>Acciones!A374</f>
        <v>45538</v>
      </c>
      <c r="B373" s="4">
        <f>Acciones!B374/Acciones!B373 -1</f>
        <v>-1.563133323889343E-2</v>
      </c>
      <c r="C373" s="4">
        <f>Acciones!C374/Acciones!C373 -1</f>
        <v>-0.10247393407693894</v>
      </c>
      <c r="D373" s="4">
        <f>Acciones!D374/Acciones!D373 -1</f>
        <v>-1.2831232679667792E-2</v>
      </c>
      <c r="E373" s="4">
        <f>Acciones!E374/Acciones!E373 -1</f>
        <v>-1.0526337253749851E-2</v>
      </c>
    </row>
    <row r="374" spans="1:5" x14ac:dyDescent="0.2">
      <c r="A374" s="1">
        <f>Acciones!A375</f>
        <v>45539</v>
      </c>
      <c r="B374" s="4">
        <f>Acciones!B375/Acciones!B374 -1</f>
        <v>-2.4429342091398798E-3</v>
      </c>
      <c r="C374" s="4">
        <f>Acciones!C375/Acciones!C374 -1</f>
        <v>-1.7302044166978781E-2</v>
      </c>
      <c r="D374" s="4">
        <f>Acciones!D375/Acciones!D374 -1</f>
        <v>2.6605556545962195E-3</v>
      </c>
      <c r="E374" s="4">
        <f>Acciones!E375/Acciones!E374 -1</f>
        <v>-4.2553120659937549E-2</v>
      </c>
    </row>
    <row r="375" spans="1:5" x14ac:dyDescent="0.2">
      <c r="A375" s="1">
        <f>Acciones!A376</f>
        <v>45540</v>
      </c>
      <c r="B375" s="4">
        <f>Acciones!B376/Acciones!B375 -1</f>
        <v>-4.8979937098136972E-3</v>
      </c>
      <c r="C375" s="4">
        <f>Acciones!C376/Acciones!C375 -1</f>
        <v>-6.3465237899632876E-2</v>
      </c>
      <c r="D375" s="4">
        <f>Acciones!D376/Acciones!D375 -1</f>
        <v>-9.3613102589484853E-4</v>
      </c>
      <c r="E375" s="4">
        <f>Acciones!E376/Acciones!E375 -1</f>
        <v>0</v>
      </c>
    </row>
    <row r="376" spans="1:5" x14ac:dyDescent="0.2">
      <c r="A376" s="1">
        <f>Acciones!A377</f>
        <v>45541</v>
      </c>
      <c r="B376" s="4">
        <f>Acciones!B377/Acciones!B376 -1</f>
        <v>2.0508597901222725E-2</v>
      </c>
      <c r="C376" s="4">
        <f>Acciones!C377/Acciones!C376 -1</f>
        <v>-3.5218163293982307E-2</v>
      </c>
      <c r="D376" s="4">
        <f>Acciones!D377/Acciones!D376 -1</f>
        <v>2.7987304590133544E-3</v>
      </c>
      <c r="E376" s="4">
        <f>Acciones!E377/Acciones!E376 -1</f>
        <v>-8.3333333333333703E-2</v>
      </c>
    </row>
    <row r="377" spans="1:5" x14ac:dyDescent="0.2">
      <c r="A377" s="1">
        <f>Acciones!A378</f>
        <v>45544</v>
      </c>
      <c r="B377" s="4">
        <f>Acciones!B378/Acciones!B377 -1</f>
        <v>-1.7684855248435882E-2</v>
      </c>
      <c r="C377" s="4">
        <f>Acciones!C378/Acciones!C377 -1</f>
        <v>8.2133342768896167E-2</v>
      </c>
      <c r="D377" s="4">
        <f>Acciones!D378/Acciones!D377 -1</f>
        <v>-2.0532203716913888E-2</v>
      </c>
      <c r="E377" s="4">
        <f>Acciones!E378/Acciones!E377 -1</f>
        <v>0</v>
      </c>
    </row>
    <row r="378" spans="1:5" x14ac:dyDescent="0.2">
      <c r="A378" s="1">
        <f>Acciones!A379</f>
        <v>45545</v>
      </c>
      <c r="B378" s="4">
        <f>Acciones!B379/Acciones!B378 -1</f>
        <v>-1.4729974687861191E-2</v>
      </c>
      <c r="C378" s="4">
        <f>Acciones!C379/Acciones!C378 -1</f>
        <v>9.750120375307203E-2</v>
      </c>
      <c r="D378" s="4">
        <f>Acciones!D379/Acciones!D378 -1</f>
        <v>-8.5796424122686066E-3</v>
      </c>
      <c r="E378" s="4">
        <f>Acciones!E379/Acciones!E378 -1</f>
        <v>0</v>
      </c>
    </row>
    <row r="379" spans="1:5" x14ac:dyDescent="0.2">
      <c r="A379" s="1">
        <f>Acciones!A380</f>
        <v>45546</v>
      </c>
      <c r="B379" s="4">
        <f>Acciones!B380/Acciones!B379 -1</f>
        <v>-2.8239239888062206E-2</v>
      </c>
      <c r="C379" s="4">
        <f>Acciones!C380/Acciones!C379 -1</f>
        <v>-1.9840077284795976E-2</v>
      </c>
      <c r="D379" s="4">
        <f>Acciones!D380/Acciones!D379 -1</f>
        <v>-1.3821924065259061E-2</v>
      </c>
      <c r="E379" s="4">
        <f>Acciones!E380/Acciones!E379 -1</f>
        <v>0</v>
      </c>
    </row>
    <row r="380" spans="1:5" x14ac:dyDescent="0.2">
      <c r="A380" s="1">
        <f>Acciones!A381</f>
        <v>45547</v>
      </c>
      <c r="B380" s="4">
        <f>Acciones!B381/Acciones!B380 -1</f>
        <v>-1.7093300266637357E-3</v>
      </c>
      <c r="C380" s="4">
        <f>Acciones!C381/Acciones!C380 -1</f>
        <v>-1.8474489719878306E-2</v>
      </c>
      <c r="D380" s="4">
        <f>Acciones!D381/Acciones!D380 -1</f>
        <v>-1.0390688825079097E-2</v>
      </c>
      <c r="E380" s="4">
        <f>Acciones!E381/Acciones!E380 -1</f>
        <v>0</v>
      </c>
    </row>
    <row r="381" spans="1:5" x14ac:dyDescent="0.2">
      <c r="A381" s="1">
        <f>Acciones!A382</f>
        <v>45548</v>
      </c>
      <c r="B381" s="4">
        <f>Acciones!B382/Acciones!B381 -1</f>
        <v>4.7088113219146965E-3</v>
      </c>
      <c r="C381" s="4">
        <f>Acciones!C382/Acciones!C381 -1</f>
        <v>1.7414669855913889E-2</v>
      </c>
      <c r="D381" s="4">
        <f>Acciones!D382/Acciones!D381 -1</f>
        <v>-8.6386927832338145E-3</v>
      </c>
      <c r="E381" s="4">
        <f>Acciones!E382/Acciones!E381 -1</f>
        <v>-1.5151590409901217E-2</v>
      </c>
    </row>
    <row r="382" spans="1:5" x14ac:dyDescent="0.2">
      <c r="A382" s="1">
        <f>Acciones!A383</f>
        <v>45552</v>
      </c>
      <c r="B382" s="4">
        <f>Acciones!B383/Acciones!B382 -1</f>
        <v>2.2156018540929967E-2</v>
      </c>
      <c r="C382" s="4">
        <f>Acciones!C383/Acciones!C382 -1</f>
        <v>-2.19426896746856E-2</v>
      </c>
      <c r="D382" s="4">
        <f>Acciones!D383/Acciones!D382 -1</f>
        <v>1.3107283487081345E-2</v>
      </c>
      <c r="E382" s="4">
        <f>Acciones!E383/Acciones!E382 -1</f>
        <v>0</v>
      </c>
    </row>
    <row r="383" spans="1:5" x14ac:dyDescent="0.2">
      <c r="A383" s="1">
        <f>Acciones!A384</f>
        <v>45553</v>
      </c>
      <c r="B383" s="4">
        <f>Acciones!B384/Acciones!B383 -1</f>
        <v>2.9178621955583406E-3</v>
      </c>
      <c r="C383" s="4">
        <f>Acciones!C384/Acciones!C383 -1</f>
        <v>-2.881667005315891E-2</v>
      </c>
      <c r="D383" s="4">
        <f>Acciones!D384/Acciones!D383 -1</f>
        <v>2.3957426687782668E-2</v>
      </c>
      <c r="E383" s="4">
        <f>Acciones!E384/Acciones!E383 -1</f>
        <v>6.1538496807483245E-2</v>
      </c>
    </row>
    <row r="384" spans="1:5" x14ac:dyDescent="0.2">
      <c r="A384" s="1">
        <f>Acciones!A385</f>
        <v>45554</v>
      </c>
      <c r="B384" s="4">
        <f>Acciones!B385/Acciones!B384 -1</f>
        <v>-4.1563054714468528E-3</v>
      </c>
      <c r="C384" s="4">
        <f>Acciones!C385/Acciones!C384 -1</f>
        <v>9.9244404929981211E-3</v>
      </c>
      <c r="D384" s="4">
        <f>Acciones!D385/Acciones!D384 -1</f>
        <v>-9.7968038111058142E-3</v>
      </c>
      <c r="E384" s="4">
        <f>Acciones!E385/Acciones!E384 -1</f>
        <v>-5.7971045791138764E-2</v>
      </c>
    </row>
    <row r="385" spans="1:5" x14ac:dyDescent="0.2">
      <c r="A385" s="1">
        <f>Acciones!A386</f>
        <v>45555</v>
      </c>
      <c r="B385" s="4">
        <f>Acciones!B386/Acciones!B385 -1</f>
        <v>-1.6694609783731718E-3</v>
      </c>
      <c r="C385" s="4">
        <f>Acciones!C386/Acciones!C385 -1</f>
        <v>1.3214389566050144E-2</v>
      </c>
      <c r="D385" s="4">
        <f>Acciones!D386/Acciones!D385 -1</f>
        <v>7.4777420660351979E-2</v>
      </c>
      <c r="E385" s="4">
        <f>Acciones!E386/Acciones!E385 -1</f>
        <v>-9.2307699361497075E-2</v>
      </c>
    </row>
    <row r="386" spans="1:5" x14ac:dyDescent="0.2">
      <c r="A386" s="1">
        <f>Acciones!A387</f>
        <v>45558</v>
      </c>
      <c r="B386" s="4">
        <f>Acciones!B387/Acciones!B386 -1</f>
        <v>-4.5986540096637496E-3</v>
      </c>
      <c r="C386" s="4">
        <f>Acciones!C387/Acciones!C386 -1</f>
        <v>2.8070110219873046E-2</v>
      </c>
      <c r="D386" s="4">
        <f>Acciones!D387/Acciones!D386 -1</f>
        <v>-3.597399447778149E-3</v>
      </c>
      <c r="E386" s="4">
        <f>Acciones!E387/Acciones!E386 -1</f>
        <v>-8.4745685659030623E-2</v>
      </c>
    </row>
    <row r="387" spans="1:5" x14ac:dyDescent="0.2">
      <c r="A387" s="1">
        <f>Acciones!A388</f>
        <v>45559</v>
      </c>
      <c r="B387" s="4">
        <f>Acciones!B388/Acciones!B387 -1</f>
        <v>1.7639608123737771E-2</v>
      </c>
      <c r="C387" s="4">
        <f>Acciones!C388/Acciones!C387 -1</f>
        <v>1.0013574613950249E-2</v>
      </c>
      <c r="D387" s="4">
        <f>Acciones!D388/Acciones!D387 -1</f>
        <v>8.8913095149036891E-3</v>
      </c>
      <c r="E387" s="4">
        <f>Acciones!E388/Acciones!E387 -1</f>
        <v>-6.6666688742461178E-2</v>
      </c>
    </row>
    <row r="388" spans="1:5" x14ac:dyDescent="0.2">
      <c r="A388" s="1">
        <f>Acciones!A389</f>
        <v>45560</v>
      </c>
      <c r="B388" s="4">
        <f>Acciones!B389/Acciones!B388 -1</f>
        <v>-2.3524522472629261E-2</v>
      </c>
      <c r="C388" s="4">
        <f>Acciones!C389/Acciones!C388 -1</f>
        <v>8.9897902460112089E-3</v>
      </c>
      <c r="D388" s="4">
        <f>Acciones!D389/Acciones!D388 -1</f>
        <v>2.2688489266903478E-2</v>
      </c>
      <c r="E388" s="4">
        <f>Acciones!E389/Acciones!E388 -1</f>
        <v>5.1587227907462285E-2</v>
      </c>
    </row>
    <row r="389" spans="1:5" x14ac:dyDescent="0.2">
      <c r="A389" s="1">
        <f>Acciones!A390</f>
        <v>45561</v>
      </c>
      <c r="B389" s="4">
        <f>Acciones!B390/Acciones!B389 -1</f>
        <v>5.9172019731119629E-3</v>
      </c>
      <c r="C389" s="4">
        <f>Acciones!C390/Acciones!C389 -1</f>
        <v>8.6853462406232484E-2</v>
      </c>
      <c r="D389" s="4">
        <f>Acciones!D390/Acciones!D389 -1</f>
        <v>1.5534744563041603E-2</v>
      </c>
      <c r="E389" s="4">
        <f>Acciones!E390/Acciones!E389 -1</f>
        <v>3.7735927567533079E-2</v>
      </c>
    </row>
    <row r="390" spans="1:5" x14ac:dyDescent="0.2">
      <c r="A390" s="1">
        <f>Acciones!A391</f>
        <v>45562</v>
      </c>
      <c r="B390" s="4">
        <f>Acciones!B391/Acciones!B390 -1</f>
        <v>1.008402266507713E-2</v>
      </c>
      <c r="C390" s="4">
        <f>Acciones!C391/Acciones!C390 -1</f>
        <v>-1.7674379570540744E-2</v>
      </c>
      <c r="D390" s="4">
        <f>Acciones!D391/Acciones!D390 -1</f>
        <v>8.2972079018350797E-3</v>
      </c>
      <c r="E390" s="4">
        <f>Acciones!E391/Acciones!E390 -1</f>
        <v>0</v>
      </c>
    </row>
    <row r="391" spans="1:5" x14ac:dyDescent="0.2">
      <c r="A391" s="1">
        <f>Acciones!A392</f>
        <v>45565</v>
      </c>
      <c r="B391" s="4">
        <f>Acciones!B392/Acciones!B391 -1</f>
        <v>-2.038271781816503E-2</v>
      </c>
      <c r="C391" s="4">
        <f>Acciones!C392/Acciones!C391 -1</f>
        <v>-5.693661217869106E-2</v>
      </c>
      <c r="D391" s="4">
        <f>Acciones!D392/Acciones!D391 -1</f>
        <v>-1.263809345522704E-2</v>
      </c>
      <c r="E391" s="4">
        <f>Acciones!E392/Acciones!E391 -1</f>
        <v>-2.5454542301903915E-2</v>
      </c>
    </row>
    <row r="392" spans="1:5" x14ac:dyDescent="0.2">
      <c r="A392" s="1">
        <f>Acciones!A393</f>
        <v>45567</v>
      </c>
      <c r="B392" s="4">
        <f>Acciones!B393/Acciones!B392 -1</f>
        <v>-2.1231157108451137E-3</v>
      </c>
      <c r="C392" s="4">
        <f>Acciones!C393/Acciones!C392 -1</f>
        <v>-7.4683031065532535E-2</v>
      </c>
      <c r="D392" s="4">
        <f>Acciones!D393/Acciones!D392 -1</f>
        <v>-7.3371811459428393E-2</v>
      </c>
      <c r="E392" s="4">
        <f>Acciones!E393/Acciones!E392 -1</f>
        <v>2.611939966559218E-2</v>
      </c>
    </row>
    <row r="393" spans="1:5" x14ac:dyDescent="0.2">
      <c r="A393" s="1">
        <f>Acciones!A394</f>
        <v>45568</v>
      </c>
      <c r="B393" s="4">
        <f>Acciones!B394/Acciones!B393 -1</f>
        <v>-2.1276329217325696E-3</v>
      </c>
      <c r="C393" s="4">
        <f>Acciones!C394/Acciones!C393 -1</f>
        <v>1.0580558415372865E-2</v>
      </c>
      <c r="D393" s="4">
        <f>Acciones!D394/Acciones!D393 -1</f>
        <v>-1.4618628018391422E-2</v>
      </c>
      <c r="E393" s="4">
        <f>Acciones!E394/Acciones!E393 -1</f>
        <v>0</v>
      </c>
    </row>
    <row r="394" spans="1:5" x14ac:dyDescent="0.2">
      <c r="A394" s="1">
        <f>Acciones!A395</f>
        <v>45569</v>
      </c>
      <c r="B394" s="4">
        <f>Acciones!B395/Acciones!B394 -1</f>
        <v>2.6865652405590135E-2</v>
      </c>
      <c r="C394" s="4">
        <f>Acciones!C395/Acciones!C394 -1</f>
        <v>5.2047012636325496E-2</v>
      </c>
      <c r="D394" s="4">
        <f>Acciones!D395/Acciones!D394 -1</f>
        <v>-3.5767048081890573E-3</v>
      </c>
      <c r="E394" s="4">
        <f>Acciones!E395/Acciones!E394 -1</f>
        <v>0</v>
      </c>
    </row>
    <row r="395" spans="1:5" x14ac:dyDescent="0.2">
      <c r="A395" s="1">
        <f>Acciones!A396</f>
        <v>45572</v>
      </c>
      <c r="B395" s="4">
        <f>Acciones!B396/Acciones!B395 -1</f>
        <v>-2.1179429916047821E-2</v>
      </c>
      <c r="C395" s="4">
        <f>Acciones!C396/Acciones!C395 -1</f>
        <v>-2.0764918384876374E-2</v>
      </c>
      <c r="D395" s="4">
        <f>Acciones!D396/Acciones!D395 -1</f>
        <v>-1.6465839967074181E-2</v>
      </c>
      <c r="E395" s="4">
        <f>Acciones!E396/Acciones!E395 -1</f>
        <v>-0.10727275269090741</v>
      </c>
    </row>
    <row r="396" spans="1:5" x14ac:dyDescent="0.2">
      <c r="A396" s="1">
        <f>Acciones!A397</f>
        <v>45573</v>
      </c>
      <c r="B396" s="4">
        <f>Acciones!B397/Acciones!B396 -1</f>
        <v>-8.9095694191013708E-3</v>
      </c>
      <c r="C396" s="4">
        <f>Acciones!C397/Acciones!C396 -1</f>
        <v>9.4465324078507606E-4</v>
      </c>
      <c r="D396" s="4">
        <f>Acciones!D397/Acciones!D396 -1</f>
        <v>2.9441066094286761E-3</v>
      </c>
      <c r="E396" s="4">
        <f>Acciones!E397/Acciones!E396 -1</f>
        <v>1.8329945822899818E-2</v>
      </c>
    </row>
    <row r="397" spans="1:5" x14ac:dyDescent="0.2">
      <c r="A397" s="1">
        <f>Acciones!A398</f>
        <v>45574</v>
      </c>
      <c r="B397" s="4">
        <f>Acciones!B398/Acciones!B397 -1</f>
        <v>9.8458338752107633E-3</v>
      </c>
      <c r="C397" s="4">
        <f>Acciones!C398/Acciones!C397 -1</f>
        <v>-2.313780361036577E-2</v>
      </c>
      <c r="D397" s="4">
        <f>Acciones!D398/Acciones!D397 -1</f>
        <v>3.0960853619346862E-2</v>
      </c>
      <c r="E397" s="4">
        <f>Acciones!E398/Acciones!E397 -1</f>
        <v>-9.9999904632579462E-3</v>
      </c>
    </row>
    <row r="398" spans="1:5" x14ac:dyDescent="0.2">
      <c r="A398" s="1">
        <f>Acciones!A399</f>
        <v>45575</v>
      </c>
      <c r="B398" s="4">
        <f>Acciones!B399/Acciones!B398 -1</f>
        <v>-2.1195156585982478E-3</v>
      </c>
      <c r="C398" s="4">
        <f>Acciones!C399/Acciones!C398 -1</f>
        <v>-1.1459799204943999E-2</v>
      </c>
      <c r="D398" s="4">
        <f>Acciones!D399/Acciones!D398 -1</f>
        <v>-7.438084055517824E-3</v>
      </c>
      <c r="E398" s="4">
        <f>Acciones!E399/Acciones!E398 -1</f>
        <v>-3.0303061318609714E-2</v>
      </c>
    </row>
    <row r="399" spans="1:5" x14ac:dyDescent="0.2">
      <c r="A399" s="1">
        <f>Acciones!A400</f>
        <v>45576</v>
      </c>
      <c r="B399" s="4">
        <f>Acciones!B400/Acciones!B399 -1</f>
        <v>2.2090049273337353E-2</v>
      </c>
      <c r="C399" s="4">
        <f>Acciones!C400/Acciones!C399 -1</f>
        <v>4.2495168444199871E-2</v>
      </c>
      <c r="D399" s="4">
        <f>Acciones!D400/Acciones!D399 -1</f>
        <v>-1.3105994004207311E-2</v>
      </c>
      <c r="E399" s="4">
        <f>Acciones!E400/Acciones!E399 -1</f>
        <v>-0.2083333255723111</v>
      </c>
    </row>
    <row r="400" spans="1:5" x14ac:dyDescent="0.2">
      <c r="A400" s="1">
        <f>Acciones!A401</f>
        <v>45579</v>
      </c>
      <c r="B400" s="4">
        <f>Acciones!B401/Acciones!B400 -1</f>
        <v>-2.5768849218489209E-2</v>
      </c>
      <c r="C400" s="4">
        <f>Acciones!C401/Acciones!C400 -1</f>
        <v>6.3520263484041051E-2</v>
      </c>
      <c r="D400" s="4">
        <f>Acciones!D401/Acciones!D400 -1</f>
        <v>-3.8188601878016426E-3</v>
      </c>
      <c r="E400" s="4">
        <f>Acciones!E401/Acciones!E400 -1</f>
        <v>-2.6315764707211309E-2</v>
      </c>
    </row>
    <row r="401" spans="1:5" x14ac:dyDescent="0.2">
      <c r="A401" s="1">
        <f>Acciones!A402</f>
        <v>45580</v>
      </c>
      <c r="B401" s="4">
        <f>Acciones!B402/Acciones!B401 -1</f>
        <v>-2.6023948221364779E-2</v>
      </c>
      <c r="C401" s="4">
        <f>Acciones!C402/Acciones!C401 -1</f>
        <v>1.7173233727914905E-2</v>
      </c>
      <c r="D401" s="4">
        <f>Acciones!D402/Acciones!D401 -1</f>
        <v>2.9707368719269933E-2</v>
      </c>
      <c r="E401" s="4">
        <f>Acciones!E402/Acciones!E401 -1</f>
        <v>-5.4054082354286659E-2</v>
      </c>
    </row>
    <row r="402" spans="1:5" x14ac:dyDescent="0.2">
      <c r="A402" s="1">
        <f>Acciones!A403</f>
        <v>45581</v>
      </c>
      <c r="B402" s="4">
        <f>Acciones!B403/Acciones!B402 -1</f>
        <v>1.4454638481882887E-2</v>
      </c>
      <c r="C402" s="4">
        <f>Acciones!C403/Acciones!C402 -1</f>
        <v>6.860897018925427E-2</v>
      </c>
      <c r="D402" s="4">
        <f>Acciones!D403/Acciones!D402 -1</f>
        <v>3.352393815216681E-2</v>
      </c>
      <c r="E402" s="4">
        <f>Acciones!E403/Acciones!E402 -1</f>
        <v>2.857191270711823E-3</v>
      </c>
    </row>
    <row r="403" spans="1:5" x14ac:dyDescent="0.2">
      <c r="A403" s="1">
        <f>Acciones!A404</f>
        <v>45582</v>
      </c>
      <c r="B403" s="4">
        <f>Acciones!B404/Acciones!B403 -1</f>
        <v>-1.1226247329270245E-2</v>
      </c>
      <c r="C403" s="4">
        <f>Acciones!C404/Acciones!C403 -1</f>
        <v>1.0906145365447983E-3</v>
      </c>
      <c r="D403" s="4">
        <f>Acciones!D404/Acciones!D403 -1</f>
        <v>-7.0489024593889393E-3</v>
      </c>
      <c r="E403" s="4">
        <f>Acciones!E404/Acciones!E403 -1</f>
        <v>-2.8490509871016423E-3</v>
      </c>
    </row>
    <row r="404" spans="1:5" x14ac:dyDescent="0.2">
      <c r="A404" s="1">
        <f>Acciones!A405</f>
        <v>45583</v>
      </c>
      <c r="B404" s="4">
        <f>Acciones!B405/Acciones!B404 -1</f>
        <v>1.6593918796853568E-2</v>
      </c>
      <c r="C404" s="4">
        <f>Acciones!C405/Acciones!C404 -1</f>
        <v>4.4832368136782152E-2</v>
      </c>
      <c r="D404" s="4">
        <f>Acciones!D405/Acciones!D404 -1</f>
        <v>-1.1051259838028571E-2</v>
      </c>
      <c r="E404" s="4">
        <f>Acciones!E405/Acciones!E404 -1</f>
        <v>0</v>
      </c>
    </row>
    <row r="405" spans="1:5" x14ac:dyDescent="0.2">
      <c r="A405" s="1">
        <f>Acciones!A406</f>
        <v>45586</v>
      </c>
      <c r="B405" s="4">
        <f>Acciones!B406/Acciones!B405 -1</f>
        <v>-3.5223448522369583E-2</v>
      </c>
      <c r="C405" s="4">
        <f>Acciones!C406/Acciones!C405 -1</f>
        <v>-5.9617177958157797E-3</v>
      </c>
      <c r="D405" s="4">
        <f>Acciones!D406/Acciones!D405 -1</f>
        <v>-6.2171658948494413E-3</v>
      </c>
      <c r="E405" s="4">
        <f>Acciones!E406/Acciones!E405 -1</f>
        <v>-0.11428569239013109</v>
      </c>
    </row>
    <row r="406" spans="1:5" x14ac:dyDescent="0.2">
      <c r="A406" s="1">
        <f>Acciones!A407</f>
        <v>45587</v>
      </c>
      <c r="B406" s="4">
        <f>Acciones!B407/Acciones!B406 -1</f>
        <v>9.3500661589296374E-3</v>
      </c>
      <c r="C406" s="4">
        <f>Acciones!C407/Acciones!C406 -1</f>
        <v>1.2721156407878853E-2</v>
      </c>
      <c r="D406" s="4">
        <f>Acciones!D407/Acciones!D406 -1</f>
        <v>-7.7066255554824048E-3</v>
      </c>
      <c r="E406" s="4">
        <f>Acciones!E407/Acciones!E406 -1</f>
        <v>-6.4516163145217909E-2</v>
      </c>
    </row>
    <row r="407" spans="1:5" x14ac:dyDescent="0.2">
      <c r="A407" s="1">
        <f>Acciones!A408</f>
        <v>45588</v>
      </c>
      <c r="B407" s="4">
        <f>Acciones!B408/Acciones!B407 -1</f>
        <v>-4.5875670491334786E-2</v>
      </c>
      <c r="C407" s="4">
        <f>Acciones!C408/Acciones!C407 -1</f>
        <v>-5.1865620534915058E-2</v>
      </c>
      <c r="D407" s="4">
        <f>Acciones!D408/Acciones!D407 -1</f>
        <v>-1.9160261869606954E-2</v>
      </c>
      <c r="E407" s="4">
        <f>Acciones!E408/Acciones!E407 -1</f>
        <v>-3.4482726727597668E-2</v>
      </c>
    </row>
    <row r="408" spans="1:5" x14ac:dyDescent="0.2">
      <c r="A408" s="1">
        <f>Acciones!A409</f>
        <v>45589</v>
      </c>
      <c r="B408" s="4">
        <f>Acciones!B409/Acciones!B408 -1</f>
        <v>-2.5427601064393457E-2</v>
      </c>
      <c r="C408" s="4">
        <f>Acciones!C409/Acciones!C408 -1</f>
        <v>9.9154351404857621E-3</v>
      </c>
      <c r="D408" s="4">
        <f>Acciones!D409/Acciones!D408 -1</f>
        <v>-1.1201320727027508E-2</v>
      </c>
      <c r="E408" s="4">
        <f>Acciones!E409/Acciones!E408 -1</f>
        <v>-0.16071429141625992</v>
      </c>
    </row>
    <row r="409" spans="1:5" x14ac:dyDescent="0.2">
      <c r="A409" s="1">
        <f>Acciones!A410</f>
        <v>45590</v>
      </c>
      <c r="B409" s="4">
        <f>Acciones!B410/Acciones!B409 -1</f>
        <v>-2.2296033287779848E-2</v>
      </c>
      <c r="C409" s="4">
        <f>Acciones!C410/Acciones!C409 -1</f>
        <v>-5.1503237879849006E-2</v>
      </c>
      <c r="D409" s="4">
        <f>Acciones!D410/Acciones!D409 -1</f>
        <v>5.1525814401909287E-4</v>
      </c>
      <c r="E409" s="4">
        <f>Acciones!E410/Acciones!E409 -1</f>
        <v>4.2553214424603025E-2</v>
      </c>
    </row>
    <row r="410" spans="1:5" x14ac:dyDescent="0.2">
      <c r="A410" s="1">
        <f>Acciones!A411</f>
        <v>45593</v>
      </c>
      <c r="B410" s="4">
        <f>Acciones!B411/Acciones!B410 -1</f>
        <v>-9.704096012184138E-4</v>
      </c>
      <c r="C410" s="4">
        <f>Acciones!C411/Acciones!C410 -1</f>
        <v>0.11523730163885859</v>
      </c>
      <c r="D410" s="4">
        <f>Acciones!D411/Acciones!D410 -1</f>
        <v>9.5359187256758293E-3</v>
      </c>
      <c r="E410" s="4">
        <f>Acciones!E411/Acciones!E410 -1</f>
        <v>2.0408143405368895E-2</v>
      </c>
    </row>
    <row r="411" spans="1:5" x14ac:dyDescent="0.2">
      <c r="A411" s="1">
        <f>Acciones!A412</f>
        <v>45594</v>
      </c>
      <c r="B411" s="4">
        <f>Acciones!B412/Acciones!B411 -1</f>
        <v>-2.0883929558617398E-2</v>
      </c>
      <c r="C411" s="4">
        <f>Acciones!C412/Acciones!C411 -1</f>
        <v>-1.8091307090928321E-3</v>
      </c>
      <c r="D411" s="4">
        <f>Acciones!D412/Acciones!D411 -1</f>
        <v>-6.4293564020539984E-3</v>
      </c>
      <c r="E411" s="4">
        <f>Acciones!E412/Acciones!E411 -1</f>
        <v>0</v>
      </c>
    </row>
    <row r="412" spans="1:5" x14ac:dyDescent="0.2">
      <c r="A412" s="1">
        <f>Acciones!A413</f>
        <v>45595</v>
      </c>
      <c r="B412" s="4">
        <f>Acciones!B413/Acciones!B412 -1</f>
        <v>1.1904749156848471E-2</v>
      </c>
      <c r="C412" s="4">
        <f>Acciones!C413/Acciones!C412 -1</f>
        <v>-2.2221616571563629E-2</v>
      </c>
      <c r="D412" s="4">
        <f>Acciones!D413/Acciones!D412 -1</f>
        <v>-2.1739357911127355E-2</v>
      </c>
      <c r="E412" s="4">
        <f>Acciones!E413/Acciones!E412 -1</f>
        <v>3.9999961853024013E-2</v>
      </c>
    </row>
    <row r="413" spans="1:5" x14ac:dyDescent="0.2">
      <c r="A413" s="1">
        <f>Acciones!A414</f>
        <v>45596</v>
      </c>
      <c r="B413" s="4">
        <f>Acciones!B414/Acciones!B413 -1</f>
        <v>1.4705506031569282E-3</v>
      </c>
      <c r="C413" s="4">
        <f>Acciones!C414/Acciones!C413 -1</f>
        <v>-9.1202181885915334E-2</v>
      </c>
      <c r="D413" s="4">
        <f>Acciones!D414/Acciones!D413 -1</f>
        <v>-3.557003933517211E-3</v>
      </c>
      <c r="E413" s="4">
        <f>Acciones!E414/Acciones!E413 -1</f>
        <v>0</v>
      </c>
    </row>
    <row r="414" spans="1:5" x14ac:dyDescent="0.2">
      <c r="A414" s="1">
        <f>Acciones!A415</f>
        <v>45597</v>
      </c>
      <c r="B414" s="4">
        <f>Acciones!B415/Acciones!B414 -1</f>
        <v>1.4684873206920468E-3</v>
      </c>
      <c r="C414" s="4">
        <f>Acciones!C415/Acciones!C414 -1</f>
        <v>-2.9382213420264924E-2</v>
      </c>
      <c r="D414" s="4">
        <f>Acciones!D415/Acciones!D414 -1</f>
        <v>2.7061203763766084E-2</v>
      </c>
      <c r="E414" s="4">
        <f>Acciones!E415/Acciones!E414 -1</f>
        <v>0</v>
      </c>
    </row>
    <row r="415" spans="1:5" x14ac:dyDescent="0.2">
      <c r="A415" s="1">
        <f>Acciones!A416</f>
        <v>45600</v>
      </c>
      <c r="B415" s="4">
        <f>Acciones!B416/Acciones!B415 -1</f>
        <v>-3.9100961802669421E-3</v>
      </c>
      <c r="C415" s="4">
        <f>Acciones!C416/Acciones!C415 -1</f>
        <v>-4.6930118869484394E-2</v>
      </c>
      <c r="D415" s="4">
        <f>Acciones!D416/Acciones!D415 -1</f>
        <v>-1.7282616496623215E-2</v>
      </c>
      <c r="E415" s="4">
        <f>Acciones!E416/Acciones!E415 -1</f>
        <v>1.923075159626042E-2</v>
      </c>
    </row>
    <row r="416" spans="1:5" x14ac:dyDescent="0.2">
      <c r="A416" s="1">
        <f>Acciones!A417</f>
        <v>45601</v>
      </c>
      <c r="B416" s="4">
        <f>Acciones!B417/Acciones!B416 -1</f>
        <v>-2.2571116432049787E-2</v>
      </c>
      <c r="C416" s="4">
        <f>Acciones!C417/Acciones!C416 -1</f>
        <v>3.8760101907934885E-2</v>
      </c>
      <c r="D416" s="4">
        <f>Acciones!D417/Acciones!D416 -1</f>
        <v>5.5917266678715549E-3</v>
      </c>
      <c r="E416" s="4">
        <f>Acciones!E417/Acciones!E416 -1</f>
        <v>1.8868020014566778E-2</v>
      </c>
    </row>
    <row r="417" spans="1:5" x14ac:dyDescent="0.2">
      <c r="A417" s="1">
        <f>Acciones!A418</f>
        <v>45602</v>
      </c>
      <c r="B417" s="4">
        <f>Acciones!B418/Acciones!B417 -1</f>
        <v>2.5100382614505534E-2</v>
      </c>
      <c r="C417" s="4">
        <f>Acciones!C418/Acciones!C417 -1</f>
        <v>0.19081457284823578</v>
      </c>
      <c r="D417" s="4">
        <f>Acciones!D418/Acciones!D417 -1</f>
        <v>-2.814231748592666E-2</v>
      </c>
      <c r="E417" s="4">
        <f>Acciones!E418/Acciones!E417 -1</f>
        <v>0</v>
      </c>
    </row>
    <row r="418" spans="1:5" x14ac:dyDescent="0.2">
      <c r="A418" s="1">
        <f>Acciones!A419</f>
        <v>45603</v>
      </c>
      <c r="B418" s="4">
        <f>Acciones!B419/Acciones!B418 -1</f>
        <v>7.5905985783484287E-2</v>
      </c>
      <c r="C418" s="4">
        <f>Acciones!C419/Acciones!C418 -1</f>
        <v>-1.3691167868366105E-2</v>
      </c>
      <c r="D418" s="4">
        <f>Acciones!D419/Acciones!D418 -1</f>
        <v>-2.5971021315682741E-3</v>
      </c>
      <c r="E418" s="4">
        <f>Acciones!E419/Acciones!E418 -1</f>
        <v>7.4074221245998828E-3</v>
      </c>
    </row>
    <row r="419" spans="1:5" x14ac:dyDescent="0.2">
      <c r="A419" s="1">
        <f>Acciones!A420</f>
        <v>45604</v>
      </c>
      <c r="B419" s="4">
        <f>Acciones!B420/Acciones!B419 -1</f>
        <v>-7.146109947766488E-2</v>
      </c>
      <c r="C419" s="4">
        <f>Acciones!C420/Acciones!C419 -1</f>
        <v>1.2257386411323123E-2</v>
      </c>
      <c r="D419" s="4">
        <f>Acciones!D420/Acciones!D419 -1</f>
        <v>1.3098691052275235E-2</v>
      </c>
      <c r="E419" s="4">
        <f>Acciones!E420/Acciones!E419 -1</f>
        <v>0</v>
      </c>
    </row>
    <row r="420" spans="1:5" x14ac:dyDescent="0.2">
      <c r="A420" s="1">
        <f>Acciones!A421</f>
        <v>45607</v>
      </c>
      <c r="B420" s="4">
        <f>Acciones!B421/Acciones!B420 -1</f>
        <v>-1.4215643172044046E-2</v>
      </c>
      <c r="C420" s="4">
        <f>Acciones!C421/Acciones!C420 -1</f>
        <v>0.31905094743544438</v>
      </c>
      <c r="D420" s="4">
        <f>Acciones!D421/Acciones!D420 -1</f>
        <v>1.4690745706167574E-2</v>
      </c>
      <c r="E420" s="4">
        <f>Acciones!E421/Acciones!E420 -1</f>
        <v>0</v>
      </c>
    </row>
    <row r="421" spans="1:5" x14ac:dyDescent="0.2">
      <c r="A421" s="1">
        <f>Acciones!A422</f>
        <v>45608</v>
      </c>
      <c r="B421" s="4">
        <f>Acciones!B422/Acciones!B421 -1</f>
        <v>-1.0442590976578736E-2</v>
      </c>
      <c r="C421" s="4">
        <f>Acciones!C422/Acciones!C421 -1</f>
        <v>1.9811763167785212E-2</v>
      </c>
      <c r="D421" s="4">
        <f>Acciones!D422/Acciones!D421 -1</f>
        <v>1.3301385268751131E-2</v>
      </c>
      <c r="E421" s="4">
        <f>Acciones!E422/Acciones!E421 -1</f>
        <v>0</v>
      </c>
    </row>
    <row r="422" spans="1:5" x14ac:dyDescent="0.2">
      <c r="A422" s="1">
        <f>Acciones!A423</f>
        <v>45609</v>
      </c>
      <c r="B422" s="4">
        <f>Acciones!B423/Acciones!B422 -1</f>
        <v>-1.0050223999610863E-2</v>
      </c>
      <c r="C422" s="4">
        <f>Acciones!C423/Acciones!C422 -1</f>
        <v>-0.14304678234739954</v>
      </c>
      <c r="D422" s="4">
        <f>Acciones!D423/Acciones!D422 -1</f>
        <v>-3.4641883602294365E-3</v>
      </c>
      <c r="E422" s="4">
        <f>Acciones!E423/Acciones!E422 -1</f>
        <v>0</v>
      </c>
    </row>
    <row r="423" spans="1:5" x14ac:dyDescent="0.2">
      <c r="A423" s="1">
        <f>Acciones!A424</f>
        <v>45610</v>
      </c>
      <c r="B423" s="4">
        <f>Acciones!B424/Acciones!B423 -1</f>
        <v>0</v>
      </c>
      <c r="C423" s="4">
        <f>Acciones!C424/Acciones!C423 -1</f>
        <v>-5.0591449749013973E-2</v>
      </c>
      <c r="D423" s="4">
        <f>Acciones!D424/Acciones!D423 -1</f>
        <v>-1.2624898693962883E-2</v>
      </c>
      <c r="E423" s="4">
        <f>Acciones!E424/Acciones!E423 -1</f>
        <v>-7.3529556780292937E-3</v>
      </c>
    </row>
    <row r="424" spans="1:5" x14ac:dyDescent="0.2">
      <c r="A424" s="1">
        <f>Acciones!A425</f>
        <v>45611</v>
      </c>
      <c r="B424" s="4">
        <f>Acciones!B425/Acciones!B424 -1</f>
        <v>-1.1167591679032252E-2</v>
      </c>
      <c r="C424" s="4">
        <f>Acciones!C425/Acciones!C424 -1</f>
        <v>1.3948378331110955E-2</v>
      </c>
      <c r="D424" s="4">
        <f>Acciones!D425/Acciones!D424 -1</f>
        <v>1.3624641708411378E-2</v>
      </c>
      <c r="E424" s="4">
        <f>Acciones!E425/Acciones!E424 -1</f>
        <v>0</v>
      </c>
    </row>
    <row r="425" spans="1:5" x14ac:dyDescent="0.2">
      <c r="A425" s="1">
        <f>Acciones!A426</f>
        <v>45615</v>
      </c>
      <c r="B425" s="4">
        <f>Acciones!B426/Acciones!B425 -1</f>
        <v>-9.2402117557764951E-3</v>
      </c>
      <c r="C425" s="4">
        <f>Acciones!C426/Acciones!C425 -1</f>
        <v>-6.9318496516403649E-2</v>
      </c>
      <c r="D425" s="4">
        <f>Acciones!D426/Acciones!D425 -1</f>
        <v>-5.5025384817654066E-2</v>
      </c>
      <c r="E425" s="4">
        <f>Acciones!E426/Acciones!E425 -1</f>
        <v>-2.9629688498414519E-2</v>
      </c>
    </row>
    <row r="426" spans="1:5" x14ac:dyDescent="0.2">
      <c r="A426" s="1">
        <f>Acciones!A427</f>
        <v>45616</v>
      </c>
      <c r="B426" s="4">
        <f>Acciones!B427/Acciones!B426 -1</f>
        <v>-5.0259069201550099E-2</v>
      </c>
      <c r="C426" s="4">
        <f>Acciones!C427/Acciones!C426 -1</f>
        <v>0.15878345601094734</v>
      </c>
      <c r="D426" s="4">
        <f>Acciones!D427/Acciones!D426 -1</f>
        <v>-5.0623882630834727E-3</v>
      </c>
      <c r="E426" s="4">
        <f>Acciones!E427/Acciones!E426 -1</f>
        <v>0</v>
      </c>
    </row>
    <row r="427" spans="1:5" x14ac:dyDescent="0.2">
      <c r="A427" s="1">
        <f>Acciones!A428</f>
        <v>45617</v>
      </c>
      <c r="B427" s="4">
        <f>Acciones!B428/Acciones!B427 -1</f>
        <v>-2.2913205963394745E-2</v>
      </c>
      <c r="C427" s="4">
        <f>Acciones!C428/Acciones!C427 -1</f>
        <v>5.9886671807253711E-2</v>
      </c>
      <c r="D427" s="4">
        <f>Acciones!D428/Acciones!D427 -1</f>
        <v>4.1962727746926998E-2</v>
      </c>
      <c r="E427" s="4">
        <f>Acciones!E428/Acciones!E427 -1</f>
        <v>-7.6336034159383281E-3</v>
      </c>
    </row>
    <row r="428" spans="1:5" x14ac:dyDescent="0.2">
      <c r="A428" s="1">
        <f>Acciones!A429</f>
        <v>45618</v>
      </c>
      <c r="B428" s="4">
        <f>Acciones!B429/Acciones!B428 -1</f>
        <v>2.903404523527553E-2</v>
      </c>
      <c r="C428" s="4">
        <f>Acciones!C429/Acciones!C428 -1</f>
        <v>8.9303259972619786E-2</v>
      </c>
      <c r="D428" s="4">
        <f>Acciones!D429/Acciones!D428 -1</f>
        <v>2.8448014759288931E-2</v>
      </c>
      <c r="E428" s="4">
        <f>Acciones!E429/Acciones!E428 -1</f>
        <v>-3.4615398722993018E-2</v>
      </c>
    </row>
    <row r="429" spans="1:5" x14ac:dyDescent="0.2">
      <c r="A429" s="1">
        <f>Acciones!A430</f>
        <v>45621</v>
      </c>
      <c r="B429" s="4">
        <f>Acciones!B430/Acciones!B429 -1</f>
        <v>-3.3640828287690439E-2</v>
      </c>
      <c r="C429" s="4">
        <f>Acciones!C430/Acciones!C429 -1</f>
        <v>-3.2209124665248945E-3</v>
      </c>
      <c r="D429" s="4">
        <f>Acciones!D430/Acciones!D429 -1</f>
        <v>1.9693053098484459E-2</v>
      </c>
      <c r="E429" s="4">
        <f>Acciones!E430/Acciones!E429 -1</f>
        <v>-3.9840126561297984E-3</v>
      </c>
    </row>
    <row r="430" spans="1:5" x14ac:dyDescent="0.2">
      <c r="A430" s="1">
        <f>Acciones!A431</f>
        <v>45622</v>
      </c>
      <c r="B430" s="4">
        <f>Acciones!B431/Acciones!B430 -1</f>
        <v>-2.2459452159955262E-3</v>
      </c>
      <c r="C430" s="4">
        <f>Acciones!C431/Acciones!C430 -1</f>
        <v>-3.7873330089896462E-2</v>
      </c>
      <c r="D430" s="4">
        <f>Acciones!D431/Acciones!D430 -1</f>
        <v>-4.3344761690137235E-3</v>
      </c>
      <c r="E430" s="4">
        <f>Acciones!E431/Acciones!E430 -1</f>
        <v>-4.0000021457676005E-2</v>
      </c>
    </row>
    <row r="431" spans="1:5" x14ac:dyDescent="0.2">
      <c r="A431" s="1">
        <f>Acciones!A432</f>
        <v>45623</v>
      </c>
      <c r="B431" s="4">
        <f>Acciones!B432/Acciones!B431 -1</f>
        <v>2.2510008405647319E-3</v>
      </c>
      <c r="C431" s="4">
        <f>Acciones!C432/Acciones!C431 -1</f>
        <v>7.9255603271258357E-2</v>
      </c>
      <c r="D431" s="4">
        <f>Acciones!D432/Acciones!D431 -1</f>
        <v>4.9752412973380622E-3</v>
      </c>
      <c r="E431" s="4">
        <f>Acciones!E432/Acciones!E431 -1</f>
        <v>0</v>
      </c>
    </row>
    <row r="432" spans="1:5" x14ac:dyDescent="0.2">
      <c r="A432" s="1">
        <f>Acciones!A433</f>
        <v>45624</v>
      </c>
      <c r="B432" s="4">
        <f>Acciones!B433/Acciones!B432 -1</f>
        <v>-8.4222394636869202E-3</v>
      </c>
      <c r="C432" s="4">
        <f>Acciones!C433/Acciones!C432 -1</f>
        <v>6.3322058214243526E-3</v>
      </c>
      <c r="D432" s="4">
        <f>Acciones!D433/Acciones!D432 -1</f>
        <v>-9.9011459501987531E-3</v>
      </c>
      <c r="E432" s="4">
        <f>Acciones!E433/Acciones!E432 -1</f>
        <v>4.1666689949735769E-2</v>
      </c>
    </row>
    <row r="433" spans="1:5" x14ac:dyDescent="0.2">
      <c r="A433" s="1">
        <f>Acciones!A434</f>
        <v>45625</v>
      </c>
      <c r="B433" s="4">
        <f>Acciones!B434/Acciones!B433 -1</f>
        <v>2.208379558172946E-2</v>
      </c>
      <c r="C433" s="4">
        <f>Acciones!C434/Acciones!C433 -1</f>
        <v>6.7778071366684234E-3</v>
      </c>
      <c r="D433" s="4">
        <f>Acciones!D434/Acciones!D433 -1</f>
        <v>0</v>
      </c>
      <c r="E433" s="4">
        <f>Acciones!E434/Acciones!E433 -1</f>
        <v>0</v>
      </c>
    </row>
    <row r="434" spans="1:5" x14ac:dyDescent="0.2">
      <c r="A434" s="1">
        <f>Acciones!A435</f>
        <v>45628</v>
      </c>
      <c r="B434" s="4">
        <f>Acciones!B435/Acciones!B434 -1</f>
        <v>4.4321319098444611E-2</v>
      </c>
      <c r="C434" s="4">
        <f>Acciones!C435/Acciones!C434 -1</f>
        <v>-7.8553553989955338E-2</v>
      </c>
      <c r="D434" s="4">
        <f>Acciones!D435/Acciones!D434 -1</f>
        <v>7.8895722815370828E-3</v>
      </c>
      <c r="E434" s="4">
        <f>Acciones!E435/Acciones!E434 -1</f>
        <v>1.9999980926511896E-2</v>
      </c>
    </row>
    <row r="435" spans="1:5" x14ac:dyDescent="0.2">
      <c r="A435" s="1">
        <f>Acciones!A436</f>
        <v>45629</v>
      </c>
      <c r="B435" s="4">
        <f>Acciones!B436/Acciones!B435 -1</f>
        <v>-3.3952288554572996E-2</v>
      </c>
      <c r="C435" s="4">
        <f>Acciones!C436/Acciones!C435 -1</f>
        <v>-1.3895105311991229E-2</v>
      </c>
      <c r="D435" s="4">
        <f>Acciones!D436/Acciones!D435 -1</f>
        <v>-4.0378993004307473E-3</v>
      </c>
      <c r="E435" s="4">
        <f>Acciones!E436/Acciones!E435 -1</f>
        <v>0</v>
      </c>
    </row>
    <row r="436" spans="1:5" x14ac:dyDescent="0.2">
      <c r="A436" s="1">
        <f>Acciones!A437</f>
        <v>45630</v>
      </c>
      <c r="B436" s="4">
        <f>Acciones!B437/Acciones!B436 -1</f>
        <v>-3.075223096337909E-2</v>
      </c>
      <c r="C436" s="4">
        <f>Acciones!C437/Acciones!C436 -1</f>
        <v>3.5551443416563799E-2</v>
      </c>
      <c r="D436" s="4">
        <f>Acciones!D437/Acciones!D436 -1</f>
        <v>-1.0730547556026315E-2</v>
      </c>
      <c r="E436" s="4">
        <f>Acciones!E437/Acciones!E436 -1</f>
        <v>1.9607824804413365E-2</v>
      </c>
    </row>
    <row r="437" spans="1:5" x14ac:dyDescent="0.2">
      <c r="A437" s="1">
        <f>Acciones!A438</f>
        <v>45631</v>
      </c>
      <c r="B437" s="4">
        <f>Acciones!B438/Acciones!B437 -1</f>
        <v>-1.0764892932601744E-2</v>
      </c>
      <c r="C437" s="4">
        <f>Acciones!C438/Acciones!C437 -1</f>
        <v>-4.8507387914661804E-2</v>
      </c>
      <c r="D437" s="4">
        <f>Acciones!D438/Acciones!D437 -1</f>
        <v>-1.5611744391356153E-3</v>
      </c>
      <c r="E437" s="4">
        <f>Acciones!E438/Acciones!E437 -1</f>
        <v>0.15000002292486481</v>
      </c>
    </row>
    <row r="438" spans="1:5" x14ac:dyDescent="0.2">
      <c r="A438" s="1">
        <f>Acciones!A439</f>
        <v>45632</v>
      </c>
      <c r="B438" s="4">
        <f>Acciones!B439/Acciones!B438 -1</f>
        <v>-1.0309238952058486E-2</v>
      </c>
      <c r="C438" s="4">
        <f>Acciones!C439/Acciones!C438 -1</f>
        <v>5.512897643979997E-2</v>
      </c>
      <c r="D438" s="4">
        <f>Acciones!D439/Acciones!D438 -1</f>
        <v>5.7187639797826595E-3</v>
      </c>
      <c r="E438" s="4">
        <f>Acciones!E439/Acciones!E438 -1</f>
        <v>3.6789322993887819E-2</v>
      </c>
    </row>
    <row r="439" spans="1:5" x14ac:dyDescent="0.2">
      <c r="A439" s="1">
        <f>Acciones!A440</f>
        <v>45635</v>
      </c>
      <c r="B439" s="4">
        <f>Acciones!B440/Acciones!B439 -1</f>
        <v>5.7876456479788452E-4</v>
      </c>
      <c r="C439" s="4">
        <f>Acciones!C440/Acciones!C439 -1</f>
        <v>-8.4497479030379963E-2</v>
      </c>
      <c r="D439" s="4">
        <f>Acciones!D440/Acciones!D439 -1</f>
        <v>-1.3046409018152794E-2</v>
      </c>
      <c r="E439" s="4">
        <f>Acciones!E440/Acciones!E439 -1</f>
        <v>0</v>
      </c>
    </row>
    <row r="440" spans="1:5" x14ac:dyDescent="0.2">
      <c r="A440" s="1">
        <f>Acciones!A441</f>
        <v>45636</v>
      </c>
      <c r="B440" s="4">
        <f>Acciones!B441/Acciones!B440 -1</f>
        <v>1.6194218017632434E-2</v>
      </c>
      <c r="C440" s="4">
        <f>Acciones!C441/Acciones!C440 -1</f>
        <v>-5.0133176894328946E-2</v>
      </c>
      <c r="D440" s="4">
        <f>Acciones!D441/Acciones!D440 -1</f>
        <v>-1.5442257039891327E-2</v>
      </c>
      <c r="E440" s="4">
        <f>Acciones!E441/Acciones!E440 -1</f>
        <v>0</v>
      </c>
    </row>
    <row r="441" spans="1:5" x14ac:dyDescent="0.2">
      <c r="A441" s="1">
        <f>Acciones!A442</f>
        <v>45637</v>
      </c>
      <c r="B441" s="4">
        <f>Acciones!B442/Acciones!B441 -1</f>
        <v>-1.5936144617338832E-2</v>
      </c>
      <c r="C441" s="4">
        <f>Acciones!C442/Acciones!C441 -1</f>
        <v>2.6476518288159445E-2</v>
      </c>
      <c r="D441" s="4">
        <f>Acciones!D442/Acciones!D441 -1</f>
        <v>2.0032884736347123E-2</v>
      </c>
      <c r="E441" s="4">
        <f>Acciones!E442/Acciones!E441 -1</f>
        <v>0</v>
      </c>
    </row>
    <row r="442" spans="1:5" x14ac:dyDescent="0.2">
      <c r="A442" s="1">
        <f>Acciones!A443</f>
        <v>45639</v>
      </c>
      <c r="B442" s="4">
        <f>Acciones!B443/Acciones!B442 -1</f>
        <v>-6.9404764418150577E-3</v>
      </c>
      <c r="C442" s="4">
        <f>Acciones!C443/Acciones!C442 -1</f>
        <v>-3.326907888303865E-2</v>
      </c>
      <c r="D442" s="4">
        <f>Acciones!D443/Acciones!D442 -1</f>
        <v>-1.6445178908949032E-2</v>
      </c>
      <c r="E442" s="4">
        <f>Acciones!E443/Acciones!E442 -1</f>
        <v>0</v>
      </c>
    </row>
    <row r="443" spans="1:5" x14ac:dyDescent="0.2">
      <c r="A443" s="1">
        <f>Acciones!A444</f>
        <v>45642</v>
      </c>
      <c r="B443" s="4">
        <f>Acciones!B444/Acciones!B443 -1</f>
        <v>-1.8637174542386337E-2</v>
      </c>
      <c r="C443" s="4">
        <f>Acciones!C444/Acciones!C443 -1</f>
        <v>8.43373493975903E-2</v>
      </c>
      <c r="D443" s="4">
        <f>Acciones!D444/Acciones!D443 -1</f>
        <v>3.4662621475494149E-3</v>
      </c>
      <c r="E443" s="4">
        <f>Acciones!E444/Acciones!E443 -1</f>
        <v>0</v>
      </c>
    </row>
    <row r="444" spans="1:5" x14ac:dyDescent="0.2">
      <c r="A444" s="1">
        <f>Acciones!A445</f>
        <v>45643</v>
      </c>
      <c r="B444" s="4">
        <f>Acciones!B445/Acciones!B444 -1</f>
        <v>9.4954994009330829E-3</v>
      </c>
      <c r="C444" s="4">
        <f>Acciones!C445/Acciones!C444 -1</f>
        <v>9.0909090909090384E-3</v>
      </c>
      <c r="D444" s="4">
        <f>Acciones!D445/Acciones!D444 -1</f>
        <v>8.7926279673455898E-3</v>
      </c>
      <c r="E444" s="4">
        <f>Acciones!E445/Acciones!E444 -1</f>
        <v>0</v>
      </c>
    </row>
    <row r="445" spans="1:5" x14ac:dyDescent="0.2">
      <c r="A445" s="1">
        <f>Acciones!A446</f>
        <v>45644</v>
      </c>
      <c r="B445" s="4">
        <f>Acciones!B446/Acciones!B445 -1</f>
        <v>-5.8201009670277637E-2</v>
      </c>
      <c r="C445" s="4">
        <f>Acciones!C446/Acciones!C445 -1</f>
        <v>-0.10138141070758355</v>
      </c>
      <c r="D445" s="4">
        <f>Acciones!D446/Acciones!D445 -1</f>
        <v>2.4902499966843461E-3</v>
      </c>
      <c r="E445" s="4">
        <f>Acciones!E446/Acciones!E445 -1</f>
        <v>0</v>
      </c>
    </row>
    <row r="446" spans="1:5" x14ac:dyDescent="0.2">
      <c r="A446" s="1">
        <f>Acciones!A447</f>
        <v>45645</v>
      </c>
      <c r="B446" s="4">
        <f>Acciones!B447/Acciones!B446 -1</f>
        <v>-2.5593066512179408E-2</v>
      </c>
      <c r="C446" s="4">
        <f>Acciones!C447/Acciones!C446 -1</f>
        <v>-7.5680550309064842E-2</v>
      </c>
      <c r="D446" s="4">
        <f>Acciones!D447/Acciones!D446 -1</f>
        <v>-6.387703972023151E-3</v>
      </c>
      <c r="E446" s="4">
        <f>Acciones!E447/Acciones!E446 -1</f>
        <v>3.2257648958264884E-3</v>
      </c>
    </row>
    <row r="447" spans="1:5" x14ac:dyDescent="0.2">
      <c r="A447" s="1">
        <f>Acciones!A448</f>
        <v>45646</v>
      </c>
      <c r="B447" s="4">
        <f>Acciones!B448/Acciones!B447 -1</f>
        <v>-2.4983973510749879E-2</v>
      </c>
      <c r="C447" s="4">
        <f>Acciones!C448/Acciones!C447 -1</f>
        <v>-3.4177788552888222E-2</v>
      </c>
      <c r="D447" s="4">
        <f>Acciones!D448/Acciones!D447 -1</f>
        <v>-1.8661318248557435E-2</v>
      </c>
      <c r="E447" s="4">
        <f>Acciones!E448/Acciones!E447 -1</f>
        <v>0</v>
      </c>
    </row>
    <row r="448" spans="1:5" x14ac:dyDescent="0.2">
      <c r="A448" s="1">
        <f>Acciones!A449</f>
        <v>45649</v>
      </c>
      <c r="B448" s="4">
        <f>Acciones!B449/Acciones!B448 -1</f>
        <v>-2.1024987311893506E-2</v>
      </c>
      <c r="C448" s="4">
        <f>Acciones!C449/Acciones!C448 -1</f>
        <v>-2.602878115893259E-2</v>
      </c>
      <c r="D448" s="4">
        <f>Acciones!D449/Acciones!D448 -1</f>
        <v>2.8075685239301595E-3</v>
      </c>
      <c r="E448" s="4">
        <f>Acciones!E449/Acciones!E448 -1</f>
        <v>-3.5369704050472683E-2</v>
      </c>
    </row>
    <row r="449" spans="1:5" x14ac:dyDescent="0.2">
      <c r="A449" s="1">
        <f>Acciones!A450</f>
        <v>45650</v>
      </c>
      <c r="B449" s="4">
        <f>Acciones!B450/Acciones!B449 -1</f>
        <v>2.5503339527815028E-2</v>
      </c>
      <c r="C449" s="4">
        <f>Acciones!C450/Acciones!C449 -1</f>
        <v>3.2591988471069921E-2</v>
      </c>
      <c r="D449" s="4">
        <f>Acciones!D450/Acciones!D449 -1</f>
        <v>1.4128886889934744E-3</v>
      </c>
      <c r="E449" s="4">
        <f>Acciones!E450/Acciones!E449 -1</f>
        <v>0</v>
      </c>
    </row>
    <row r="450" spans="1:5" x14ac:dyDescent="0.2">
      <c r="A450" s="1">
        <f>Acciones!A451</f>
        <v>45652</v>
      </c>
      <c r="B450" s="4">
        <f>Acciones!B451/Acciones!B450 -1</f>
        <v>1.4397944172830801E-2</v>
      </c>
      <c r="C450" s="4">
        <f>Acciones!C451/Acciones!C450 -1</f>
        <v>-2.7617878121124151E-2</v>
      </c>
      <c r="D450" s="4">
        <f>Acciones!D451/Acciones!D450 -1</f>
        <v>7.8113953272205272E-3</v>
      </c>
      <c r="E450" s="4">
        <f>Acciones!E451/Acciones!E450 -1</f>
        <v>-6.6666799121399833E-3</v>
      </c>
    </row>
    <row r="451" spans="1:5" x14ac:dyDescent="0.2">
      <c r="A451" s="1">
        <f>Acciones!A452</f>
        <v>45653</v>
      </c>
      <c r="B451" s="4">
        <f>Acciones!B452/Acciones!B451 -1</f>
        <v>2.5161342112129281E-2</v>
      </c>
      <c r="C451" s="4">
        <f>Acciones!C452/Acciones!C451 -1</f>
        <v>-4.2667214711611057E-2</v>
      </c>
      <c r="D451" s="4">
        <f>Acciones!D452/Acciones!D451 -1</f>
        <v>-1.7660642441035268E-3</v>
      </c>
      <c r="E451" s="4">
        <f>Acciones!E452/Acciones!E451 -1</f>
        <v>-4.3624198325050267E-2</v>
      </c>
    </row>
    <row r="452" spans="1:5" x14ac:dyDescent="0.2">
      <c r="A452" s="1">
        <f>Acciones!A453</f>
        <v>45656</v>
      </c>
      <c r="B452" s="4">
        <f>Acciones!B453/Acciones!B452 -1</f>
        <v>-1.5733152765776359E-2</v>
      </c>
      <c r="C452" s="4">
        <f>Acciones!C453/Acciones!C452 -1</f>
        <v>-3.9370889654732344E-2</v>
      </c>
      <c r="D452" s="4">
        <f>Acciones!D453/Acciones!D452 -1</f>
        <v>-3.5443550106014632E-3</v>
      </c>
      <c r="E452" s="4">
        <f>Acciones!E453/Acciones!E452 -1</f>
        <v>-1.4035116338334985E-2</v>
      </c>
    </row>
    <row r="453" spans="1:5" x14ac:dyDescent="0.2">
      <c r="A453" s="1">
        <f>Acciones!A454</f>
        <v>45657</v>
      </c>
      <c r="B453" s="4">
        <f>Acciones!B454/Acciones!B453 -1</f>
        <v>8.9513440693573809E-3</v>
      </c>
      <c r="C453" s="4">
        <f>Acciones!C454/Acciones!C453 -1</f>
        <v>-2.6222354400888381E-2</v>
      </c>
      <c r="D453" s="4">
        <f>Acciones!D454/Acciones!D453 -1</f>
        <v>2.3105257001253099E-2</v>
      </c>
      <c r="E453" s="4">
        <f>Acciones!E454/Acciones!E453 -1</f>
        <v>0</v>
      </c>
    </row>
    <row r="454" spans="1:5" x14ac:dyDescent="0.2">
      <c r="A454" s="1">
        <f>Acciones!A455</f>
        <v>45659</v>
      </c>
      <c r="B454" s="4">
        <f>Acciones!B455/Acciones!B454 -1</f>
        <v>1.3941672816674355E-2</v>
      </c>
      <c r="C454" s="4">
        <f>Acciones!C455/Acciones!C454 -1</f>
        <v>6.5540659349454522E-3</v>
      </c>
      <c r="D454" s="4">
        <f>Acciones!D455/Acciones!D454 -1</f>
        <v>-4.277553926241584E-2</v>
      </c>
      <c r="E454" s="4">
        <f>Acciones!E455/Acciones!E454 -1</f>
        <v>0</v>
      </c>
    </row>
    <row r="455" spans="1:5" x14ac:dyDescent="0.2">
      <c r="A455" s="1">
        <f>Acciones!A456</f>
        <v>45660</v>
      </c>
      <c r="B455" s="4">
        <f>Acciones!B456/Acciones!B455 -1</f>
        <v>-3.1874981447957418E-2</v>
      </c>
      <c r="C455" s="4">
        <f>Acciones!C456/Acciones!C455 -1</f>
        <v>0.13467139067207179</v>
      </c>
      <c r="D455" s="4">
        <f>Acciones!D456/Acciones!D455 -1</f>
        <v>1.9775927625746981E-3</v>
      </c>
      <c r="E455" s="4">
        <f>Acciones!E456/Acciones!E455 -1</f>
        <v>6.7615745172102004E-2</v>
      </c>
    </row>
    <row r="456" spans="1:5" x14ac:dyDescent="0.2">
      <c r="A456" s="1">
        <f>Acciones!A457</f>
        <v>45663</v>
      </c>
      <c r="B456" s="4">
        <f>Acciones!B457/Acciones!B456 -1</f>
        <v>1.2912280932915188E-3</v>
      </c>
      <c r="C456" s="4">
        <f>Acciones!C457/Acciones!C456 -1</f>
        <v>3.737527805032248E-2</v>
      </c>
      <c r="D456" s="4">
        <f>Acciones!D457/Acciones!D456 -1</f>
        <v>-3.6026250224621248E-2</v>
      </c>
      <c r="E456" s="4">
        <f>Acciones!E457/Acciones!E456 -1</f>
        <v>3.3333300219643869E-2</v>
      </c>
    </row>
    <row r="457" spans="1:5" x14ac:dyDescent="0.2">
      <c r="A457" s="1">
        <f>Acciones!A458</f>
        <v>45664</v>
      </c>
      <c r="B457" s="4">
        <f>Acciones!B458/Acciones!B457 -1</f>
        <v>-5.8027486804194117E-3</v>
      </c>
      <c r="C457" s="4">
        <f>Acciones!C458/Acciones!C457 -1</f>
        <v>-6.7006554989074041E-2</v>
      </c>
      <c r="D457" s="4">
        <f>Acciones!D458/Acciones!D457 -1</f>
        <v>-1.570405483334314E-4</v>
      </c>
      <c r="E457" s="4">
        <f>Acciones!E458/Acciones!E457 -1</f>
        <v>0.51612901675217704</v>
      </c>
    </row>
    <row r="458" spans="1:5" x14ac:dyDescent="0.2">
      <c r="A458" s="1">
        <f>Acciones!A459</f>
        <v>45665</v>
      </c>
      <c r="B458" s="4">
        <f>Acciones!B459/Acciones!B458 -1</f>
        <v>-2.594052045604367E-3</v>
      </c>
      <c r="C458" s="4">
        <f>Acciones!C459/Acciones!C458 -1</f>
        <v>-3.3099676250297305E-2</v>
      </c>
      <c r="D458" s="4">
        <f>Acciones!D459/Acciones!D458 -1</f>
        <v>-8.8805272851203432E-3</v>
      </c>
      <c r="E458" s="4">
        <f>Acciones!E459/Acciones!E458 -1</f>
        <v>0</v>
      </c>
    </row>
    <row r="459" spans="1:5" x14ac:dyDescent="0.2">
      <c r="A459" s="1">
        <f>Acciones!A460</f>
        <v>45666</v>
      </c>
      <c r="B459" s="4">
        <f>Acciones!B460/Acciones!B459 -1</f>
        <v>4.5513976421713842E-3</v>
      </c>
      <c r="C459" s="4">
        <f>Acciones!C460/Acciones!C459 -1</f>
        <v>-1.4476892583376588E-2</v>
      </c>
      <c r="D459" s="4">
        <f>Acciones!D460/Acciones!D459 -1</f>
        <v>1.9283884345369318E-2</v>
      </c>
      <c r="E459" s="4">
        <f>Acciones!E460/Acciones!E459 -1</f>
        <v>0.1063829409477115</v>
      </c>
    </row>
    <row r="460" spans="1:5" x14ac:dyDescent="0.2">
      <c r="A460" s="1">
        <f>Acciones!A461</f>
        <v>45667</v>
      </c>
      <c r="B460" s="4">
        <f>Acciones!B461/Acciones!B460 -1</f>
        <v>-2.5890785281202922E-3</v>
      </c>
      <c r="C460" s="4">
        <f>Acciones!C461/Acciones!C460 -1</f>
        <v>3.7332744639473336E-3</v>
      </c>
      <c r="D460" s="4">
        <f>Acciones!D461/Acciones!D460 -1</f>
        <v>-3.3784699205808844E-3</v>
      </c>
      <c r="E460" s="4">
        <f>Acciones!E461/Acciones!E460 -1</f>
        <v>0.13461537579812988</v>
      </c>
    </row>
    <row r="461" spans="1:5" x14ac:dyDescent="0.2">
      <c r="A461" s="1">
        <f>Acciones!A462</f>
        <v>45670</v>
      </c>
      <c r="B461" s="4">
        <f>Acciones!B462/Acciones!B461 -1</f>
        <v>9.1499042391093743E-2</v>
      </c>
      <c r="C461" s="4">
        <f>Acciones!C462/Acciones!C461 -1</f>
        <v>-4.3716144985762595E-2</v>
      </c>
      <c r="D461" s="4">
        <f>Acciones!D462/Acciones!D461 -1</f>
        <v>1.6949116013999177E-2</v>
      </c>
      <c r="E461" s="4">
        <f>Acciones!E462/Acciones!E461 -1</f>
        <v>8.4745786683857238E-2</v>
      </c>
    </row>
    <row r="462" spans="1:5" x14ac:dyDescent="0.2">
      <c r="A462" s="1">
        <f>Acciones!A463</f>
        <v>45671</v>
      </c>
      <c r="B462" s="4">
        <f>Acciones!B463/Acciones!B462 -1</f>
        <v>-3.0321087162233695E-2</v>
      </c>
      <c r="C462" s="4">
        <f>Acciones!C463/Acciones!C462 -1</f>
        <v>5.0729313441144619E-4</v>
      </c>
      <c r="D462" s="4">
        <f>Acciones!D463/Acciones!D462 -1</f>
        <v>-2.8999958103970047E-2</v>
      </c>
      <c r="E462" s="4">
        <f>Acciones!E463/Acciones!E462 -1</f>
        <v>0.2218750355066732</v>
      </c>
    </row>
    <row r="463" spans="1:5" x14ac:dyDescent="0.2">
      <c r="A463" s="1">
        <f>Acciones!A464</f>
        <v>45672</v>
      </c>
      <c r="B463" s="4">
        <f>Acciones!B464/Acciones!B463 -1</f>
        <v>4.0466020856726015E-2</v>
      </c>
      <c r="C463" s="4">
        <f>Acciones!C464/Acciones!C463 -1</f>
        <v>5.5241038926739483E-2</v>
      </c>
      <c r="D463" s="4">
        <f>Acciones!D464/Acciones!D463 -1</f>
        <v>-1.3937248886308762E-3</v>
      </c>
      <c r="E463" s="4">
        <f>Acciones!E464/Acciones!E463 -1</f>
        <v>7.416875721191496E-2</v>
      </c>
    </row>
    <row r="464" spans="1:5" x14ac:dyDescent="0.2">
      <c r="A464" s="1">
        <f>Acciones!A465</f>
        <v>45673</v>
      </c>
      <c r="B464" s="4">
        <f>Acciones!B465/Acciones!B464 -1</f>
        <v>6.7177502676653011E-2</v>
      </c>
      <c r="C464" s="4">
        <f>Acciones!C465/Acciones!C464 -1</f>
        <v>1.70848739781293E-2</v>
      </c>
      <c r="D464" s="4">
        <f>Acciones!D465/Acciones!D464 -1</f>
        <v>1.4115072211197788E-2</v>
      </c>
      <c r="E464" s="4">
        <f>Acciones!E465/Acciones!E464 -1</f>
        <v>-0.17857140576352803</v>
      </c>
    </row>
    <row r="465" spans="1:5" x14ac:dyDescent="0.2">
      <c r="A465" s="1">
        <f>Acciones!A466</f>
        <v>45674</v>
      </c>
      <c r="B465" s="4">
        <f>Acciones!B466/Acciones!B465 -1</f>
        <v>-3.9204970672590989E-2</v>
      </c>
      <c r="C465" s="4">
        <f>Acciones!C466/Acciones!C465 -1</f>
        <v>8.7926509186351698E-2</v>
      </c>
      <c r="D465" s="4">
        <f>Acciones!D466/Acciones!D465 -1</f>
        <v>1.3967184328338433E-3</v>
      </c>
      <c r="E465" s="4">
        <f>Acciones!E466/Acciones!E465 -1</f>
        <v>-5.7971045791138764E-2</v>
      </c>
    </row>
    <row r="466" spans="1:5" x14ac:dyDescent="0.2">
      <c r="A466" s="1">
        <f>Acciones!A467</f>
        <v>45677</v>
      </c>
      <c r="B466" s="4">
        <f>Acciones!B467/Acciones!B466 -1</f>
        <v>2.298844351867313E-2</v>
      </c>
      <c r="C466" s="4">
        <f>Acciones!C467/Acciones!C466 -1</f>
        <v>1.3510268042255635E-2</v>
      </c>
      <c r="D466" s="4">
        <f>Acciones!D467/Acciones!D466 -1</f>
        <v>-7.1766520909377629E-4</v>
      </c>
      <c r="E466" s="4">
        <f>Acciones!E467/Acciones!E466 -1</f>
        <v>-0.13999994498032586</v>
      </c>
    </row>
    <row r="467" spans="1:5" x14ac:dyDescent="0.2">
      <c r="A467" s="1">
        <f>Acciones!A468</f>
        <v>45678</v>
      </c>
      <c r="B467" s="4">
        <f>Acciones!B468/Acciones!B467 -1</f>
        <v>-1.4044879092167117E-2</v>
      </c>
      <c r="C467" s="4">
        <f>Acciones!C468/Acciones!C467 -1</f>
        <v>-4.2251844184992282E-2</v>
      </c>
      <c r="D467" s="4">
        <f>Acciones!D468/Acciones!D467 -1</f>
        <v>2.2818429028347076E-2</v>
      </c>
      <c r="E467" s="4">
        <f>Acciones!E468/Acciones!E467 -1</f>
        <v>-1.7889070107855787E-2</v>
      </c>
    </row>
    <row r="468" spans="1:5" x14ac:dyDescent="0.2">
      <c r="A468" s="1">
        <f>Acciones!A469</f>
        <v>45679</v>
      </c>
      <c r="B468" s="4">
        <f>Acciones!B469/Acciones!B468 -1</f>
        <v>3.9886882237814003E-3</v>
      </c>
      <c r="C468" s="4">
        <f>Acciones!C469/Acciones!C468 -1</f>
        <v>2.5102006529786891E-3</v>
      </c>
      <c r="D468" s="4">
        <f>Acciones!D469/Acciones!D468 -1</f>
        <v>4.7095639328649241E-3</v>
      </c>
      <c r="E468" s="4">
        <f>Acciones!E469/Acciones!E468 -1</f>
        <v>-4.3715933612805458E-2</v>
      </c>
    </row>
    <row r="469" spans="1:5" x14ac:dyDescent="0.2">
      <c r="A469" s="1">
        <f>Acciones!A470</f>
        <v>45680</v>
      </c>
      <c r="B469" s="4">
        <f>Acciones!B470/Acciones!B469 -1</f>
        <v>3.0079276399033406E-2</v>
      </c>
      <c r="C469" s="4">
        <f>Acciones!C470/Acciones!C469 -1</f>
        <v>1.6436942492038309E-2</v>
      </c>
      <c r="D469" s="4">
        <f>Acciones!D470/Acciones!D469 -1</f>
        <v>-1.1801745507309391E-3</v>
      </c>
      <c r="E469" s="4">
        <f>Acciones!E470/Acciones!E469 -1</f>
        <v>-1.9047601747404164E-2</v>
      </c>
    </row>
    <row r="470" spans="1:5" x14ac:dyDescent="0.2">
      <c r="A470" s="1">
        <f>Acciones!A471</f>
        <v>45681</v>
      </c>
      <c r="B470" s="4">
        <f>Acciones!B471/Acciones!B470 -1</f>
        <v>-4.1322232729898212E-2</v>
      </c>
      <c r="C470" s="4">
        <f>Acciones!C471/Acciones!C470 -1</f>
        <v>-8.7318877473556711E-3</v>
      </c>
      <c r="D470" s="4">
        <f>Acciones!D471/Acciones!D470 -1</f>
        <v>-1.9141886012038811E-2</v>
      </c>
      <c r="E470" s="4">
        <f>Acciones!E471/Acciones!E470 -1</f>
        <v>-5.8251678825627096E-3</v>
      </c>
    </row>
    <row r="471" spans="1:5" x14ac:dyDescent="0.2">
      <c r="A471" s="1">
        <f>Acciones!A472</f>
        <v>45684</v>
      </c>
      <c r="B471" s="4">
        <f>Acciones!B472/Acciones!B471 -1</f>
        <v>5.7471672742015478E-3</v>
      </c>
      <c r="C471" s="4">
        <f>Acciones!C472/Acciones!C471 -1</f>
        <v>-7.7286492406873353E-2</v>
      </c>
      <c r="D471" s="4">
        <f>Acciones!D472/Acciones!D471 -1</f>
        <v>5.0854614392787711E-2</v>
      </c>
      <c r="E471" s="4">
        <f>Acciones!E472/Acciones!E471 -1</f>
        <v>9.3749952706276396E-2</v>
      </c>
    </row>
    <row r="472" spans="1:5" x14ac:dyDescent="0.2">
      <c r="A472" s="1">
        <f>Acciones!A473</f>
        <v>45685</v>
      </c>
      <c r="B472" s="4">
        <f>Acciones!B473/Acciones!B472 -1</f>
        <v>1.142753072707281E-3</v>
      </c>
      <c r="C472" s="4">
        <f>Acciones!C473/Acciones!C472 -1</f>
        <v>-2.666666666666706E-3</v>
      </c>
      <c r="D472" s="4">
        <f>Acciones!D473/Acciones!D472 -1</f>
        <v>-2.1497573685531735E-2</v>
      </c>
      <c r="E472" s="4">
        <f>Acciones!E473/Acciones!E472 -1</f>
        <v>7.1428609441737567E-2</v>
      </c>
    </row>
    <row r="473" spans="1:5" x14ac:dyDescent="0.2">
      <c r="A473" s="1">
        <f>Acciones!A474</f>
        <v>45686</v>
      </c>
      <c r="B473" s="4">
        <f>Acciones!B474/Acciones!B473 -1</f>
        <v>4.5663547976466656E-3</v>
      </c>
      <c r="C473" s="4">
        <f>Acciones!C474/Acciones!C473 -1</f>
        <v>1.0695187165775444E-2</v>
      </c>
      <c r="D473" s="4">
        <f>Acciones!D474/Acciones!D473 -1</f>
        <v>3.2067990037668359E-2</v>
      </c>
      <c r="E473" s="4">
        <f>Acciones!E474/Acciones!E473 -1</f>
        <v>6.6666600439287516E-2</v>
      </c>
    </row>
    <row r="474" spans="1:5" x14ac:dyDescent="0.2">
      <c r="A474" s="1">
        <f>Acciones!A475</f>
        <v>45687</v>
      </c>
      <c r="B474" s="4">
        <f>Acciones!B475/Acciones!B474 -1</f>
        <v>1.2499864797315352E-2</v>
      </c>
      <c r="C474" s="4">
        <f>Acciones!C475/Acciones!C474 -1</f>
        <v>4.4179926473627118E-2</v>
      </c>
      <c r="D474" s="4">
        <f>Acciones!D475/Acciones!D474 -1</f>
        <v>2.0919664509450042E-2</v>
      </c>
      <c r="E474" s="4">
        <f>Acciones!E475/Acciones!E474 -1</f>
        <v>4.5312569558155547E-2</v>
      </c>
    </row>
    <row r="475" spans="1:5" x14ac:dyDescent="0.2">
      <c r="A475" s="1">
        <f>Acciones!A476</f>
        <v>45688</v>
      </c>
      <c r="B475" s="4">
        <f>Acciones!B476/Acciones!B475 -1</f>
        <v>-5.6111617957410598E-4</v>
      </c>
      <c r="C475" s="4">
        <f>Acciones!C476/Acciones!C475 -1</f>
        <v>-4.9911354440743794E-2</v>
      </c>
      <c r="D475" s="4">
        <f>Acciones!D476/Acciones!D475 -1</f>
        <v>-1.2361716679264445E-3</v>
      </c>
      <c r="E475" s="4">
        <f>Acciones!E476/Acciones!E475 -1</f>
        <v>7.6233179062145995E-2</v>
      </c>
    </row>
    <row r="476" spans="1:5" x14ac:dyDescent="0.2">
      <c r="A476" s="1">
        <f>Acciones!A477</f>
        <v>45692</v>
      </c>
      <c r="B476" s="4">
        <f>Acciones!B477/Acciones!B476 -1</f>
        <v>1.0106643279393035E-2</v>
      </c>
      <c r="C476" s="4">
        <f>Acciones!C477/Acciones!C476 -1</f>
        <v>-3.2799967447917244E-2</v>
      </c>
      <c r="D476" s="4">
        <f>Acciones!D477/Acciones!D476 -1</f>
        <v>-2.3009861162692991E-2</v>
      </c>
      <c r="E476" s="4">
        <f>Acciones!E477/Acciones!E476 -1</f>
        <v>0.11111108351637</v>
      </c>
    </row>
    <row r="477" spans="1:5" x14ac:dyDescent="0.2">
      <c r="A477" s="1">
        <f>Acciones!A478</f>
        <v>45693</v>
      </c>
      <c r="B477" s="4">
        <f>Acciones!B478/Acciones!B477 -1</f>
        <v>5.5592288598971251E-4</v>
      </c>
      <c r="C477" s="4">
        <f>Acciones!C478/Acciones!C477 -1</f>
        <v>-3.2533823858300615E-2</v>
      </c>
      <c r="D477" s="4">
        <f>Acciones!D478/Acciones!D477 -1</f>
        <v>-2.4825017948621686E-2</v>
      </c>
      <c r="E477" s="4">
        <f>Acciones!E478/Acciones!E477 -1</f>
        <v>0</v>
      </c>
    </row>
    <row r="478" spans="1:5" x14ac:dyDescent="0.2">
      <c r="A478" s="1">
        <f>Acciones!A479</f>
        <v>45694</v>
      </c>
      <c r="B478" s="4">
        <f>Acciones!B479/Acciones!B478 -1</f>
        <v>-4.5000046337510535E-2</v>
      </c>
      <c r="C478" s="4">
        <f>Acciones!C479/Acciones!C478 -1</f>
        <v>-1.8894286116085901E-2</v>
      </c>
      <c r="D478" s="4">
        <f>Acciones!D479/Acciones!D478 -1</f>
        <v>-4.0306718315775703E-2</v>
      </c>
      <c r="E478" s="4">
        <f>Acciones!E479/Acciones!E478 -1</f>
        <v>3.7499963678419679E-2</v>
      </c>
    </row>
    <row r="479" spans="1:5" x14ac:dyDescent="0.2">
      <c r="A479" s="1">
        <f>Acciones!A480</f>
        <v>45695</v>
      </c>
      <c r="B479" s="4">
        <f>Acciones!B480/Acciones!B479 -1</f>
        <v>-3.6649190750377758E-2</v>
      </c>
      <c r="C479" s="4">
        <f>Acciones!C480/Acciones!C479 -1</f>
        <v>2.0333233490306135E-3</v>
      </c>
      <c r="D479" s="4">
        <f>Acciones!D480/Acciones!D479 -1</f>
        <v>-3.3524923570552256E-2</v>
      </c>
      <c r="E479" s="4">
        <f>Acciones!E480/Acciones!E479 -1</f>
        <v>-6.0240979429287855E-2</v>
      </c>
    </row>
    <row r="480" spans="1:5" x14ac:dyDescent="0.2">
      <c r="A480" s="1">
        <f>Acciones!A481</f>
        <v>45698</v>
      </c>
      <c r="B480" s="4">
        <f>Acciones!B481/Acciones!B480 -1</f>
        <v>6.0386902814975052E-3</v>
      </c>
      <c r="C480" s="4">
        <f>Acciones!C481/Acciones!C480 -1</f>
        <v>3.1306680825677891E-3</v>
      </c>
      <c r="D480" s="4">
        <f>Acciones!D481/Acciones!D480 -1</f>
        <v>2.2548096493879122E-2</v>
      </c>
      <c r="E480" s="4">
        <f>Acciones!E481/Acciones!E480 -1</f>
        <v>2.5641078544559104E-2</v>
      </c>
    </row>
    <row r="481" spans="1:5" x14ac:dyDescent="0.2">
      <c r="A481" s="1">
        <f>Acciones!A482</f>
        <v>45699</v>
      </c>
      <c r="B481" s="4">
        <f>Acciones!B482/Acciones!B481 -1</f>
        <v>-9.6039094159414695E-3</v>
      </c>
      <c r="C481" s="4">
        <f>Acciones!C482/Acciones!C481 -1</f>
        <v>-4.5918175672254535E-2</v>
      </c>
      <c r="D481" s="4">
        <f>Acciones!D482/Acciones!D481 -1</f>
        <v>8.9539302872683191E-3</v>
      </c>
      <c r="E481" s="4">
        <f>Acciones!E482/Acciones!E481 -1</f>
        <v>0</v>
      </c>
    </row>
    <row r="482" spans="1:5" x14ac:dyDescent="0.2">
      <c r="A482" s="1">
        <f>Acciones!A483</f>
        <v>45700</v>
      </c>
      <c r="B482" s="4">
        <f>Acciones!B483/Acciones!B482 -1</f>
        <v>-3.5757533587511658E-2</v>
      </c>
      <c r="C482" s="4">
        <f>Acciones!C483/Acciones!C482 -1</f>
        <v>1.2327378480357476E-2</v>
      </c>
      <c r="D482" s="4">
        <f>Acciones!D483/Acciones!D482 -1</f>
        <v>1.3424167738626203E-2</v>
      </c>
      <c r="E482" s="4">
        <f>Acciones!E483/Acciones!E482 -1</f>
        <v>0</v>
      </c>
    </row>
    <row r="483" spans="1:5" x14ac:dyDescent="0.2">
      <c r="A483" s="1">
        <f>Acciones!A484</f>
        <v>45701</v>
      </c>
      <c r="B483" s="4">
        <f>Acciones!B484/Acciones!B483 -1</f>
        <v>-2.4512812137532758E-2</v>
      </c>
      <c r="C483" s="4">
        <f>Acciones!C484/Acciones!C483 -1</f>
        <v>2.9530547206279234E-2</v>
      </c>
      <c r="D483" s="4">
        <f>Acciones!D484/Acciones!D483 -1</f>
        <v>9.0665079143814609E-3</v>
      </c>
      <c r="E483" s="4">
        <f>Acciones!E484/Acciones!E483 -1</f>
        <v>-2.500005029141894E-2</v>
      </c>
    </row>
    <row r="484" spans="1:5" x14ac:dyDescent="0.2">
      <c r="A484" s="1">
        <f>Acciones!A485</f>
        <v>45702</v>
      </c>
      <c r="B484" s="4">
        <f>Acciones!B485/Acciones!B484 -1</f>
        <v>-3.8659875453968318E-2</v>
      </c>
      <c r="C484" s="4">
        <f>Acciones!C485/Acciones!C484 -1</f>
        <v>-3.6326648585526256E-3</v>
      </c>
      <c r="D484" s="4">
        <f>Acciones!D485/Acciones!D484 -1</f>
        <v>-9.9323114272994451E-3</v>
      </c>
      <c r="E484" s="4">
        <f>Acciones!E485/Acciones!E484 -1</f>
        <v>-8.9743583865419918E-2</v>
      </c>
    </row>
    <row r="485" spans="1:5" x14ac:dyDescent="0.2">
      <c r="A485" s="1">
        <f>Acciones!A486</f>
        <v>45705</v>
      </c>
      <c r="B485" s="4">
        <f>Acciones!B486/Acciones!B485 -1</f>
        <v>-6.7018027915410894E-4</v>
      </c>
      <c r="C485" s="4">
        <f>Acciones!C486/Acciones!C485 -1</f>
        <v>1.3562764514231995E-2</v>
      </c>
      <c r="D485" s="4">
        <f>Acciones!D486/Acciones!D485 -1</f>
        <v>3.8605213870332999E-3</v>
      </c>
      <c r="E485" s="4">
        <f>Acciones!E486/Acciones!E485 -1</f>
        <v>4.2253566057858016E-2</v>
      </c>
    </row>
    <row r="486" spans="1:5" x14ac:dyDescent="0.2">
      <c r="A486" s="1">
        <f>Acciones!A487</f>
        <v>45706</v>
      </c>
      <c r="B486" s="4">
        <f>Acciones!B487/Acciones!B486 -1</f>
        <v>6.0361281854395266E-3</v>
      </c>
      <c r="C486" s="4">
        <f>Acciones!C487/Acciones!C486 -1</f>
        <v>-6.1812981255622956E-2</v>
      </c>
      <c r="D486" s="4">
        <f>Acciones!D487/Acciones!D486 -1</f>
        <v>5.2986552445753787E-2</v>
      </c>
      <c r="E486" s="4">
        <f>Acciones!E487/Acciones!E486 -1</f>
        <v>8.1081083258022213E-2</v>
      </c>
    </row>
    <row r="487" spans="1:5" x14ac:dyDescent="0.2">
      <c r="A487" s="1">
        <f>Acciones!A488</f>
        <v>45707</v>
      </c>
      <c r="B487" s="4">
        <f>Acciones!B488/Acciones!B487 -1</f>
        <v>-6.1999984168923938E-2</v>
      </c>
      <c r="C487" s="4">
        <f>Acciones!C488/Acciones!C487 -1</f>
        <v>-5.3677690294217095E-3</v>
      </c>
      <c r="D487" s="4">
        <f>Acciones!D488/Acciones!D487 -1</f>
        <v>1.9441403315838546E-3</v>
      </c>
      <c r="E487" s="4">
        <f>Acciones!E488/Acciones!E487 -1</f>
        <v>-1.2499987892806819E-2</v>
      </c>
    </row>
    <row r="488" spans="1:5" x14ac:dyDescent="0.2">
      <c r="A488" s="1">
        <f>Acciones!A489</f>
        <v>45708</v>
      </c>
      <c r="B488" s="4">
        <f>Acciones!B489/Acciones!B488 -1</f>
        <v>1.3503935346704354E-2</v>
      </c>
      <c r="C488" s="4">
        <f>Acciones!C489/Acciones!C488 -1</f>
        <v>-3.2996479566134163E-3</v>
      </c>
      <c r="D488" s="4">
        <f>Acciones!D489/Acciones!D488 -1</f>
        <v>-4.0904213969358283E-3</v>
      </c>
      <c r="E488" s="4">
        <f>Acciones!E489/Acciones!E488 -1</f>
        <v>-5.1898743632206035E-2</v>
      </c>
    </row>
    <row r="489" spans="1:5" x14ac:dyDescent="0.2">
      <c r="A489" s="1">
        <f>Acciones!A490</f>
        <v>45709</v>
      </c>
      <c r="B489" s="4">
        <f>Acciones!B490/Acciones!B489 -1</f>
        <v>-2.805000157238613E-3</v>
      </c>
      <c r="C489" s="4">
        <f>Acciones!C490/Acciones!C489 -1</f>
        <v>-6.9152243995583063E-2</v>
      </c>
      <c r="D489" s="4">
        <f>Acciones!D490/Acciones!D489 -1</f>
        <v>-6.7515501848804949E-3</v>
      </c>
      <c r="E489" s="4">
        <f>Acciones!E490/Acciones!E489 -1</f>
        <v>-1.2016025611693459E-2</v>
      </c>
    </row>
    <row r="490" spans="1:5" x14ac:dyDescent="0.2">
      <c r="A490" s="1">
        <f>Acciones!A491</f>
        <v>45712</v>
      </c>
      <c r="B490" s="4">
        <f>Acciones!B491/Acciones!B490 -1</f>
        <v>-3.516178449435492E-2</v>
      </c>
      <c r="C490" s="4">
        <f>Acciones!C491/Acciones!C490 -1</f>
        <v>-5.2783794451205956E-2</v>
      </c>
      <c r="D490" s="4">
        <f>Acciones!D491/Acciones!D490 -1</f>
        <v>6.1086727632309268E-2</v>
      </c>
      <c r="E490" s="4">
        <f>Acciones!E491/Acciones!E490 -1</f>
        <v>-5.4054082354286659E-2</v>
      </c>
    </row>
    <row r="491" spans="1:5" x14ac:dyDescent="0.2">
      <c r="A491" s="1">
        <f>Acciones!A492</f>
        <v>45713</v>
      </c>
      <c r="B491" s="4">
        <f>Acciones!B492/Acciones!B491 -1</f>
        <v>-2.6967906414790188E-2</v>
      </c>
      <c r="C491" s="4">
        <f>Acciones!C492/Acciones!C491 -1</f>
        <v>-0.1081868326455101</v>
      </c>
      <c r="D491" s="4">
        <f>Acciones!D492/Acciones!D491 -1</f>
        <v>1.4891112275145391E-2</v>
      </c>
      <c r="E491" s="4">
        <f>Acciones!E492/Acciones!E491 -1</f>
        <v>-2.8571401810159491E-2</v>
      </c>
    </row>
    <row r="492" spans="1:5" x14ac:dyDescent="0.2">
      <c r="A492" s="1">
        <f>Acciones!A493</f>
        <v>45714</v>
      </c>
      <c r="B492" s="4">
        <f>Acciones!B493/Acciones!B492 -1</f>
        <v>-3.7453447801022444E-3</v>
      </c>
      <c r="C492" s="4">
        <f>Acciones!C493/Acciones!C492 -1</f>
        <v>-7.6335974111324534E-3</v>
      </c>
      <c r="D492" s="4">
        <f>Acciones!D493/Acciones!D492 -1</f>
        <v>-1.4069460192941197E-2</v>
      </c>
      <c r="E492" s="4">
        <f>Acciones!E493/Acciones!E492 -1</f>
        <v>-0.11764703304297486</v>
      </c>
    </row>
    <row r="493" spans="1:5" x14ac:dyDescent="0.2">
      <c r="A493" s="1">
        <f>Acciones!A494</f>
        <v>45715</v>
      </c>
      <c r="B493" s="4">
        <f>Acciones!B494/Acciones!B493 -1</f>
        <v>-1.4285741689459952E-2</v>
      </c>
      <c r="C493" s="4">
        <f>Acciones!C494/Acciones!C493 -1</f>
        <v>6.6613811479172336E-2</v>
      </c>
      <c r="D493" s="4">
        <f>Acciones!D494/Acciones!D493 -1</f>
        <v>-1.2089539505782732E-2</v>
      </c>
      <c r="E493" s="4">
        <f>Acciones!E494/Acciones!E493 -1</f>
        <v>1.6666650109821823E-2</v>
      </c>
    </row>
    <row r="494" spans="1:5" x14ac:dyDescent="0.2">
      <c r="A494" s="1">
        <f>Acciones!A495</f>
        <v>45716</v>
      </c>
      <c r="B494" s="4">
        <f>Acciones!B495/Acciones!B494 -1</f>
        <v>-4.6529323505017262E-2</v>
      </c>
      <c r="C494" s="4">
        <f>Acciones!C495/Acciones!C494 -1</f>
        <v>5.0966510985420044E-2</v>
      </c>
      <c r="D494" s="4">
        <f>Acciones!D495/Acciones!D494 -1</f>
        <v>-3.4518117026521855E-3</v>
      </c>
      <c r="E494" s="4">
        <f>Acciones!E495/Acciones!E494 -1</f>
        <v>6.5573706418014188E-2</v>
      </c>
    </row>
    <row r="495" spans="1:5" x14ac:dyDescent="0.2">
      <c r="A495" s="1">
        <f>Acciones!A496</f>
        <v>45719</v>
      </c>
      <c r="B495" s="4">
        <f>Acciones!B496/Acciones!B495 -1</f>
        <v>-8.0000565208617758E-3</v>
      </c>
      <c r="C495" s="4">
        <f>Acciones!C496/Acciones!C495 -1</f>
        <v>-2.5113773001929074E-3</v>
      </c>
      <c r="D495" s="4">
        <f>Acciones!D496/Acciones!D495 -1</f>
        <v>-5.4277081730330634E-3</v>
      </c>
      <c r="E495" s="4">
        <f>Acciones!E496/Acciones!E495 -1</f>
        <v>-6.153840510802755E-2</v>
      </c>
    </row>
    <row r="496" spans="1:5" x14ac:dyDescent="0.2">
      <c r="A496" s="1">
        <f>Acciones!A497</f>
        <v>45720</v>
      </c>
      <c r="B496" s="4">
        <f>Acciones!B497/Acciones!B496 -1</f>
        <v>-2.8225770075374412E-2</v>
      </c>
      <c r="C496" s="4">
        <f>Acciones!C497/Acciones!C496 -1</f>
        <v>2.812054140347886E-2</v>
      </c>
      <c r="D496" s="4">
        <f>Acciones!D497/Acciones!D496 -1</f>
        <v>-3.8299699078114813E-3</v>
      </c>
      <c r="E496" s="4">
        <f>Acciones!E497/Acciones!E496 -1</f>
        <v>-9.8360657339548574E-2</v>
      </c>
    </row>
    <row r="497" spans="1:5" x14ac:dyDescent="0.2">
      <c r="A497" s="1">
        <f>Acciones!A498</f>
        <v>45721</v>
      </c>
      <c r="B497" s="4">
        <f>Acciones!B498/Acciones!B497 -1</f>
        <v>-1.4937783732141052E-2</v>
      </c>
      <c r="C497" s="4">
        <f>Acciones!C498/Acciones!C497 -1</f>
        <v>5.5220260649364583E-2</v>
      </c>
      <c r="D497" s="4">
        <f>Acciones!D498/Acciones!D497 -1</f>
        <v>-2.8962761426351458E-2</v>
      </c>
      <c r="E497" s="4">
        <f>Acciones!E498/Acciones!E497 -1</f>
        <v>3.6363600896409221E-2</v>
      </c>
    </row>
    <row r="498" spans="1:5" x14ac:dyDescent="0.2">
      <c r="A498" s="1">
        <f>Acciones!A499</f>
        <v>45722</v>
      </c>
      <c r="B498" s="4">
        <f>Acciones!B499/Acciones!B498 -1</f>
        <v>1.6006853478458094E-2</v>
      </c>
      <c r="C498" s="4">
        <f>Acciones!C499/Acciones!C498 -1</f>
        <v>-1.4087721527751174E-2</v>
      </c>
      <c r="D498" s="4">
        <f>Acciones!D499/Acciones!D498 -1</f>
        <v>8.718352802312257E-3</v>
      </c>
      <c r="E498" s="4">
        <f>Acciones!E499/Acciones!E498 -1</f>
        <v>-1.7543633999037578E-3</v>
      </c>
    </row>
    <row r="499" spans="1:5" x14ac:dyDescent="0.2">
      <c r="A499" s="1">
        <f>Acciones!A500</f>
        <v>45723</v>
      </c>
      <c r="B499" s="4">
        <f>Acciones!B500/Acciones!B499 -1</f>
        <v>3.3166914288251803E-3</v>
      </c>
      <c r="C499" s="4">
        <f>Acciones!C500/Acciones!C499 -1</f>
        <v>7.9899233210831477E-2</v>
      </c>
      <c r="D499" s="4">
        <f>Acciones!D500/Acciones!D499 -1</f>
        <v>2.5364643884631111E-3</v>
      </c>
      <c r="E499" s="4">
        <f>Acciones!E500/Acciones!E499 -1</f>
        <v>-1.581722890571724E-2</v>
      </c>
    </row>
    <row r="500" spans="1:5" x14ac:dyDescent="0.2">
      <c r="A500" s="1">
        <f>Acciones!A501</f>
        <v>45726</v>
      </c>
      <c r="B500" s="4">
        <f>Acciones!B501/Acciones!B500 -1</f>
        <v>-2.727275749951652E-2</v>
      </c>
      <c r="C500" s="4">
        <f>Acciones!C501/Acciones!C500 -1</f>
        <v>-0.16083877101099231</v>
      </c>
      <c r="D500" s="4">
        <f>Acciones!D501/Acciones!D500 -1</f>
        <v>-1.9607864360899896E-2</v>
      </c>
      <c r="E500" s="4">
        <f>Acciones!E501/Acciones!E500 -1</f>
        <v>6.7857120429375195E-2</v>
      </c>
    </row>
    <row r="501" spans="1:5" x14ac:dyDescent="0.2">
      <c r="A501" s="1">
        <f>Acciones!A502</f>
        <v>45727</v>
      </c>
      <c r="B501" s="4">
        <f>Acciones!B502/Acciones!B501 -1</f>
        <v>-2.8886955445910911E-2</v>
      </c>
      <c r="C501" s="4">
        <f>Acciones!C502/Acciones!C501 -1</f>
        <v>-1.4670409816893493E-2</v>
      </c>
      <c r="D501" s="4">
        <f>Acciones!D502/Acciones!D501 -1</f>
        <v>-3.2251633527163204E-2</v>
      </c>
      <c r="E501" s="4">
        <f>Acciones!E502/Acciones!E501 -1</f>
        <v>-3.0100346115605747E-2</v>
      </c>
    </row>
    <row r="502" spans="1:5" x14ac:dyDescent="0.2">
      <c r="A502" s="1">
        <f>Acciones!A503</f>
        <v>45728</v>
      </c>
      <c r="B502" s="4">
        <f>Acciones!B503/Acciones!B502 -1</f>
        <v>-8.7489679763335104E-3</v>
      </c>
      <c r="C502" s="4">
        <f>Acciones!C503/Acciones!C502 -1</f>
        <v>-1.1584284233979503E-2</v>
      </c>
      <c r="D502" s="4">
        <f>Acciones!D503/Acciones!D502 -1</f>
        <v>-8.6732192658706131E-3</v>
      </c>
      <c r="E502" s="4">
        <f>Acciones!E503/Acciones!E502 -1</f>
        <v>-5.1724090091394781E-2</v>
      </c>
    </row>
    <row r="503" spans="1:5" x14ac:dyDescent="0.2">
      <c r="A503" s="1">
        <f>Acciones!A504</f>
        <v>45729</v>
      </c>
      <c r="B503" s="4">
        <f>Acciones!B504/Acciones!B503 -1</f>
        <v>-1.4121727604835876E-2</v>
      </c>
      <c r="C503" s="4">
        <f>Acciones!C504/Acciones!C503 -1</f>
        <v>-7.9936889907785247E-2</v>
      </c>
      <c r="D503" s="4">
        <f>Acciones!D504/Acciones!D503 -1</f>
        <v>-1.8628154856326296E-2</v>
      </c>
      <c r="E503" s="4">
        <f>Acciones!E504/Acciones!E503 -1</f>
        <v>-1.8181800448205498E-2</v>
      </c>
    </row>
    <row r="504" spans="1:5" x14ac:dyDescent="0.2">
      <c r="A504" s="1">
        <f>Acciones!A505</f>
        <v>45730</v>
      </c>
      <c r="B504" s="4">
        <f>Acciones!B505/Acciones!B504 -1</f>
        <v>3.5810106184808399E-2</v>
      </c>
      <c r="C504" s="4">
        <f>Acciones!C505/Acciones!C504 -1</f>
        <v>7.1204029571387384E-2</v>
      </c>
      <c r="D504" s="4">
        <f>Acciones!D505/Acciones!D504 -1</f>
        <v>-2.349746869796776E-2</v>
      </c>
      <c r="E504" s="4">
        <f>Acciones!E505/Acciones!E504 -1</f>
        <v>-3.5185172307639179E-2</v>
      </c>
    </row>
    <row r="505" spans="1:5" x14ac:dyDescent="0.2">
      <c r="A505" s="1">
        <f>Acciones!A506</f>
        <v>45734</v>
      </c>
      <c r="B505" s="4">
        <f>Acciones!B506/Acciones!B505 -1</f>
        <v>3.0250694115621979E-2</v>
      </c>
      <c r="C505" s="4">
        <f>Acciones!C506/Acciones!C505 -1</f>
        <v>-8.0878155336417623E-2</v>
      </c>
      <c r="D505" s="4">
        <f>Acciones!D506/Acciones!D505 -1</f>
        <v>2.1073520789811839E-2</v>
      </c>
      <c r="E505" s="4">
        <f>Acciones!E506/Acciones!E505 -1</f>
        <v>1.7274363254252689E-2</v>
      </c>
    </row>
    <row r="506" spans="1:5" x14ac:dyDescent="0.2">
      <c r="A506" s="1">
        <f>Acciones!A507</f>
        <v>45735</v>
      </c>
      <c r="B506" s="4">
        <f>Acciones!B507/Acciones!B506 -1</f>
        <v>-4.1946605687764871E-3</v>
      </c>
      <c r="C506" s="4">
        <f>Acciones!C507/Acciones!C506 -1</f>
        <v>4.379022635147134E-2</v>
      </c>
      <c r="D506" s="4">
        <f>Acciones!D507/Acciones!D506 -1</f>
        <v>8.9342194466257574E-4</v>
      </c>
      <c r="E506" s="4">
        <f>Acciones!E507/Acciones!E506 -1</f>
        <v>5.6603835120497825E-2</v>
      </c>
    </row>
    <row r="507" spans="1:5" x14ac:dyDescent="0.2">
      <c r="A507" s="1">
        <f>Acciones!A508</f>
        <v>45736</v>
      </c>
      <c r="B507" s="4">
        <f>Acciones!B508/Acciones!B507 -1</f>
        <v>-1.684923678336514E-2</v>
      </c>
      <c r="C507" s="4">
        <f>Acciones!C508/Acciones!C507 -1</f>
        <v>-2.7412594771861754E-3</v>
      </c>
      <c r="D507" s="4">
        <f>Acciones!D508/Acciones!D507 -1</f>
        <v>-8.2947347747133193E-3</v>
      </c>
      <c r="E507" s="4">
        <f>Acciones!E508/Acciones!E507 -1</f>
        <v>-2.3214306051328237E-2</v>
      </c>
    </row>
    <row r="508" spans="1:5" x14ac:dyDescent="0.2">
      <c r="A508" s="1">
        <f>Acciones!A509</f>
        <v>45737</v>
      </c>
      <c r="B508" s="4">
        <f>Acciones!B509/Acciones!B508 -1</f>
        <v>1.0282849842413233E-2</v>
      </c>
      <c r="C508" s="4">
        <f>Acciones!C509/Acciones!C508 -1</f>
        <v>2.2308881725066065E-3</v>
      </c>
      <c r="D508" s="4">
        <f>Acciones!D509/Acciones!D508 -1</f>
        <v>-4.9409338377220391E-2</v>
      </c>
      <c r="E508" s="4">
        <f>Acciones!E509/Acciones!E508 -1</f>
        <v>2.1937887600457229E-2</v>
      </c>
    </row>
    <row r="509" spans="1:5" x14ac:dyDescent="0.2">
      <c r="A509" s="1">
        <f>Acciones!A510</f>
        <v>45740</v>
      </c>
      <c r="B509" s="4">
        <f>Acciones!B510/Acciones!B509 -1</f>
        <v>8.4817409820134859E-3</v>
      </c>
      <c r="C509" s="4">
        <f>Acciones!C510/Acciones!C509 -1</f>
        <v>0.15291352922299506</v>
      </c>
      <c r="D509" s="4">
        <f>Acciones!D510/Acciones!D509 -1</f>
        <v>-1.0503411598832391E-2</v>
      </c>
      <c r="E509" s="4">
        <f>Acciones!E510/Acciones!E509 -1</f>
        <v>-1.6100184422523589E-2</v>
      </c>
    </row>
    <row r="510" spans="1:5" x14ac:dyDescent="0.2">
      <c r="A510" s="1">
        <f>Acciones!A511</f>
        <v>45741</v>
      </c>
      <c r="B510" s="4">
        <f>Acciones!B511/Acciones!B510 -1</f>
        <v>8.4104886245506272E-4</v>
      </c>
      <c r="C510" s="4">
        <f>Acciones!C511/Acciones!C510 -1</f>
        <v>-5.3783748465678904E-3</v>
      </c>
      <c r="D510" s="4">
        <f>Acciones!D511/Acciones!D510 -1</f>
        <v>-1.5752881147819808E-2</v>
      </c>
      <c r="E510" s="4">
        <f>Acciones!E511/Acciones!E510 -1</f>
        <v>-3.6364251128898628E-3</v>
      </c>
    </row>
    <row r="511" spans="1:5" x14ac:dyDescent="0.2">
      <c r="A511" s="1">
        <f>Acciones!A512</f>
        <v>45742</v>
      </c>
      <c r="B511" s="4">
        <f>Acciones!B512/Acciones!B511 -1</f>
        <v>1.6806841873864276E-3</v>
      </c>
      <c r="C511" s="4">
        <f>Acciones!C512/Acciones!C511 -1</f>
        <v>-3.9342701549946568E-2</v>
      </c>
      <c r="D511" s="4">
        <f>Acciones!D512/Acciones!D511 -1</f>
        <v>-9.2889061162996223E-3</v>
      </c>
      <c r="E511" s="4">
        <f>Acciones!E512/Acciones!E511 -1</f>
        <v>3.6496969625789966E-3</v>
      </c>
    </row>
    <row r="512" spans="1:5" x14ac:dyDescent="0.2">
      <c r="A512" s="1">
        <f>Acciones!A513</f>
        <v>45743</v>
      </c>
      <c r="B512" s="4">
        <f>Acciones!B513/Acciones!B512 -1</f>
        <v>1.7617492067971252E-2</v>
      </c>
      <c r="C512" s="4">
        <f>Acciones!C513/Acciones!C512 -1</f>
        <v>7.5770889795334639E-4</v>
      </c>
      <c r="D512" s="4">
        <f>Acciones!D513/Acciones!D512 -1</f>
        <v>1.3135515332976633E-2</v>
      </c>
      <c r="E512" s="4">
        <f>Acciones!E513/Acciones!E512 -1</f>
        <v>-3.6363709268490529E-2</v>
      </c>
    </row>
    <row r="513" spans="1:5" x14ac:dyDescent="0.2">
      <c r="A513" s="1">
        <f>Acciones!A514</f>
        <v>45744</v>
      </c>
      <c r="B513" s="4">
        <f>Acciones!B514/Acciones!B513 -1</f>
        <v>-1.1541713545731302E-2</v>
      </c>
      <c r="C513" s="4">
        <f>Acciones!C514/Acciones!C513 -1</f>
        <v>-8.4189672217999223E-2</v>
      </c>
      <c r="D513" s="4">
        <f>Acciones!D514/Acciones!D513 -1</f>
        <v>-3.5065543761931273E-2</v>
      </c>
      <c r="E513" s="4">
        <f>Acciones!E514/Acciones!E513 -1</f>
        <v>0</v>
      </c>
    </row>
    <row r="514" spans="1:5" x14ac:dyDescent="0.2">
      <c r="A514" s="1">
        <f>Acciones!A515</f>
        <v>45747</v>
      </c>
      <c r="B514" s="4">
        <f>Acciones!B515/Acciones!B514 -1</f>
        <v>-5.0040420914345685E-3</v>
      </c>
      <c r="C514" s="4">
        <f>Acciones!C515/Acciones!C514 -1</f>
        <v>-7.3661443755385858E-2</v>
      </c>
      <c r="D514" s="4">
        <f>Acciones!D515/Acciones!D514 -1</f>
        <v>8.2547508189205754E-3</v>
      </c>
      <c r="E514" s="4">
        <f>Acciones!E515/Acciones!E514 -1</f>
        <v>-2.6415093066471385E-2</v>
      </c>
    </row>
    <row r="515" spans="1:5" x14ac:dyDescent="0.2">
      <c r="A515" s="1">
        <f>Acciones!A516</f>
        <v>45748</v>
      </c>
      <c r="B515" s="4">
        <f>Acciones!B516/Acciones!B515 -1</f>
        <v>-1.3411661242700768E-2</v>
      </c>
      <c r="C515" s="4">
        <f>Acciones!C516/Acciones!C515 -1</f>
        <v>1.5767804920442829E-2</v>
      </c>
      <c r="D515" s="4">
        <f>Acciones!D516/Acciones!D515 -1</f>
        <v>9.3283571610054405E-3</v>
      </c>
      <c r="E515" s="4">
        <f>Acciones!E516/Acciones!E515 -1</f>
        <v>2.7131781602562244E-2</v>
      </c>
    </row>
    <row r="516" spans="1:5" x14ac:dyDescent="0.2">
      <c r="A516" s="1">
        <f>Acciones!A517</f>
        <v>45749</v>
      </c>
      <c r="B516" s="4">
        <f>Acciones!B517/Acciones!B516 -1</f>
        <v>-3.2285450217187095E-2</v>
      </c>
      <c r="C516" s="4">
        <f>Acciones!C517/Acciones!C516 -1</f>
        <v>5.9163177362544062E-2</v>
      </c>
      <c r="D516" s="4">
        <f>Acciones!D517/Acciones!D516 -1</f>
        <v>9.9631015476331353E-3</v>
      </c>
      <c r="E516" s="4">
        <f>Acciones!E517/Acciones!E516 -1</f>
        <v>-1.3207490302436509E-2</v>
      </c>
    </row>
    <row r="517" spans="1:5" x14ac:dyDescent="0.2">
      <c r="A517" s="1">
        <f>Acciones!A518</f>
        <v>45750</v>
      </c>
      <c r="B517" s="4">
        <f>Acciones!B518/Acciones!B517 -1</f>
        <v>1.8437183581905492E-2</v>
      </c>
      <c r="C517" s="4">
        <f>Acciones!C518/Acciones!C517 -1</f>
        <v>-0.11116378074384548</v>
      </c>
      <c r="D517" s="4">
        <f>Acciones!D518/Acciones!D517 -1</f>
        <v>-0.16236655331268934</v>
      </c>
      <c r="E517" s="4">
        <f>Acciones!E518/Acciones!E517 -1</f>
        <v>-7.2657719815775068E-2</v>
      </c>
    </row>
    <row r="518" spans="1:5" x14ac:dyDescent="0.2">
      <c r="A518" s="1">
        <f>Acciones!A519</f>
        <v>45751</v>
      </c>
      <c r="B518" s="4">
        <f>Acciones!B519/Acciones!B518 -1</f>
        <v>-2.1551708094651567E-2</v>
      </c>
      <c r="C518" s="4">
        <f>Acciones!C519/Acciones!C518 -1</f>
        <v>2.2266642252599889E-2</v>
      </c>
      <c r="D518" s="4">
        <f>Acciones!D519/Acciones!D518 -1</f>
        <v>5.937787320689436E-2</v>
      </c>
      <c r="E518" s="4">
        <f>Acciones!E519/Acciones!E518 -1</f>
        <v>-7.2165000399411317E-2</v>
      </c>
    </row>
    <row r="519" spans="1:5" x14ac:dyDescent="0.2">
      <c r="A519" s="1">
        <f>Acciones!A520</f>
        <v>45754</v>
      </c>
      <c r="B519" s="4">
        <f>Acciones!B520/Acciones!B519 -1</f>
        <v>-5.5506655613100198E-2</v>
      </c>
      <c r="C519" s="4">
        <f>Acciones!C520/Acciones!C519 -1</f>
        <v>1.5303701389186353E-2</v>
      </c>
      <c r="D519" s="4">
        <f>Acciones!D520/Acciones!D519 -1</f>
        <v>-2.6323039433118978E-2</v>
      </c>
      <c r="E519" s="4">
        <f>Acciones!E520/Acciones!E519 -1</f>
        <v>-5.5555504045369353E-2</v>
      </c>
    </row>
    <row r="520" spans="1:5" x14ac:dyDescent="0.2">
      <c r="A520" s="1">
        <f>Acciones!A521</f>
        <v>45755</v>
      </c>
      <c r="B520" s="4">
        <f>Acciones!B521/Acciones!B520 -1</f>
        <v>3.5447831212169767E-2</v>
      </c>
      <c r="C520" s="4">
        <f>Acciones!C521/Acciones!C520 -1</f>
        <v>-8.1402794528346312E-2</v>
      </c>
      <c r="D520" s="4">
        <f>Acciones!D521/Acciones!D520 -1</f>
        <v>-4.7478247560095888E-2</v>
      </c>
      <c r="E520" s="4">
        <f>Acciones!E521/Acciones!E520 -1</f>
        <v>-3.5294153121101068E-2</v>
      </c>
    </row>
    <row r="521" spans="1:5" x14ac:dyDescent="0.2">
      <c r="A521" s="1">
        <f>Acciones!A522</f>
        <v>45756</v>
      </c>
      <c r="B521" s="4">
        <f>Acciones!B522/Acciones!B521 -1</f>
        <v>9.0089843200897857E-3</v>
      </c>
      <c r="C521" s="4">
        <f>Acciones!C522/Acciones!C521 -1</f>
        <v>0.16553232239234461</v>
      </c>
      <c r="D521" s="4">
        <f>Acciones!D522/Acciones!D521 -1</f>
        <v>8.9099898699517732E-2</v>
      </c>
      <c r="E521" s="4">
        <f>Acciones!E522/Acciones!E521 -1</f>
        <v>0</v>
      </c>
    </row>
    <row r="522" spans="1:5" x14ac:dyDescent="0.2">
      <c r="A522" s="1">
        <f>Acciones!A523</f>
        <v>45757</v>
      </c>
      <c r="B522" s="4">
        <f>Acciones!B523/Acciones!B522 -1</f>
        <v>0</v>
      </c>
      <c r="C522" s="4">
        <f>Acciones!C523/Acciones!C522 -1</f>
        <v>-5.4073528530451442E-2</v>
      </c>
      <c r="D522" s="4">
        <f>Acciones!D523/Acciones!D522 -1</f>
        <v>-6.957247511071174E-2</v>
      </c>
      <c r="E522" s="4">
        <f>Acciones!E523/Acciones!E522 -1</f>
        <v>-7.0731669554463861E-2</v>
      </c>
    </row>
    <row r="523" spans="1:5" x14ac:dyDescent="0.2">
      <c r="A523" s="1">
        <f>Acciones!A524</f>
        <v>45758</v>
      </c>
      <c r="B523" s="4">
        <f>Acciones!B524/Acciones!B523 -1</f>
        <v>-3.9285642630839557E-2</v>
      </c>
      <c r="C523" s="4">
        <f>Acciones!C524/Acciones!C523 -1</f>
        <v>6.7523578671608631E-2</v>
      </c>
      <c r="D523" s="4">
        <f>Acciones!D524/Acciones!D523 -1</f>
        <v>-6.5316205957954843E-3</v>
      </c>
      <c r="E523" s="4">
        <f>Acciones!E524/Acciones!E523 -1</f>
        <v>0</v>
      </c>
    </row>
    <row r="524" spans="1:5" x14ac:dyDescent="0.2">
      <c r="A524" s="1">
        <f>Acciones!A525</f>
        <v>45761</v>
      </c>
      <c r="B524" s="4">
        <f>Acciones!B525/Acciones!B524 -1</f>
        <v>1.3940435946065755E-2</v>
      </c>
      <c r="C524" s="4">
        <f>Acciones!C525/Acciones!C524 -1</f>
        <v>3.1804555505266618E-2</v>
      </c>
      <c r="D524" s="4">
        <f>Acciones!D525/Acciones!D524 -1</f>
        <v>1.3584193824849766E-2</v>
      </c>
      <c r="E524" s="4">
        <f>Acciones!E525/Acciones!E524 -1</f>
        <v>-8.1364874358184291E-2</v>
      </c>
    </row>
    <row r="525" spans="1:5" x14ac:dyDescent="0.2">
      <c r="A525" s="1">
        <f>Acciones!A526</f>
        <v>45762</v>
      </c>
      <c r="B525" s="4">
        <f>Acciones!B526/Acciones!B525 -1</f>
        <v>-1.0999071620824918E-2</v>
      </c>
      <c r="C525" s="4">
        <f>Acciones!C526/Acciones!C525 -1</f>
        <v>-3.996009086743213E-2</v>
      </c>
      <c r="D525" s="4">
        <f>Acciones!D526/Acciones!D525 -1</f>
        <v>-1.5960934102158819E-2</v>
      </c>
      <c r="E525" s="4">
        <f>Acciones!E526/Acciones!E525 -1</f>
        <v>0.14285717934978326</v>
      </c>
    </row>
    <row r="526" spans="1:5" x14ac:dyDescent="0.2">
      <c r="A526" s="1">
        <f>Acciones!A527</f>
        <v>45763</v>
      </c>
      <c r="B526" s="4">
        <f>Acciones!B527/Acciones!B526 -1</f>
        <v>5.560743800630874E-3</v>
      </c>
      <c r="C526" s="4">
        <f>Acciones!C527/Acciones!C526 -1</f>
        <v>-8.4766506366998895E-3</v>
      </c>
      <c r="D526" s="4">
        <f>Acciones!D527/Acciones!D526 -1</f>
        <v>-2.8366482592612652E-2</v>
      </c>
      <c r="E526" s="4">
        <f>Acciones!E527/Acciones!E526 -1</f>
        <v>0</v>
      </c>
    </row>
    <row r="527" spans="1:5" x14ac:dyDescent="0.2">
      <c r="A527" s="1">
        <f>Acciones!A528</f>
        <v>45768</v>
      </c>
      <c r="B527" s="4">
        <f>Acciones!B528/Acciones!B527 -1</f>
        <v>-4.9769574584134113E-2</v>
      </c>
      <c r="C527" s="4">
        <f>Acciones!C528/Acciones!C527 -1</f>
        <v>-1.903379829835139E-2</v>
      </c>
      <c r="D527" s="4">
        <f>Acciones!D528/Acciones!D527 -1</f>
        <v>3.3040476187483181E-2</v>
      </c>
      <c r="E527" s="4">
        <f>Acciones!E528/Acciones!E527 -1</f>
        <v>-0.15000000372529088</v>
      </c>
    </row>
    <row r="528" spans="1:5" x14ac:dyDescent="0.2">
      <c r="A528" s="1">
        <f>Acciones!A529</f>
        <v>45769</v>
      </c>
      <c r="B528" s="4">
        <f>Acciones!B529/Acciones!B528 -1</f>
        <v>2.9097216320015384E-3</v>
      </c>
      <c r="C528" s="4">
        <f>Acciones!C529/Acciones!C528 -1</f>
        <v>0.12809347868345644</v>
      </c>
      <c r="D528" s="4">
        <f>Acciones!D529/Acciones!D528 -1</f>
        <v>1.4492769669526062E-2</v>
      </c>
      <c r="E528" s="4">
        <f>Acciones!E529/Acciones!E528 -1</f>
        <v>-6.1764698921603745E-2</v>
      </c>
    </row>
    <row r="529" spans="1:5" x14ac:dyDescent="0.2">
      <c r="A529" s="1">
        <f>Acciones!A530</f>
        <v>45770</v>
      </c>
      <c r="B529" s="4">
        <f>Acciones!B530/Acciones!B529 -1</f>
        <v>3.4816305586782947E-2</v>
      </c>
      <c r="C529" s="4">
        <f>Acciones!C530/Acciones!C529 -1</f>
        <v>1.3264280856897459E-2</v>
      </c>
      <c r="D529" s="4">
        <f>Acciones!D530/Acciones!D529 -1</f>
        <v>6.6785918139984357E-3</v>
      </c>
      <c r="E529" s="4">
        <f>Acciones!E530/Acciones!E529 -1</f>
        <v>-5.9561108026036536E-2</v>
      </c>
    </row>
    <row r="530" spans="1:5" x14ac:dyDescent="0.2">
      <c r="A530" s="1">
        <f>Acciones!A531</f>
        <v>45771</v>
      </c>
      <c r="B530" s="4">
        <f>Acciones!B531/Acciones!B530 -1</f>
        <v>5.1401865302040495E-2</v>
      </c>
      <c r="C530" s="4">
        <f>Acciones!C531/Acciones!C530 -1</f>
        <v>-1.2407438097254642E-2</v>
      </c>
      <c r="D530" s="4">
        <f>Acciones!D531/Acciones!D530 -1</f>
        <v>1.287827800462793E-2</v>
      </c>
      <c r="E530" s="4">
        <f>Acciones!E531/Acciones!E530 -1</f>
        <v>-3.3333896266063423E-3</v>
      </c>
    </row>
    <row r="531" spans="1:5" x14ac:dyDescent="0.2">
      <c r="A531" s="1">
        <f>Acciones!A532</f>
        <v>45772</v>
      </c>
      <c r="B531" s="4">
        <f>Acciones!B532/Acciones!B531 -1</f>
        <v>1.7777903379692095E-3</v>
      </c>
      <c r="C531" s="4">
        <f>Acciones!C532/Acciones!C531 -1</f>
        <v>9.8321705366044565E-3</v>
      </c>
      <c r="D531" s="4">
        <f>Acciones!D532/Acciones!D531 -1</f>
        <v>-1.4868519694323679E-2</v>
      </c>
      <c r="E531" s="4">
        <f>Acciones!E532/Acciones!E531 -1</f>
        <v>-6.3545130833692953E-2</v>
      </c>
    </row>
    <row r="532" spans="1:5" x14ac:dyDescent="0.2">
      <c r="A532" s="1">
        <f>Acciones!A533</f>
        <v>45775</v>
      </c>
      <c r="B532" s="4">
        <f>Acciones!B533/Acciones!B532 -1</f>
        <v>2.6619531124305595E-3</v>
      </c>
      <c r="C532" s="4">
        <f>Acciones!C533/Acciones!C532 -1</f>
        <v>-6.6712564271114161E-3</v>
      </c>
      <c r="D532" s="4">
        <f>Acciones!D533/Acciones!D532 -1</f>
        <v>-1.9556095430377507E-3</v>
      </c>
      <c r="E532" s="4">
        <f>Acciones!E533/Acciones!E532 -1</f>
        <v>6.7857120429375195E-2</v>
      </c>
    </row>
    <row r="533" spans="1:5" x14ac:dyDescent="0.2">
      <c r="A533" s="1">
        <f>Acciones!A534</f>
        <v>45776</v>
      </c>
      <c r="B533" s="4">
        <f>Acciones!B534/Acciones!B533 -1</f>
        <v>6.106185537735942E-2</v>
      </c>
      <c r="C533" s="4">
        <f>Acciones!C534/Acciones!C533 -1</f>
        <v>2.3742135873799031E-2</v>
      </c>
      <c r="D533" s="4">
        <f>Acciones!D534/Acciones!D533 -1</f>
        <v>4.7023764228670828E-3</v>
      </c>
      <c r="E533" s="4">
        <f>Acciones!E534/Acciones!E533 -1</f>
        <v>-6.6889768782786296E-3</v>
      </c>
    </row>
    <row r="534" spans="1:5" x14ac:dyDescent="0.2">
      <c r="A534" s="1">
        <f>Acciones!A535</f>
        <v>45777</v>
      </c>
      <c r="B534" s="4">
        <f>Acciones!B535/Acciones!B534 -1</f>
        <v>1.084244583933458E-2</v>
      </c>
      <c r="C534" s="4">
        <f>Acciones!C535/Acciones!C534 -1</f>
        <v>-6.7092246197641869E-2</v>
      </c>
      <c r="D534" s="4">
        <f>Acciones!D535/Acciones!D534 -1</f>
        <v>-2.0707281067804284E-2</v>
      </c>
      <c r="E534" s="4">
        <f>Acciones!E535/Acciones!E534 -1</f>
        <v>-6.734020586281475E-3</v>
      </c>
    </row>
    <row r="535" spans="1:5" x14ac:dyDescent="0.2">
      <c r="A535" s="1">
        <f>Acciones!A536</f>
        <v>45779</v>
      </c>
      <c r="B535" s="4">
        <f>Acciones!B536/Acciones!B535 -1</f>
        <v>3.2178201589212252E-2</v>
      </c>
      <c r="C535" s="4">
        <f>Acciones!C536/Acciones!C535 -1</f>
        <v>7.7923069204539841E-2</v>
      </c>
      <c r="D535" s="4">
        <f>Acciones!D536/Acciones!D535 -1</f>
        <v>4.0814931041819769E-2</v>
      </c>
      <c r="E535" s="4">
        <f>Acciones!E536/Acciones!E535 -1</f>
        <v>-0.18644065998711001</v>
      </c>
    </row>
    <row r="536" spans="1:5" x14ac:dyDescent="0.2">
      <c r="A536" s="1">
        <f>Acciones!A537</f>
        <v>45782</v>
      </c>
      <c r="B536" s="4">
        <f>Acciones!B537/Acciones!B536 -1</f>
        <v>-5.5955630825106351E-3</v>
      </c>
      <c r="C536" s="4">
        <f>Acciones!C537/Acciones!C536 -1</f>
        <v>-8.73121532564054E-2</v>
      </c>
      <c r="D536" s="4">
        <f>Acciones!D537/Acciones!D536 -1</f>
        <v>-1.6428630125030486E-2</v>
      </c>
      <c r="E536" s="4">
        <f>Acciones!E537/Acciones!E536 -1</f>
        <v>-6.6666616996127859E-2</v>
      </c>
    </row>
    <row r="537" spans="1:5" x14ac:dyDescent="0.2">
      <c r="A537" s="1">
        <f>Acciones!A538</f>
        <v>45783</v>
      </c>
      <c r="B537" s="4">
        <f>Acciones!B538/Acciones!B537 -1</f>
        <v>1.6880991020796099E-2</v>
      </c>
      <c r="C537" s="4">
        <f>Acciones!C538/Acciones!C537 -1</f>
        <v>6.9543571087415934E-4</v>
      </c>
      <c r="D537" s="4">
        <f>Acciones!D538/Acciones!D537 -1</f>
        <v>-5.2431803042949365E-3</v>
      </c>
      <c r="E537" s="4">
        <f>Acciones!E538/Acciones!E537 -1</f>
        <v>2.6785701218691838E-2</v>
      </c>
    </row>
    <row r="538" spans="1:5" x14ac:dyDescent="0.2">
      <c r="A538" s="1">
        <f>Acciones!A539</f>
        <v>45784</v>
      </c>
      <c r="B538" s="4">
        <f>Acciones!B539/Acciones!B538 -1</f>
        <v>-3.9524422366503664E-3</v>
      </c>
      <c r="C538" s="4">
        <f>Acciones!C539/Acciones!C538 -1</f>
        <v>4.7876070825290107E-3</v>
      </c>
      <c r="D538" s="4">
        <f>Acciones!D539/Acciones!D538 -1</f>
        <v>2.0435372825138298E-2</v>
      </c>
      <c r="E538" s="4">
        <f>Acciones!E539/Acciones!E538 -1</f>
        <v>0.26086950606344206</v>
      </c>
    </row>
    <row r="539" spans="1:5" x14ac:dyDescent="0.2">
      <c r="A539" s="1">
        <f>Acciones!A540</f>
        <v>45785</v>
      </c>
      <c r="B539" s="4">
        <f>Acciones!B540/Acciones!B539 -1</f>
        <v>0</v>
      </c>
      <c r="C539" s="4">
        <f>Acciones!C540/Acciones!C539 -1</f>
        <v>6.832154721218342E-2</v>
      </c>
      <c r="D539" s="4">
        <f>Acciones!D540/Acciones!D539 -1</f>
        <v>1.1332677227609667E-2</v>
      </c>
      <c r="E539" s="4">
        <f>Acciones!E540/Acciones!E539 -1</f>
        <v>0.31034484884827029</v>
      </c>
    </row>
    <row r="540" spans="1:5" x14ac:dyDescent="0.2">
      <c r="A540" s="1">
        <f>Acciones!A541</f>
        <v>45786</v>
      </c>
      <c r="B540" s="4">
        <f>Acciones!B541/Acciones!B540 -1</f>
        <v>-3.9683596600464943E-3</v>
      </c>
      <c r="C540" s="4">
        <f>Acciones!C541/Acciones!C540 -1</f>
        <v>8.9813690408699909E-2</v>
      </c>
      <c r="D540" s="4">
        <f>Acciones!D541/Acciones!D540 -1</f>
        <v>-1.8613080165713392E-2</v>
      </c>
      <c r="E540" s="4">
        <f>Acciones!E541/Acciones!E540 -1</f>
        <v>-0.21052627451201988</v>
      </c>
    </row>
    <row r="541" spans="1:5" x14ac:dyDescent="0.2">
      <c r="A541" s="1">
        <f>Acciones!A542</f>
        <v>45789</v>
      </c>
      <c r="B541" s="4">
        <f>Acciones!B542/Acciones!B541 -1</f>
        <v>-3.9840139037845557E-3</v>
      </c>
      <c r="C541" s="4">
        <f>Acciones!C542/Acciones!C541 -1</f>
        <v>2.9736988204314585E-2</v>
      </c>
      <c r="D541" s="4">
        <f>Acciones!D542/Acciones!D541 -1</f>
        <v>7.4065308919609496E-2</v>
      </c>
      <c r="E541" s="4">
        <f>Acciones!E542/Acciones!E541 -1</f>
        <v>4.9999950329467246E-2</v>
      </c>
    </row>
    <row r="542" spans="1:5" x14ac:dyDescent="0.2">
      <c r="A542" s="1">
        <f>Acciones!A543</f>
        <v>45790</v>
      </c>
      <c r="B542" s="4">
        <f>Acciones!B543/Acciones!B542 -1</f>
        <v>0</v>
      </c>
      <c r="C542" s="4">
        <f>Acciones!C543/Acciones!C542 -1</f>
        <v>1.4807676657650592E-2</v>
      </c>
      <c r="D542" s="4">
        <f>Acciones!D543/Acciones!D542 -1</f>
        <v>-7.3460199428375672E-3</v>
      </c>
      <c r="E542" s="4">
        <f>Acciones!E543/Acciones!E542 -1</f>
        <v>7.6190441950467314E-2</v>
      </c>
    </row>
    <row r="543" spans="1:5" x14ac:dyDescent="0.2">
      <c r="A543" s="1">
        <f>Acciones!A544</f>
        <v>45791</v>
      </c>
      <c r="B543" s="4">
        <f>Acciones!B544/Acciones!B543 -1</f>
        <v>1.9999905798564699E-2</v>
      </c>
      <c r="C543" s="4">
        <f>Acciones!C544/Acciones!C543 -1</f>
        <v>-2.7225049744557528E-2</v>
      </c>
      <c r="D543" s="4">
        <f>Acciones!D544/Acciones!D543 -1</f>
        <v>-1.3195658117126974E-2</v>
      </c>
      <c r="E543" s="4">
        <f>Acciones!E544/Acciones!E543 -1</f>
        <v>-5.6047181561733495E-2</v>
      </c>
    </row>
    <row r="544" spans="1:5" x14ac:dyDescent="0.2">
      <c r="A544" s="1">
        <f>Acciones!A545</f>
        <v>45792</v>
      </c>
      <c r="B544" s="4">
        <f>Acciones!B545/Acciones!B544 -1</f>
        <v>1.5686386783729134E-2</v>
      </c>
      <c r="C544" s="4">
        <f>Acciones!C545/Acciones!C544 -1</f>
        <v>-1.4415592342230443E-2</v>
      </c>
      <c r="D544" s="4">
        <f>Acciones!D545/Acciones!D544 -1</f>
        <v>1.5974810971655762E-2</v>
      </c>
      <c r="E544" s="4">
        <f>Acciones!E545/Acciones!E544 -1</f>
        <v>0</v>
      </c>
    </row>
    <row r="545" spans="1:5" x14ac:dyDescent="0.2">
      <c r="A545" s="1">
        <f>Acciones!A546</f>
        <v>45793</v>
      </c>
      <c r="B545" s="4">
        <f>Acciones!B546/Acciones!B545 -1</f>
        <v>8.4941925788759587E-3</v>
      </c>
      <c r="C545" s="4">
        <f>Acciones!C546/Acciones!C545 -1</f>
        <v>4.0815702820153454E-2</v>
      </c>
      <c r="D545" s="4">
        <f>Acciones!D546/Acciones!D545 -1</f>
        <v>9.9184105974070569E-3</v>
      </c>
      <c r="E545" s="4">
        <f>Acciones!E546/Acciones!E545 -1</f>
        <v>3.4375023865141685E-2</v>
      </c>
    </row>
    <row r="546" spans="1:5" x14ac:dyDescent="0.2">
      <c r="A546" s="1">
        <f>Acciones!A547</f>
        <v>45796</v>
      </c>
      <c r="B546" s="4">
        <f>Acciones!B547/Acciones!B546 -1</f>
        <v>3.9050436114394182E-2</v>
      </c>
      <c r="C546" s="4">
        <f>Acciones!C547/Acciones!C546 -1</f>
        <v>-6.1719010339941205E-3</v>
      </c>
      <c r="D546" s="4">
        <f>Acciones!D547/Acciones!D546 -1</f>
        <v>-2.5707323312145647E-2</v>
      </c>
      <c r="E546" s="4">
        <f>Acciones!E547/Acciones!E546 -1</f>
        <v>2.416914321564545E-2</v>
      </c>
    </row>
    <row r="547" spans="1:5" x14ac:dyDescent="0.2">
      <c r="A547" s="1">
        <f>Acciones!A548</f>
        <v>45797</v>
      </c>
      <c r="B547" s="4">
        <f>Acciones!B548/Acciones!B547 -1</f>
        <v>9.5799520546886452E-3</v>
      </c>
      <c r="C547" s="4">
        <f>Acciones!C548/Acciones!C547 -1</f>
        <v>-8.9490368108088303E-3</v>
      </c>
      <c r="D547" s="4">
        <f>Acciones!D548/Acciones!D547 -1</f>
        <v>5.5241078685090983E-3</v>
      </c>
      <c r="E547" s="4">
        <f>Acciones!E548/Acciones!E547 -1</f>
        <v>-1.7699063697147577E-2</v>
      </c>
    </row>
    <row r="548" spans="1:5" x14ac:dyDescent="0.2">
      <c r="A548" s="1">
        <f>Acciones!A549</f>
        <v>45798</v>
      </c>
      <c r="B548" s="4">
        <f>Acciones!B549/Acciones!B548 -1</f>
        <v>-1.459721220467558E-3</v>
      </c>
      <c r="C548" s="4">
        <f>Acciones!C549/Acciones!C548 -1</f>
        <v>-8.0979112243380058E-3</v>
      </c>
      <c r="D548" s="4">
        <f>Acciones!D549/Acciones!D548 -1</f>
        <v>-3.3410718136787976E-2</v>
      </c>
      <c r="E548" s="4">
        <f>Acciones!E549/Acciones!E548 -1</f>
        <v>-6.9069073906716794E-2</v>
      </c>
    </row>
    <row r="549" spans="1:5" x14ac:dyDescent="0.2">
      <c r="A549" s="1">
        <f>Acciones!A550</f>
        <v>45799</v>
      </c>
      <c r="B549" s="4">
        <f>Acciones!B550/Acciones!B549 -1</f>
        <v>-2.046790840667323E-2</v>
      </c>
      <c r="C549" s="4">
        <f>Acciones!C550/Acciones!C549 -1</f>
        <v>-2.1576451784709016E-2</v>
      </c>
      <c r="D549" s="4">
        <f>Acciones!D550/Acciones!D549 -1</f>
        <v>1.788381408305062E-2</v>
      </c>
      <c r="E549" s="4">
        <f>Acciones!E550/Acciones!E549 -1</f>
        <v>4.8387050256523567E-2</v>
      </c>
    </row>
    <row r="550" spans="1:5" x14ac:dyDescent="0.2">
      <c r="A550" s="1">
        <f>Acciones!A551</f>
        <v>45800</v>
      </c>
      <c r="B550" s="4">
        <f>Acciones!B551/Acciones!B550 -1</f>
        <v>-2.6865642787485933E-2</v>
      </c>
      <c r="C550" s="4">
        <f>Acciones!C551/Acciones!C550 -1</f>
        <v>-5.4633950751515892E-2</v>
      </c>
      <c r="D550" s="4">
        <f>Acciones!D551/Acciones!D550 -1</f>
        <v>-2.4890871745509857E-2</v>
      </c>
      <c r="E550" s="4">
        <f>Acciones!E551/Acciones!E550 -1</f>
        <v>-9.2307424263138316E-3</v>
      </c>
    </row>
    <row r="551" spans="1:5" x14ac:dyDescent="0.2">
      <c r="A551" s="1">
        <f>Acciones!A552</f>
        <v>45803</v>
      </c>
      <c r="B551" s="4">
        <f>Acciones!B552/Acciones!B551 -1</f>
        <v>8.435567241107611E-3</v>
      </c>
      <c r="C551" s="4">
        <f>Acciones!C552/Acciones!C551 -1</f>
        <v>-1.7863113312337475E-3</v>
      </c>
      <c r="D551" s="4">
        <f>Acciones!D552/Acciones!D551 -1</f>
        <v>1.7299099000391838E-3</v>
      </c>
      <c r="E551" s="4">
        <f>Acciones!E552/Acciones!E551 -1</f>
        <v>9.3167428800922103E-3</v>
      </c>
    </row>
    <row r="552" spans="1:5" x14ac:dyDescent="0.2">
      <c r="A552" s="1">
        <f>Acciones!A553</f>
        <v>45804</v>
      </c>
      <c r="B552" s="4">
        <f>Acciones!B553/Acciones!B552 -1</f>
        <v>-1.5209084050752053E-2</v>
      </c>
      <c r="C552" s="4">
        <f>Acciones!C553/Acciones!C552 -1</f>
        <v>0.10101757384182819</v>
      </c>
      <c r="D552" s="4">
        <f>Acciones!D553/Acciones!D552 -1</f>
        <v>3.8262188862898672E-2</v>
      </c>
      <c r="E552" s="4">
        <f>Acciones!E553/Acciones!E552 -1</f>
        <v>-1.8461484852627774E-2</v>
      </c>
    </row>
    <row r="553" spans="1:5" x14ac:dyDescent="0.2">
      <c r="A553" s="1">
        <f>Acciones!A554</f>
        <v>45805</v>
      </c>
      <c r="B553" s="4">
        <f>Acciones!B554/Acciones!B553 -1</f>
        <v>8.4941925788759587E-3</v>
      </c>
      <c r="C553" s="4">
        <f>Acciones!C554/Acciones!C553 -1</f>
        <v>-8.0467826611456017E-2</v>
      </c>
      <c r="D553" s="4">
        <f>Acciones!D554/Acciones!D553 -1</f>
        <v>-3.2102627560071095E-3</v>
      </c>
      <c r="E553" s="4">
        <f>Acciones!E554/Acciones!E553 -1</f>
        <v>-9.4043608924759825E-3</v>
      </c>
    </row>
    <row r="554" spans="1:5" x14ac:dyDescent="0.2">
      <c r="A554" s="1">
        <f>Acciones!A555</f>
        <v>45806</v>
      </c>
      <c r="B554" s="4">
        <f>Acciones!B555/Acciones!B554 -1</f>
        <v>2.0673808912713643E-2</v>
      </c>
      <c r="C554" s="4">
        <f>Acciones!C555/Acciones!C554 -1</f>
        <v>-2.4121514405418987E-2</v>
      </c>
      <c r="D554" s="4">
        <f>Acciones!D555/Acciones!D554 -1</f>
        <v>-1.1147169811324908E-2</v>
      </c>
      <c r="E554" s="4">
        <f>Acciones!E555/Acciones!E554 -1</f>
        <v>-1.8987379377229163E-2</v>
      </c>
    </row>
    <row r="555" spans="1:5" x14ac:dyDescent="0.2">
      <c r="A555" s="1">
        <f>Acciones!A556</f>
        <v>45807</v>
      </c>
      <c r="B555" s="4">
        <f>Acciones!B556/Acciones!B555 -1</f>
        <v>-9.7524334155130177E-3</v>
      </c>
      <c r="C555" s="4">
        <f>Acciones!C556/Acciones!C555 -1</f>
        <v>-2.2231619953715809E-2</v>
      </c>
      <c r="D555" s="4">
        <f>Acciones!D556/Acciones!D555 -1</f>
        <v>-2.6494213621665041E-3</v>
      </c>
      <c r="E555" s="4">
        <f>Acciones!E556/Acciones!E555 -1</f>
        <v>0</v>
      </c>
    </row>
    <row r="556" spans="1:5" x14ac:dyDescent="0.2">
      <c r="A556" s="1">
        <f>Acciones!A557</f>
        <v>45810</v>
      </c>
      <c r="B556" s="4">
        <f>Acciones!B557/Acciones!B556 -1</f>
        <v>1.4393966707614059E-2</v>
      </c>
      <c r="C556" s="4">
        <f>Acciones!C557/Acciones!C556 -1</f>
        <v>-8.717882666273713E-4</v>
      </c>
      <c r="D556" s="4">
        <f>Acciones!D557/Acciones!D556 -1</f>
        <v>-2.2004104647582734E-3</v>
      </c>
      <c r="E556" s="4">
        <f>Acciones!E557/Acciones!E556 -1</f>
        <v>6.4516259281746091E-3</v>
      </c>
    </row>
    <row r="557" spans="1:5" x14ac:dyDescent="0.2">
      <c r="A557" s="1">
        <f>Acciones!A558</f>
        <v>45811</v>
      </c>
      <c r="B557" s="4">
        <f>Acciones!B558/Acciones!B557 -1</f>
        <v>2.9872956611165957E-2</v>
      </c>
      <c r="C557" s="4">
        <f>Acciones!C558/Acciones!C557 -1</f>
        <v>7.5941601236591882E-2</v>
      </c>
      <c r="D557" s="4">
        <f>Acciones!D558/Acciones!D557 -1</f>
        <v>1.6242438387778391E-2</v>
      </c>
      <c r="E557" s="4">
        <f>Acciones!E558/Acciones!E557 -1</f>
        <v>2.2435894680504331E-2</v>
      </c>
    </row>
    <row r="558" spans="1:5" x14ac:dyDescent="0.2">
      <c r="A558" s="1">
        <f>Acciones!A559</f>
        <v>45812</v>
      </c>
      <c r="B558" s="4">
        <f>Acciones!B559/Acciones!B558 -1</f>
        <v>-3.6983299781280121E-2</v>
      </c>
      <c r="C558" s="4">
        <f>Acciones!C559/Acciones!C558 -1</f>
        <v>1.6116461107539948E-2</v>
      </c>
      <c r="D558" s="4">
        <f>Acciones!D559/Acciones!D558 -1</f>
        <v>4.2565082395524811E-3</v>
      </c>
      <c r="E558" s="4">
        <f>Acciones!E559/Acciones!E558 -1</f>
        <v>-2.8213176101639315E-2</v>
      </c>
    </row>
    <row r="559" spans="1:5" x14ac:dyDescent="0.2">
      <c r="A559" s="1">
        <f>Acciones!A560</f>
        <v>45813</v>
      </c>
      <c r="B559" s="4">
        <f>Acciones!B560/Acciones!B559 -1</f>
        <v>0</v>
      </c>
      <c r="C559" s="4">
        <f>Acciones!C560/Acciones!C559 -1</f>
        <v>-5.2005003121371796E-2</v>
      </c>
      <c r="D559" s="4">
        <f>Acciones!D560/Acciones!D559 -1</f>
        <v>-3.5402985947711185E-3</v>
      </c>
      <c r="E559" s="4">
        <f>Acciones!E560/Acciones!E559 -1</f>
        <v>-4.1935520464867704E-2</v>
      </c>
    </row>
    <row r="560" spans="1:5" x14ac:dyDescent="0.2">
      <c r="A560" s="1">
        <f>Acciones!A561</f>
        <v>45814</v>
      </c>
      <c r="B560" s="4">
        <f>Acciones!B561/Acciones!B560 -1</f>
        <v>7.530100006262419E-3</v>
      </c>
      <c r="C560" s="4">
        <f>Acciones!C561/Acciones!C560 -1</f>
        <v>5.5033329026689781E-2</v>
      </c>
      <c r="D560" s="4">
        <f>Acciones!D561/Acciones!D560 -1</f>
        <v>8.3395075379866235E-4</v>
      </c>
      <c r="E560" s="4">
        <f>Acciones!E561/Acciones!E560 -1</f>
        <v>-6.734020586281475E-3</v>
      </c>
    </row>
    <row r="561" spans="1:5" x14ac:dyDescent="0.2">
      <c r="A561" s="1">
        <f>Acciones!A562</f>
        <v>45817</v>
      </c>
      <c r="B561" s="4">
        <f>Acciones!B562/Acciones!B561 -1</f>
        <v>3.2884916762258687E-2</v>
      </c>
      <c r="C561" s="4">
        <f>Acciones!C562/Acciones!C561 -1</f>
        <v>2.9422540151277321E-2</v>
      </c>
      <c r="D561" s="4">
        <f>Acciones!D562/Acciones!D561 -1</f>
        <v>-1.4783341766361979E-2</v>
      </c>
      <c r="E561" s="4">
        <f>Acciones!E562/Acciones!E561 -1</f>
        <v>3.3898880412566168E-3</v>
      </c>
    </row>
    <row r="562" spans="1:5" x14ac:dyDescent="0.2">
      <c r="A562" s="1">
        <f>Acciones!A563</f>
        <v>45818</v>
      </c>
      <c r="B562" s="4">
        <f>Acciones!B563/Acciones!B562 -1</f>
        <v>5.7886821100667785E-3</v>
      </c>
      <c r="C562" s="4">
        <f>Acciones!C563/Acciones!C562 -1</f>
        <v>2.2703780024293074E-2</v>
      </c>
      <c r="D562" s="4">
        <f>Acciones!D563/Acciones!D562 -1</f>
        <v>3.1076036349345415E-2</v>
      </c>
      <c r="E562" s="4">
        <f>Acciones!E563/Acciones!E562 -1</f>
        <v>1.3513540725273554E-2</v>
      </c>
    </row>
    <row r="563" spans="1:5" x14ac:dyDescent="0.2">
      <c r="A563" s="1">
        <f>Acciones!A564</f>
        <v>45819</v>
      </c>
      <c r="B563" s="4">
        <f>Acciones!B564/Acciones!B563 -1</f>
        <v>1.8705098744546511E-2</v>
      </c>
      <c r="C563" s="4">
        <f>Acciones!C564/Acciones!C563 -1</f>
        <v>-3.1736564513205723E-2</v>
      </c>
      <c r="D563" s="4">
        <f>Acciones!D564/Acciones!D563 -1</f>
        <v>-2.1328981022866622E-2</v>
      </c>
      <c r="E563" s="4">
        <f>Acciones!E564/Acciones!E563 -1</f>
        <v>0</v>
      </c>
    </row>
    <row r="564" spans="1:5" x14ac:dyDescent="0.2">
      <c r="A564" s="1">
        <f>Acciones!A565</f>
        <v>45820</v>
      </c>
      <c r="B564" s="4">
        <f>Acciones!B565/Acciones!B564 -1</f>
        <v>1.6242914068499426E-2</v>
      </c>
      <c r="C564" s="4">
        <f>Acciones!C565/Acciones!C564 -1</f>
        <v>-1.4904466104607272E-2</v>
      </c>
      <c r="D564" s="4">
        <f>Acciones!D565/Acciones!D564 -1</f>
        <v>-6.0266965037990561E-3</v>
      </c>
      <c r="E564" s="4">
        <f>Acciones!E565/Acciones!E564 -1</f>
        <v>-1.666674945088964E-2</v>
      </c>
    </row>
    <row r="565" spans="1:5" x14ac:dyDescent="0.2">
      <c r="A565" s="1">
        <f>Acciones!A566</f>
        <v>45821</v>
      </c>
      <c r="B565" s="4">
        <f>Acciones!B566/Acciones!B565 -1</f>
        <v>-1.4593434798901406E-2</v>
      </c>
      <c r="C565" s="4">
        <f>Acciones!C566/Acciones!C565 -1</f>
        <v>-5.9592785060258335E-2</v>
      </c>
      <c r="D565" s="4">
        <f>Acciones!D566/Acciones!D565 -1</f>
        <v>-3.694525341428323E-2</v>
      </c>
      <c r="E565" s="4">
        <f>Acciones!E566/Acciones!E565 -1</f>
        <v>1.3559350115373237E-2</v>
      </c>
    </row>
    <row r="566" spans="1:5" x14ac:dyDescent="0.2">
      <c r="A566" s="1">
        <f>Acciones!A567</f>
        <v>45824</v>
      </c>
      <c r="B566" s="4">
        <f>Acciones!B567/Acciones!B566 -1</f>
        <v>-5.6417195636226936E-3</v>
      </c>
      <c r="C566" s="4">
        <f>Acciones!C567/Acciones!C566 -1</f>
        <v>2.0735838414226659E-2</v>
      </c>
      <c r="D566" s="4">
        <f>Acciones!D567/Acciones!D566 -1</f>
        <v>2.5358942547264229E-2</v>
      </c>
      <c r="E566" s="4">
        <f>Acciones!E567/Acciones!E566 -1</f>
        <v>6.6889768782820713E-3</v>
      </c>
    </row>
    <row r="567" spans="1:5" x14ac:dyDescent="0.2">
      <c r="A567" s="1">
        <f>Acciones!A568</f>
        <v>45825</v>
      </c>
      <c r="B567" s="4">
        <f>Acciones!B568/Acciones!B567 -1</f>
        <v>1.347513283438273E-2</v>
      </c>
      <c r="C567" s="4">
        <f>Acciones!C568/Acciones!C567 -1</f>
        <v>-4.0146287336775277E-2</v>
      </c>
      <c r="D567" s="4">
        <f>Acciones!D568/Acciones!D567 -1</f>
        <v>-2.6960751575528352E-2</v>
      </c>
      <c r="E567" s="4">
        <f>Acciones!E568/Acciones!E567 -1</f>
        <v>0</v>
      </c>
    </row>
    <row r="568" spans="1:5" x14ac:dyDescent="0.2">
      <c r="A568" s="1">
        <f>Acciones!A569</f>
        <v>45826</v>
      </c>
      <c r="B568" s="4">
        <f>Acciones!B569/Acciones!B568 -1</f>
        <v>-7.6976764690656063E-3</v>
      </c>
      <c r="C568" s="4">
        <f>Acciones!C569/Acciones!C568 -1</f>
        <v>-2.5144380060859728E-4</v>
      </c>
      <c r="D568" s="4">
        <f>Acciones!D569/Acciones!D568 -1</f>
        <v>-7.3635086940343486E-3</v>
      </c>
      <c r="E568" s="4">
        <f>Acciones!E569/Acciones!E568 -1</f>
        <v>-3.3222163739711208E-3</v>
      </c>
    </row>
    <row r="569" spans="1:5" x14ac:dyDescent="0.2">
      <c r="A569" s="1">
        <f>Acciones!A570</f>
        <v>45827</v>
      </c>
      <c r="B569" s="4">
        <f>Acciones!B570/Acciones!B569 -1</f>
        <v>-7.0529279615838547E-4</v>
      </c>
      <c r="C569" s="4">
        <f>Acciones!C570/Acciones!C569 -1</f>
        <v>9.5963152957183606E-3</v>
      </c>
      <c r="D569" s="4">
        <f>Acciones!D570/Acciones!D569 -1</f>
        <v>0</v>
      </c>
      <c r="E569" s="4">
        <f>Acciones!E570/Acciones!E569 -1</f>
        <v>0</v>
      </c>
    </row>
    <row r="570" spans="1:5" x14ac:dyDescent="0.2">
      <c r="A570" s="1">
        <f>Acciones!A571</f>
        <v>45828</v>
      </c>
      <c r="B570" s="4">
        <f>Acciones!B571/Acciones!B570 -1</f>
        <v>-1.1997124208063092E-2</v>
      </c>
      <c r="C570" s="4">
        <f>Acciones!C571/Acciones!C570 -1</f>
        <v>-2.1751461318345822E-2</v>
      </c>
      <c r="D570" s="4">
        <f>Acciones!D571/Acciones!D570 -1</f>
        <v>1.6746086846417318E-2</v>
      </c>
      <c r="E570" s="4">
        <f>Acciones!E571/Acciones!E570 -1</f>
        <v>-1.0000069538746326E-2</v>
      </c>
    </row>
    <row r="571" spans="1:5" x14ac:dyDescent="0.2">
      <c r="A571" s="1">
        <f>Acciones!A572</f>
        <v>45831</v>
      </c>
      <c r="B571" s="4">
        <f>Acciones!B572/Acciones!B571 -1</f>
        <v>-8.1428587148834719E-2</v>
      </c>
      <c r="C571" s="4">
        <f>Acciones!C572/Acciones!C571 -1</f>
        <v>-1.706758723230406E-2</v>
      </c>
      <c r="D571" s="4">
        <f>Acciones!D572/Acciones!D571 -1</f>
        <v>1.44791645967981E-2</v>
      </c>
      <c r="E571" s="4">
        <f>Acciones!E572/Acciones!E571 -1</f>
        <v>-6.734020586281475E-3</v>
      </c>
    </row>
    <row r="572" spans="1:5" x14ac:dyDescent="0.2">
      <c r="A572" s="1">
        <f>Acciones!A573</f>
        <v>45832</v>
      </c>
      <c r="B572" s="4">
        <f>Acciones!B573/Acciones!B572 -1</f>
        <v>3.3436946059350436E-2</v>
      </c>
      <c r="C572" s="4">
        <f>Acciones!C573/Acciones!C572 -1</f>
        <v>4.4242804218498355E-2</v>
      </c>
      <c r="D572" s="4">
        <f>Acciones!D573/Acciones!D572 -1</f>
        <v>-1.9115764440947869E-3</v>
      </c>
      <c r="E572" s="4">
        <f>Acciones!E573/Acciones!E572 -1</f>
        <v>0</v>
      </c>
    </row>
    <row r="573" spans="1:5" x14ac:dyDescent="0.2">
      <c r="A573" s="1">
        <f>Acciones!A574</f>
        <v>45833</v>
      </c>
      <c r="B573" s="4">
        <f>Acciones!B574/Acciones!B573 -1</f>
        <v>4.4394377861006307E-2</v>
      </c>
      <c r="C573" s="4">
        <f>Acciones!C574/Acciones!C573 -1</f>
        <v>6.2045739256848531E-3</v>
      </c>
      <c r="D573" s="4">
        <f>Acciones!D574/Acciones!D573 -1</f>
        <v>-1.0039832743615085E-2</v>
      </c>
      <c r="E573" s="4">
        <f>Acciones!E574/Acciones!E573 -1</f>
        <v>1.01695630989449E-2</v>
      </c>
    </row>
    <row r="574" spans="1:5" x14ac:dyDescent="0.2">
      <c r="A574" s="1">
        <f>Acciones!A575</f>
        <v>45834</v>
      </c>
      <c r="B574" s="4">
        <f>Acciones!B575/Acciones!B574 -1</f>
        <v>0</v>
      </c>
      <c r="C574" s="4">
        <f>Acciones!C575/Acciones!C574 -1</f>
        <v>1.5222013777429932E-2</v>
      </c>
      <c r="D574" s="4">
        <f>Acciones!D575/Acciones!D574 -1</f>
        <v>2.2200582285325732E-2</v>
      </c>
      <c r="E574" s="4">
        <f>Acciones!E575/Acciones!E574 -1</f>
        <v>3.3556614060210599E-3</v>
      </c>
    </row>
    <row r="575" spans="1:5" x14ac:dyDescent="0.2">
      <c r="A575" s="1">
        <f>Acciones!A576</f>
        <v>45835</v>
      </c>
      <c r="B575" s="4">
        <f>Acciones!B576/Acciones!B575 -1</f>
        <v>-1.5129719262088726E-2</v>
      </c>
      <c r="C575" s="4">
        <f>Acciones!C576/Acciones!C575 -1</f>
        <v>-2.1206391278317471E-2</v>
      </c>
      <c r="D575" s="4">
        <f>Acciones!D576/Acciones!D575 -1</f>
        <v>0.15626431797737994</v>
      </c>
      <c r="E575" s="4">
        <f>Acciones!E576/Acciones!E575 -1</f>
        <v>3.3445382758006126E-3</v>
      </c>
    </row>
    <row r="576" spans="1:5" x14ac:dyDescent="0.2">
      <c r="A576" s="1">
        <f>Acciones!A577</f>
        <v>45838</v>
      </c>
      <c r="B576" s="4">
        <f>Acciones!B577/Acciones!B576 -1</f>
        <v>2.1945879254303913E-2</v>
      </c>
      <c r="C576" s="4">
        <f>Acciones!C577/Acciones!C576 -1</f>
        <v>4.5813916041113734E-2</v>
      </c>
      <c r="D576" s="4">
        <f>Acciones!D577/Acciones!D576 -1</f>
        <v>-2.3767125597526917E-2</v>
      </c>
      <c r="E576" s="4">
        <f>Acciones!E577/Acciones!E576 -1</f>
        <v>-1.3333359824283297E-2</v>
      </c>
    </row>
    <row r="577" spans="1:5" x14ac:dyDescent="0.2">
      <c r="A577" s="1">
        <f>Acciones!A578</f>
        <v>45839</v>
      </c>
      <c r="B577" s="4">
        <f>Acciones!B578/Acciones!B577 -1</f>
        <v>3.5791234585831333E-3</v>
      </c>
      <c r="C577" s="4">
        <f>Acciones!C578/Acciones!C577 -1</f>
        <v>1.2545184497181339E-3</v>
      </c>
      <c r="D577" s="4">
        <f>Acciones!D578/Acciones!D577 -1</f>
        <v>3.4180377187436273E-2</v>
      </c>
      <c r="E577" s="4">
        <f>Acciones!E578/Acciones!E577 -1</f>
        <v>3.3783348395597379E-3</v>
      </c>
    </row>
    <row r="578" spans="1:5" x14ac:dyDescent="0.2">
      <c r="A578" s="1">
        <f>Acciones!A579</f>
        <v>45840</v>
      </c>
      <c r="B578" s="4">
        <f>Acciones!B579/Acciones!B578 -1</f>
        <v>3.4236836614706112E-2</v>
      </c>
      <c r="C578" s="4">
        <f>Acciones!C579/Acciones!C578 -1</f>
        <v>0.12851342287774958</v>
      </c>
      <c r="D578" s="4">
        <f>Acciones!D579/Acciones!D578 -1</f>
        <v>4.4741426149447205E-2</v>
      </c>
      <c r="E578" s="4">
        <f>Acciones!E579/Acciones!E578 -1</f>
        <v>1.0101081051679728E-2</v>
      </c>
    </row>
    <row r="579" spans="1:5" x14ac:dyDescent="0.2">
      <c r="A579" s="1">
        <f>Acciones!A580</f>
        <v>45841</v>
      </c>
      <c r="B579" s="4">
        <f>Acciones!B580/Acciones!B579 -1</f>
        <v>-1.4482792877451578E-2</v>
      </c>
      <c r="C579" s="4">
        <f>Acciones!C580/Acciones!C579 -1</f>
        <v>-1.5753938484621144E-2</v>
      </c>
      <c r="D579" s="4">
        <f>Acciones!D580/Acciones!D579 -1</f>
        <v>-7.6548896626031926E-3</v>
      </c>
      <c r="E579" s="4">
        <f>Acciones!E580/Acciones!E579 -1</f>
        <v>-6.6666799121399833E-3</v>
      </c>
    </row>
    <row r="580" spans="1:5" x14ac:dyDescent="0.2">
      <c r="A580" s="1">
        <f>Acciones!A581</f>
        <v>45842</v>
      </c>
      <c r="B580" s="4">
        <f>Acciones!B581/Acciones!B580 -1</f>
        <v>-4.8984964192444469E-3</v>
      </c>
      <c r="C580" s="4">
        <f>Acciones!C581/Acciones!C580 -1</f>
        <v>4.5426531535823766E-3</v>
      </c>
      <c r="D580" s="4">
        <f>Acciones!D581/Acciones!D580 -1</f>
        <v>2.1038482891622134E-3</v>
      </c>
      <c r="E580" s="4">
        <f>Acciones!E581/Acciones!E580 -1</f>
        <v>0</v>
      </c>
    </row>
    <row r="581" spans="1:5" x14ac:dyDescent="0.2">
      <c r="A581" s="1">
        <f>Acciones!A582</f>
        <v>45845</v>
      </c>
      <c r="B581" s="4">
        <f>Acciones!B582/Acciones!B581 -1</f>
        <v>-1.9690646240901888E-2</v>
      </c>
      <c r="C581" s="4">
        <f>Acciones!C582/Acciones!C581 -1</f>
        <v>-5.9485799771932468E-2</v>
      </c>
      <c r="D581" s="4">
        <f>Acciones!D582/Acciones!D581 -1</f>
        <v>-1.1127362683341913E-3</v>
      </c>
      <c r="E581" s="4">
        <f>Acciones!E582/Acciones!E581 -1</f>
        <v>-1.0067184233651938E-2</v>
      </c>
    </row>
    <row r="582" spans="1:5" x14ac:dyDescent="0.2">
      <c r="A582" s="1">
        <f>Acciones!A583</f>
        <v>45846</v>
      </c>
      <c r="B582" s="4">
        <f>Acciones!B583/Acciones!B582 -1</f>
        <v>-1.7216694765986751E-2</v>
      </c>
      <c r="C582" s="4">
        <f>Acciones!C583/Acciones!C582 -1</f>
        <v>3.6077292417648454E-2</v>
      </c>
      <c r="D582" s="4">
        <f>Acciones!D583/Acciones!D582 -1</f>
        <v>-3.6856908593375648E-2</v>
      </c>
      <c r="E582" s="4">
        <f>Acciones!E583/Acciones!E582 -1</f>
        <v>-3.7288061280044693E-2</v>
      </c>
    </row>
    <row r="583" spans="1:5" x14ac:dyDescent="0.2">
      <c r="A583" s="1">
        <f>Acciones!A584</f>
        <v>45847</v>
      </c>
      <c r="B583" s="4">
        <f>Acciones!B584/Acciones!B583 -1</f>
        <v>-1.0948768655674734E-2</v>
      </c>
      <c r="C583" s="4">
        <f>Acciones!C584/Acciones!C583 -1</f>
        <v>6.5125994908004525E-2</v>
      </c>
      <c r="D583" s="4">
        <f>Acciones!D584/Acciones!D583 -1</f>
        <v>-3.5278532152820397E-3</v>
      </c>
      <c r="E583" s="4">
        <f>Acciones!E584/Acciones!E583 -1</f>
        <v>1.0563348874266021E-2</v>
      </c>
    </row>
    <row r="584" spans="1:5" x14ac:dyDescent="0.2">
      <c r="A584" s="1">
        <f>Acciones!A585</f>
        <v>45848</v>
      </c>
      <c r="B584" s="4">
        <f>Acciones!B585/Acciones!B584 -1</f>
        <v>-2.2140304509302045E-2</v>
      </c>
      <c r="C584" s="4">
        <f>Acciones!C585/Acciones!C584 -1</f>
        <v>2.5761732486011324E-2</v>
      </c>
      <c r="D584" s="4">
        <f>Acciones!D585/Acciones!D584 -1</f>
        <v>1.5146535076133283E-2</v>
      </c>
      <c r="E584" s="4">
        <f>Acciones!E585/Acciones!E584 -1</f>
        <v>-3.1358896595494512E-2</v>
      </c>
    </row>
    <row r="585" spans="1:5" x14ac:dyDescent="0.2">
      <c r="A585" s="1">
        <f>Acciones!A586</f>
        <v>45849</v>
      </c>
      <c r="B585" s="4">
        <f>Acciones!B586/Acciones!B585 -1</f>
        <v>3.0188153295678255E-3</v>
      </c>
      <c r="C585" s="4">
        <f>Acciones!C586/Acciones!C585 -1</f>
        <v>1.2685599877580778E-2</v>
      </c>
      <c r="D585" s="4">
        <f>Acciones!D586/Acciones!D585 -1</f>
        <v>-2.5670503066648087E-2</v>
      </c>
      <c r="E585" s="4">
        <f>Acciones!E586/Acciones!E585 -1</f>
        <v>-2.8776929829037567E-2</v>
      </c>
    </row>
    <row r="586" spans="1:5" x14ac:dyDescent="0.2">
      <c r="A586" s="1">
        <f>Acciones!A587</f>
        <v>45852</v>
      </c>
      <c r="B586" s="4">
        <f>Acciones!B587/Acciones!B586 -1</f>
        <v>-6.7719098606626726E-3</v>
      </c>
      <c r="C586" s="4">
        <f>Acciones!C587/Acciones!C586 -1</f>
        <v>7.0938509191698085E-3</v>
      </c>
      <c r="D586" s="4">
        <f>Acciones!D587/Acciones!D586 -1</f>
        <v>-3.6900545369500382E-3</v>
      </c>
      <c r="E586" s="4">
        <f>Acciones!E587/Acciones!E586 -1</f>
        <v>-2.5925922246629707E-2</v>
      </c>
    </row>
    <row r="587" spans="1:5" x14ac:dyDescent="0.2">
      <c r="A587" s="1">
        <f>Acciones!A588</f>
        <v>45853</v>
      </c>
      <c r="B587" s="4">
        <f>Acciones!B588/Acciones!B587 -1</f>
        <v>1.8181723569503205E-2</v>
      </c>
      <c r="C587" s="4">
        <f>Acciones!C588/Acciones!C587 -1</f>
        <v>-1.1655895890842705E-2</v>
      </c>
      <c r="D587" s="4">
        <f>Acciones!D588/Acciones!D587 -1</f>
        <v>5.1851557515356639E-3</v>
      </c>
      <c r="E587" s="4">
        <f>Acciones!E588/Acciones!E587 -1</f>
        <v>4.5627353590149689E-2</v>
      </c>
    </row>
    <row r="588" spans="1:5" x14ac:dyDescent="0.2">
      <c r="A588" s="1">
        <f>Acciones!A589</f>
        <v>45854</v>
      </c>
      <c r="B588" s="4">
        <f>Acciones!B589/Acciones!B588 -1</f>
        <v>8.1846553810505096E-3</v>
      </c>
      <c r="C588" s="4">
        <f>Acciones!C589/Acciones!C588 -1</f>
        <v>3.1844819939037317E-2</v>
      </c>
      <c r="D588" s="4">
        <f>Acciones!D589/Acciones!D588 -1</f>
        <v>-3.684526115891873E-3</v>
      </c>
      <c r="E588" s="4">
        <f>Acciones!E589/Acciones!E588 -1</f>
        <v>0</v>
      </c>
    </row>
    <row r="589" spans="1:5" x14ac:dyDescent="0.2">
      <c r="A589" s="1">
        <f>Acciones!A590</f>
        <v>45855</v>
      </c>
      <c r="B589" s="4">
        <f>Acciones!B590/Acciones!B589 -1</f>
        <v>-3.1734395426422313E-2</v>
      </c>
      <c r="C589" s="4">
        <f>Acciones!C590/Acciones!C589 -1</f>
        <v>2.453057842875217E-2</v>
      </c>
      <c r="D589" s="4">
        <f>Acciones!D590/Acciones!D589 -1</f>
        <v>1.4053303170651565E-2</v>
      </c>
      <c r="E589" s="4">
        <f>Acciones!E590/Acciones!E589 -1</f>
        <v>3.6363167408104413E-3</v>
      </c>
    </row>
    <row r="590" spans="1:5" x14ac:dyDescent="0.2">
      <c r="A590" s="1">
        <f>Acciones!A591</f>
        <v>45856</v>
      </c>
      <c r="B590" s="4">
        <f>Acciones!B591/Acciones!B590 -1</f>
        <v>1.5244758665284852E-3</v>
      </c>
      <c r="C590" s="4">
        <f>Acciones!C591/Acciones!C590 -1</f>
        <v>-2.3033669429466941E-2</v>
      </c>
      <c r="D590" s="4">
        <f>Acciones!D591/Acciones!D590 -1</f>
        <v>-1.1663077965591184E-2</v>
      </c>
      <c r="E590" s="4">
        <f>Acciones!E591/Acciones!E590 -1</f>
        <v>-1.8115925206105055E-2</v>
      </c>
    </row>
    <row r="591" spans="1:5" x14ac:dyDescent="0.2">
      <c r="A591" s="1">
        <f>Acciones!A592</f>
        <v>45859</v>
      </c>
      <c r="B591" s="4">
        <f>Acciones!B592/Acciones!B591 -1</f>
        <v>-1.1415605247755312E-2</v>
      </c>
      <c r="C591" s="4">
        <f>Acciones!C592/Acciones!C591 -1</f>
        <v>-4.0499489159194768E-2</v>
      </c>
      <c r="D591" s="4">
        <f>Acciones!D592/Acciones!D591 -1</f>
        <v>2.2125283995656053E-2</v>
      </c>
      <c r="E591" s="4">
        <f>Acciones!E592/Acciones!E591 -1</f>
        <v>0.16236162402203824</v>
      </c>
    </row>
    <row r="592" spans="1:5" x14ac:dyDescent="0.2">
      <c r="A592" s="1">
        <f>Acciones!A593</f>
        <v>45860</v>
      </c>
      <c r="B592" s="4">
        <f>Acciones!B593/Acciones!B592 -1</f>
        <v>2.3094625591530971E-2</v>
      </c>
      <c r="C592" s="4">
        <f>Acciones!C593/Acciones!C592 -1</f>
        <v>5.4651810017272373E-2</v>
      </c>
      <c r="D592" s="4">
        <f>Acciones!D593/Acciones!D592 -1</f>
        <v>1.7328710132415326E-2</v>
      </c>
      <c r="E592" s="4">
        <f>Acciones!E593/Acciones!E592 -1</f>
        <v>-7.6190441950470311E-2</v>
      </c>
    </row>
    <row r="593" spans="1:5" x14ac:dyDescent="0.2">
      <c r="A593" s="1">
        <f>Acciones!A594</f>
        <v>45861</v>
      </c>
      <c r="B593" s="4">
        <f>Acciones!B594/Acciones!B593 -1</f>
        <v>8.2769592037370554E-3</v>
      </c>
      <c r="C593" s="4">
        <f>Acciones!C594/Acciones!C593 -1</f>
        <v>-0.12374504662240493</v>
      </c>
      <c r="D593" s="4">
        <f>Acciones!D594/Acciones!D593 -1</f>
        <v>9.8367525413192158E-3</v>
      </c>
      <c r="E593" s="4">
        <f>Acciones!E594/Acciones!E593 -1</f>
        <v>2.7491361423301663E-2</v>
      </c>
    </row>
    <row r="594" spans="1:5" x14ac:dyDescent="0.2">
      <c r="A594" s="1">
        <f>Acciones!A595</f>
        <v>45862</v>
      </c>
      <c r="B594" s="4">
        <f>Acciones!B595/Acciones!B594 -1</f>
        <v>7.4626663472960875E-3</v>
      </c>
      <c r="C594" s="4">
        <f>Acciones!C595/Acciones!C594 -1</f>
        <v>-7.2571368363971711E-3</v>
      </c>
      <c r="D594" s="4">
        <f>Acciones!D595/Acciones!D594 -1</f>
        <v>-1.6783199006824345E-2</v>
      </c>
      <c r="E594" s="4">
        <f>Acciones!E595/Acciones!E594 -1</f>
        <v>0</v>
      </c>
    </row>
    <row r="595" spans="1:5" x14ac:dyDescent="0.2">
      <c r="A595" s="1">
        <f>Acciones!A596</f>
        <v>45863</v>
      </c>
      <c r="B595" s="4">
        <f>Acciones!B596/Acciones!B595 -1</f>
        <v>7.4074601722773359E-4</v>
      </c>
      <c r="C595" s="4">
        <f>Acciones!C596/Acciones!C595 -1</f>
        <v>-8.3989554135046607E-3</v>
      </c>
      <c r="D595" s="4">
        <f>Acciones!D596/Acciones!D595 -1</f>
        <v>1.2888035080595106E-2</v>
      </c>
      <c r="E595" s="4">
        <f>Acciones!E596/Acciones!E595 -1</f>
        <v>0</v>
      </c>
    </row>
    <row r="596" spans="1:5" x14ac:dyDescent="0.2">
      <c r="A596" s="1">
        <f>Acciones!A597</f>
        <v>45866</v>
      </c>
      <c r="B596" s="4">
        <f>Acciones!B597/Acciones!B596 -1</f>
        <v>1.0362695429518398E-2</v>
      </c>
      <c r="C596" s="4">
        <f>Acciones!C597/Acciones!C596 -1</f>
        <v>5.270330493025055E-3</v>
      </c>
      <c r="D596" s="4">
        <f>Acciones!D597/Acciones!D596 -1</f>
        <v>4.9739017896000215E-2</v>
      </c>
      <c r="E596" s="4">
        <f>Acciones!E597/Acciones!E596 -1</f>
        <v>-5.3511715352929645E-2</v>
      </c>
    </row>
    <row r="597" spans="1:5" x14ac:dyDescent="0.2">
      <c r="A597" s="1">
        <f>Acciones!A598</f>
        <v>45867</v>
      </c>
      <c r="B597" s="4">
        <f>Acciones!B598/Acciones!B597 -1</f>
        <v>-1.2454229201638634E-2</v>
      </c>
      <c r="C597" s="4">
        <f>Acciones!C598/Acciones!C597 -1</f>
        <v>-2.4528056076536964E-2</v>
      </c>
      <c r="D597" s="4">
        <f>Acciones!D598/Acciones!D597 -1</f>
        <v>-1.7795265034235119E-2</v>
      </c>
      <c r="E597" s="4">
        <f>Acciones!E598/Acciones!E597 -1</f>
        <v>3.1802132793254501E-2</v>
      </c>
    </row>
    <row r="598" spans="1:5" x14ac:dyDescent="0.2">
      <c r="A598" s="1">
        <f>Acciones!A599</f>
        <v>45868</v>
      </c>
      <c r="B598" s="4">
        <f>Acciones!B599/Acciones!B598 -1</f>
        <v>1.4836901095331756E-2</v>
      </c>
      <c r="C598" s="4">
        <f>Acciones!C599/Acciones!C598 -1</f>
        <v>-5.7581073575518893E-4</v>
      </c>
      <c r="D598" s="4">
        <f>Acciones!D599/Acciones!D598 -1</f>
        <v>-1.2197073120633339E-2</v>
      </c>
      <c r="E598" s="4">
        <f>Acciones!E599/Acciones!E598 -1</f>
        <v>-2.0547885086325324E-2</v>
      </c>
    </row>
    <row r="599" spans="1:5" x14ac:dyDescent="0.2">
      <c r="A599" s="1">
        <f>Acciones!A600</f>
        <v>45869</v>
      </c>
      <c r="B599" s="4">
        <f>Acciones!B600/Acciones!B599 -1</f>
        <v>2.1929261418882628E-3</v>
      </c>
      <c r="C599" s="4">
        <f>Acciones!C600/Acciones!C599 -1</f>
        <v>-2.2982595280612639E-2</v>
      </c>
      <c r="D599" s="4">
        <f>Acciones!D600/Acciones!D599 -1</f>
        <v>-2.4383437354630777E-2</v>
      </c>
      <c r="E599" s="4">
        <f>Acciones!E600/Acciones!E599 -1</f>
        <v>6.9929166343618565E-3</v>
      </c>
    </row>
    <row r="600" spans="1:5" x14ac:dyDescent="0.2">
      <c r="A600" s="1">
        <f>Acciones!A601</f>
        <v>45870</v>
      </c>
      <c r="B600" s="4">
        <f>Acciones!B601/Acciones!B600 -1</f>
        <v>1.8234922696222178E-2</v>
      </c>
      <c r="C600" s="4">
        <f>Acciones!C601/Acciones!C600 -1</f>
        <v>-3.6923038776009554E-2</v>
      </c>
      <c r="D600" s="4">
        <f>Acciones!D601/Acciones!D600 -1</f>
        <v>-9.6449315509788969E-3</v>
      </c>
      <c r="E600" s="4">
        <f>Acciones!E601/Acciones!E600 -1</f>
        <v>6.9444588167075771E-3</v>
      </c>
    </row>
    <row r="601" spans="1:5" x14ac:dyDescent="0.2">
      <c r="A601" s="1">
        <f>Acciones!A602</f>
        <v>45873</v>
      </c>
      <c r="B601" s="4">
        <f>Acciones!B602/Acciones!B601 -1</f>
        <v>-1.9341039870845789E-2</v>
      </c>
      <c r="C601" s="4">
        <f>Acciones!C602/Acciones!C601 -1</f>
        <v>3.6399552721670725E-2</v>
      </c>
      <c r="D601" s="4">
        <f>Acciones!D602/Acciones!D601 -1</f>
        <v>1.6910249220090101E-2</v>
      </c>
      <c r="E601" s="4">
        <f>Acciones!E602/Acciones!E601 -1</f>
        <v>3.4483343327385008E-3</v>
      </c>
    </row>
    <row r="602" spans="1:5" x14ac:dyDescent="0.2">
      <c r="A602" s="1">
        <f>Acciones!A603</f>
        <v>45874</v>
      </c>
      <c r="B602" s="4">
        <f>Acciones!B603/Acciones!B602 -1</f>
        <v>0</v>
      </c>
      <c r="C602" s="4">
        <f>Acciones!C603/Acciones!C602 -1</f>
        <v>-4.4738412390783244E-2</v>
      </c>
      <c r="D602" s="4">
        <f>Acciones!D603/Acciones!D602 -1</f>
        <v>-1.6925224219800361E-2</v>
      </c>
      <c r="E602" s="4">
        <f>Acciones!E603/Acciones!E602 -1</f>
        <v>-3.4364841863347984E-3</v>
      </c>
    </row>
    <row r="603" spans="1:5" x14ac:dyDescent="0.2">
      <c r="A603" s="1">
        <f>Acciones!A604</f>
        <v>45875</v>
      </c>
      <c r="B603" s="4">
        <f>Acciones!B604/Acciones!B603 -1</f>
        <v>-7.3045820556860708E-3</v>
      </c>
      <c r="C603" s="4">
        <f>Acciones!C604/Acciones!C603 -1</f>
        <v>2.5529989028438838E-2</v>
      </c>
      <c r="D603" s="4">
        <f>Acciones!D604/Acciones!D603 -1</f>
        <v>9.325778392195172E-3</v>
      </c>
      <c r="E603" s="4">
        <f>Acciones!E604/Acciones!E603 -1</f>
        <v>0</v>
      </c>
    </row>
    <row r="604" spans="1:5" x14ac:dyDescent="0.2">
      <c r="A604" s="1">
        <f>Acciones!A605</f>
        <v>45876</v>
      </c>
      <c r="B604" s="4">
        <f>Acciones!B605/Acciones!B604 -1</f>
        <v>-8.8300123520935747E-3</v>
      </c>
      <c r="C604" s="4">
        <f>Acciones!C605/Acciones!C604 -1</f>
        <v>-5.2602588339795142E-3</v>
      </c>
      <c r="D604" s="4">
        <f>Acciones!D605/Acciones!D604 -1</f>
        <v>-1.5636212712729747E-2</v>
      </c>
      <c r="E604" s="4">
        <f>Acciones!E605/Acciones!E604 -1</f>
        <v>-1.0344797464950872E-2</v>
      </c>
    </row>
    <row r="605" spans="1:5" x14ac:dyDescent="0.2">
      <c r="A605" s="1">
        <f>Acciones!A606</f>
        <v>45877</v>
      </c>
      <c r="B605" s="4">
        <f>Acciones!B606/Acciones!B605 -1</f>
        <v>5.9391659466863089E-3</v>
      </c>
      <c r="C605" s="4">
        <f>Acciones!C606/Acciones!C605 -1</f>
        <v>-3.1830010242079765E-2</v>
      </c>
      <c r="D605" s="4">
        <f>Acciones!D606/Acciones!D605 -1</f>
        <v>-7.220162778994621E-3</v>
      </c>
      <c r="E605" s="4">
        <f>Acciones!E606/Acciones!E605 -1</f>
        <v>-6.9686552257599566E-3</v>
      </c>
    </row>
    <row r="606" spans="1:5" x14ac:dyDescent="0.2">
      <c r="A606" s="1">
        <f>Acciones!A607</f>
        <v>45880</v>
      </c>
      <c r="B606" s="4">
        <f>Acciones!B607/Acciones!B606 -1</f>
        <v>2.9519778389064388E-3</v>
      </c>
      <c r="C606" s="4">
        <f>Acciones!C607/Acciones!C606 -1</f>
        <v>1.5377062596069857E-2</v>
      </c>
      <c r="D606" s="4">
        <f>Acciones!D607/Acciones!D606 -1</f>
        <v>4.3634969543215885E-3</v>
      </c>
      <c r="E606" s="4">
        <f>Acciones!E607/Acciones!E606 -1</f>
        <v>1.7543843138139392E-2</v>
      </c>
    </row>
    <row r="607" spans="1:5" x14ac:dyDescent="0.2">
      <c r="A607" s="1">
        <f>Acciones!A608</f>
        <v>45881</v>
      </c>
      <c r="B607" s="4">
        <f>Acciones!B608/Acciones!B607 -1</f>
        <v>-8.0942441772643425E-3</v>
      </c>
      <c r="C607" s="4">
        <f>Acciones!C608/Acciones!C607 -1</f>
        <v>7.6749841169723165E-3</v>
      </c>
      <c r="D607" s="4">
        <f>Acciones!D608/Acciones!D607 -1</f>
        <v>1.0854491591719251E-2</v>
      </c>
      <c r="E607" s="4">
        <f>Acciones!E608/Acciones!E607 -1</f>
        <v>1.0344900231584742E-2</v>
      </c>
    </row>
    <row r="608" spans="1:5" x14ac:dyDescent="0.2">
      <c r="A608" s="1">
        <f>Acciones!A609</f>
        <v>45882</v>
      </c>
      <c r="B608" s="4">
        <f>Acciones!B609/Acciones!B608 -1</f>
        <v>1.4836901095338639E-3</v>
      </c>
      <c r="C608" s="4">
        <f>Acciones!C609/Acciones!C608 -1</f>
        <v>9.0105196922447561E-3</v>
      </c>
      <c r="D608" s="4">
        <f>Acciones!D609/Acciones!D608 -1</f>
        <v>3.5071978970008688E-2</v>
      </c>
      <c r="E608" s="4">
        <f>Acciones!E609/Acciones!E608 -1</f>
        <v>-0.10238907815114595</v>
      </c>
    </row>
    <row r="609" spans="1:5" x14ac:dyDescent="0.2">
      <c r="A609" s="1">
        <f>Acciones!A610</f>
        <v>45883</v>
      </c>
      <c r="B609" s="4">
        <f>Acciones!B610/Acciones!B609 -1</f>
        <v>2.8888949299274103E-2</v>
      </c>
      <c r="C609" s="4">
        <f>Acciones!C610/Acciones!C609 -1</f>
        <v>-6.1331333587834047E-3</v>
      </c>
      <c r="D609" s="4">
        <f>Acciones!D610/Acciones!D609 -1</f>
        <v>-4.1179265235753437E-3</v>
      </c>
      <c r="E609" s="4">
        <f>Acciones!E610/Acciones!E609 -1</f>
        <v>9.5056939430804954E-2</v>
      </c>
    </row>
    <row r="610" spans="1:5" x14ac:dyDescent="0.2">
      <c r="A610" s="1">
        <f>Acciones!A611</f>
        <v>45884</v>
      </c>
      <c r="B610" s="4">
        <f>Acciones!B611/Acciones!B610 -1</f>
        <v>-5.0396324346996257E-3</v>
      </c>
      <c r="C610" s="4">
        <f>Acciones!C611/Acciones!C610 -1</f>
        <v>2.9160000355930027E-3</v>
      </c>
      <c r="D610" s="4">
        <f>Acciones!D611/Acciones!D610 -1</f>
        <v>4.2878016268275143E-3</v>
      </c>
      <c r="E610" s="4">
        <f>Acciones!E611/Acciones!E610 -1</f>
        <v>-0.15972219060324477</v>
      </c>
    </row>
    <row r="611" spans="1:5" x14ac:dyDescent="0.2">
      <c r="A611" s="1">
        <f>Acciones!A612</f>
        <v>45887</v>
      </c>
      <c r="B611" s="4">
        <f>Acciones!B612/Acciones!B611 -1</f>
        <v>5.065158974152606E-3</v>
      </c>
      <c r="C611" s="4">
        <f>Acciones!C612/Acciones!C611 -1</f>
        <v>1.7647659048332098E-2</v>
      </c>
      <c r="D611" s="4">
        <f>Acciones!D612/Acciones!D611 -1</f>
        <v>5.8954456973840941E-3</v>
      </c>
      <c r="E611" s="4">
        <f>Acciones!E612/Acciones!E611 -1</f>
        <v>7.4380131702867391E-2</v>
      </c>
    </row>
    <row r="612" spans="1:5" x14ac:dyDescent="0.2">
      <c r="A612" s="1">
        <f>Acciones!A613</f>
        <v>45888</v>
      </c>
      <c r="B612" s="4">
        <f>Acciones!B613/Acciones!B612 -1</f>
        <v>-5.0396324346996257E-3</v>
      </c>
      <c r="C612" s="4">
        <f>Acciones!C613/Acciones!C612 -1</f>
        <v>-4.9300673919268845E-2</v>
      </c>
      <c r="D612" s="4">
        <f>Acciones!D613/Acciones!D612 -1</f>
        <v>-5.9709240861112178E-3</v>
      </c>
      <c r="E612" s="4">
        <f>Acciones!E613/Acciones!E612 -1</f>
        <v>1.1538542657212103E-2</v>
      </c>
    </row>
    <row r="613" spans="1:5" x14ac:dyDescent="0.2">
      <c r="A613" s="1">
        <f>Acciones!A614</f>
        <v>45889</v>
      </c>
      <c r="B613" s="4">
        <f>Acciones!B614/Acciones!B613 -1</f>
        <v>1.1053786241300489E-2</v>
      </c>
      <c r="C613" s="4">
        <f>Acciones!C614/Acciones!C613 -1</f>
        <v>5.276511085003488E-3</v>
      </c>
      <c r="D613" s="4">
        <f>Acciones!D614/Acciones!D613 -1</f>
        <v>-1.0373665915276997E-2</v>
      </c>
      <c r="E613" s="4">
        <f>Acciones!E614/Acciones!E613 -1</f>
        <v>0</v>
      </c>
    </row>
    <row r="614" spans="1:5" x14ac:dyDescent="0.2">
      <c r="A614" s="1">
        <f>Acciones!A615</f>
        <v>45890</v>
      </c>
      <c r="B614" s="4">
        <f>Acciones!B615/Acciones!B614 -1</f>
        <v>-5.8308757402454336E-3</v>
      </c>
      <c r="C614" s="4">
        <f>Acciones!C615/Acciones!C614 -1</f>
        <v>1.4600022192274853E-3</v>
      </c>
      <c r="D614" s="4">
        <f>Acciones!D615/Acciones!D614 -1</f>
        <v>-4.5523595690725172E-3</v>
      </c>
      <c r="E614" s="4">
        <f>Acciones!E615/Acciones!E614 -1</f>
        <v>1.5209042318845345E-2</v>
      </c>
    </row>
    <row r="615" spans="1:5" x14ac:dyDescent="0.2">
      <c r="A615" s="1">
        <f>Acciones!A616</f>
        <v>45891</v>
      </c>
      <c r="B615" s="4">
        <f>Acciones!B616/Acciones!B615 -1</f>
        <v>1.099705838578191E-2</v>
      </c>
      <c r="C615" s="4">
        <f>Acciones!C616/Acciones!C615 -1</f>
        <v>5.2308250624626185E-2</v>
      </c>
      <c r="D615" s="4">
        <f>Acciones!D616/Acciones!D615 -1</f>
        <v>2.7038715101360022E-2</v>
      </c>
      <c r="E615" s="4">
        <f>Acciones!E616/Acciones!E615 -1</f>
        <v>-7.49065217194822E-3</v>
      </c>
    </row>
    <row r="616" spans="1:5" x14ac:dyDescent="0.2">
      <c r="A616" s="1">
        <f>Acciones!A617</f>
        <v>45894</v>
      </c>
      <c r="B616" s="4">
        <f>Acciones!B617/Acciones!B616 -1</f>
        <v>0</v>
      </c>
      <c r="C616" s="4">
        <f>Acciones!C617/Acciones!C616 -1</f>
        <v>-4.8421751964787374E-2</v>
      </c>
      <c r="D616" s="4">
        <f>Acciones!D617/Acciones!D616 -1</f>
        <v>1.3679956418311434E-2</v>
      </c>
      <c r="E616" s="4">
        <f>Acciones!E617/Acciones!E616 -1</f>
        <v>0</v>
      </c>
    </row>
    <row r="617" spans="1:5" x14ac:dyDescent="0.2">
      <c r="A617" s="1">
        <f>Acciones!A618</f>
        <v>45895</v>
      </c>
      <c r="B617" s="4">
        <f>Acciones!B618/Acciones!B617 -1</f>
        <v>-1.0877438558862251E-2</v>
      </c>
      <c r="C617" s="4">
        <f>Acciones!C618/Acciones!C617 -1</f>
        <v>2.9082515624270888E-2</v>
      </c>
      <c r="D617" s="4">
        <f>Acciones!D618/Acciones!D617 -1</f>
        <v>-1.112691982262537E-2</v>
      </c>
      <c r="E617" s="4">
        <f>Acciones!E618/Acciones!E617 -1</f>
        <v>-3.7735365259540243E-3</v>
      </c>
    </row>
    <row r="618" spans="1:5" x14ac:dyDescent="0.2">
      <c r="A618" s="1">
        <f>Acciones!A619</f>
        <v>45896</v>
      </c>
      <c r="B618" s="4">
        <f>Acciones!B619/Acciones!B618 -1</f>
        <v>0</v>
      </c>
      <c r="C618" s="4">
        <f>Acciones!C619/Acciones!C618 -1</f>
        <v>-5.5914970183466028E-3</v>
      </c>
      <c r="D618" s="4">
        <f>Acciones!D619/Acciones!D618 -1</f>
        <v>-7.8470770090457442E-3</v>
      </c>
      <c r="E618" s="4">
        <f>Acciones!E619/Acciones!E618 -1</f>
        <v>2.651514894952367E-2</v>
      </c>
    </row>
    <row r="619" spans="1:5" x14ac:dyDescent="0.2">
      <c r="A619" s="1">
        <f>Acciones!A620</f>
        <v>45897</v>
      </c>
      <c r="B619" s="4">
        <f>Acciones!B620/Acciones!B619 -1</f>
        <v>-2.1994823160165211E-3</v>
      </c>
      <c r="C619" s="4">
        <f>Acciones!C620/Acciones!C619 -1</f>
        <v>1.0466758096040918E-2</v>
      </c>
      <c r="D619" s="4">
        <f>Acciones!D620/Acciones!D619 -1</f>
        <v>-1.1209931365554482E-3</v>
      </c>
      <c r="E619" s="4">
        <f>Acciones!E620/Acciones!E619 -1</f>
        <v>-1.8450167052464272E-2</v>
      </c>
    </row>
    <row r="620" spans="1:5" x14ac:dyDescent="0.2">
      <c r="A620" s="1">
        <f>Acciones!A621</f>
        <v>45898</v>
      </c>
      <c r="B620" s="4">
        <f>Acciones!B621/Acciones!B620 -1</f>
        <v>0</v>
      </c>
      <c r="C620" s="4">
        <f>Acciones!C621/Acciones!C620 -1</f>
        <v>-3.7880221650634649E-3</v>
      </c>
      <c r="D620" s="4">
        <f>Acciones!D621/Acciones!D620 -1</f>
        <v>-8.0626414540013736E-3</v>
      </c>
      <c r="E620" s="4">
        <f>Acciones!E621/Acciones!E620 -1</f>
        <v>-3.7594620972158932E-3</v>
      </c>
    </row>
    <row r="621" spans="1:5" x14ac:dyDescent="0.2">
      <c r="A621" s="1">
        <f>Acciones!A622</f>
        <v>45901</v>
      </c>
      <c r="B621" s="4">
        <f>Acciones!B622/Acciones!B621 -1</f>
        <v>-7.3470610623305177E-4</v>
      </c>
      <c r="C621" s="4">
        <f>Acciones!C622/Acciones!C621 -1</f>
        <v>-1.4065525199542406E-2</v>
      </c>
      <c r="D621" s="4">
        <f>Acciones!D622/Acciones!D621 -1</f>
        <v>6.4691568747641259E-3</v>
      </c>
      <c r="E621" s="4">
        <f>Acciones!E622/Acciones!E621 -1</f>
        <v>3.7736489875528356E-3</v>
      </c>
    </row>
    <row r="622" spans="1:5" x14ac:dyDescent="0.2">
      <c r="A622" s="1">
        <f>Acciones!A623</f>
        <v>45902</v>
      </c>
      <c r="B622" s="4">
        <f>Acciones!B623/Acciones!B622 -1</f>
        <v>1.8382361797006475E-2</v>
      </c>
      <c r="C622" s="4">
        <f>Acciones!C623/Acciones!C622 -1</f>
        <v>2.6348127033116064E-2</v>
      </c>
      <c r="D622" s="4">
        <f>Acciones!D623/Acciones!D622 -1</f>
        <v>-4.2115318996852724E-2</v>
      </c>
      <c r="E622" s="4">
        <f>Acciones!E623/Acciones!E622 -1</f>
        <v>7.5188121556284404E-3</v>
      </c>
    </row>
    <row r="623" spans="1:5" x14ac:dyDescent="0.2">
      <c r="A623" s="1">
        <f>Acciones!A624</f>
        <v>45903</v>
      </c>
      <c r="B623" s="4">
        <f>Acciones!B624/Acciones!B623 -1</f>
        <v>-4.3321264478328736E-3</v>
      </c>
      <c r="C623" s="4">
        <f>Acciones!C624/Acciones!C623 -1</f>
        <v>-1.7192116941834756E-2</v>
      </c>
      <c r="D623" s="4">
        <f>Acciones!D624/Acciones!D623 -1</f>
        <v>8.2532046699936856E-3</v>
      </c>
      <c r="E623" s="4">
        <f>Acciones!E624/Acciones!E623 -1</f>
        <v>-1.4925403009679705E-2</v>
      </c>
    </row>
    <row r="624" spans="1:5" x14ac:dyDescent="0.2">
      <c r="A624" s="1">
        <f>Acciones!A625</f>
        <v>45904</v>
      </c>
      <c r="B624" s="4">
        <f>Acciones!B625/Acciones!B624 -1</f>
        <v>4.3509754235391274E-3</v>
      </c>
      <c r="C624" s="4">
        <f>Acciones!C625/Acciones!C624 -1</f>
        <v>-4.0771403453445543E-2</v>
      </c>
      <c r="D624" s="4">
        <f>Acciones!D625/Acciones!D624 -1</f>
        <v>1.071434866382992E-2</v>
      </c>
      <c r="E624" s="4">
        <f>Acciones!E625/Acciones!E624 -1</f>
        <v>3.7878300409677212E-3</v>
      </c>
    </row>
    <row r="625" spans="1:5" x14ac:dyDescent="0.2">
      <c r="A625" s="1">
        <f>Acciones!A626</f>
        <v>45905</v>
      </c>
      <c r="B625" s="4">
        <f>Acciones!B626/Acciones!B625 -1</f>
        <v>-8.6643224634783689E-3</v>
      </c>
      <c r="C625" s="4">
        <f>Acciones!C626/Acciones!C625 -1</f>
        <v>2.8571342454779547E-3</v>
      </c>
      <c r="D625" s="4">
        <f>Acciones!D626/Acciones!D625 -1</f>
        <v>-2.4735011007738228E-2</v>
      </c>
      <c r="E625" s="4">
        <f>Acciones!E626/Acciones!E625 -1</f>
        <v>-1.1320722039461106E-2</v>
      </c>
    </row>
    <row r="626" spans="1:5" x14ac:dyDescent="0.2">
      <c r="A626" s="1">
        <f>Acciones!A627</f>
        <v>45908</v>
      </c>
      <c r="B626" s="4">
        <f>Acciones!B627/Acciones!B626 -1</f>
        <v>-2.1849245469441891E-3</v>
      </c>
      <c r="C626" s="4">
        <f>Acciones!C627/Acciones!C626 -1</f>
        <v>-3.6580090529797493E-3</v>
      </c>
      <c r="D626" s="4">
        <f>Acciones!D627/Acciones!D626 -1</f>
        <v>7.3189476649204721E-4</v>
      </c>
      <c r="E626" s="4">
        <f>Acciones!E627/Acciones!E626 -1</f>
        <v>-7.6336034159383281E-3</v>
      </c>
    </row>
    <row r="627" spans="1:5" x14ac:dyDescent="0.2">
      <c r="A627" s="1">
        <f>Acciones!A628</f>
        <v>45909</v>
      </c>
      <c r="B627" s="4">
        <f>Acciones!B628/Acciones!B627 -1</f>
        <v>-4.3795584503213414E-3</v>
      </c>
      <c r="C627" s="4">
        <f>Acciones!C628/Acciones!C627 -1</f>
        <v>4.9528715795656986E-2</v>
      </c>
      <c r="D627" s="4">
        <f>Acciones!D628/Acciones!D627 -1</f>
        <v>-8.6964375150248019E-3</v>
      </c>
      <c r="E627" s="4">
        <f>Acciones!E628/Acciones!E627 -1</f>
        <v>-3.8461503192513513E-2</v>
      </c>
    </row>
    <row r="628" spans="1:5" x14ac:dyDescent="0.2">
      <c r="A628" s="1">
        <f>Acciones!A629</f>
        <v>45910</v>
      </c>
      <c r="B628" s="4">
        <f>Acciones!B629/Acciones!B628 -1</f>
        <v>3.6656625823061617E-3</v>
      </c>
      <c r="C628" s="4">
        <f>Acciones!C629/Acciones!C628 -1</f>
        <v>-7.5007755139999688E-3</v>
      </c>
      <c r="D628" s="4">
        <f>Acciones!D629/Acciones!D628 -1</f>
        <v>8.0276364208768936E-3</v>
      </c>
      <c r="E628" s="4">
        <f>Acciones!E629/Acciones!E628 -1</f>
        <v>8.0000162124600482E-3</v>
      </c>
    </row>
    <row r="629" spans="1:5" x14ac:dyDescent="0.2">
      <c r="A629" s="1">
        <f>Acciones!A630</f>
        <v>45911</v>
      </c>
      <c r="B629" s="4">
        <f>Acciones!B630/Acciones!B629 -1</f>
        <v>3.6522745760525499E-3</v>
      </c>
      <c r="C629" s="4">
        <f>Acciones!C630/Acciones!C629 -1</f>
        <v>-9.7264887855358362E-3</v>
      </c>
      <c r="D629" s="4">
        <f>Acciones!D630/Acciones!D629 -1</f>
        <v>-3.6159475609703895E-3</v>
      </c>
      <c r="E629" s="4">
        <f>Acciones!E630/Acciones!E629 -1</f>
        <v>0</v>
      </c>
    </row>
    <row r="630" spans="1:5" x14ac:dyDescent="0.2">
      <c r="A630" s="1">
        <f>Acciones!A631</f>
        <v>45912</v>
      </c>
      <c r="B630" s="4">
        <f>Acciones!B631/Acciones!B630 -1</f>
        <v>-3.6389840072800217E-3</v>
      </c>
      <c r="C630" s="4">
        <f>Acciones!C631/Acciones!C630 -1</f>
        <v>3.4770611636156801E-2</v>
      </c>
      <c r="D630" s="4">
        <f>Acciones!D631/Acciones!D630 -1</f>
        <v>-1.8909136073786637E-2</v>
      </c>
      <c r="E630" s="4">
        <f>Acciones!E631/Acciones!E630 -1</f>
        <v>-3.9683210779164479E-3</v>
      </c>
    </row>
    <row r="631" spans="1:5" x14ac:dyDescent="0.2">
      <c r="A631" s="1">
        <f>Acciones!A632</f>
        <v>45915</v>
      </c>
      <c r="B631" s="4">
        <f>Acciones!B632/Acciones!B631 -1</f>
        <v>-5.1132407111655898E-3</v>
      </c>
      <c r="C631" s="4">
        <f>Acciones!C632/Acciones!C631 -1</f>
        <v>-1.6834226036797517E-2</v>
      </c>
      <c r="D631" s="4">
        <f>Acciones!D632/Acciones!D631 -1</f>
        <v>-4.981373165239833E-3</v>
      </c>
      <c r="E631" s="4">
        <f>Acciones!E632/Acciones!E631 -1</f>
        <v>3.9841313904904752E-3</v>
      </c>
    </row>
    <row r="632" spans="1:5" x14ac:dyDescent="0.2">
      <c r="A632" s="1">
        <f>Acciones!A633</f>
        <v>45917</v>
      </c>
      <c r="B632" s="4">
        <f>Acciones!B633/Acciones!B632 -1</f>
        <v>8.8105658311141699E-3</v>
      </c>
      <c r="C632" s="4">
        <f>Acciones!C633/Acciones!C632 -1</f>
        <v>7.2459411783849514E-2</v>
      </c>
      <c r="D632" s="4">
        <f>Acciones!D633/Acciones!D632 -1</f>
        <v>-9.1485839462027707E-3</v>
      </c>
      <c r="E632" s="4">
        <f>Acciones!E633/Acciones!E632 -1</f>
        <v>7.9365238926523141E-3</v>
      </c>
    </row>
    <row r="633" spans="1:5" x14ac:dyDescent="0.2">
      <c r="A633" s="1">
        <f>Acciones!A634</f>
        <v>45918</v>
      </c>
      <c r="B633" s="4">
        <f>Acciones!B634/Acciones!B633 -1</f>
        <v>7.2782485135980401E-4</v>
      </c>
      <c r="C633" s="4">
        <f>Acciones!C634/Acciones!C633 -1</f>
        <v>7.1735501685403769E-2</v>
      </c>
      <c r="D633" s="4">
        <f>Acciones!D634/Acciones!D633 -1</f>
        <v>-3.7669211564260729E-3</v>
      </c>
      <c r="E633" s="4">
        <f>Acciones!E634/Acciones!E633 -1</f>
        <v>0</v>
      </c>
    </row>
    <row r="634" spans="1:5" x14ac:dyDescent="0.2">
      <c r="A634" s="1">
        <f>Acciones!A635</f>
        <v>45919</v>
      </c>
      <c r="B634" s="4">
        <f>Acciones!B635/Acciones!B634 -1</f>
        <v>-4.1454512532623E-2</v>
      </c>
      <c r="C634" s="4">
        <f>Acciones!C635/Acciones!C634 -1</f>
        <v>-1.3638503166709781E-2</v>
      </c>
      <c r="D634" s="4">
        <f>Acciones!D635/Acciones!D634 -1</f>
        <v>-1.3577507879579231E-2</v>
      </c>
      <c r="E634" s="4">
        <f>Acciones!E635/Acciones!E634 -1</f>
        <v>1.1810988514843856E-2</v>
      </c>
    </row>
    <row r="635" spans="1:5" x14ac:dyDescent="0.2">
      <c r="A635" s="1">
        <f>Acciones!A636</f>
        <v>45922</v>
      </c>
      <c r="B635" s="4">
        <f>Acciones!B636/Acciones!B635 -1</f>
        <v>3.8694960353366614E-2</v>
      </c>
      <c r="C635" s="4">
        <f>Acciones!C636/Acciones!C635 -1</f>
        <v>-9.7026559856020489E-3</v>
      </c>
      <c r="D635" s="4">
        <f>Acciones!D636/Acciones!D635 -1</f>
        <v>1.7674339224162949E-3</v>
      </c>
      <c r="E635" s="4">
        <f>Acciones!E636/Acciones!E635 -1</f>
        <v>7.7821169598530915E-3</v>
      </c>
    </row>
    <row r="636" spans="1:5" x14ac:dyDescent="0.2">
      <c r="A636" s="1">
        <f>Acciones!A637</f>
        <v>45923</v>
      </c>
      <c r="B636" s="4">
        <f>Acciones!B637/Acciones!B636 -1</f>
        <v>-1.3878755998383618E-2</v>
      </c>
      <c r="C636" s="4">
        <f>Acciones!C637/Acciones!C636 -1</f>
        <v>-2.426968120903672E-2</v>
      </c>
      <c r="D636" s="4">
        <f>Acciones!D637/Acciones!D636 -1</f>
        <v>-7.1029797713929588E-3</v>
      </c>
      <c r="E636" s="4">
        <f>Acciones!E637/Acciones!E636 -1</f>
        <v>-7.7220232715867754E-3</v>
      </c>
    </row>
    <row r="637" spans="1:5" x14ac:dyDescent="0.2">
      <c r="A637" s="1">
        <f>Acciones!A638</f>
        <v>45924</v>
      </c>
      <c r="B637" s="4">
        <f>Acciones!B638/Acciones!B637 -1</f>
        <v>9.6296458600202417E-3</v>
      </c>
      <c r="C637" s="4">
        <f>Acciones!C638/Acciones!C637 -1</f>
        <v>7.3705130186274559E-4</v>
      </c>
      <c r="D637" s="4">
        <f>Acciones!D638/Acciones!D637 -1</f>
        <v>7.6845249634338586E-3</v>
      </c>
      <c r="E637" s="4">
        <f>Acciones!E638/Acciones!E637 -1</f>
        <v>3.8910004987551261E-3</v>
      </c>
    </row>
    <row r="638" spans="1:5" x14ac:dyDescent="0.2">
      <c r="A638" s="1">
        <f>Acciones!A639</f>
        <v>45925</v>
      </c>
      <c r="B638" s="4">
        <f>Acciones!B639/Acciones!B638 -1</f>
        <v>1.2472524295324083E-2</v>
      </c>
      <c r="C638" s="4">
        <f>Acciones!C639/Acciones!C638 -1</f>
        <v>-8.9876974526265863E-2</v>
      </c>
      <c r="D638" s="4">
        <f>Acciones!D639/Acciones!D638 -1</f>
        <v>-2.2381578720372719E-2</v>
      </c>
      <c r="E638" s="4">
        <f>Acciones!E639/Acciones!E638 -1</f>
        <v>-1.162787339741933E-2</v>
      </c>
    </row>
    <row r="639" spans="1:5" x14ac:dyDescent="0.2">
      <c r="A639" s="1">
        <f>Acciones!A640</f>
        <v>45926</v>
      </c>
      <c r="B639" s="4">
        <f>Acciones!B640/Acciones!B639 -1</f>
        <v>-1.086962593031171E-2</v>
      </c>
      <c r="C639" s="4">
        <f>Acciones!C640/Acciones!C639 -1</f>
        <v>-5.3607427686129805E-3</v>
      </c>
      <c r="D639" s="4">
        <f>Acciones!D640/Acciones!D639 -1</f>
        <v>-1.2235693753106736E-2</v>
      </c>
      <c r="E639" s="4">
        <f>Acciones!E640/Acciones!E639 -1</f>
        <v>1.9607824804413365E-2</v>
      </c>
    </row>
    <row r="640" spans="1:5" x14ac:dyDescent="0.2">
      <c r="A640" s="1">
        <f>Acciones!A641</f>
        <v>45929</v>
      </c>
      <c r="B640" s="4">
        <f>Acciones!B641/Acciones!B640 -1</f>
        <v>-1.0256378763693008E-2</v>
      </c>
      <c r="C640" s="4">
        <f>Acciones!C641/Acciones!C640 -1</f>
        <v>0.15887594849552245</v>
      </c>
      <c r="D640" s="4">
        <f>Acciones!D641/Acciones!D640 -1</f>
        <v>1.1059160744871344E-2</v>
      </c>
      <c r="E640" s="4">
        <f>Acciones!E641/Acciones!E640 -1</f>
        <v>-2.6923075159624887E-2</v>
      </c>
    </row>
    <row r="641" spans="1:5" x14ac:dyDescent="0.2">
      <c r="A641" s="1">
        <f>Acciones!A642</f>
        <v>45930</v>
      </c>
      <c r="B641" s="4">
        <f>Acciones!B642/Acciones!B641 -1</f>
        <v>1.7764604442149556E-2</v>
      </c>
      <c r="C641" s="4">
        <f>Acciones!C642/Acciones!C641 -1</f>
        <v>-2.1440321121899308E-2</v>
      </c>
      <c r="D641" s="4">
        <f>Acciones!D642/Acciones!D641 -1</f>
        <v>7.8969092311020894E-4</v>
      </c>
      <c r="E641" s="4">
        <f>Acciones!E642/Acciones!E641 -1</f>
        <v>-3.9525184200162045E-3</v>
      </c>
    </row>
    <row r="642" spans="1:5" x14ac:dyDescent="0.2">
      <c r="A642" s="1">
        <f>Acciones!A643</f>
        <v>45931</v>
      </c>
      <c r="B642" s="4">
        <f>Acciones!B643/Acciones!B642 -1</f>
        <v>2.1818164490834402E-3</v>
      </c>
      <c r="C642" s="4">
        <f>Acciones!C643/Acciones!C642 -1</f>
        <v>2.0774211509859475E-2</v>
      </c>
      <c r="D642" s="4">
        <f>Acciones!D643/Acciones!D642 -1</f>
        <v>6.1155713292773362E-2</v>
      </c>
      <c r="E642" s="4">
        <f>Acciones!E643/Acciones!E642 -1</f>
        <v>-3.9683210779164479E-3</v>
      </c>
    </row>
    <row r="643" spans="1:5" x14ac:dyDescent="0.2">
      <c r="A643" s="1">
        <f>Acciones!A644</f>
        <v>45932</v>
      </c>
      <c r="B643" s="4">
        <f>Acciones!B644/Acciones!B643 -1</f>
        <v>-1.5965107642993082E-2</v>
      </c>
      <c r="C643" s="4">
        <f>Acciones!C644/Acciones!C643 -1</f>
        <v>1.859445418306005E-2</v>
      </c>
      <c r="D643" s="4">
        <f>Acciones!D644/Acciones!D643 -1</f>
        <v>9.4751428817045902E-3</v>
      </c>
      <c r="E643" s="4">
        <f>Acciones!E644/Acciones!E643 -1</f>
        <v>2.7888444796006606E-2</v>
      </c>
    </row>
    <row r="644" spans="1:5" x14ac:dyDescent="0.2">
      <c r="A644" s="1">
        <f>Acciones!A645</f>
        <v>45933</v>
      </c>
      <c r="B644" s="4">
        <f>Acciones!B645/Acciones!B644 -1</f>
        <v>3.6872177493540992E-3</v>
      </c>
      <c r="C644" s="4">
        <f>Acciones!C645/Acciones!C644 -1</f>
        <v>-4.5134606775075747E-3</v>
      </c>
      <c r="D644" s="4">
        <f>Acciones!D645/Acciones!D644 -1</f>
        <v>-3.0018329804989974E-2</v>
      </c>
      <c r="E644" s="4">
        <f>Acciones!E645/Acciones!E644 -1</f>
        <v>-3.8759192948457644E-3</v>
      </c>
    </row>
    <row r="645" spans="1:5" x14ac:dyDescent="0.2">
      <c r="A645" s="1">
        <f>Acciones!A646</f>
        <v>45936</v>
      </c>
      <c r="B645" s="4">
        <f>Acciones!B646/Acciones!B645 -1</f>
        <v>-8.0822627305623396E-3</v>
      </c>
      <c r="C645" s="4">
        <f>Acciones!C646/Acciones!C645 -1</f>
        <v>8.7241514270460341E-2</v>
      </c>
      <c r="D645" s="4">
        <f>Acciones!D646/Acciones!D645 -1</f>
        <v>-1.6541405730619463E-2</v>
      </c>
      <c r="E645" s="4">
        <f>Acciones!E646/Acciones!E645 -1</f>
        <v>3.8910004987551261E-3</v>
      </c>
    </row>
    <row r="646" spans="1:5" x14ac:dyDescent="0.2">
      <c r="A646" s="1">
        <f>Acciones!A647</f>
        <v>45937</v>
      </c>
      <c r="B646" s="4">
        <f>Acciones!B647/Acciones!B646 -1</f>
        <v>1.4814850764861776E-2</v>
      </c>
      <c r="C646" s="4">
        <f>Acciones!C647/Acciones!C646 -1</f>
        <v>-1.0730638614930954E-2</v>
      </c>
      <c r="D646" s="4">
        <f>Acciones!D647/Acciones!D646 -1</f>
        <v>-2.9052013329579518E-2</v>
      </c>
      <c r="E646" s="4">
        <f>Acciones!E647/Acciones!E646 -1</f>
        <v>-3.1007700897408008E-2</v>
      </c>
    </row>
    <row r="647" spans="1:5" x14ac:dyDescent="0.2">
      <c r="A647" s="1">
        <f>Acciones!A648</f>
        <v>45938</v>
      </c>
      <c r="B647" s="4">
        <f>Acciones!B648/Acciones!B647 -1</f>
        <v>-5.8394581534209067E-3</v>
      </c>
      <c r="C647" s="4">
        <f>Acciones!C648/Acciones!C647 -1</f>
        <v>-1.5304263808217922E-3</v>
      </c>
      <c r="D647" s="4">
        <f>Acciones!D648/Acciones!D647 -1</f>
        <v>-5.1653270161801101E-3</v>
      </c>
      <c r="E647" s="4">
        <f>Acciones!E648/Acciones!E647 -1</f>
        <v>3.1999945640563965E-2</v>
      </c>
    </row>
    <row r="648" spans="1:5" x14ac:dyDescent="0.2">
      <c r="A648" s="1">
        <f>Acciones!A649</f>
        <v>45939</v>
      </c>
      <c r="B648" s="4">
        <f>Acciones!B649/Acciones!B648 -1</f>
        <v>-6.6079243733374593E-3</v>
      </c>
      <c r="C648" s="4">
        <f>Acciones!C649/Acciones!C648 -1</f>
        <v>3.5226351010908541E-3</v>
      </c>
      <c r="D648" s="4">
        <f>Acciones!D649/Acciones!D648 -1</f>
        <v>-9.9569312927264564E-3</v>
      </c>
      <c r="E648" s="4">
        <f>Acciones!E649/Acciones!E648 -1</f>
        <v>-1.162787339741933E-2</v>
      </c>
    </row>
    <row r="649" spans="1:5" x14ac:dyDescent="0.2">
      <c r="A649" s="1">
        <f>Acciones!A650</f>
        <v>45940</v>
      </c>
      <c r="B649" s="4">
        <f>Acciones!B650/Acciones!B649 -1</f>
        <v>-2.9564146221422449E-3</v>
      </c>
      <c r="C649" s="4">
        <f>Acciones!C650/Acciones!C649 -1</f>
        <v>-8.2263758423837152E-2</v>
      </c>
      <c r="D649" s="4">
        <f>Acciones!D650/Acciones!D649 -1</f>
        <v>-3.2657542840693221E-2</v>
      </c>
      <c r="E649" s="4">
        <f>Acciones!E650/Acciones!E649 -1</f>
        <v>3.9216350839954561E-3</v>
      </c>
    </row>
    <row r="650" spans="1:5" x14ac:dyDescent="0.2">
      <c r="A650" s="1">
        <f>Acciones!A651</f>
        <v>45943</v>
      </c>
      <c r="B650" s="4">
        <f>Acciones!B651/Acciones!B650 -1</f>
        <v>4.447807101751966E-3</v>
      </c>
      <c r="C650" s="4">
        <f>Acciones!C651/Acciones!C650 -1</f>
        <v>9.4455333078134807E-2</v>
      </c>
      <c r="D650" s="4">
        <f>Acciones!D651/Acciones!D650 -1</f>
        <v>2.9503799280476528E-2</v>
      </c>
      <c r="E650" s="4">
        <f>Acciones!E651/Acciones!E650 -1</f>
        <v>-1.5625030922819527E-2</v>
      </c>
    </row>
    <row r="651" spans="1:5" x14ac:dyDescent="0.2">
      <c r="A651" s="1">
        <f>Acciones!A652</f>
        <v>45944</v>
      </c>
      <c r="B651" s="4">
        <f>Acciones!B652/Acciones!B651 -1</f>
        <v>1.1070101517408393E-2</v>
      </c>
      <c r="C651" s="4">
        <f>Acciones!C652/Acciones!C651 -1</f>
        <v>9.6948022337331574E-2</v>
      </c>
      <c r="D651" s="4">
        <f>Acciones!D652/Acciones!D651 -1</f>
        <v>8.2604348851518239E-3</v>
      </c>
      <c r="E651" s="4">
        <f>Acciones!E652/Acciones!E651 -1</f>
        <v>3.9682028147358661E-3</v>
      </c>
    </row>
    <row r="652" spans="1:5" x14ac:dyDescent="0.2">
      <c r="A652" s="1">
        <f>Acciones!A653</f>
        <v>45945</v>
      </c>
      <c r="B652" s="4">
        <f>Acciones!B653/Acciones!B652 -1</f>
        <v>-3.6496789282639552E-3</v>
      </c>
      <c r="C652" s="4">
        <f>Acciones!C653/Acciones!C652 -1</f>
        <v>2.7968286893442995E-2</v>
      </c>
      <c r="D652" s="4">
        <f>Acciones!D653/Acciones!D652 -1</f>
        <v>8.7579413400935557E-3</v>
      </c>
      <c r="E652" s="4">
        <f>Acciones!E653/Acciones!E652 -1</f>
        <v>0</v>
      </c>
    </row>
    <row r="653" spans="1:5" x14ac:dyDescent="0.2">
      <c r="A653" s="1">
        <f>Acciones!A654</f>
        <v>45946</v>
      </c>
      <c r="B653" s="4">
        <f>Acciones!B654/Acciones!B653 -1</f>
        <v>3.6630478769135166E-3</v>
      </c>
      <c r="C653" s="4">
        <f>Acciones!C654/Acciones!C653 -1</f>
        <v>-0.11592694437653617</v>
      </c>
      <c r="D653" s="4">
        <f>Acciones!D654/Acciones!D653 -1</f>
        <v>-2.6834981313549333E-2</v>
      </c>
      <c r="E653" s="4">
        <f>Acciones!E654/Acciones!E653 -1</f>
        <v>1.5810309271551137E-2</v>
      </c>
    </row>
    <row r="654" spans="1:5" x14ac:dyDescent="0.2">
      <c r="A654" s="1">
        <f>Acciones!A655</f>
        <v>45947</v>
      </c>
      <c r="B654" s="4">
        <f>Acciones!B655/Acciones!B654 -1</f>
        <v>-1.4598575054056262E-2</v>
      </c>
      <c r="C654" s="4">
        <f>Acciones!C655/Acciones!C654 -1</f>
        <v>-4.1987804401985351E-2</v>
      </c>
      <c r="D654" s="4">
        <f>Acciones!D655/Acciones!D654 -1</f>
        <v>5.3122041991600089E-3</v>
      </c>
      <c r="E654" s="4">
        <f>Acciones!E655/Acciones!E654 -1</f>
        <v>-1.5564233919705739E-2</v>
      </c>
    </row>
    <row r="655" spans="1:5" x14ac:dyDescent="0.2">
      <c r="A655" s="1">
        <f>Acciones!A656</f>
        <v>45950</v>
      </c>
      <c r="B655" s="4">
        <f>Acciones!B656/Acciones!B655 -1</f>
        <v>2.9629844272558437E-3</v>
      </c>
      <c r="C655" s="4">
        <f>Acciones!C656/Acciones!C655 -1</f>
        <v>6.8940539865935957E-2</v>
      </c>
      <c r="D655" s="4">
        <f>Acciones!D656/Acciones!D655 -1</f>
        <v>1.326286244773911E-2</v>
      </c>
      <c r="E655" s="4">
        <f>Acciones!E656/Acciones!E655 -1</f>
        <v>0</v>
      </c>
    </row>
    <row r="656" spans="1:5" x14ac:dyDescent="0.2">
      <c r="A656" s="1">
        <f>Acciones!A657</f>
        <v>45951</v>
      </c>
      <c r="B656" s="4">
        <f>Acciones!B657/Acciones!B656 -1</f>
        <v>1.2555357586850668E-2</v>
      </c>
      <c r="C656" s="4">
        <f>Acciones!C657/Acciones!C656 -1</f>
        <v>-4.079236763109706E-2</v>
      </c>
      <c r="D656" s="4">
        <f>Acciones!D657/Acciones!D656 -1</f>
        <v>3.1927067862711489E-3</v>
      </c>
      <c r="E656" s="4">
        <f>Acciones!E657/Acciones!E656 -1</f>
        <v>-3.9525184200162045E-3</v>
      </c>
    </row>
    <row r="657" spans="1:5" x14ac:dyDescent="0.2">
      <c r="A657" s="1">
        <f>Acciones!A658</f>
        <v>45952</v>
      </c>
      <c r="B657" s="4">
        <f>Acciones!B658/Acciones!B657 -1</f>
        <v>-1.458764651164457E-3</v>
      </c>
      <c r="C657" s="4">
        <f>Acciones!C658/Acciones!C657 -1</f>
        <v>-3.9720990217512409E-2</v>
      </c>
      <c r="D657" s="4">
        <f>Acciones!D658/Acciones!D657 -1</f>
        <v>1.0642904123012942E-2</v>
      </c>
      <c r="E657" s="4">
        <f>Acciones!E658/Acciones!E657 -1</f>
        <v>3.9682028147358661E-3</v>
      </c>
    </row>
    <row r="658" spans="1:5" x14ac:dyDescent="0.2">
      <c r="A658" s="1">
        <f>Acciones!A659</f>
        <v>45953</v>
      </c>
      <c r="B658" s="4">
        <f>Acciones!B659/Acciones!B658 -1</f>
        <v>-5.1132407111655898E-3</v>
      </c>
      <c r="C658" s="4">
        <f>Acciones!C659/Acciones!C658 -1</f>
        <v>9.4473061406996628E-3</v>
      </c>
      <c r="D658" s="4">
        <f>Acciones!D659/Acciones!D658 -1</f>
        <v>5.1829600833985801E-3</v>
      </c>
      <c r="E658" s="4">
        <f>Acciones!E659/Acciones!E658 -1</f>
        <v>-7.9051546357756797E-3</v>
      </c>
    </row>
    <row r="659" spans="1:5" x14ac:dyDescent="0.2">
      <c r="A659" s="1">
        <f>Acciones!A660</f>
        <v>45954</v>
      </c>
      <c r="B659" s="4">
        <f>Acciones!B660/Acciones!B659 -1</f>
        <v>5.1395203156794356E-3</v>
      </c>
      <c r="C659" s="4">
        <f>Acciones!C660/Acciones!C659 -1</f>
        <v>4.5529780734203662E-3</v>
      </c>
      <c r="D659" s="4">
        <f>Acciones!D660/Acciones!D659 -1</f>
        <v>-3.0703784920044219E-3</v>
      </c>
      <c r="E659" s="4">
        <f>Acciones!E660/Acciones!E659 -1</f>
        <v>3.9841313904904752E-3</v>
      </c>
    </row>
    <row r="660" spans="1:5" x14ac:dyDescent="0.2">
      <c r="A660" s="1">
        <f>Acciones!A661</f>
        <v>45957</v>
      </c>
      <c r="B660" s="4">
        <f>Acciones!B661/Acciones!B660 -1</f>
        <v>-1.0226411041460493E-2</v>
      </c>
      <c r="C660" s="4">
        <f>Acciones!C661/Acciones!C660 -1</f>
        <v>1.1135078387051189E-2</v>
      </c>
      <c r="D660" s="4">
        <f>Acciones!D661/Acciones!D660 -1</f>
        <v>-1.2601073232226812E-2</v>
      </c>
      <c r="E660" s="4">
        <f>Acciones!E661/Acciones!E660 -1</f>
        <v>7.9365238926523141E-3</v>
      </c>
    </row>
    <row r="661" spans="1:5" x14ac:dyDescent="0.2">
      <c r="A661" s="1">
        <f>Acciones!A662</f>
        <v>45958</v>
      </c>
      <c r="B661" s="4">
        <f>Acciones!B662/Acciones!B661 -1</f>
        <v>3.6900101364476523E-3</v>
      </c>
      <c r="C661" s="4">
        <f>Acciones!C662/Acciones!C661 -1</f>
        <v>-4.1670118164946923E-2</v>
      </c>
      <c r="D661" s="4">
        <f>Acciones!D662/Acciones!D661 -1</f>
        <v>-1.4237980668549866E-2</v>
      </c>
      <c r="E661" s="4">
        <f>Acciones!E662/Acciones!E661 -1</f>
        <v>2.362197702968416E-2</v>
      </c>
    </row>
    <row r="662" spans="1:5" x14ac:dyDescent="0.2">
      <c r="A662" s="1">
        <f>Acciones!A663</f>
        <v>45959</v>
      </c>
      <c r="B662" s="4">
        <f>Acciones!B663/Acciones!B662 -1</f>
        <v>-6.617641745320979E-3</v>
      </c>
      <c r="C662" s="4">
        <f>Acciones!C663/Acciones!C662 -1</f>
        <v>6.2075757430257728E-3</v>
      </c>
      <c r="D662" s="4">
        <f>Acciones!D663/Acciones!D662 -1</f>
        <v>-1.6408314784085221E-2</v>
      </c>
      <c r="E662" s="4">
        <f>Acciones!E663/Acciones!E662 -1</f>
        <v>-3.8461044695204949E-3</v>
      </c>
    </row>
    <row r="663" spans="1:5" x14ac:dyDescent="0.2">
      <c r="A663" s="1">
        <f>Acciones!A664</f>
        <v>45960</v>
      </c>
      <c r="B663" s="4">
        <f>Acciones!B664/Acciones!B663 -1</f>
        <v>2.2205755552668904E-3</v>
      </c>
      <c r="C663" s="4">
        <f>Acciones!C664/Acciones!C663 -1</f>
        <v>-4.5451926364106221E-2</v>
      </c>
      <c r="D663" s="4">
        <f>Acciones!D664/Acciones!D663 -1</f>
        <v>-1.4946559719443475E-2</v>
      </c>
      <c r="E663" s="4">
        <f>Acciones!E664/Acciones!E663 -1</f>
        <v>-3.4749047188697091E-2</v>
      </c>
    </row>
    <row r="664" spans="1:5" x14ac:dyDescent="0.2">
      <c r="A664" s="1">
        <f>Acciones!A665</f>
        <v>45961</v>
      </c>
      <c r="B664" s="4">
        <f>Acciones!B665/Acciones!B664 -1</f>
        <v>-9.6011976608680882E-3</v>
      </c>
      <c r="C664" s="4">
        <f>Acciones!C665/Acciones!C664 -1</f>
        <v>1.4880002509952472E-2</v>
      </c>
      <c r="D664" s="4">
        <f>Acciones!D665/Acciones!D664 -1</f>
        <v>-4.5039091604960335E-3</v>
      </c>
      <c r="E664" s="4">
        <f>Acciones!E665/Acciones!E664 -1</f>
        <v>0</v>
      </c>
    </row>
    <row r="665" spans="1:5" x14ac:dyDescent="0.2">
      <c r="A665" s="1">
        <f>Acciones!A666</f>
        <v>45964</v>
      </c>
      <c r="B665" s="4">
        <f>Acciones!B666/Acciones!B665 -1</f>
        <v>8.9485387887728862E-3</v>
      </c>
      <c r="C665" s="4">
        <f>Acciones!C666/Acciones!C665 -1</f>
        <v>-2.1474483322672988E-2</v>
      </c>
      <c r="D665" s="4">
        <f>Acciones!D666/Acciones!D665 -1</f>
        <v>-3.0267208097682019E-2</v>
      </c>
      <c r="E665" s="4">
        <f>Acciones!E666/Acciones!E665 -1</f>
        <v>-4.0000081062320225E-3</v>
      </c>
    </row>
    <row r="666" spans="1:5" x14ac:dyDescent="0.2">
      <c r="A666" s="1">
        <f>Acciones!A667</f>
        <v>45965</v>
      </c>
      <c r="B666" s="4">
        <f>Acciones!B667/Acciones!B666 -1</f>
        <v>-7.390929735603291E-3</v>
      </c>
      <c r="C666" s="4">
        <f>Acciones!C667/Acciones!C666 -1</f>
        <v>-5.5424380586253097E-2</v>
      </c>
      <c r="D666" s="4">
        <f>Acciones!D667/Acciones!D666 -1</f>
        <v>-1.4409320690532357E-2</v>
      </c>
      <c r="E666" s="4">
        <f>Acciones!E667/Acciones!E666 -1</f>
        <v>0</v>
      </c>
    </row>
    <row r="667" spans="1:5" x14ac:dyDescent="0.2">
      <c r="A667" s="1">
        <f>Acciones!A668</f>
        <v>45966</v>
      </c>
      <c r="B667" s="4">
        <f>Acciones!B668/Acciones!B667 -1</f>
        <v>7.4455318593735775E-4</v>
      </c>
      <c r="C667" s="4">
        <f>Acciones!C668/Acciones!C667 -1</f>
        <v>2.5540783632367114E-2</v>
      </c>
      <c r="D667" s="4">
        <f>Acciones!D668/Acciones!D667 -1</f>
        <v>1.2366808805551077E-2</v>
      </c>
      <c r="E667" s="4">
        <f>Acciones!E668/Acciones!E667 -1</f>
        <v>-8.0321448570023213E-3</v>
      </c>
    </row>
    <row r="668" spans="1:5" x14ac:dyDescent="0.2">
      <c r="A668" s="1">
        <f>Acciones!A669</f>
        <v>45967</v>
      </c>
      <c r="B668" s="4">
        <f>Acciones!B669/Acciones!B668 -1</f>
        <v>2.9761403358357086E-3</v>
      </c>
      <c r="C668" s="4">
        <f>Acciones!C669/Acciones!C668 -1</f>
        <v>-6.402721997937344E-2</v>
      </c>
      <c r="D668" s="4">
        <f>Acciones!D669/Acciones!D668 -1</f>
        <v>-7.0395891791908971E-3</v>
      </c>
      <c r="E668" s="4">
        <f>Acciones!E669/Acciones!E668 -1</f>
        <v>1.21457739008759E-2</v>
      </c>
    </row>
    <row r="669" spans="1:5" x14ac:dyDescent="0.2">
      <c r="A669" s="1">
        <f>Acciones!A670</f>
        <v>45968</v>
      </c>
      <c r="B669" s="4">
        <f>Acciones!B670/Acciones!B669 -1</f>
        <v>-7.4183444953469513E-3</v>
      </c>
      <c r="C669" s="4">
        <f>Acciones!C670/Acciones!C669 -1</f>
        <v>-3.0213961305546433E-2</v>
      </c>
      <c r="D669" s="4">
        <f>Acciones!D670/Acciones!D669 -1</f>
        <v>-2.0616830119124185E-2</v>
      </c>
      <c r="E669" s="4">
        <f>Acciones!E670/Acciones!E669 -1</f>
        <v>-8.000016212464045E-3</v>
      </c>
    </row>
    <row r="670" spans="1:5" x14ac:dyDescent="0.2">
      <c r="A670" s="1">
        <f>Acciones!A671</f>
        <v>45971</v>
      </c>
      <c r="B670" s="4">
        <f>Acciones!B671/Acciones!B670 -1</f>
        <v>1.4947431230225572E-3</v>
      </c>
      <c r="C670" s="4">
        <f>Acciones!C671/Acciones!C670 -1</f>
        <v>-1.1601575004500542E-2</v>
      </c>
      <c r="D670" s="4">
        <f>Acciones!D671/Acciones!D670 -1</f>
        <v>-6.360525426600705E-3</v>
      </c>
      <c r="E670" s="4">
        <f>Acciones!E671/Acciones!E670 -1</f>
        <v>4.0322663020211369E-3</v>
      </c>
    </row>
    <row r="671" spans="1:5" x14ac:dyDescent="0.2">
      <c r="A671" s="1">
        <f>Acciones!A672</f>
        <v>45972</v>
      </c>
      <c r="B671" s="4">
        <f>Acciones!B672/Acciones!B671 -1</f>
        <v>3.7313883577587692E-3</v>
      </c>
      <c r="C671" s="4">
        <f>Acciones!C672/Acciones!C671 -1</f>
        <v>-6.9206910699592949E-2</v>
      </c>
      <c r="D671" s="4">
        <f>Acciones!D672/Acciones!D671 -1</f>
        <v>3.2943475738235639E-2</v>
      </c>
      <c r="E671" s="4">
        <f>Acciones!E672/Acciones!E671 -1</f>
        <v>0</v>
      </c>
    </row>
    <row r="672" spans="1:5" x14ac:dyDescent="0.2">
      <c r="A672" s="1">
        <f>Acciones!A673</f>
        <v>45973</v>
      </c>
      <c r="B672" s="4">
        <f>Acciones!B673/Acciones!B672 -1</f>
        <v>-1.7843851683871703E-2</v>
      </c>
      <c r="C672" s="4">
        <f>Acciones!C673/Acciones!C672 -1</f>
        <v>-1.5042617724040364E-2</v>
      </c>
      <c r="D672" s="4">
        <f>Acciones!D673/Acciones!D672 -1</f>
        <v>1.6681159689596381E-2</v>
      </c>
      <c r="E672" s="4">
        <f>Acciones!E673/Acciones!E672 -1</f>
        <v>0</v>
      </c>
    </row>
    <row r="673" spans="1:5" x14ac:dyDescent="0.2">
      <c r="A673" s="1">
        <f>Acciones!A674</f>
        <v>45974</v>
      </c>
      <c r="B673" s="4">
        <f>Acciones!B674/Acciones!B673 -1</f>
        <v>8.3269937849312914E-3</v>
      </c>
      <c r="C673" s="4">
        <f>Acciones!C674/Acciones!C673 -1</f>
        <v>-0.10941418934045966</v>
      </c>
      <c r="D673" s="4">
        <f>Acciones!D674/Acciones!D673 -1</f>
        <v>3.0884968297004711E-2</v>
      </c>
      <c r="E673" s="4">
        <f>Acciones!E674/Acciones!E673 -1</f>
        <v>-1.2048157441483021E-2</v>
      </c>
    </row>
    <row r="674" spans="1:5" x14ac:dyDescent="0.2">
      <c r="A674" s="1">
        <f>Acciones!A675</f>
        <v>45975</v>
      </c>
      <c r="B674" s="4">
        <f>Acciones!B675/Acciones!B674 -1</f>
        <v>-8.2582275752378642E-3</v>
      </c>
      <c r="C674" s="4">
        <f>Acciones!C675/Acciones!C674 -1</f>
        <v>-5.7418273015160892E-2</v>
      </c>
      <c r="D674" s="4">
        <f>Acciones!D675/Acciones!D674 -1</f>
        <v>-3.4165429839968731E-2</v>
      </c>
      <c r="E674" s="4">
        <f>Acciones!E675/Acciones!E674 -1</f>
        <v>1.6260134530831527E-2</v>
      </c>
    </row>
    <row r="675" spans="1:5" x14ac:dyDescent="0.2">
      <c r="A675" s="1">
        <f>Acciones!A676</f>
        <v>45979</v>
      </c>
      <c r="B675" s="4">
        <f>Acciones!B676/Acciones!B675 -1</f>
        <v>-2.2710049357286266E-3</v>
      </c>
      <c r="C675" s="4">
        <f>Acciones!C676/Acciones!C675 -1</f>
        <v>-5.7929670492070651E-3</v>
      </c>
      <c r="D675" s="4">
        <f>Acciones!D676/Acciones!D675 -1</f>
        <v>-2.4931718141164794E-2</v>
      </c>
      <c r="E675" s="4">
        <f>Acciones!E676/Acciones!E675 -1</f>
        <v>-1.9999980926516003E-2</v>
      </c>
    </row>
    <row r="676" spans="1:5" x14ac:dyDescent="0.2">
      <c r="A676" s="1">
        <f>Acciones!A677</f>
        <v>45980</v>
      </c>
      <c r="B676" s="4">
        <f>Acciones!B677/Acciones!B676 -1</f>
        <v>7.5867597664269759E-4</v>
      </c>
      <c r="C676" s="4">
        <f>Acciones!C677/Acciones!C676 -1</f>
        <v>-6.8190077508093916E-2</v>
      </c>
      <c r="D676" s="4">
        <f>Acciones!D677/Acciones!D676 -1</f>
        <v>9.4832995558444821E-3</v>
      </c>
      <c r="E676" s="4">
        <f>Acciones!E677/Acciones!E676 -1</f>
        <v>2.0408143405368895E-2</v>
      </c>
    </row>
    <row r="677" spans="1:5" x14ac:dyDescent="0.2">
      <c r="A677" s="1">
        <f>Acciones!A678</f>
        <v>45981</v>
      </c>
      <c r="B677" s="4">
        <f>Acciones!B678/Acciones!B677 -1</f>
        <v>4.5488971378844223E-3</v>
      </c>
      <c r="C677" s="4">
        <f>Acciones!C678/Acciones!C677 -1</f>
        <v>-6.6634096692721578E-2</v>
      </c>
      <c r="D677" s="4">
        <f>Acciones!D678/Acciones!D677 -1</f>
        <v>-1.1129174592842683E-2</v>
      </c>
      <c r="E677" s="4">
        <f>Acciones!E678/Acciones!E677 -1</f>
        <v>-4.0000081062320225E-3</v>
      </c>
    </row>
    <row r="678" spans="1:5" x14ac:dyDescent="0.2">
      <c r="A678" s="1">
        <f>Acciones!A679</f>
        <v>45982</v>
      </c>
      <c r="B678" s="4">
        <f>Acciones!B679/Acciones!B678 -1</f>
        <v>-2.7924458163272825E-2</v>
      </c>
      <c r="C678" s="4">
        <f>Acciones!C679/Acciones!C678 -1</f>
        <v>-2.4651897389633248E-2</v>
      </c>
      <c r="D678" s="4">
        <f>Acciones!D679/Acciones!D678 -1</f>
        <v>2.6307050500422147E-2</v>
      </c>
      <c r="E678" s="4">
        <f>Acciones!E679/Acciones!E678 -1</f>
        <v>8.0320850129778076E-3</v>
      </c>
    </row>
    <row r="679" spans="1:5" x14ac:dyDescent="0.2">
      <c r="A679" s="1">
        <f>Acciones!A680</f>
        <v>45985</v>
      </c>
      <c r="B679" s="4">
        <f>Acciones!B680/Acciones!B679 -1</f>
        <v>2.6397518083472349E-2</v>
      </c>
      <c r="C679" s="4">
        <f>Acciones!C680/Acciones!C679 -1</f>
        <v>0.11183254980047952</v>
      </c>
      <c r="D679" s="4">
        <f>Acciones!D680/Acciones!D679 -1</f>
        <v>-1.7512915606899937E-2</v>
      </c>
      <c r="E679" s="4">
        <f>Acciones!E680/Acciones!E679 -1</f>
        <v>-3.9840126561297984E-3</v>
      </c>
    </row>
    <row r="680" spans="1:5" x14ac:dyDescent="0.2">
      <c r="A680" s="1">
        <f>Acciones!A681</f>
        <v>45986</v>
      </c>
      <c r="B680" s="4">
        <f>Acciones!B681/Acciones!B680 -1</f>
        <v>-1.8154369095423117E-2</v>
      </c>
      <c r="C680" s="4">
        <f>Acciones!C681/Acciones!C680 -1</f>
        <v>-1.3079814093025055E-2</v>
      </c>
      <c r="D680" s="4">
        <f>Acciones!D681/Acciones!D680 -1</f>
        <v>2.1322385348341744E-2</v>
      </c>
      <c r="E680" s="4">
        <f>Acciones!E681/Acciones!E680 -1</f>
        <v>3.6000013351439986E-2</v>
      </c>
    </row>
    <row r="681" spans="1:5" x14ac:dyDescent="0.2">
      <c r="A681" s="1">
        <f>Acciones!A682</f>
        <v>45987</v>
      </c>
      <c r="B681" s="4">
        <f>Acciones!B682/Acciones!B681 -1</f>
        <v>-6.1633728042558289E-3</v>
      </c>
      <c r="C681" s="4">
        <f>Acciones!C682/Acciones!C681 -1</f>
        <v>2.8364722377383078E-3</v>
      </c>
      <c r="D681" s="4">
        <f>Acciones!D682/Acciones!D681 -1</f>
        <v>9.3524051739806158E-3</v>
      </c>
      <c r="E681" s="4">
        <f>Acciones!E682/Acciones!E681 -1</f>
        <v>-2.3166069814760104E-2</v>
      </c>
    </row>
    <row r="682" spans="1:5" x14ac:dyDescent="0.2">
      <c r="A682" s="1">
        <f>Acciones!A683</f>
        <v>45988</v>
      </c>
      <c r="B682" s="4">
        <f>Acciones!B683/Acciones!B682 -1</f>
        <v>6.9768136660675051E-3</v>
      </c>
      <c r="C682" s="4">
        <f>Acciones!C683/Acciones!C682 -1</f>
        <v>3.3551179970374934E-2</v>
      </c>
      <c r="D682" s="4">
        <f>Acciones!D683/Acciones!D682 -1</f>
        <v>-5.6540227929877673E-3</v>
      </c>
      <c r="E682" s="4">
        <f>Acciones!E683/Acciones!E682 -1</f>
        <v>-7.9051546357756797E-3</v>
      </c>
    </row>
    <row r="683" spans="1:5" x14ac:dyDescent="0.2">
      <c r="A683" s="1">
        <f>Acciones!A684</f>
        <v>45989</v>
      </c>
      <c r="B683" s="4">
        <f>Acciones!B684/Acciones!B683 -1</f>
        <v>-6.9284749870925921E-3</v>
      </c>
      <c r="C683" s="4">
        <f>Acciones!C684/Acciones!C683 -1</f>
        <v>1.9439440736658709E-2</v>
      </c>
      <c r="D683" s="4">
        <f>Acciones!D684/Acciones!D683 -1</f>
        <v>1.4682488338566557E-3</v>
      </c>
      <c r="E683" s="4">
        <f>Acciones!E684/Acciones!E683 -1</f>
        <v>-2.3904313405512245E-2</v>
      </c>
    </row>
    <row r="684" spans="1:5" x14ac:dyDescent="0.2">
      <c r="A684" s="1">
        <f>Acciones!A685</f>
        <v>45992</v>
      </c>
      <c r="B684" s="4">
        <f>Acciones!B685/Acciones!B684 -1</f>
        <v>7.7521811645042682E-4</v>
      </c>
      <c r="C684" s="4">
        <f>Acciones!C685/Acciones!C684 -1</f>
        <v>-2.9482528877005754E-2</v>
      </c>
      <c r="D684" s="4">
        <f>Acciones!D685/Acciones!D684 -1</f>
        <v>1.7285380260561922E-2</v>
      </c>
      <c r="E684" s="4">
        <f>Acciones!E685/Acciones!E684 -1</f>
        <v>1.6326502560082279E-2</v>
      </c>
    </row>
    <row r="685" spans="1:5" x14ac:dyDescent="0.2">
      <c r="A685" s="1">
        <f>Acciones!A686</f>
        <v>45993</v>
      </c>
      <c r="B685" s="4">
        <f>Acciones!B686/Acciones!B685 -1</f>
        <v>2.3237782233767046E-3</v>
      </c>
      <c r="C685" s="4">
        <f>Acciones!C686/Acciones!C685 -1</f>
        <v>4.5495699246790755E-2</v>
      </c>
      <c r="D685" s="4">
        <f>Acciones!D686/Acciones!D685 -1</f>
        <v>-2.7491602671396276E-2</v>
      </c>
      <c r="E685" s="4">
        <f>Acciones!E686/Acciones!E685 -1</f>
        <v>-4.0160724285012162E-3</v>
      </c>
    </row>
    <row r="686" spans="1:5" x14ac:dyDescent="0.2">
      <c r="A686" s="1">
        <f>Acciones!A687</f>
        <v>45994</v>
      </c>
      <c r="B686" s="4">
        <f>Acciones!B687/Acciones!B686 -1</f>
        <v>-1.0046310481644505E-2</v>
      </c>
      <c r="C686" s="4">
        <f>Acciones!C687/Acciones!C686 -1</f>
        <v>4.1554535364188849E-2</v>
      </c>
      <c r="D686" s="4">
        <f>Acciones!D687/Acciones!D686 -1</f>
        <v>2.8268756081606394E-2</v>
      </c>
      <c r="E686" s="4">
        <f>Acciones!E687/Acciones!E686 -1</f>
        <v>2.4193597812123047E-2</v>
      </c>
    </row>
    <row r="687" spans="1:5" x14ac:dyDescent="0.2">
      <c r="A687" s="1">
        <f>Acciones!A688</f>
        <v>45995</v>
      </c>
      <c r="B687" s="4">
        <f>Acciones!B688/Acciones!B687 -1</f>
        <v>1.405151062238974E-2</v>
      </c>
      <c r="C687" s="4">
        <f>Acciones!C688/Acciones!C687 -1</f>
        <v>3.9413304429514184E-4</v>
      </c>
      <c r="D687" s="4">
        <f>Acciones!D688/Acciones!D687 -1</f>
        <v>-1.6666943126159017E-3</v>
      </c>
      <c r="E687" s="4">
        <f>Acciones!E688/Acciones!E687 -1</f>
        <v>-7.8740314538869871E-3</v>
      </c>
    </row>
    <row r="688" spans="1:5" x14ac:dyDescent="0.2">
      <c r="A688" s="1">
        <f>Acciones!A689</f>
        <v>45996</v>
      </c>
      <c r="B688" s="4">
        <f>Acciones!B689/Acciones!B688 -1</f>
        <v>-2.3094669378608268E-3</v>
      </c>
      <c r="C688" s="4">
        <f>Acciones!C689/Acciones!C688 -1</f>
        <v>-6.5972037598492572E-2</v>
      </c>
      <c r="D688" s="4">
        <f>Acciones!D689/Acciones!D688 -1</f>
        <v>-1.6693748860228119E-3</v>
      </c>
      <c r="E688" s="4">
        <f>Acciones!E689/Acciones!E688 -1</f>
        <v>3.9682028147358661E-3</v>
      </c>
    </row>
    <row r="689" spans="1:5" x14ac:dyDescent="0.2">
      <c r="A689" s="1">
        <f>Acciones!A690</f>
        <v>45999</v>
      </c>
      <c r="B689" s="4">
        <f>Acciones!B690/Acciones!B689 -1</f>
        <v>-3.2407455249931494E-2</v>
      </c>
      <c r="C689" s="4">
        <f>Acciones!C690/Acciones!C689 -1</f>
        <v>2.5075019161096002E-2</v>
      </c>
      <c r="D689" s="4">
        <f>Acciones!D690/Acciones!D689 -1</f>
        <v>-3.0100321813150477E-2</v>
      </c>
      <c r="E689" s="4">
        <f>Acciones!E690/Acciones!E689 -1</f>
        <v>3.9526362157593642E-3</v>
      </c>
    </row>
    <row r="690" spans="1:5" x14ac:dyDescent="0.2">
      <c r="A690" s="1">
        <f>Acciones!A691</f>
        <v>46000</v>
      </c>
      <c r="B690" s="4">
        <f>Acciones!B691/Acciones!B690 -1</f>
        <v>-2.3923426594439356E-2</v>
      </c>
      <c r="C690" s="4">
        <f>Acciones!C691/Acciones!C690 -1</f>
        <v>1.7831803652158751E-2</v>
      </c>
      <c r="D690" s="4">
        <f>Acciones!D691/Acciones!D690 -1</f>
        <v>-6.0345824960091887E-3</v>
      </c>
      <c r="E690" s="4">
        <f>Acciones!E691/Acciones!E690 -1</f>
        <v>1.574794557580117E-2</v>
      </c>
    </row>
    <row r="691" spans="1:5" x14ac:dyDescent="0.2">
      <c r="A691" s="1">
        <f>Acciones!A692</f>
        <v>46001</v>
      </c>
      <c r="B691" s="4">
        <f>Acciones!B692/Acciones!B691 -1</f>
        <v>2.5326803688241695E-2</v>
      </c>
      <c r="C691" s="4">
        <f>Acciones!C692/Acciones!C691 -1</f>
        <v>-2.2056527777937984E-2</v>
      </c>
      <c r="D691" s="4">
        <f>Acciones!D692/Acciones!D691 -1</f>
        <v>4.0815377641454598E-2</v>
      </c>
      <c r="E691" s="4">
        <f>Acciones!E692/Acciones!E691 -1</f>
        <v>-3.1007700897408008E-2</v>
      </c>
    </row>
    <row r="692" spans="1:5" x14ac:dyDescent="0.2">
      <c r="A692" s="1">
        <f>Acciones!A693</f>
        <v>46002</v>
      </c>
      <c r="B692" s="4">
        <f>Acciones!B693/Acciones!B692 -1</f>
        <v>-1.992032851301806E-2</v>
      </c>
      <c r="C692" s="4">
        <f>Acciones!C693/Acciones!C692 -1</f>
        <v>-2.5493813181253655E-2</v>
      </c>
      <c r="D692" s="4">
        <f>Acciones!D693/Acciones!D692 -1</f>
        <v>1.7449043357419924E-2</v>
      </c>
      <c r="E692" s="4">
        <f>Acciones!E693/Acciones!E692 -1</f>
        <v>-4.7999978065492055E-2</v>
      </c>
    </row>
    <row r="693" spans="1:5" x14ac:dyDescent="0.2">
      <c r="A693" s="1">
        <f>Acciones!A694</f>
        <v>46006</v>
      </c>
      <c r="B693" s="4">
        <f>Acciones!B694/Acciones!B693 -1</f>
        <v>4.0650896890681576E-3</v>
      </c>
      <c r="C693" s="4">
        <f>Acciones!C694/Acciones!C693 -1</f>
        <v>-9.2953107650453837E-2</v>
      </c>
      <c r="D693" s="4">
        <f>Acciones!D694/Acciones!D693 -1</f>
        <v>8.1901441632004079E-4</v>
      </c>
      <c r="E693" s="4">
        <f>Acciones!E694/Acciones!E693 -1</f>
        <v>-8.4033781808192654E-3</v>
      </c>
    </row>
    <row r="694" spans="1:5" x14ac:dyDescent="0.2">
      <c r="A694" s="1">
        <f>Acciones!A695</f>
        <v>46007</v>
      </c>
      <c r="B694" s="4">
        <f>Acciones!B695/Acciones!B694 -1</f>
        <v>4.8582955521339066E-3</v>
      </c>
      <c r="C694" s="4">
        <f>Acciones!C695/Acciones!C694 -1</f>
        <v>-2.2864792358969765E-3</v>
      </c>
      <c r="D694" s="4">
        <f>Acciones!D695/Acciones!D694 -1</f>
        <v>-1.2274962845241655E-2</v>
      </c>
      <c r="E694" s="4">
        <f>Acciones!E695/Acciones!E694 -1</f>
        <v>-8.8983041215855097E-2</v>
      </c>
    </row>
    <row r="695" spans="1:5" x14ac:dyDescent="0.2">
      <c r="A695" s="1">
        <f>Acciones!A696</f>
        <v>46008</v>
      </c>
      <c r="B695" s="4">
        <f>Acciones!B696/Acciones!B695 -1</f>
        <v>-3.2232070097242382E-2</v>
      </c>
      <c r="C695" s="4">
        <f>Acciones!C696/Acciones!C695 -1</f>
        <v>-6.1201102473109614E-2</v>
      </c>
      <c r="D695" s="4">
        <f>Acciones!D696/Acciones!D695 -1</f>
        <v>-1.8450703812102009E-2</v>
      </c>
      <c r="E695" s="4">
        <f>Acciones!E696/Acciones!E695 -1</f>
        <v>-0.13953488694454619</v>
      </c>
    </row>
    <row r="696" spans="1:5" x14ac:dyDescent="0.2">
      <c r="A696" s="1">
        <f>Acciones!A697</f>
        <v>46009</v>
      </c>
      <c r="B696" s="4">
        <f>Acciones!B697/Acciones!B696 -1</f>
        <v>1.9150665125577282E-2</v>
      </c>
      <c r="C696" s="4">
        <f>Acciones!C697/Acciones!C696 -1</f>
        <v>-2.635374975163407E-2</v>
      </c>
      <c r="D696" s="4">
        <f>Acciones!D697/Acciones!D696 -1</f>
        <v>6.0182899859868577E-3</v>
      </c>
      <c r="E696" s="4">
        <f>Acciones!E697/Acciones!E696 -1</f>
        <v>-0.10810808416175854</v>
      </c>
    </row>
    <row r="697" spans="1:5" x14ac:dyDescent="0.2">
      <c r="A697" s="1">
        <f>Acciones!A698</f>
        <v>46010</v>
      </c>
      <c r="B697" s="4">
        <f>Acciones!B698/Acciones!B697 -1</f>
        <v>2.3524544184601037E-2</v>
      </c>
      <c r="C697" s="4">
        <f>Acciones!C698/Acciones!C697 -1</f>
        <v>3.2879302712744751E-2</v>
      </c>
      <c r="D697" s="4">
        <f>Acciones!D698/Acciones!D697 -1</f>
        <v>-0.11687616163148506</v>
      </c>
      <c r="E697" s="4">
        <f>Acciones!E698/Acciones!E697 -1</f>
        <v>-0.12121218141883106</v>
      </c>
    </row>
    <row r="698" spans="1:5" x14ac:dyDescent="0.2">
      <c r="A698" s="1">
        <f>Acciones!A699</f>
        <v>46013</v>
      </c>
      <c r="B698" s="4">
        <f>Acciones!B699/Acciones!B698 -1</f>
        <v>-3.1451564648888874E-2</v>
      </c>
      <c r="C698" s="4">
        <f>Acciones!C699/Acciones!C698 -1</f>
        <v>-6.0685803710786024E-3</v>
      </c>
      <c r="D698" s="4">
        <f>Acciones!D699/Acciones!D698 -1</f>
        <v>-2.1034377501296886E-2</v>
      </c>
      <c r="E698" s="4">
        <f>Acciones!E699/Acciones!E698 -1</f>
        <v>-0.158620655990242</v>
      </c>
    </row>
    <row r="699" spans="1:5" x14ac:dyDescent="0.2">
      <c r="A699" s="1">
        <f>Acciones!A700</f>
        <v>46014</v>
      </c>
      <c r="B699" s="4">
        <f>Acciones!B700/Acciones!B699 -1</f>
        <v>1.6652773143512212E-2</v>
      </c>
      <c r="C699" s="4">
        <f>Acciones!C700/Acciones!C699 -1</f>
        <v>-1.7539984446467982E-2</v>
      </c>
      <c r="D699" s="4">
        <f>Acciones!D700/Acciones!D699 -1</f>
        <v>-3.8043510465171071E-3</v>
      </c>
      <c r="E699" s="4">
        <f>Acciones!E700/Acciones!E699 -1</f>
        <v>-0.15573771342782983</v>
      </c>
    </row>
    <row r="700" spans="1:5" x14ac:dyDescent="0.2">
      <c r="A700" s="1">
        <f>Acciones!A701</f>
        <v>46015</v>
      </c>
      <c r="B700" s="4">
        <f>Acciones!B701/Acciones!B700 -1</f>
        <v>-2.4569805796457178E-3</v>
      </c>
      <c r="C700" s="4">
        <f>Acciones!C701/Acciones!C700 -1</f>
        <v>5.6497175141243527E-3</v>
      </c>
      <c r="D700" s="4">
        <f>Acciones!D701/Acciones!D700 -1</f>
        <v>4.988800087177192E-2</v>
      </c>
      <c r="E700" s="4">
        <f>Acciones!E701/Acciones!E700 -1</f>
        <v>-0.15533983110763283</v>
      </c>
    </row>
    <row r="701" spans="1:5" x14ac:dyDescent="0.2">
      <c r="A701" s="1">
        <f>Acciones!A702</f>
        <v>46017</v>
      </c>
      <c r="B701" s="4">
        <f>Acciones!B702/Acciones!B701 -1</f>
        <v>-9.0312485710495327E-3</v>
      </c>
      <c r="C701" s="4">
        <f>Acciones!C702/Acciones!C701 -1</f>
        <v>-3.4101164742803447E-2</v>
      </c>
      <c r="D701" s="4">
        <f>Acciones!D702/Acciones!D701 -1</f>
        <v>6.7643631813842919E-3</v>
      </c>
      <c r="E701" s="4">
        <f>Acciones!E702/Acciones!E701 -1</f>
        <v>-0.14942525191955225</v>
      </c>
    </row>
    <row r="702" spans="1:5" x14ac:dyDescent="0.2">
      <c r="A702" s="1">
        <f>Acciones!A703</f>
        <v>46020</v>
      </c>
      <c r="B702" s="4">
        <f>Acciones!B703/Acciones!B702 -1</f>
        <v>-9.941995740940901E-3</v>
      </c>
      <c r="C702" s="4">
        <f>Acciones!C703/Acciones!C702 -1</f>
        <v>-1.0469306518051003E-2</v>
      </c>
      <c r="D702" s="4">
        <f>Acciones!D703/Acciones!D702 -1</f>
        <v>1.3824888423278558E-2</v>
      </c>
      <c r="E702" s="4">
        <f>Acciones!E703/Acciones!E702 -1</f>
        <v>-0.13513510520219763</v>
      </c>
    </row>
    <row r="703" spans="1:5" x14ac:dyDescent="0.2">
      <c r="A703" s="1">
        <f>Acciones!A704</f>
        <v>46021</v>
      </c>
      <c r="B703" s="4">
        <f>Acciones!B704/Acciones!B703 -1</f>
        <v>-8.3683925032740358E-4</v>
      </c>
      <c r="C703" s="4">
        <f>Acciones!C704/Acciones!C703 -1</f>
        <v>-1.2696194675341443E-2</v>
      </c>
      <c r="D703" s="4">
        <f>Acciones!D704/Acciones!D703 -1</f>
        <v>8.1818425043511667E-4</v>
      </c>
      <c r="E703" s="4">
        <f>Acciones!E704/Acciones!E703 -1</f>
        <v>-0.15625001818989293</v>
      </c>
    </row>
    <row r="704" spans="1:5" x14ac:dyDescent="0.2">
      <c r="A704" s="1">
        <f>Acciones!A705</f>
        <v>46022</v>
      </c>
      <c r="B704" s="4">
        <f>Acciones!B705/Acciones!B704 -1</f>
        <v>-2.3450564724576961E-2</v>
      </c>
      <c r="C704" s="4">
        <f>Acciones!C705/Acciones!C704 -1</f>
        <v>-3.5422973775091293E-2</v>
      </c>
      <c r="D704" s="4">
        <f>Acciones!D705/Acciones!D704 -1</f>
        <v>4.8214993453776334E-2</v>
      </c>
      <c r="E704" s="4">
        <f>Acciones!E705/Acciones!E704 -1</f>
        <v>-1.8518555567014539E-2</v>
      </c>
    </row>
    <row r="705" spans="1:5" x14ac:dyDescent="0.2">
      <c r="A705" s="1">
        <f>Acciones!A706</f>
        <v>46024</v>
      </c>
      <c r="B705" s="4">
        <f>Acciones!B706/Acciones!B705 -1</f>
        <v>8.5765257398517925E-4</v>
      </c>
      <c r="C705" s="4">
        <f>Acciones!C706/Acciones!C705 -1</f>
        <v>9.2766315164526603E-2</v>
      </c>
      <c r="D705" s="4">
        <f>Acciones!D706/Acciones!D705 -1</f>
        <v>-1.4592924600930091E-2</v>
      </c>
      <c r="E705" s="4">
        <f>Acciones!E706/Acciones!E705 -1</f>
        <v>0.71698111748729376</v>
      </c>
    </row>
    <row r="706" spans="1:5" x14ac:dyDescent="0.2">
      <c r="A706" s="1">
        <f>Acciones!A707</f>
        <v>46027</v>
      </c>
      <c r="B706" s="4">
        <f>Acciones!B707/Acciones!B706 -1</f>
        <v>-2.0565532951942966E-2</v>
      </c>
      <c r="C706" s="4">
        <f>Acciones!C707/Acciones!C706 -1</f>
        <v>7.1448707587918214E-2</v>
      </c>
      <c r="D706" s="4">
        <f>Acciones!D707/Acciones!D706 -1</f>
        <v>1.5706057366470905E-2</v>
      </c>
      <c r="E706" s="4">
        <f>Acciones!E707/Acciones!E706 -1</f>
        <v>1.0439561339280292</v>
      </c>
    </row>
    <row r="707" spans="1:5" x14ac:dyDescent="0.2">
      <c r="A707" s="1">
        <f>Acciones!A708</f>
        <v>46028</v>
      </c>
      <c r="B707" s="4">
        <f>Acciones!B708/Acciones!B707 -1</f>
        <v>2.6246651710477575E-2</v>
      </c>
      <c r="C707" s="4">
        <f>Acciones!C708/Acciones!C707 -1</f>
        <v>-1.9240874829749566E-2</v>
      </c>
      <c r="D707" s="4">
        <f>Acciones!D708/Acciones!D707 -1</f>
        <v>1.2987017106324661E-2</v>
      </c>
      <c r="E707" s="4">
        <f>Acciones!E708/Acciones!E707 -1</f>
        <v>2.6881694156240643E-2</v>
      </c>
    </row>
    <row r="708" spans="1:5" x14ac:dyDescent="0.2">
      <c r="A708" s="1">
        <f>Acciones!A709</f>
        <v>46029</v>
      </c>
      <c r="B708" s="4">
        <f>Acciones!B709/Acciones!B708 -1</f>
        <v>0</v>
      </c>
      <c r="C708" s="4">
        <f>Acciones!C709/Acciones!C708 -1</f>
        <v>-3.2625677101060679E-2</v>
      </c>
      <c r="D708" s="4">
        <f>Acciones!D709/Acciones!D708 -1</f>
        <v>-2.7350359373798372E-2</v>
      </c>
      <c r="E708" s="4">
        <f>Acciones!E709/Acciones!E708 -1</f>
        <v>-0.26701570231318472</v>
      </c>
    </row>
    <row r="709" spans="1:5" x14ac:dyDescent="0.2">
      <c r="A709" s="1">
        <f>Acciones!A710</f>
        <v>46030</v>
      </c>
      <c r="B709" s="4">
        <f>Acciones!B710/Acciones!B709 -1</f>
        <v>-2.5575220922371411E-3</v>
      </c>
      <c r="C709" s="4">
        <f>Acciones!C710/Acciones!C709 -1</f>
        <v>3.90043584793065E-2</v>
      </c>
      <c r="D709" s="4">
        <f>Acciones!D710/Acciones!D709 -1</f>
        <v>2.3725797645387736E-2</v>
      </c>
      <c r="E709" s="4">
        <f>Acciones!E710/Acciones!E709 -1</f>
        <v>0.15714285562233288</v>
      </c>
    </row>
    <row r="710" spans="1:5" x14ac:dyDescent="0.2">
      <c r="A710" s="1">
        <f>Acciones!A711</f>
        <v>46031</v>
      </c>
      <c r="B710" s="4">
        <f>Acciones!B711/Acciones!B710 -1</f>
        <v>8.5470412905914728E-3</v>
      </c>
      <c r="C710" s="4">
        <f>Acciones!C711/Acciones!C710 -1</f>
        <v>-2.0802135773524077E-2</v>
      </c>
      <c r="D710" s="4">
        <f>Acciones!D711/Acciones!D710 -1</f>
        <v>1.440341835511183E-2</v>
      </c>
      <c r="E710" s="4">
        <f>Acciones!E711/Acciones!E710 -1</f>
        <v>0.13580246800021212</v>
      </c>
    </row>
    <row r="711" spans="1:5" x14ac:dyDescent="0.2">
      <c r="A711" s="1">
        <f>Acciones!A712</f>
        <v>46034</v>
      </c>
      <c r="B711" s="4">
        <f>Acciones!B712/Acciones!B711 -1</f>
        <v>-4.2373042310676068E-3</v>
      </c>
      <c r="C711" s="4">
        <f>Acciones!C712/Acciones!C711 -1</f>
        <v>4.636560245133925E-2</v>
      </c>
      <c r="D711" s="4">
        <f>Acciones!D712/Acciones!D711 -1</f>
        <v>-5.7286868133274993E-3</v>
      </c>
      <c r="E711" s="4">
        <f>Acciones!E712/Acciones!E711 -1</f>
        <v>5.434793612034694E-3</v>
      </c>
    </row>
    <row r="712" spans="1:5" x14ac:dyDescent="0.2">
      <c r="A712" s="1">
        <f>Acciones!A713</f>
        <v>46035</v>
      </c>
      <c r="B712" s="4">
        <f>Acciones!B713/Acciones!B712 -1</f>
        <v>0</v>
      </c>
      <c r="C712" s="4">
        <f>Acciones!C713/Acciones!C712 -1</f>
        <v>1.3569889153982162E-2</v>
      </c>
      <c r="D712" s="4">
        <f>Acciones!D713/Acciones!D712 -1</f>
        <v>8.5020812207716734E-3</v>
      </c>
      <c r="E712" s="4">
        <f>Acciones!E713/Acciones!E712 -1</f>
        <v>-3.7837833483954642E-2</v>
      </c>
    </row>
    <row r="713" spans="1:5" x14ac:dyDescent="0.2">
      <c r="A713" s="1">
        <f>Acciones!A714</f>
        <v>46036</v>
      </c>
      <c r="B713" s="4">
        <f>Acciones!B714/Acciones!B713 -1</f>
        <v>-2.5531687635064193E-3</v>
      </c>
      <c r="C713" s="4">
        <f>Acciones!C714/Acciones!C713 -1</f>
        <v>1.2924870262968957E-2</v>
      </c>
      <c r="D713" s="4">
        <f>Acciones!D714/Acciones!D713 -1</f>
        <v>-1.5189816282359048E-2</v>
      </c>
      <c r="E713" s="4">
        <f>Acciones!E714/Acciones!E713 -1</f>
        <v>-4.4943826808995779E-2</v>
      </c>
    </row>
    <row r="714" spans="1:5" x14ac:dyDescent="0.2">
      <c r="A714" s="1">
        <f>Acciones!A715</f>
        <v>46037</v>
      </c>
      <c r="B714" s="4">
        <f>Acciones!B715/Acciones!B714 -1</f>
        <v>2.5597041201097515E-3</v>
      </c>
      <c r="C714" s="4">
        <f>Acciones!C715/Acciones!C714 -1</f>
        <v>-3.8076382682752263E-2</v>
      </c>
      <c r="D714" s="4">
        <f>Acciones!D715/Acciones!D714 -1</f>
        <v>-1.6623929186757924E-2</v>
      </c>
      <c r="E714" s="4">
        <f>Acciones!E715/Acciones!E714 -1</f>
        <v>2.3529371547036604E-2</v>
      </c>
    </row>
    <row r="715" spans="1:5" x14ac:dyDescent="0.2">
      <c r="A715" s="1">
        <f>Acciones!A716</f>
        <v>46038</v>
      </c>
      <c r="B715" s="4">
        <f>Acciones!B716/Acciones!B715 -1</f>
        <v>1.7021260362987123E-2</v>
      </c>
      <c r="C715" s="4">
        <f>Acciones!C716/Acciones!C715 -1</f>
        <v>5.6072299661258596E-2</v>
      </c>
      <c r="D715" s="4">
        <f>Acciones!D716/Acciones!D715 -1</f>
        <v>-1.0238743330703626E-2</v>
      </c>
      <c r="E715" s="4">
        <f>Acciones!E716/Acciones!E715 -1</f>
        <v>-2.2988467357289877E-2</v>
      </c>
    </row>
    <row r="716" spans="1:5" x14ac:dyDescent="0.2">
      <c r="A716" s="1">
        <f>Acciones!A717</f>
        <v>46041</v>
      </c>
      <c r="B716" s="4">
        <f>Acciones!B717/Acciones!B716 -1</f>
        <v>8.3683925032751461E-4</v>
      </c>
      <c r="C716" s="4">
        <f>Acciones!C717/Acciones!C716 -1</f>
        <v>-1.4112031718856555E-2</v>
      </c>
      <c r="D716" s="4">
        <f>Acciones!D717/Acciones!D716 -1</f>
        <v>3.653674569450871E-3</v>
      </c>
      <c r="E716" s="4">
        <f>Acciones!E717/Acciones!E716 -1</f>
        <v>-5.882356034843117E-2</v>
      </c>
    </row>
    <row r="717" spans="1:5" x14ac:dyDescent="0.2">
      <c r="A717" s="1">
        <f>Acciones!A718</f>
        <v>46042</v>
      </c>
      <c r="B717" s="4">
        <f>Acciones!B718/Acciones!B717 -1</f>
        <v>-3.3444784051354093E-3</v>
      </c>
      <c r="C717" s="4">
        <f>Acciones!C718/Acciones!C717 -1</f>
        <v>-6.9285794005798151E-2</v>
      </c>
      <c r="D717" s="4">
        <f>Acciones!D718/Acciones!D717 -1</f>
        <v>-1.9447356031754848E-2</v>
      </c>
      <c r="E717" s="4">
        <f>Acciones!E718/Acciones!E717 -1</f>
        <v>-4.3749996507538746E-2</v>
      </c>
    </row>
    <row r="718" spans="1:5" x14ac:dyDescent="0.2">
      <c r="A718" s="1">
        <f>Acciones!A719</f>
        <v>46043</v>
      </c>
      <c r="B718" s="4">
        <f>Acciones!B719/Acciones!B718 -1</f>
        <v>-1.0067104428778673E-2</v>
      </c>
      <c r="C718" s="4">
        <f>Acciones!C719/Acciones!C718 -1</f>
        <v>1.1016602670904208E-2</v>
      </c>
      <c r="D718" s="4">
        <f>Acciones!D719/Acciones!D718 -1</f>
        <v>1.536013951865689E-2</v>
      </c>
      <c r="E718" s="4">
        <f>Acciones!E719/Acciones!E718 -1</f>
        <v>1.3071922160222682E-2</v>
      </c>
    </row>
    <row r="719" spans="1:5" x14ac:dyDescent="0.2">
      <c r="A719" s="1">
        <f>Acciones!A720</f>
        <v>46044</v>
      </c>
      <c r="B719" s="4">
        <f>Acciones!B720/Acciones!B719 -1</f>
        <v>4.2373042310761555E-3</v>
      </c>
      <c r="C719" s="4">
        <f>Acciones!C720/Acciones!C719 -1</f>
        <v>-3.8353654240361967E-2</v>
      </c>
      <c r="D719" s="4">
        <f>Acciones!D720/Acciones!D719 -1</f>
        <v>8.3083710649909381E-3</v>
      </c>
      <c r="E719" s="4">
        <f>Acciones!E720/Acciones!E719 -1</f>
        <v>0</v>
      </c>
    </row>
    <row r="720" spans="1:5" x14ac:dyDescent="0.2">
      <c r="A720" s="1">
        <f>Acciones!A721</f>
        <v>46045</v>
      </c>
      <c r="B720" s="4">
        <f>Acciones!B721/Acciones!B720 -1</f>
        <v>-8.4390114430188401E-4</v>
      </c>
      <c r="C720" s="4">
        <f>Acciones!C721/Acciones!C720 -1</f>
        <v>2.2718365146657815E-2</v>
      </c>
      <c r="D720" s="4">
        <f>Acciones!D721/Acciones!D720 -1</f>
        <v>-1.87254403792253E-2</v>
      </c>
      <c r="E720" s="4">
        <f>Acciones!E721/Acciones!E720 -1</f>
        <v>-3.2258033504344863E-2</v>
      </c>
    </row>
    <row r="721" spans="1:5" x14ac:dyDescent="0.2">
      <c r="A721" s="1">
        <f>Acciones!A722</f>
        <v>46048</v>
      </c>
      <c r="B721" s="4">
        <f>Acciones!B722/Acciones!B721 -1</f>
        <v>2.5337611980218444E-3</v>
      </c>
      <c r="C721" s="4">
        <f>Acciones!C722/Acciones!C721 -1</f>
        <v>-4.8376519141607233E-2</v>
      </c>
      <c r="D721" s="4">
        <f>Acciones!D722/Acciones!D721 -1</f>
        <v>6.2422147661589378E-3</v>
      </c>
      <c r="E721" s="4">
        <f>Acciones!E722/Acciones!E721 -1</f>
        <v>-1.3333359824286628E-2</v>
      </c>
    </row>
    <row r="722" spans="1:5" x14ac:dyDescent="0.2">
      <c r="A722" s="1">
        <f>Acciones!A723</f>
        <v>46049</v>
      </c>
      <c r="B722" s="4">
        <f>Acciones!B723/Acciones!B722 -1</f>
        <v>-8.4247927364911046E-4</v>
      </c>
      <c r="C722" s="4">
        <f>Acciones!C723/Acciones!C722 -1</f>
        <v>3.1469779330645542E-2</v>
      </c>
      <c r="D722" s="4">
        <f>Acciones!D723/Acciones!D722 -1</f>
        <v>-3.5406822867758647E-2</v>
      </c>
      <c r="E722" s="4">
        <f>Acciones!E723/Acciones!E722 -1</f>
        <v>8.1081042984616492E-2</v>
      </c>
    </row>
    <row r="723" spans="1:5" x14ac:dyDescent="0.2">
      <c r="A723" s="1">
        <f>Acciones!A724</f>
        <v>46050</v>
      </c>
      <c r="B723" s="4">
        <f>Acciones!B724/Acciones!B723 -1</f>
        <v>-8.4310923245856095E-4</v>
      </c>
      <c r="C723" s="4">
        <f>Acciones!C724/Acciones!C723 -1</f>
        <v>-9.2758359400607615E-3</v>
      </c>
      <c r="D723" s="4">
        <f>Acciones!D724/Acciones!D723 -1</f>
        <v>-1.5596364810482322E-2</v>
      </c>
      <c r="E723" s="4">
        <f>Acciones!E724/Acciones!E723 -1</f>
        <v>6.2500128056861559E-3</v>
      </c>
    </row>
    <row r="724" spans="1:5" x14ac:dyDescent="0.2">
      <c r="A724" s="1">
        <f>Acciones!A725</f>
        <v>46051</v>
      </c>
      <c r="B724" s="4">
        <f>Acciones!B725/Acciones!B724 -1</f>
        <v>-8.4388504852771495E-3</v>
      </c>
      <c r="C724" s="4">
        <f>Acciones!C725/Acciones!C724 -1</f>
        <v>-5.5950355319786316E-2</v>
      </c>
      <c r="D724" s="4">
        <f>Acciones!D725/Acciones!D724 -1</f>
        <v>5.8715203323793652E-3</v>
      </c>
      <c r="E724" s="4">
        <f>Acciones!E725/Acciones!E724 -1</f>
        <v>-6.8322935376996852E-2</v>
      </c>
    </row>
    <row r="725" spans="1:5" x14ac:dyDescent="0.2">
      <c r="A725" s="1">
        <f>Acciones!A726</f>
        <v>46052</v>
      </c>
      <c r="B725" s="4">
        <f>Acciones!B726/Acciones!B725 -1</f>
        <v>3.4042520725958703E-3</v>
      </c>
      <c r="C725" s="4">
        <f>Acciones!C726/Acciones!C725 -1</f>
        <v>-1.4159459354994741E-2</v>
      </c>
      <c r="D725" s="4">
        <f>Acciones!D726/Acciones!D725 -1</f>
        <v>-3.9748855032506469E-3</v>
      </c>
      <c r="E725" s="4">
        <f>Acciones!E726/Acciones!E725 -1</f>
        <v>-6.6666699780356886E-2</v>
      </c>
    </row>
    <row r="726" spans="1:5" x14ac:dyDescent="0.2">
      <c r="A726" s="1">
        <f>Acciones!A727</f>
        <v>46056</v>
      </c>
      <c r="B726" s="4">
        <f>Acciones!B727/Acciones!B726 -1</f>
        <v>6.7854049164413066E-3</v>
      </c>
      <c r="C726" s="4">
        <f>Acciones!C727/Acciones!C726 -1</f>
        <v>-6.1571957708896008E-2</v>
      </c>
      <c r="D726" s="4">
        <f>Acciones!D727/Acciones!D726 -1</f>
        <v>-2.3255642238290575E-2</v>
      </c>
      <c r="E726" s="4">
        <f>Acciones!E727/Acciones!E726 -1</f>
        <v>-6.4285737853876701E-2</v>
      </c>
    </row>
    <row r="727" spans="1:5" x14ac:dyDescent="0.2">
      <c r="A727" s="1">
        <f>Acciones!A728</f>
        <v>46057</v>
      </c>
      <c r="B727" s="4">
        <f>Acciones!B728/Acciones!B727 -1</f>
        <v>-2.8643652558206223E-2</v>
      </c>
      <c r="C727" s="4">
        <f>Acciones!C728/Acciones!C727 -1</f>
        <v>-7.6654891237402101E-2</v>
      </c>
      <c r="D727" s="4">
        <f>Acciones!D728/Acciones!D727 -1</f>
        <v>5.8085183166290966E-2</v>
      </c>
      <c r="E727" s="4">
        <f>Acciones!E728/Acciones!E727 -1</f>
        <v>-2.2900696498492135E-2</v>
      </c>
    </row>
    <row r="728" spans="1:5" x14ac:dyDescent="0.2">
      <c r="A728" s="1">
        <f>Acciones!A729</f>
        <v>46058</v>
      </c>
      <c r="B728" s="4">
        <f>Acciones!B729/Acciones!B728 -1</f>
        <v>0</v>
      </c>
      <c r="C728" s="4">
        <f>Acciones!C729/Acciones!C728 -1</f>
        <v>-0.18072455665148712</v>
      </c>
      <c r="D728" s="4">
        <f>Acciones!D729/Acciones!D728 -1</f>
        <v>-1.8901874161617593E-2</v>
      </c>
      <c r="E728" s="4">
        <f>Acciones!E729/Acciones!E728 -1</f>
        <v>7.0312406322051269E-2</v>
      </c>
    </row>
    <row r="729" spans="1:5" x14ac:dyDescent="0.2">
      <c r="A729" s="1">
        <f>Acciones!A730</f>
        <v>46059</v>
      </c>
      <c r="B729" s="4">
        <f>Acciones!B730/Acciones!B729 -1</f>
        <v>2.7753742923646962E-2</v>
      </c>
      <c r="C729" s="4">
        <f>Acciones!C730/Acciones!C729 -1</f>
        <v>0.22579816532404262</v>
      </c>
      <c r="D729" s="4">
        <f>Acciones!D730/Acciones!D729 -1</f>
        <v>1.0091798416784981E-2</v>
      </c>
      <c r="E729" s="4">
        <f>Acciones!E730/Acciones!E729 -1</f>
        <v>0.167883232320863</v>
      </c>
    </row>
    <row r="730" spans="1:5" x14ac:dyDescent="0.2">
      <c r="A730" s="1">
        <f>Acciones!A731</f>
        <v>46062</v>
      </c>
      <c r="B730" s="4">
        <f>Acciones!B731/Acciones!B730 -1</f>
        <v>-1.3502176872213334E-2</v>
      </c>
      <c r="C730" s="4">
        <f>Acciones!C731/Acciones!C730 -1</f>
        <v>-4.3248078650722444E-2</v>
      </c>
      <c r="D730" s="4">
        <f>Acciones!D731/Acciones!D730 -1</f>
        <v>-2.392373951024751E-2</v>
      </c>
      <c r="E730" s="4">
        <f>Acciones!E731/Acciones!E730 -1</f>
        <v>-8.7499993015083599E-2</v>
      </c>
    </row>
    <row r="731" spans="1:5" x14ac:dyDescent="0.2">
      <c r="A731" s="1">
        <f>Acciones!A732</f>
        <v>46063</v>
      </c>
      <c r="B731" s="4">
        <f>Acciones!B732/Acciones!B731 -1</f>
        <v>2.566297703194298E-2</v>
      </c>
      <c r="C731" s="4">
        <f>Acciones!C732/Acciones!C731 -1</f>
        <v>-3.9307096836102895E-2</v>
      </c>
      <c r="D731" s="4">
        <f>Acciones!D732/Acciones!D731 -1</f>
        <v>1.4274261682484912E-2</v>
      </c>
      <c r="E731" s="4">
        <f>Acciones!E732/Acciones!E731 -1</f>
        <v>-4.1095872235398678E-2</v>
      </c>
    </row>
    <row r="732" spans="1:5" x14ac:dyDescent="0.2">
      <c r="A732" s="1">
        <f>Acciones!A733</f>
        <v>46064</v>
      </c>
      <c r="B732" s="4">
        <f>Acciones!B733/Acciones!B732 -1</f>
        <v>-8.3404746227677684E-4</v>
      </c>
      <c r="C732" s="4">
        <f>Acciones!C733/Acciones!C732 -1</f>
        <v>-2.3715636652130168E-2</v>
      </c>
      <c r="D732" s="4">
        <f>Acciones!D733/Acciones!D732 -1</f>
        <v>-1.7605470485651753E-2</v>
      </c>
      <c r="E732" s="4">
        <f>Acciones!E733/Acciones!E732 -1</f>
        <v>1.428574317572151E-2</v>
      </c>
    </row>
    <row r="733" spans="1:5" x14ac:dyDescent="0.2">
      <c r="A733" s="1">
        <f>Acciones!A734</f>
        <v>46065</v>
      </c>
      <c r="B733" s="4">
        <f>Acciones!B734/Acciones!B733 -1</f>
        <v>-1.7529139607420974E-2</v>
      </c>
      <c r="C733" s="4">
        <f>Acciones!C734/Acciones!C733 -1</f>
        <v>-3.1897617734252259E-2</v>
      </c>
      <c r="D733" s="4">
        <f>Acciones!D734/Acciones!D733 -1</f>
        <v>-1.5035379174011543E-2</v>
      </c>
      <c r="E733" s="4">
        <f>Acciones!E734/Acciones!E733 -1</f>
        <v>4.9295767996901496E-2</v>
      </c>
    </row>
    <row r="734" spans="1:5" x14ac:dyDescent="0.2">
      <c r="A734" s="1">
        <f>Acciones!A735</f>
        <v>46066</v>
      </c>
      <c r="B734" s="4">
        <f>Acciones!B735/Acciones!B734 -1</f>
        <v>1.5293062404493796E-2</v>
      </c>
      <c r="C734" s="4">
        <f>Acciones!C735/Acciones!C734 -1</f>
        <v>8.4335392201586368E-2</v>
      </c>
      <c r="D734" s="4">
        <f>Acciones!D735/Acciones!D734 -1</f>
        <v>2.7059549418147366E-2</v>
      </c>
      <c r="E734" s="4">
        <f>Acciones!E735/Acciones!E734 -1</f>
        <v>6.7114228198381642E-3</v>
      </c>
    </row>
    <row r="735" spans="1:5" x14ac:dyDescent="0.2">
      <c r="A735" s="1">
        <f>Acciones!A736</f>
        <v>46069</v>
      </c>
      <c r="B735" s="4">
        <f>Acciones!B736/Acciones!B735 -1</f>
        <v>8.3682328925367422E-3</v>
      </c>
      <c r="C735" s="4">
        <f>Acciones!C736/Acciones!C735 -1</f>
        <v>1.6560739199585006E-2</v>
      </c>
      <c r="D735" s="4">
        <f>Acciones!D736/Acciones!D735 -1</f>
        <v>4.3849409289442587E-3</v>
      </c>
      <c r="E735" s="4">
        <f>Acciones!E736/Acciones!E735 -1</f>
        <v>0</v>
      </c>
    </row>
    <row r="736" spans="1:5" x14ac:dyDescent="0.2">
      <c r="A736" s="1">
        <f>Acciones!A737</f>
        <v>46070</v>
      </c>
      <c r="B736" s="4">
        <f>Acciones!B737/Acciones!B736 -1</f>
        <v>-4.1493933562959384E-3</v>
      </c>
      <c r="C736" s="4">
        <f>Acciones!C737/Acciones!C736 -1</f>
        <v>-5.6654496626421857E-2</v>
      </c>
      <c r="D736" s="4">
        <f>Acciones!D737/Acciones!D736 -1</f>
        <v>7.3713584310761693E-3</v>
      </c>
      <c r="E736" s="4">
        <f>Acciones!E737/Acciones!E736 -1</f>
        <v>0</v>
      </c>
    </row>
    <row r="737" spans="1:5" x14ac:dyDescent="0.2">
      <c r="A737" s="1">
        <f>Acciones!A738</f>
        <v>46071</v>
      </c>
      <c r="B737" s="4">
        <f>Acciones!B738/Acciones!B737 -1</f>
        <v>1.4166673024491594E-2</v>
      </c>
      <c r="C737" s="4">
        <f>Acciones!C738/Acciones!C737 -1</f>
        <v>1.1563787581545526E-3</v>
      </c>
      <c r="D737" s="4">
        <f>Acciones!D738/Acciones!D737 -1</f>
        <v>3.0090720398386672E-2</v>
      </c>
      <c r="E737" s="4">
        <f>Acciones!E738/Acciones!E737 -1</f>
        <v>-6.666679912143314E-3</v>
      </c>
    </row>
    <row r="738" spans="1:5" x14ac:dyDescent="0.2">
      <c r="A738" s="1">
        <f>Acciones!A739</f>
        <v>46072</v>
      </c>
      <c r="B738" s="4">
        <f>Acciones!B739/Acciones!B738 -1</f>
        <v>5.1766648355909606E-2</v>
      </c>
      <c r="C738" s="4">
        <f>Acciones!C739/Acciones!C738 -1</f>
        <v>6.3221982714303238E-2</v>
      </c>
      <c r="D738" s="4">
        <f>Acciones!D739/Acciones!D738 -1</f>
        <v>4.9158333358572115E-3</v>
      </c>
      <c r="E738" s="4">
        <f>Acciones!E739/Acciones!E738 -1</f>
        <v>-2.6845691279352768E-2</v>
      </c>
    </row>
    <row r="739" spans="1:5" x14ac:dyDescent="0.2">
      <c r="A739" s="1">
        <f>Acciones!A740</f>
        <v>46073</v>
      </c>
      <c r="B739" s="4">
        <f>Acciones!B740/Acciones!B739 -1</f>
        <v>2.7343704889063014E-2</v>
      </c>
      <c r="C739" s="4">
        <f>Acciones!C740/Acciones!C739 -1</f>
        <v>-1.1950525586620908E-2</v>
      </c>
      <c r="D739" s="4">
        <f>Acciones!D740/Acciones!D739 -1</f>
        <v>-1.2639446257738607E-2</v>
      </c>
      <c r="E739" s="4">
        <f>Acciones!E740/Acciones!E739 -1</f>
        <v>-3.4482726727594337E-2</v>
      </c>
    </row>
    <row r="740" spans="1:5" x14ac:dyDescent="0.2">
      <c r="A740" s="1">
        <f>Acciones!A741</f>
        <v>46076</v>
      </c>
      <c r="B740" s="4">
        <f>Acciones!B741/Acciones!B740 -1</f>
        <v>-5.7034222186831407E-2</v>
      </c>
      <c r="C740" s="4">
        <f>Acciones!C741/Acciones!C740 -1</f>
        <v>-6.6706030957648377E-3</v>
      </c>
      <c r="D740" s="4">
        <f>Acciones!D741/Acciones!D740 -1</f>
        <v>-3.0529865815229984E-2</v>
      </c>
      <c r="E740" s="4">
        <f>Acciones!E741/Acciones!E740 -1</f>
        <v>0</v>
      </c>
    </row>
    <row r="741" spans="1:5" x14ac:dyDescent="0.2">
      <c r="A741" s="1">
        <f>Acciones!A742</f>
        <v>46077</v>
      </c>
      <c r="B741" s="4">
        <f>Acciones!B742/Acciones!B741 -1</f>
        <v>-1.9354820846885445E-2</v>
      </c>
      <c r="C741" s="4">
        <f>Acciones!C742/Acciones!C741 -1</f>
        <v>1.9039199584093058E-2</v>
      </c>
      <c r="D741" s="4">
        <f>Acciones!D742/Acciones!D741 -1</f>
        <v>1.7476745405950567E-2</v>
      </c>
      <c r="E741" s="4">
        <f>Acciones!E742/Acciones!E741 -1</f>
        <v>-7.1428715878608662E-3</v>
      </c>
    </row>
    <row r="742" spans="1:5" x14ac:dyDescent="0.2">
      <c r="A742" s="1">
        <f>Acciones!A743</f>
        <v>46078</v>
      </c>
      <c r="B742" s="4">
        <f>Acciones!B743/Acciones!B742 -1</f>
        <v>-4.1118421568599794E-2</v>
      </c>
      <c r="C742" s="4">
        <f>Acciones!C743/Acciones!C742 -1</f>
        <v>6.4088683744049524E-2</v>
      </c>
      <c r="D742" s="4">
        <f>Acciones!D743/Acciones!D742 -1</f>
        <v>-1.5828171676700142E-2</v>
      </c>
      <c r="E742" s="4">
        <f>Acciones!E743/Acciones!E742 -1</f>
        <v>7.1942592579099518E-3</v>
      </c>
    </row>
    <row r="743" spans="1:5" x14ac:dyDescent="0.2">
      <c r="A743" s="1">
        <f>Acciones!A744</f>
        <v>46079</v>
      </c>
      <c r="B743" s="4">
        <f>Acciones!B744/Acciones!B743 -1</f>
        <v>-1.1149238091101021E-2</v>
      </c>
      <c r="C743" s="4">
        <f>Acciones!C744/Acciones!C743 -1</f>
        <v>-1.0004091440580787E-2</v>
      </c>
      <c r="D743" s="4">
        <f>Acciones!D744/Acciones!D743 -1</f>
        <v>2.160916029506188E-2</v>
      </c>
      <c r="E743" s="4">
        <f>Acciones!E744/Acciones!E743 -1</f>
        <v>-1.4285743175721843E-2</v>
      </c>
    </row>
    <row r="744" spans="1:5" x14ac:dyDescent="0.2">
      <c r="A744" s="1">
        <f>Acciones!A745</f>
        <v>46080</v>
      </c>
      <c r="B744" s="4">
        <f>Acciones!B745/Acciones!B744 -1</f>
        <v>-1.4744152665309262E-2</v>
      </c>
      <c r="C744" s="4">
        <f>Acciones!C745/Acciones!C744 -1</f>
        <v>6.8398961055524676E-2</v>
      </c>
      <c r="D744" s="4">
        <f>Acciones!D745/Acciones!D744 -1</f>
        <v>-3.5868561155480316E-2</v>
      </c>
      <c r="E744" s="4">
        <f>Acciones!E745/Acciones!E744 -1</f>
        <v>0</v>
      </c>
    </row>
    <row r="745" spans="1:5" x14ac:dyDescent="0.2">
      <c r="A745" s="1">
        <f>Acciones!A746</f>
        <v>46083</v>
      </c>
      <c r="B745" s="4">
        <f>Acciones!B746/Acciones!B745 -1</f>
        <v>-1.8485919409651164E-2</v>
      </c>
      <c r="C745" s="4">
        <f>Acciones!C746/Acciones!C745 -1</f>
        <v>6.5950328920078904E-2</v>
      </c>
      <c r="D745" s="4">
        <f>Acciones!D746/Acciones!D745 -1</f>
        <v>-1.1291224695608615E-2</v>
      </c>
      <c r="E745" s="4">
        <f>Acciones!E746/Acciones!E745 -1</f>
        <v>3.6231958391640617E-2</v>
      </c>
    </row>
    <row r="746" spans="1:5" x14ac:dyDescent="0.2">
      <c r="A746" s="1">
        <f>Acciones!A747</f>
        <v>46084</v>
      </c>
      <c r="B746" s="4">
        <f>Acciones!B747/Acciones!B746 -1</f>
        <v>-7.1748812953364993E-3</v>
      </c>
      <c r="C746" s="4">
        <f>Acciones!C747/Acciones!C746 -1</f>
        <v>-6.4646535724327769E-2</v>
      </c>
      <c r="D746" s="4">
        <f>Acciones!D747/Acciones!D746 -1</f>
        <v>-7.037333462787676E-3</v>
      </c>
      <c r="E746" s="4">
        <f>Acciones!E747/Acciones!E746 -1</f>
        <v>2.7971979149209014E-2</v>
      </c>
    </row>
    <row r="747" spans="1:5" x14ac:dyDescent="0.2">
      <c r="A747" s="1">
        <f>Acciones!A748</f>
        <v>46085</v>
      </c>
      <c r="B747" s="4">
        <f>Acciones!B748/Acciones!B747 -1</f>
        <v>-1.8066399856135895E-3</v>
      </c>
      <c r="C747" s="4">
        <f>Acciones!C748/Acciones!C747 -1</f>
        <v>6.220959584396657E-2</v>
      </c>
      <c r="D747" s="4">
        <f>Acciones!D748/Acciones!D747 -1</f>
        <v>-1.9111460001414393E-2</v>
      </c>
      <c r="E747" s="4">
        <f>Acciones!E748/Acciones!E747 -1</f>
        <v>-1.3605469760121669E-2</v>
      </c>
    </row>
    <row r="748" spans="1:5" x14ac:dyDescent="0.2">
      <c r="A748" s="1">
        <f>Acciones!A749</f>
        <v>46086</v>
      </c>
      <c r="B748" s="4">
        <f>Acciones!B749/Acciones!B748 -1</f>
        <v>-4.5249040607912017E-3</v>
      </c>
      <c r="C748" s="4">
        <f>Acciones!C749/Acciones!C748 -1</f>
        <v>-6.1360909653692342E-2</v>
      </c>
      <c r="D748" s="4">
        <f>Acciones!D749/Acciones!D748 -1</f>
        <v>-1.0764955895384842E-3</v>
      </c>
      <c r="E748" s="4">
        <f>Acciones!E749/Acciones!E748 -1</f>
        <v>0</v>
      </c>
    </row>
    <row r="749" spans="1:5" x14ac:dyDescent="0.2">
      <c r="A749" s="1">
        <f>Acciones!A750</f>
        <v>46087</v>
      </c>
      <c r="B749" s="4">
        <f>Acciones!B750/Acciones!B749 -1</f>
        <v>-4.5454718849909925E-3</v>
      </c>
      <c r="C749" s="4">
        <f>Acciones!C750/Acciones!C749 -1</f>
        <v>-8.1423960071553392E-2</v>
      </c>
      <c r="D749" s="4">
        <f>Acciones!D750/Acciones!D749 -1</f>
        <v>-1.4126201740747524E-2</v>
      </c>
      <c r="E749" s="4">
        <f>Acciones!E750/Acciones!E749 -1</f>
        <v>-5.5172424424133504E-2</v>
      </c>
    </row>
    <row r="750" spans="1:5" x14ac:dyDescent="0.2">
      <c r="A750" s="1">
        <f>Acciones!A751</f>
        <v>46090</v>
      </c>
      <c r="B750" s="4">
        <f>Acciones!B751/Acciones!B750 -1</f>
        <v>-3.6529646164151774E-3</v>
      </c>
      <c r="C750" s="4">
        <f>Acciones!C751/Acciones!C750 -1</f>
        <v>7.2082834410418739E-2</v>
      </c>
      <c r="D750" s="4">
        <f>Acciones!D751/Acciones!D750 -1</f>
        <v>-1.6830003102096258E-2</v>
      </c>
      <c r="E750" s="4">
        <f>Acciones!E751/Acciones!E750 -1</f>
        <v>-5.1094887335250694E-2</v>
      </c>
    </row>
    <row r="751" spans="1:5" x14ac:dyDescent="0.2">
      <c r="A751" s="1"/>
      <c r="B751" s="4"/>
      <c r="C751" s="4"/>
      <c r="D751" s="4"/>
      <c r="E751" s="4"/>
    </row>
    <row r="752" spans="1:5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AB01-1186-7543-B6C1-D4F0D002B1A8}">
  <dimension ref="A1:K17"/>
  <sheetViews>
    <sheetView topLeftCell="A4" zoomScale="125" workbookViewId="0">
      <selection activeCell="D40" sqref="D40"/>
    </sheetView>
  </sheetViews>
  <sheetFormatPr baseColWidth="10" defaultRowHeight="16" x14ac:dyDescent="0.2"/>
  <cols>
    <col min="1" max="1" width="21.6640625" bestFit="1" customWidth="1"/>
    <col min="2" max="2" width="15.6640625" customWidth="1"/>
    <col min="4" max="4" width="21.6640625" bestFit="1" customWidth="1"/>
    <col min="5" max="5" width="15.33203125" customWidth="1"/>
    <col min="7" max="7" width="21.6640625" bestFit="1" customWidth="1"/>
    <col min="9" max="9" width="14.83203125" customWidth="1"/>
    <col min="10" max="10" width="21.6640625" bestFit="1" customWidth="1"/>
    <col min="12" max="12" width="14" customWidth="1"/>
  </cols>
  <sheetData>
    <row r="1" spans="1:11" x14ac:dyDescent="0.2">
      <c r="A1" s="5" t="s">
        <v>12</v>
      </c>
      <c r="B1" s="5"/>
      <c r="D1" s="5" t="s">
        <v>25</v>
      </c>
      <c r="E1" s="11"/>
      <c r="G1" s="5" t="s">
        <v>27</v>
      </c>
      <c r="H1" s="11"/>
      <c r="J1" s="5" t="s">
        <v>29</v>
      </c>
      <c r="K1" s="11"/>
    </row>
    <row r="2" spans="1:11" x14ac:dyDescent="0.2">
      <c r="D2" s="8"/>
      <c r="E2" s="8"/>
      <c r="G2" s="8"/>
      <c r="H2" s="8"/>
      <c r="J2" s="8"/>
      <c r="K2" s="8"/>
    </row>
    <row r="3" spans="1:11" x14ac:dyDescent="0.2">
      <c r="A3" t="s">
        <v>13</v>
      </c>
      <c r="B3">
        <v>-9.2002626698129298E-4</v>
      </c>
      <c r="D3" t="s">
        <v>13</v>
      </c>
      <c r="E3" s="8">
        <v>2.0688336989103787E-3</v>
      </c>
      <c r="G3" t="s">
        <v>13</v>
      </c>
      <c r="H3" s="8">
        <v>-7.9331759142392435E-4</v>
      </c>
      <c r="J3" t="s">
        <v>13</v>
      </c>
      <c r="K3" s="8">
        <v>-2.6640814176375595E-3</v>
      </c>
    </row>
    <row r="4" spans="1:11" x14ac:dyDescent="0.2">
      <c r="A4" t="s">
        <v>14</v>
      </c>
      <c r="B4">
        <v>8.2702283340538524E-4</v>
      </c>
      <c r="D4" t="s">
        <v>14</v>
      </c>
      <c r="E4" s="8">
        <v>2.2358085702696103E-3</v>
      </c>
      <c r="G4" t="s">
        <v>14</v>
      </c>
      <c r="H4" s="8">
        <v>8.3884471863082774E-4</v>
      </c>
      <c r="J4" t="s">
        <v>14</v>
      </c>
      <c r="K4" s="8">
        <v>2.4755651385580308E-3</v>
      </c>
    </row>
    <row r="5" spans="1:11" x14ac:dyDescent="0.2">
      <c r="A5" t="s">
        <v>15</v>
      </c>
      <c r="B5">
        <v>-8.3683925032740358E-4</v>
      </c>
      <c r="D5" t="s">
        <v>15</v>
      </c>
      <c r="E5" s="8">
        <v>-2.3490052892072288E-3</v>
      </c>
      <c r="G5" t="s">
        <v>15</v>
      </c>
      <c r="H5" s="8">
        <v>-1.6666943126159017E-3</v>
      </c>
      <c r="J5" t="s">
        <v>15</v>
      </c>
      <c r="K5" s="8">
        <v>0</v>
      </c>
    </row>
    <row r="6" spans="1:11" x14ac:dyDescent="0.2">
      <c r="A6" t="s">
        <v>16</v>
      </c>
      <c r="B6">
        <v>2.2633848732891846E-2</v>
      </c>
      <c r="D6" t="s">
        <v>16</v>
      </c>
      <c r="E6" s="8">
        <v>6.1189305701285647E-2</v>
      </c>
      <c r="G6" t="s">
        <v>16</v>
      </c>
      <c r="H6" s="8">
        <v>2.2957388484301729E-2</v>
      </c>
      <c r="J6" t="s">
        <v>16</v>
      </c>
      <c r="K6" s="8">
        <v>6.7750930943254489E-2</v>
      </c>
    </row>
    <row r="7" spans="1:11" x14ac:dyDescent="0.2">
      <c r="A7" t="s">
        <v>17</v>
      </c>
      <c r="B7">
        <v>5.1229110846342987E-4</v>
      </c>
      <c r="D7" t="s">
        <v>17</v>
      </c>
      <c r="E7" s="8">
        <v>3.7441311322053881E-3</v>
      </c>
      <c r="G7" t="s">
        <v>17</v>
      </c>
      <c r="H7" s="8">
        <v>5.2704168601914959E-4</v>
      </c>
      <c r="J7" t="s">
        <v>17</v>
      </c>
      <c r="K7" s="8">
        <v>4.5901886436776384E-3</v>
      </c>
    </row>
    <row r="8" spans="1:11" x14ac:dyDescent="0.2">
      <c r="A8" t="s">
        <v>18</v>
      </c>
      <c r="B8">
        <v>1.8316632036448781</v>
      </c>
      <c r="D8" t="s">
        <v>18</v>
      </c>
      <c r="E8" s="8">
        <v>2.3198503493327736</v>
      </c>
      <c r="G8" t="s">
        <v>18</v>
      </c>
      <c r="H8" s="8">
        <v>15.793517623951029</v>
      </c>
      <c r="J8" t="s">
        <v>18</v>
      </c>
      <c r="K8" s="8">
        <v>98.131932296503507</v>
      </c>
    </row>
    <row r="9" spans="1:11" x14ac:dyDescent="0.2">
      <c r="A9" t="s">
        <v>19</v>
      </c>
      <c r="B9">
        <v>-2.6089752643375071E-3</v>
      </c>
      <c r="D9" t="s">
        <v>19</v>
      </c>
      <c r="E9" s="8">
        <v>0.7026625153509154</v>
      </c>
      <c r="G9" t="s">
        <v>19</v>
      </c>
      <c r="H9" s="8">
        <v>-1.0394642375948508</v>
      </c>
      <c r="J9" t="s">
        <v>19</v>
      </c>
      <c r="K9" s="8">
        <v>7.1278316136712085</v>
      </c>
    </row>
    <row r="10" spans="1:11" x14ac:dyDescent="0.2">
      <c r="A10" t="s">
        <v>20</v>
      </c>
      <c r="B10">
        <v>0.19322325336277091</v>
      </c>
      <c r="D10" t="s">
        <v>20</v>
      </c>
      <c r="E10" s="8">
        <v>0.4997755040869315</v>
      </c>
      <c r="G10" t="s">
        <v>20</v>
      </c>
      <c r="H10" s="8">
        <v>0.36001505370603892</v>
      </c>
      <c r="J10" t="s">
        <v>20</v>
      </c>
      <c r="K10" s="8">
        <v>1.3109718362412139</v>
      </c>
    </row>
    <row r="11" spans="1:11" x14ac:dyDescent="0.2">
      <c r="A11" t="s">
        <v>21</v>
      </c>
      <c r="B11">
        <v>-0.10172421097167716</v>
      </c>
      <c r="D11" t="s">
        <v>21</v>
      </c>
      <c r="E11" s="8">
        <v>-0.18072455665148712</v>
      </c>
      <c r="G11" t="s">
        <v>21</v>
      </c>
      <c r="H11" s="8">
        <v>-0.20375073572865898</v>
      </c>
      <c r="J11" t="s">
        <v>21</v>
      </c>
      <c r="K11" s="8">
        <v>-0.26701570231318472</v>
      </c>
    </row>
    <row r="12" spans="1:11" x14ac:dyDescent="0.2">
      <c r="A12" t="s">
        <v>22</v>
      </c>
      <c r="B12">
        <v>9.1499042391093743E-2</v>
      </c>
      <c r="D12" t="s">
        <v>22</v>
      </c>
      <c r="E12" s="8">
        <v>0.31905094743544438</v>
      </c>
      <c r="G12" t="s">
        <v>22</v>
      </c>
      <c r="H12" s="8">
        <v>0.15626431797737994</v>
      </c>
      <c r="J12" t="s">
        <v>22</v>
      </c>
      <c r="K12" s="8">
        <v>1.0439561339280292</v>
      </c>
    </row>
    <row r="13" spans="1:11" x14ac:dyDescent="0.2">
      <c r="A13" t="s">
        <v>23</v>
      </c>
      <c r="B13">
        <v>-0.68909967396898841</v>
      </c>
      <c r="D13" t="s">
        <v>23</v>
      </c>
      <c r="E13" s="8">
        <v>1.5495564404838735</v>
      </c>
      <c r="G13" t="s">
        <v>23</v>
      </c>
      <c r="H13" s="8">
        <v>-0.59419487597651932</v>
      </c>
      <c r="J13" t="s">
        <v>23</v>
      </c>
      <c r="K13" s="8">
        <v>-1.9953969818105319</v>
      </c>
    </row>
    <row r="14" spans="1:11" x14ac:dyDescent="0.2">
      <c r="A14" t="s">
        <v>24</v>
      </c>
      <c r="B14">
        <v>749</v>
      </c>
      <c r="D14" t="s">
        <v>24</v>
      </c>
      <c r="E14" s="8">
        <v>749</v>
      </c>
      <c r="G14" t="s">
        <v>24</v>
      </c>
      <c r="H14" s="8">
        <v>749</v>
      </c>
      <c r="J14" t="s">
        <v>24</v>
      </c>
      <c r="K14" s="8">
        <v>749</v>
      </c>
    </row>
    <row r="15" spans="1:11" ht="17" thickBot="1" x14ac:dyDescent="0.25">
      <c r="A15" s="6" t="s">
        <v>11</v>
      </c>
      <c r="B15" s="6">
        <v>1.6235620359663205E-3</v>
      </c>
      <c r="D15" s="6" t="s">
        <v>11</v>
      </c>
      <c r="E15" s="9">
        <v>4.3892064012681946E-3</v>
      </c>
      <c r="G15" s="6" t="s">
        <v>11</v>
      </c>
      <c r="H15" s="9">
        <v>1.6467700578857967E-3</v>
      </c>
      <c r="J15" s="6" t="s">
        <v>11</v>
      </c>
      <c r="K15" s="9">
        <v>4.8598822356267371E-3</v>
      </c>
    </row>
    <row r="17" spans="1:2" x14ac:dyDescent="0.2">
      <c r="A17" s="7"/>
      <c r="B17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045C-3C08-5C47-B576-C4C911E0BA59}">
  <dimension ref="A1:K751"/>
  <sheetViews>
    <sheetView topLeftCell="H1" zoomScale="319" workbookViewId="0">
      <selection activeCell="K13" sqref="K13"/>
    </sheetView>
  </sheetViews>
  <sheetFormatPr baseColWidth="10" defaultRowHeight="16" x14ac:dyDescent="0.2"/>
  <cols>
    <col min="6" max="6" width="11.83203125" bestFit="1" customWidth="1"/>
    <col min="7" max="7" width="11.83203125" customWidth="1"/>
  </cols>
  <sheetData>
    <row r="1" spans="1:11" ht="35" x14ac:dyDescent="0.25">
      <c r="A1" t="str">
        <f>Acciones!A1</f>
        <v>Fecha</v>
      </c>
      <c r="B1" t="s">
        <v>6</v>
      </c>
      <c r="C1" t="s">
        <v>8</v>
      </c>
      <c r="D1" t="s">
        <v>9</v>
      </c>
      <c r="E1" t="s">
        <v>10</v>
      </c>
      <c r="F1" s="12" t="s">
        <v>30</v>
      </c>
      <c r="G1" s="12" t="s">
        <v>36</v>
      </c>
      <c r="H1" s="12" t="s">
        <v>37</v>
      </c>
      <c r="I1" s="12"/>
      <c r="J1" s="13" t="s">
        <v>31</v>
      </c>
    </row>
    <row r="2" spans="1:11" x14ac:dyDescent="0.2">
      <c r="F2" s="15">
        <f>J6</f>
        <v>28500</v>
      </c>
      <c r="G2" s="15">
        <f>F2-$J$6</f>
        <v>0</v>
      </c>
      <c r="H2" s="4">
        <f>(F2/$J$6)-1</f>
        <v>0</v>
      </c>
      <c r="I2" s="4"/>
      <c r="J2" s="14">
        <v>3500</v>
      </c>
      <c r="K2" t="s">
        <v>32</v>
      </c>
    </row>
    <row r="3" spans="1:11" x14ac:dyDescent="0.2">
      <c r="A3" s="1">
        <f>Acciones!A3</f>
        <v>44999</v>
      </c>
      <c r="B3" s="4">
        <f>Acciones!B3/Acciones!B2</f>
        <v>1.0161177755691633</v>
      </c>
      <c r="C3" s="4">
        <f>Acciones!C3/Acciones!C2</f>
        <v>1.0392125647837718</v>
      </c>
      <c r="D3" s="4">
        <f>Acciones!D3/Acciones!D2</f>
        <v>0.98783733561578169</v>
      </c>
      <c r="E3" s="4">
        <f>Acciones!E3/Acciones!E2</f>
        <v>1</v>
      </c>
      <c r="F3" s="15">
        <f t="shared" ref="F3:F66" si="0">$J$2*B3+$J$3*C3+$J$4*D3+$J$5*E3</f>
        <v>28807.304936095723</v>
      </c>
      <c r="G3" s="15">
        <f>F3-$J$6</f>
        <v>307.30493609572295</v>
      </c>
      <c r="H3" s="4">
        <f t="shared" ref="H3:H66" si="1">(F3/$J$6)-1</f>
        <v>1.078262933669194E-2</v>
      </c>
      <c r="I3" s="4"/>
      <c r="J3">
        <v>9500</v>
      </c>
      <c r="K3" t="s">
        <v>33</v>
      </c>
    </row>
    <row r="4" spans="1:11" x14ac:dyDescent="0.2">
      <c r="A4" s="1">
        <f>Acciones!A4</f>
        <v>45000</v>
      </c>
      <c r="B4" s="4">
        <f>Acciones!B4/Acciones!B3</f>
        <v>0.96413789211756307</v>
      </c>
      <c r="C4" s="4">
        <f>Acciones!C4/Acciones!C3</f>
        <v>1.0077284763258116</v>
      </c>
      <c r="D4" s="4">
        <f>Acciones!D4/Acciones!D3</f>
        <v>1.023894167895145</v>
      </c>
      <c r="E4" s="4">
        <f>Acciones!E4/Acciones!E3</f>
        <v>0.94615383768927963</v>
      </c>
      <c r="F4" s="15">
        <f t="shared" si="0"/>
        <v>28390.690933749167</v>
      </c>
      <c r="G4" s="15">
        <f>F4-$J$6</f>
        <v>-109.30906625083298</v>
      </c>
      <c r="H4" s="4">
        <f t="shared" si="1"/>
        <v>-3.8354058333626151E-3</v>
      </c>
      <c r="I4" s="4"/>
      <c r="J4">
        <v>10000</v>
      </c>
      <c r="K4" t="s">
        <v>34</v>
      </c>
    </row>
    <row r="5" spans="1:11" x14ac:dyDescent="0.2">
      <c r="A5" s="1">
        <f>Acciones!A5</f>
        <v>45001</v>
      </c>
      <c r="B5" s="4">
        <f>Acciones!B5/Acciones!B4</f>
        <v>0.99606588061134504</v>
      </c>
      <c r="C5" s="4">
        <f>Acciones!C5/Acciones!C4</f>
        <v>1.080451104874</v>
      </c>
      <c r="D5" s="4">
        <f>Acciones!D5/Acciones!D4</f>
        <v>1.0056118380181904</v>
      </c>
      <c r="E5" s="4">
        <f>Acciones!E5/Acciones!E4</f>
        <v>1.0569105785611195</v>
      </c>
      <c r="F5" s="15">
        <f t="shared" si="0"/>
        <v>29619.642640710768</v>
      </c>
      <c r="G5" s="15">
        <f t="shared" ref="G5:G68" si="2">F5-$J$6</f>
        <v>1119.6426407107683</v>
      </c>
      <c r="H5" s="4">
        <f t="shared" si="1"/>
        <v>3.9285706691605915E-2</v>
      </c>
      <c r="I5" s="4"/>
      <c r="J5" s="14">
        <v>5500</v>
      </c>
      <c r="K5" t="s">
        <v>35</v>
      </c>
    </row>
    <row r="6" spans="1:11" x14ac:dyDescent="0.2">
      <c r="A6" s="1">
        <f>Acciones!A6</f>
        <v>45002</v>
      </c>
      <c r="B6" s="4">
        <f>Acciones!B6/Acciones!B5</f>
        <v>0.99461392087448564</v>
      </c>
      <c r="C6" s="4">
        <f>Acciones!C6/Acciones!C5</f>
        <v>1.0786360702278097</v>
      </c>
      <c r="D6" s="4">
        <f>Acciones!D6/Acciones!D5</f>
        <v>0.99988904899479036</v>
      </c>
      <c r="E6" s="4">
        <f>Acciones!E6/Acciones!E5</f>
        <v>1</v>
      </c>
      <c r="F6" s="15">
        <f t="shared" si="0"/>
        <v>29227.081880172795</v>
      </c>
      <c r="G6" s="15">
        <f t="shared" si="2"/>
        <v>727.08188017279463</v>
      </c>
      <c r="H6" s="4">
        <f t="shared" si="1"/>
        <v>2.5511644918343679E-2</v>
      </c>
      <c r="I6" s="4"/>
      <c r="J6" s="14">
        <f>SUM(J2:J5)</f>
        <v>28500</v>
      </c>
    </row>
    <row r="7" spans="1:11" x14ac:dyDescent="0.2">
      <c r="A7" s="1">
        <f>Acciones!A7</f>
        <v>45006</v>
      </c>
      <c r="B7" s="4">
        <f>Acciones!B7/Acciones!B6</f>
        <v>0.97617334993580129</v>
      </c>
      <c r="C7" s="4">
        <f>Acciones!C7/Acciones!C6</f>
        <v>1.0649032100554388</v>
      </c>
      <c r="D7" s="4">
        <f>Acciones!D7/Acciones!D6</f>
        <v>1.0365807982698836</v>
      </c>
      <c r="E7" s="4">
        <f>Acciones!E7/Acciones!E6</f>
        <v>0.96153843802578221</v>
      </c>
      <c r="F7" s="15">
        <f t="shared" si="0"/>
        <v>29187.456612142611</v>
      </c>
      <c r="G7" s="15">
        <f t="shared" si="2"/>
        <v>687.45661214261054</v>
      </c>
      <c r="H7" s="4">
        <f t="shared" si="1"/>
        <v>2.4121284636582807E-2</v>
      </c>
      <c r="I7" s="4"/>
    </row>
    <row r="8" spans="1:11" x14ac:dyDescent="0.2">
      <c r="A8" s="1">
        <f>Acciones!A8</f>
        <v>45007</v>
      </c>
      <c r="B8" s="4">
        <f>Acciones!B8/Acciones!B7</f>
        <v>1.0133135237843731</v>
      </c>
      <c r="C8" s="4">
        <f>Acciones!C8/Acciones!C7</f>
        <v>0.8759844812584795</v>
      </c>
      <c r="D8" s="4">
        <f>Acciones!D8/Acciones!D7</f>
        <v>0.95285287695477972</v>
      </c>
      <c r="E8" s="4">
        <f>Acciones!E8/Acciones!E7</f>
        <v>0.98666667938232266</v>
      </c>
      <c r="F8" s="15">
        <f t="shared" si="0"/>
        <v>26823.645411351434</v>
      </c>
      <c r="G8" s="15">
        <f t="shared" si="2"/>
        <v>-1676.3545886485663</v>
      </c>
      <c r="H8" s="4">
        <f t="shared" si="1"/>
        <v>-5.8819459250826878E-2</v>
      </c>
      <c r="I8" s="4"/>
    </row>
    <row r="9" spans="1:11" x14ac:dyDescent="0.2">
      <c r="A9" s="1">
        <f>Acciones!A9</f>
        <v>45008</v>
      </c>
      <c r="B9" s="4">
        <f>Acciones!B9/Acciones!B8</f>
        <v>0.96934305930835318</v>
      </c>
      <c r="C9" s="4">
        <f>Acciones!C9/Acciones!C8</f>
        <v>1.0908085290501683</v>
      </c>
      <c r="D9" s="4">
        <f>Acciones!D9/Acciones!D8</f>
        <v>1.0044843211838765</v>
      </c>
      <c r="E9" s="4">
        <f>Acciones!E9/Acciones!E8</f>
        <v>0.97297293465881096</v>
      </c>
      <c r="F9" s="15">
        <f t="shared" si="0"/>
        <v>29151.57608601806</v>
      </c>
      <c r="G9" s="15">
        <f t="shared" si="2"/>
        <v>651.57608601805987</v>
      </c>
      <c r="H9" s="4">
        <f t="shared" si="1"/>
        <v>2.2862318807651327E-2</v>
      </c>
      <c r="I9" s="4"/>
    </row>
    <row r="10" spans="1:11" x14ac:dyDescent="0.2">
      <c r="A10" s="1">
        <f>Acciones!A10</f>
        <v>45009</v>
      </c>
      <c r="B10" s="4">
        <f>Acciones!B10/Acciones!B9</f>
        <v>1.0173193271361909</v>
      </c>
      <c r="C10" s="4">
        <f>Acciones!C10/Acciones!C9</f>
        <v>0.91630740016434697</v>
      </c>
      <c r="D10" s="4">
        <f>Acciones!D10/Acciones!D9</f>
        <v>0.99263435024095359</v>
      </c>
      <c r="E10" s="4">
        <f>Acciones!E10/Acciones!E9</f>
        <v>1.0277778182500694</v>
      </c>
      <c r="F10" s="15">
        <f t="shared" si="0"/>
        <v>27844.659449322884</v>
      </c>
      <c r="G10" s="15">
        <f t="shared" si="2"/>
        <v>-655.34055067711597</v>
      </c>
      <c r="H10" s="4">
        <f t="shared" si="1"/>
        <v>-2.299440528691632E-2</v>
      </c>
      <c r="I10" s="4"/>
    </row>
    <row r="11" spans="1:11" x14ac:dyDescent="0.2">
      <c r="A11" s="1">
        <f>Acciones!A11</f>
        <v>45012</v>
      </c>
      <c r="B11" s="4">
        <f>Acciones!B11/Acciones!B10</f>
        <v>1.0096225890189268</v>
      </c>
      <c r="C11" s="4">
        <f>Acciones!C11/Acciones!C10</f>
        <v>0.91738166282575107</v>
      </c>
      <c r="D11" s="4">
        <f>Acciones!D11/Acciones!D10</f>
        <v>0.97481400500539073</v>
      </c>
      <c r="E11" s="4">
        <f>Acciones!E11/Acciones!E10</f>
        <v>1</v>
      </c>
      <c r="F11" s="15">
        <f t="shared" si="0"/>
        <v>27496.944908464786</v>
      </c>
      <c r="G11" s="15">
        <f t="shared" si="2"/>
        <v>-1003.0550915352142</v>
      </c>
      <c r="H11" s="4">
        <f t="shared" si="1"/>
        <v>-3.5194915492463674E-2</v>
      </c>
      <c r="I11" s="4"/>
    </row>
    <row r="12" spans="1:11" x14ac:dyDescent="0.2">
      <c r="A12" s="1">
        <f>Acciones!A12</f>
        <v>45013</v>
      </c>
      <c r="B12" s="4">
        <f>Acciones!B12/Acciones!B11</f>
        <v>1.0183283480166123</v>
      </c>
      <c r="C12" s="4">
        <f>Acciones!C12/Acciones!C11</f>
        <v>1.0012822308538103</v>
      </c>
      <c r="D12" s="4">
        <f>Acciones!D12/Acciones!D11</f>
        <v>0.9877924290372655</v>
      </c>
      <c r="E12" s="4">
        <f>Acciones!E12/Acciones!E11</f>
        <v>1</v>
      </c>
      <c r="F12" s="15">
        <f t="shared" si="0"/>
        <v>28454.254701541995</v>
      </c>
      <c r="G12" s="15">
        <f t="shared" si="2"/>
        <v>-45.745298458004982</v>
      </c>
      <c r="H12" s="4">
        <f t="shared" si="1"/>
        <v>-1.6050981915088913E-3</v>
      </c>
      <c r="I12" s="4"/>
    </row>
    <row r="13" spans="1:11" x14ac:dyDescent="0.2">
      <c r="A13" s="1">
        <f>Acciones!A13</f>
        <v>45014</v>
      </c>
      <c r="B13" s="4">
        <f>Acciones!B13/Acciones!B12</f>
        <v>0.97804184932461302</v>
      </c>
      <c r="C13" s="4">
        <f>Acciones!C13/Acciones!C12</f>
        <v>1.087080960893356</v>
      </c>
      <c r="D13" s="4">
        <f>Acciones!D13/Acciones!D12</f>
        <v>1.0130592514364307</v>
      </c>
      <c r="E13" s="4">
        <f>Acciones!E13/Acciones!E12</f>
        <v>0.99459459981925391</v>
      </c>
      <c r="F13" s="15">
        <f t="shared" si="0"/>
        <v>29351.27841449323</v>
      </c>
      <c r="G13" s="15">
        <f t="shared" si="2"/>
        <v>851.27841449323023</v>
      </c>
      <c r="H13" s="4">
        <f t="shared" si="1"/>
        <v>2.9869418052393959E-2</v>
      </c>
      <c r="I13" s="4"/>
    </row>
    <row r="14" spans="1:11" x14ac:dyDescent="0.2">
      <c r="A14" s="1">
        <f>Acciones!A14</f>
        <v>45015</v>
      </c>
      <c r="B14" s="4">
        <f>Acciones!B14/Acciones!B13</f>
        <v>1.0158262630579695</v>
      </c>
      <c r="C14" s="4">
        <f>Acciones!C14/Acciones!C13</f>
        <v>0.96666899286281227</v>
      </c>
      <c r="D14" s="4">
        <f>Acciones!D14/Acciones!D13</f>
        <v>1</v>
      </c>
      <c r="E14" s="4">
        <f>Acciones!E14/Acciones!E13</f>
        <v>0.95652171659559748</v>
      </c>
      <c r="F14" s="15">
        <f t="shared" si="0"/>
        <v>27999.616794175399</v>
      </c>
      <c r="G14" s="15">
        <f t="shared" si="2"/>
        <v>-500.38320582460074</v>
      </c>
      <c r="H14" s="4">
        <f t="shared" si="1"/>
        <v>-1.7557305467529871E-2</v>
      </c>
      <c r="I14" s="4"/>
    </row>
    <row r="15" spans="1:11" x14ac:dyDescent="0.2">
      <c r="A15" s="1">
        <f>Acciones!A15</f>
        <v>45016</v>
      </c>
      <c r="B15" s="4">
        <f>Acciones!B15/Acciones!B14</f>
        <v>1.0018115471419622</v>
      </c>
      <c r="C15" s="4">
        <f>Acciones!C15/Acciones!C14</f>
        <v>1.1194981947594624</v>
      </c>
      <c r="D15" s="4">
        <f>Acciones!D15/Acciones!D14</f>
        <v>1.0189025144791632</v>
      </c>
      <c r="E15" s="4">
        <f>Acciones!E15/Acciones!E14</f>
        <v>1.0767045404515718</v>
      </c>
      <c r="F15" s="15">
        <f t="shared" si="0"/>
        <v>30252.473382487042</v>
      </c>
      <c r="G15" s="15">
        <f t="shared" si="2"/>
        <v>1752.4733824870418</v>
      </c>
      <c r="H15" s="4">
        <f t="shared" si="1"/>
        <v>6.1490294122352296E-2</v>
      </c>
      <c r="I15" s="4"/>
    </row>
    <row r="16" spans="1:11" x14ac:dyDescent="0.2">
      <c r="A16" s="1">
        <f>Acciones!A16</f>
        <v>45019</v>
      </c>
      <c r="B16" s="4">
        <f>Acciones!B16/Acciones!B15</f>
        <v>0.95370711698039212</v>
      </c>
      <c r="C16" s="4">
        <f>Acciones!C16/Acciones!C15</f>
        <v>0.98482426109383603</v>
      </c>
      <c r="D16" s="4">
        <f>Acciones!D16/Acciones!D15</f>
        <v>0.9938327496672611</v>
      </c>
      <c r="E16" s="4">
        <f>Acciones!E16/Acciones!E15</f>
        <v>1.0290237822220527</v>
      </c>
      <c r="F16" s="15">
        <f t="shared" si="0"/>
        <v>28291.763688716717</v>
      </c>
      <c r="G16" s="15">
        <f t="shared" si="2"/>
        <v>-208.2363112832827</v>
      </c>
      <c r="H16" s="4">
        <f t="shared" si="1"/>
        <v>-7.3065372380098914E-3</v>
      </c>
      <c r="I16" s="4"/>
    </row>
    <row r="17" spans="1:9" x14ac:dyDescent="0.2">
      <c r="A17" s="1">
        <f>Acciones!A17</f>
        <v>45020</v>
      </c>
      <c r="B17" s="4">
        <f>Acciones!B17/Acciones!B16</f>
        <v>1.0144101908448424</v>
      </c>
      <c r="C17" s="4">
        <f>Acciones!C17/Acciones!C16</f>
        <v>1.0022756231325252</v>
      </c>
      <c r="D17" s="4">
        <f>Acciones!D17/Acciones!D16</f>
        <v>1.0198644697638166</v>
      </c>
      <c r="E17" s="4">
        <f>Acciones!E17/Acciones!E16</f>
        <v>1.0102564002243317</v>
      </c>
      <c r="F17" s="15">
        <f t="shared" si="0"/>
        <v>28827.108986587926</v>
      </c>
      <c r="G17" s="15">
        <f t="shared" si="2"/>
        <v>327.10898658792576</v>
      </c>
      <c r="H17" s="4">
        <f t="shared" si="1"/>
        <v>1.1477508301330763E-2</v>
      </c>
      <c r="I17" s="4"/>
    </row>
    <row r="18" spans="1:9" x14ac:dyDescent="0.2">
      <c r="A18" s="1">
        <f>Acciones!A18</f>
        <v>45021</v>
      </c>
      <c r="B18" s="4">
        <f>Acciones!B18/Acciones!B17</f>
        <v>0.99028043995700543</v>
      </c>
      <c r="C18" s="4">
        <f>Acciones!C18/Acciones!C17</f>
        <v>0.93791766172980506</v>
      </c>
      <c r="D18" s="4">
        <f>Acciones!D18/Acciones!D17</f>
        <v>1</v>
      </c>
      <c r="E18" s="4">
        <f>Acciones!E18/Acciones!E17</f>
        <v>1.0126903430431835</v>
      </c>
      <c r="F18" s="15">
        <f t="shared" si="0"/>
        <v>27945.996213020175</v>
      </c>
      <c r="G18" s="15">
        <f t="shared" si="2"/>
        <v>-554.00378697982524</v>
      </c>
      <c r="H18" s="4">
        <f t="shared" si="1"/>
        <v>-1.9438729367713181E-2</v>
      </c>
      <c r="I18" s="4"/>
    </row>
    <row r="19" spans="1:9" x14ac:dyDescent="0.2">
      <c r="A19" s="1">
        <f>Acciones!A19</f>
        <v>45026</v>
      </c>
      <c r="B19" s="4">
        <f>Acciones!B19/Acciones!B18</f>
        <v>1.0132125802615271</v>
      </c>
      <c r="C19" s="4">
        <f>Acciones!C19/Acciones!C18</f>
        <v>1.1323143217633027</v>
      </c>
      <c r="D19" s="4">
        <f>Acciones!D19/Acciones!D18</f>
        <v>1.0490981364704948</v>
      </c>
      <c r="E19" s="4">
        <f>Acciones!E19/Acciones!E18</f>
        <v>0.98997494692796395</v>
      </c>
      <c r="F19" s="15">
        <f t="shared" si="0"/>
        <v>30239.073660475467</v>
      </c>
      <c r="G19" s="15">
        <f t="shared" si="2"/>
        <v>1739.0736604754675</v>
      </c>
      <c r="H19" s="4">
        <f t="shared" si="1"/>
        <v>6.1020128437735632E-2</v>
      </c>
      <c r="I19" s="4"/>
    </row>
    <row r="20" spans="1:9" x14ac:dyDescent="0.2">
      <c r="A20" s="1">
        <f>Acciones!A20</f>
        <v>45027</v>
      </c>
      <c r="B20" s="4">
        <f>Acciones!B20/Acciones!B19</f>
        <v>1.0424738626173813</v>
      </c>
      <c r="C20" s="4">
        <f>Acciones!C20/Acciones!C19</f>
        <v>1.1426913423269216</v>
      </c>
      <c r="D20" s="4">
        <f>Acciones!D20/Acciones!D19</f>
        <v>0.95251896310007422</v>
      </c>
      <c r="E20" s="4">
        <f>Acciones!E20/Acciones!E19</f>
        <v>0.99746835687530588</v>
      </c>
      <c r="F20" s="15">
        <f t="shared" si="0"/>
        <v>29515.491865081516</v>
      </c>
      <c r="G20" s="15">
        <f t="shared" si="2"/>
        <v>1015.4918650815162</v>
      </c>
      <c r="H20" s="4">
        <f t="shared" si="1"/>
        <v>3.5631293511632078E-2</v>
      </c>
      <c r="I20" s="4"/>
    </row>
    <row r="21" spans="1:9" x14ac:dyDescent="0.2">
      <c r="A21" s="1">
        <f>Acciones!A21</f>
        <v>45028</v>
      </c>
      <c r="B21" s="4">
        <f>Acciones!B21/Acciones!B20</f>
        <v>0.96854895214374281</v>
      </c>
      <c r="C21" s="4">
        <f>Acciones!C21/Acciones!C20</f>
        <v>0.95188966885321302</v>
      </c>
      <c r="D21" s="4">
        <f>Acciones!D21/Acciones!D20</f>
        <v>1.0141173366026819</v>
      </c>
      <c r="E21" s="4">
        <f>Acciones!E21/Acciones!E20</f>
        <v>1</v>
      </c>
      <c r="F21" s="15">
        <f t="shared" si="0"/>
        <v>28074.046552635442</v>
      </c>
      <c r="G21" s="15">
        <f t="shared" si="2"/>
        <v>-425.95344736455809</v>
      </c>
      <c r="H21" s="4">
        <f t="shared" si="1"/>
        <v>-1.494573499524765E-2</v>
      </c>
      <c r="I21" s="4"/>
    </row>
    <row r="22" spans="1:9" x14ac:dyDescent="0.2">
      <c r="A22" s="1">
        <f>Acciones!A22</f>
        <v>45029</v>
      </c>
      <c r="B22" s="4">
        <f>Acciones!B22/Acciones!B21</f>
        <v>1.0151292470616804</v>
      </c>
      <c r="C22" s="4">
        <f>Acciones!C22/Acciones!C21</f>
        <v>1.1686415316680498</v>
      </c>
      <c r="D22" s="4">
        <f>Acciones!D22/Acciones!D21</f>
        <v>1.0048499954743013</v>
      </c>
      <c r="E22" s="4">
        <f>Acciones!E22/Acciones!E21</f>
        <v>0.98223345922721805</v>
      </c>
      <c r="F22" s="15">
        <f t="shared" si="0"/>
        <v>30105.830896055064</v>
      </c>
      <c r="G22" s="15">
        <f t="shared" si="2"/>
        <v>1605.8308960550639</v>
      </c>
      <c r="H22" s="4">
        <f t="shared" si="1"/>
        <v>5.6344943721230223E-2</v>
      </c>
      <c r="I22" s="4"/>
    </row>
    <row r="23" spans="1:9" x14ac:dyDescent="0.2">
      <c r="A23" s="1">
        <f>Acciones!A23</f>
        <v>45030</v>
      </c>
      <c r="B23" s="4">
        <f>Acciones!B23/Acciones!B22</f>
        <v>1.0123590909657638</v>
      </c>
      <c r="C23" s="4">
        <f>Acciones!C23/Acciones!C22</f>
        <v>1.0258529046911602</v>
      </c>
      <c r="D23" s="4">
        <f>Acciones!D23/Acciones!D22</f>
        <v>0.9864185420114141</v>
      </c>
      <c r="E23" s="4">
        <f>Acciones!E23/Acciones!E22</f>
        <v>0.96899227671637411</v>
      </c>
      <c r="F23" s="15">
        <f t="shared" si="0"/>
        <v>28482.502355000397</v>
      </c>
      <c r="G23" s="15">
        <f t="shared" si="2"/>
        <v>-17.497644999602926</v>
      </c>
      <c r="H23" s="4">
        <f t="shared" si="1"/>
        <v>-6.139524561263876E-4</v>
      </c>
      <c r="I23" s="4"/>
    </row>
    <row r="24" spans="1:9" x14ac:dyDescent="0.2">
      <c r="A24" s="1">
        <f>Acciones!A24</f>
        <v>45033</v>
      </c>
      <c r="B24" s="4">
        <f>Acciones!B24/Acciones!B23</f>
        <v>0.98096943934089487</v>
      </c>
      <c r="C24" s="4">
        <f>Acciones!C24/Acciones!C23</f>
        <v>0.96969270493633719</v>
      </c>
      <c r="D24" s="4">
        <f>Acciones!D24/Acciones!D23</f>
        <v>1</v>
      </c>
      <c r="E24" s="4">
        <f>Acciones!E24/Acciones!E23</f>
        <v>0.98400001525878666</v>
      </c>
      <c r="F24" s="15">
        <f t="shared" si="0"/>
        <v>28057.473818511662</v>
      </c>
      <c r="G24" s="15">
        <f t="shared" si="2"/>
        <v>-442.5261814883379</v>
      </c>
      <c r="H24" s="4">
        <f t="shared" si="1"/>
        <v>-1.5527234438187265E-2</v>
      </c>
      <c r="I24" s="4"/>
    </row>
    <row r="25" spans="1:9" x14ac:dyDescent="0.2">
      <c r="A25" s="1">
        <f>Acciones!A25</f>
        <v>45034</v>
      </c>
      <c r="B25" s="4">
        <f>Acciones!B25/Acciones!B24</f>
        <v>0.97913611498298758</v>
      </c>
      <c r="C25" s="4">
        <f>Acciones!C25/Acciones!C24</f>
        <v>1.0187430799757105</v>
      </c>
      <c r="D25" s="4">
        <f>Acciones!D25/Acciones!D24</f>
        <v>1.0137506037936175</v>
      </c>
      <c r="E25" s="4">
        <f>Acciones!E25/Acciones!E24</f>
        <v>0.9972899755262381</v>
      </c>
      <c r="F25" s="15">
        <f t="shared" si="0"/>
        <v>28727.63656554019</v>
      </c>
      <c r="G25" s="15">
        <f t="shared" si="2"/>
        <v>227.63656554018962</v>
      </c>
      <c r="H25" s="4">
        <f t="shared" si="1"/>
        <v>7.9872479136908758E-3</v>
      </c>
      <c r="I25" s="4"/>
    </row>
    <row r="26" spans="1:9" x14ac:dyDescent="0.2">
      <c r="A26" s="1">
        <f>Acciones!A26</f>
        <v>45035</v>
      </c>
      <c r="B26" s="4">
        <f>Acciones!B26/Acciones!B25</f>
        <v>0.97719628016265725</v>
      </c>
      <c r="C26" s="4">
        <f>Acciones!C26/Acciones!C25</f>
        <v>0.91502679965475575</v>
      </c>
      <c r="D26" s="4">
        <f>Acciones!D26/Acciones!D25</f>
        <v>0.99532224281112713</v>
      </c>
      <c r="E26" s="4">
        <f>Acciones!E26/Acciones!E25</f>
        <v>0.98369560323106409</v>
      </c>
      <c r="F26" s="15">
        <f t="shared" si="0"/>
        <v>27476.489823171603</v>
      </c>
      <c r="G26" s="15">
        <f t="shared" si="2"/>
        <v>-1023.5101768283967</v>
      </c>
      <c r="H26" s="4">
        <f t="shared" si="1"/>
        <v>-3.591263778345255E-2</v>
      </c>
      <c r="I26" s="4"/>
    </row>
    <row r="27" spans="1:9" x14ac:dyDescent="0.2">
      <c r="A27" s="1">
        <f>Acciones!A27</f>
        <v>45036</v>
      </c>
      <c r="B27" s="4">
        <f>Acciones!B27/Acciones!B26</f>
        <v>1.0007651543643588</v>
      </c>
      <c r="C27" s="4">
        <f>Acciones!C27/Acciones!C26</f>
        <v>0.8919002929035893</v>
      </c>
      <c r="D27" s="4">
        <f>Acciones!D27/Acciones!D26</f>
        <v>0.99105863647199344</v>
      </c>
      <c r="E27" s="4">
        <f>Acciones!E27/Acciones!E26</f>
        <v>0.99447514321580399</v>
      </c>
      <c r="F27" s="15">
        <f t="shared" si="0"/>
        <v>27355.930475266214</v>
      </c>
      <c r="G27" s="15">
        <f t="shared" si="2"/>
        <v>-1144.0695247337862</v>
      </c>
      <c r="H27" s="4">
        <f t="shared" si="1"/>
        <v>-4.0142790341536339E-2</v>
      </c>
      <c r="I27" s="4"/>
    </row>
    <row r="28" spans="1:9" x14ac:dyDescent="0.2">
      <c r="A28" s="1">
        <f>Acciones!A28</f>
        <v>45037</v>
      </c>
      <c r="B28" s="4">
        <f>Acciones!B28/Acciones!B27</f>
        <v>1.0267584265731426</v>
      </c>
      <c r="C28" s="4">
        <f>Acciones!C28/Acciones!C27</f>
        <v>0.9337051674995881</v>
      </c>
      <c r="D28" s="4">
        <f>Acciones!D28/Acciones!D27</f>
        <v>1.0022221208781079</v>
      </c>
      <c r="E28" s="4">
        <f>Acciones!E28/Acciones!E27</f>
        <v>0.98611112398865941</v>
      </c>
      <c r="F28" s="15">
        <f t="shared" si="0"/>
        <v>27909.685974970791</v>
      </c>
      <c r="G28" s="15">
        <f t="shared" si="2"/>
        <v>-590.31402502920901</v>
      </c>
      <c r="H28" s="4">
        <f t="shared" si="1"/>
        <v>-2.0712772808042401E-2</v>
      </c>
      <c r="I28" s="4"/>
    </row>
    <row r="29" spans="1:9" x14ac:dyDescent="0.2">
      <c r="A29" s="1">
        <f>Acciones!A29</f>
        <v>45040</v>
      </c>
      <c r="B29" s="4">
        <f>Acciones!B29/Acciones!B28</f>
        <v>1.003350666560102</v>
      </c>
      <c r="C29" s="4">
        <f>Acciones!C29/Acciones!C28</f>
        <v>1.0031113877379914</v>
      </c>
      <c r="D29" s="4">
        <f>Acciones!D29/Acciones!D28</f>
        <v>1.0101993530650133</v>
      </c>
      <c r="E29" s="4">
        <f>Acciones!E29/Acciones!E28</f>
        <v>0.98591550620059687</v>
      </c>
      <c r="F29" s="15">
        <f t="shared" si="0"/>
        <v>28565.814331224694</v>
      </c>
      <c r="G29" s="15">
        <f t="shared" si="2"/>
        <v>65.814331224693888</v>
      </c>
      <c r="H29" s="4">
        <f t="shared" si="1"/>
        <v>2.3092747798139079E-3</v>
      </c>
      <c r="I29" s="4"/>
    </row>
    <row r="30" spans="1:9" x14ac:dyDescent="0.2">
      <c r="A30" s="1">
        <f>Acciones!A30</f>
        <v>45041</v>
      </c>
      <c r="B30" s="4">
        <f>Acciones!B30/Acciones!B29</f>
        <v>0.98181814696857883</v>
      </c>
      <c r="C30" s="4">
        <f>Acciones!C30/Acciones!C29</f>
        <v>1.0111662722446326</v>
      </c>
      <c r="D30" s="4">
        <f>Acciones!D30/Acciones!D29</f>
        <v>0.98551819935409468</v>
      </c>
      <c r="E30" s="4">
        <f>Acciones!E30/Acciones!E29</f>
        <v>0.98857143947056281</v>
      </c>
      <c r="F30" s="15">
        <f t="shared" si="0"/>
        <v>28334.768011343076</v>
      </c>
      <c r="G30" s="15">
        <f t="shared" si="2"/>
        <v>-165.23198865692393</v>
      </c>
      <c r="H30" s="4">
        <f t="shared" si="1"/>
        <v>-5.7976136370850861E-3</v>
      </c>
      <c r="I30" s="4"/>
    </row>
    <row r="31" spans="1:9" x14ac:dyDescent="0.2">
      <c r="A31" s="1">
        <f>Acciones!A31</f>
        <v>45042</v>
      </c>
      <c r="B31" s="4">
        <f>Acciones!B31/Acciones!B30</f>
        <v>0.97392298385909726</v>
      </c>
      <c r="C31" s="4">
        <f>Acciones!C31/Acciones!C30</f>
        <v>1.0558895742966319</v>
      </c>
      <c r="D31" s="4">
        <f>Acciones!D31/Acciones!D30</f>
        <v>0.99554129802616753</v>
      </c>
      <c r="E31" s="4">
        <f>Acciones!E31/Acciones!E30</f>
        <v>1</v>
      </c>
      <c r="F31" s="15">
        <f t="shared" si="0"/>
        <v>28895.094379586517</v>
      </c>
      <c r="G31" s="15">
        <f t="shared" si="2"/>
        <v>395.09437958651688</v>
      </c>
      <c r="H31" s="4">
        <f t="shared" si="1"/>
        <v>1.386296068724624E-2</v>
      </c>
      <c r="I31" s="4"/>
    </row>
    <row r="32" spans="1:9" x14ac:dyDescent="0.2">
      <c r="A32" s="1">
        <f>Acciones!A32</f>
        <v>45043</v>
      </c>
      <c r="B32" s="4">
        <f>Acciones!B32/Acciones!B31</f>
        <v>0.98758247792871279</v>
      </c>
      <c r="C32" s="4">
        <f>Acciones!C32/Acciones!C31</f>
        <v>1.0475277011607251</v>
      </c>
      <c r="D32" s="4">
        <f>Acciones!D32/Acciones!D31</f>
        <v>1.0125277657004386</v>
      </c>
      <c r="E32" s="4">
        <f>Acciones!E32/Acciones!E31</f>
        <v>1</v>
      </c>
      <c r="F32" s="15">
        <f t="shared" si="0"/>
        <v>29033.329490781769</v>
      </c>
      <c r="G32" s="15">
        <f t="shared" si="2"/>
        <v>533.32949078176898</v>
      </c>
      <c r="H32" s="4">
        <f t="shared" si="1"/>
        <v>1.8713315466027058E-2</v>
      </c>
      <c r="I32" s="4"/>
    </row>
    <row r="33" spans="1:9" x14ac:dyDescent="0.2">
      <c r="A33" s="1">
        <f>Acciones!A33</f>
        <v>45044</v>
      </c>
      <c r="B33" s="4">
        <f>Acciones!B33/Acciones!B32</f>
        <v>0.9862474955553644</v>
      </c>
      <c r="C33" s="4">
        <f>Acciones!C33/Acciones!C32</f>
        <v>1.0067114468851728</v>
      </c>
      <c r="D33" s="4">
        <f>Acciones!D33/Acciones!D32</f>
        <v>1.00441892882369</v>
      </c>
      <c r="E33" s="4">
        <f>Acciones!E33/Acciones!E32</f>
        <v>0.98843931751097547</v>
      </c>
      <c r="F33" s="15">
        <f t="shared" si="0"/>
        <v>28496.23051440018</v>
      </c>
      <c r="G33" s="15">
        <f t="shared" si="2"/>
        <v>-3.7694855998197454</v>
      </c>
      <c r="H33" s="4">
        <f t="shared" si="1"/>
        <v>-1.3226265262522574E-4</v>
      </c>
      <c r="I33" s="4"/>
    </row>
    <row r="34" spans="1:9" x14ac:dyDescent="0.2">
      <c r="A34" s="1">
        <f>Acciones!A34</f>
        <v>45048</v>
      </c>
      <c r="B34" s="4">
        <f>Acciones!B34/Acciones!B33</f>
        <v>0.98207168412222146</v>
      </c>
      <c r="C34" s="4">
        <f>Acciones!C34/Acciones!C33</f>
        <v>0.94567492776665574</v>
      </c>
      <c r="D34" s="4">
        <f>Acciones!D34/Acciones!D33</f>
        <v>1.0065993394411592</v>
      </c>
      <c r="E34" s="4">
        <f>Acciones!E34/Acciones!E33</f>
        <v>1</v>
      </c>
      <c r="F34" s="15">
        <f t="shared" si="0"/>
        <v>27987.156102622597</v>
      </c>
      <c r="G34" s="15">
        <f t="shared" si="2"/>
        <v>-512.84389737740275</v>
      </c>
      <c r="H34" s="4">
        <f t="shared" si="1"/>
        <v>-1.7994522714996575E-2</v>
      </c>
      <c r="I34" s="4"/>
    </row>
    <row r="35" spans="1:9" x14ac:dyDescent="0.2">
      <c r="A35" s="1">
        <f>Acciones!A35</f>
        <v>45049</v>
      </c>
      <c r="B35" s="4">
        <f>Acciones!B35/Acciones!B34</f>
        <v>1.0417850140357121</v>
      </c>
      <c r="C35" s="4">
        <f>Acciones!C35/Acciones!C34</f>
        <v>0.98193890634735703</v>
      </c>
      <c r="D35" s="4">
        <f>Acciones!D35/Acciones!D34</f>
        <v>0.98776210995712521</v>
      </c>
      <c r="E35" s="4">
        <f>Acciones!E35/Acciones!E34</f>
        <v>1.0526315275798694</v>
      </c>
      <c r="F35" s="15">
        <f t="shared" si="0"/>
        <v>28641.761660685421</v>
      </c>
      <c r="G35" s="15">
        <f t="shared" si="2"/>
        <v>141.76166068542079</v>
      </c>
      <c r="H35" s="4">
        <f t="shared" si="1"/>
        <v>4.9740933573831914E-3</v>
      </c>
      <c r="I35" s="4"/>
    </row>
    <row r="36" spans="1:9" x14ac:dyDescent="0.2">
      <c r="A36" s="1">
        <f>Acciones!A36</f>
        <v>45050</v>
      </c>
      <c r="B36" s="4">
        <f>Acciones!B36/Acciones!B35</f>
        <v>0.95404989292681286</v>
      </c>
      <c r="C36" s="4">
        <f>Acciones!C36/Acciones!C35</f>
        <v>1.0917290099069923</v>
      </c>
      <c r="D36" s="4">
        <f>Acciones!D36/Acciones!D35</f>
        <v>0.97938050491897277</v>
      </c>
      <c r="E36" s="4">
        <f>Acciones!E36/Acciones!E35</f>
        <v>0.98333334878639</v>
      </c>
      <c r="F36" s="15">
        <f t="shared" si="0"/>
        <v>28912.738686875146</v>
      </c>
      <c r="G36" s="15">
        <f t="shared" si="2"/>
        <v>412.7386868751455</v>
      </c>
      <c r="H36" s="4">
        <f t="shared" si="1"/>
        <v>1.4482059188601681E-2</v>
      </c>
      <c r="I36" s="4"/>
    </row>
    <row r="37" spans="1:9" x14ac:dyDescent="0.2">
      <c r="A37" s="1">
        <f>Acciones!A37</f>
        <v>45051</v>
      </c>
      <c r="B37" s="4">
        <f>Acciones!B37/Acciones!B36</f>
        <v>1.040416609880408</v>
      </c>
      <c r="C37" s="4">
        <f>Acciones!C37/Acciones!C36</f>
        <v>1.0108695652173914</v>
      </c>
      <c r="D37" s="4">
        <f>Acciones!D37/Acciones!D36</f>
        <v>1.0206019695369581</v>
      </c>
      <c r="E37" s="4">
        <f>Acciones!E37/Acciones!E36</f>
        <v>1</v>
      </c>
      <c r="F37" s="15">
        <f t="shared" si="0"/>
        <v>28950.738699516227</v>
      </c>
      <c r="G37" s="15">
        <f t="shared" si="2"/>
        <v>450.73869951622692</v>
      </c>
      <c r="H37" s="4">
        <f t="shared" si="1"/>
        <v>1.5815392965481623E-2</v>
      </c>
      <c r="I37" s="4"/>
    </row>
    <row r="38" spans="1:9" x14ac:dyDescent="0.2">
      <c r="A38" s="1">
        <f>Acciones!A38</f>
        <v>45054</v>
      </c>
      <c r="B38" s="4">
        <f>Acciones!B38/Acciones!B37</f>
        <v>0.98518217516210371</v>
      </c>
      <c r="C38" s="4">
        <f>Acciones!C38/Acciones!C37</f>
        <v>0.89370965444913442</v>
      </c>
      <c r="D38" s="4">
        <f>Acciones!D38/Acciones!D37</f>
        <v>0.99745446002865024</v>
      </c>
      <c r="E38" s="4">
        <f>Acciones!E38/Acciones!E37</f>
        <v>1</v>
      </c>
      <c r="F38" s="15">
        <f t="shared" si="0"/>
        <v>27412.923930620644</v>
      </c>
      <c r="G38" s="15">
        <f t="shared" si="2"/>
        <v>-1087.0760693793563</v>
      </c>
      <c r="H38" s="4">
        <f t="shared" si="1"/>
        <v>-3.8143019978223003E-2</v>
      </c>
      <c r="I38" s="4"/>
    </row>
    <row r="39" spans="1:9" x14ac:dyDescent="0.2">
      <c r="A39" s="1">
        <f>Acciones!A39</f>
        <v>45055</v>
      </c>
      <c r="B39" s="4">
        <f>Acciones!B39/Acciones!B38</f>
        <v>1.0284553093034565</v>
      </c>
      <c r="C39" s="4">
        <f>Acciones!C39/Acciones!C38</f>
        <v>1.0048727520869376</v>
      </c>
      <c r="D39" s="4">
        <f>Acciones!D39/Acciones!D38</f>
        <v>1</v>
      </c>
      <c r="E39" s="4">
        <f>Acciones!E39/Acciones!E38</f>
        <v>1</v>
      </c>
      <c r="F39" s="15">
        <f t="shared" si="0"/>
        <v>28645.884727388006</v>
      </c>
      <c r="G39" s="15">
        <f t="shared" si="2"/>
        <v>145.88472738800556</v>
      </c>
      <c r="H39" s="4">
        <f t="shared" si="1"/>
        <v>5.1187623644914915E-3</v>
      </c>
      <c r="I39" s="4"/>
    </row>
    <row r="40" spans="1:9" x14ac:dyDescent="0.2">
      <c r="A40" s="1">
        <f>Acciones!A40</f>
        <v>45056</v>
      </c>
      <c r="B40" s="4">
        <f>Acciones!B40/Acciones!B39</f>
        <v>1.027668007589686</v>
      </c>
      <c r="C40" s="4">
        <f>Acciones!C40/Acciones!C39</f>
        <v>1.0836326735045603</v>
      </c>
      <c r="D40" s="4">
        <f>Acciones!D40/Acciones!D39</f>
        <v>0.95861551624147578</v>
      </c>
      <c r="E40" s="4">
        <f>Acciones!E40/Acciones!E39</f>
        <v>0.99152543171947771</v>
      </c>
      <c r="F40" s="15">
        <f t="shared" si="0"/>
        <v>28930.893461729109</v>
      </c>
      <c r="G40" s="15">
        <f t="shared" si="2"/>
        <v>430.89346172910882</v>
      </c>
      <c r="H40" s="4">
        <f t="shared" si="1"/>
        <v>1.5119068832600391E-2</v>
      </c>
      <c r="I40" s="4"/>
    </row>
    <row r="41" spans="1:9" x14ac:dyDescent="0.2">
      <c r="A41" s="1">
        <f>Acciones!A41</f>
        <v>45057</v>
      </c>
      <c r="B41" s="4">
        <f>Acciones!B41/Acciones!B40</f>
        <v>1.0184614958244298</v>
      </c>
      <c r="C41" s="4">
        <f>Acciones!C41/Acciones!C40</f>
        <v>0.84271586053427583</v>
      </c>
      <c r="D41" s="4">
        <f>Acciones!D41/Acciones!D40</f>
        <v>0.99305553193529916</v>
      </c>
      <c r="E41" s="4">
        <f>Acciones!E41/Acciones!E40</f>
        <v>1.0056980002794473</v>
      </c>
      <c r="F41" s="15">
        <f t="shared" si="0"/>
        <v>27032.310231351075</v>
      </c>
      <c r="G41" s="15">
        <f t="shared" si="2"/>
        <v>-1467.6897686489247</v>
      </c>
      <c r="H41" s="4">
        <f t="shared" si="1"/>
        <v>-5.1497886619260469E-2</v>
      </c>
      <c r="I41" s="4"/>
    </row>
    <row r="42" spans="1:9" x14ac:dyDescent="0.2">
      <c r="A42" s="1">
        <f>Acciones!A42</f>
        <v>45058</v>
      </c>
      <c r="B42" s="4">
        <f>Acciones!B42/Acciones!B41</f>
        <v>1</v>
      </c>
      <c r="C42" s="4">
        <f>Acciones!C42/Acciones!C41</f>
        <v>1.0240593522306694</v>
      </c>
      <c r="D42" s="4">
        <f>Acciones!D42/Acciones!D41</f>
        <v>0.98055478205333269</v>
      </c>
      <c r="E42" s="4">
        <f>Acciones!E42/Acciones!E41</f>
        <v>0.97167141488865227</v>
      </c>
      <c r="F42" s="15">
        <f t="shared" si="0"/>
        <v>28378.304448612274</v>
      </c>
      <c r="G42" s="15">
        <f t="shared" si="2"/>
        <v>-121.69555138772557</v>
      </c>
      <c r="H42" s="4">
        <f t="shared" si="1"/>
        <v>-4.2700193469377146E-3</v>
      </c>
      <c r="I42" s="4"/>
    </row>
    <row r="43" spans="1:9" x14ac:dyDescent="0.2">
      <c r="A43" s="1">
        <f>Acciones!A43</f>
        <v>45061</v>
      </c>
      <c r="B43" s="4">
        <f>Acciones!B43/Acciones!B42</f>
        <v>1.0521148574318362</v>
      </c>
      <c r="C43" s="4">
        <f>Acciones!C43/Acciones!C42</f>
        <v>1.0525573977479972</v>
      </c>
      <c r="D43" s="4">
        <f>Acciones!D43/Acciones!D42</f>
        <v>0.98892676233285381</v>
      </c>
      <c r="E43" s="4">
        <f>Acciones!E43/Acciones!E42</f>
        <v>1.0204081434053671</v>
      </c>
      <c r="F43" s="15">
        <f t="shared" si="0"/>
        <v>29183.20969167546</v>
      </c>
      <c r="G43" s="15">
        <f t="shared" si="2"/>
        <v>683.20969167545991</v>
      </c>
      <c r="H43" s="4">
        <f t="shared" si="1"/>
        <v>2.3972269883349551E-2</v>
      </c>
      <c r="I43" s="4"/>
    </row>
    <row r="44" spans="1:9" x14ac:dyDescent="0.2">
      <c r="A44" s="1">
        <f>Acciones!A44</f>
        <v>45062</v>
      </c>
      <c r="B44" s="4">
        <f>Acciones!B44/Acciones!B43</f>
        <v>1.0057430116181763</v>
      </c>
      <c r="C44" s="4">
        <f>Acciones!C44/Acciones!C43</f>
        <v>0.9821798278286662</v>
      </c>
      <c r="D44" s="4">
        <f>Acciones!D44/Acciones!D43</f>
        <v>0.98173072824892182</v>
      </c>
      <c r="E44" s="4">
        <f>Acciones!E44/Acciones!E43</f>
        <v>1</v>
      </c>
      <c r="F44" s="15">
        <f t="shared" si="0"/>
        <v>28168.116187525164</v>
      </c>
      <c r="G44" s="15">
        <f t="shared" si="2"/>
        <v>-331.8838124748363</v>
      </c>
      <c r="H44" s="4">
        <f t="shared" si="1"/>
        <v>-1.1645046051748653E-2</v>
      </c>
      <c r="I44" s="4"/>
    </row>
    <row r="45" spans="1:9" x14ac:dyDescent="0.2">
      <c r="A45" s="1">
        <f>Acciones!A45</f>
        <v>45063</v>
      </c>
      <c r="B45" s="4">
        <f>Acciones!B45/Acciones!B44</f>
        <v>1.0178443492689322</v>
      </c>
      <c r="C45" s="4">
        <f>Acciones!C45/Acciones!C44</f>
        <v>1.0962907131341093</v>
      </c>
      <c r="D45" s="4">
        <f>Acciones!D45/Acciones!D44</f>
        <v>1.001376304181933</v>
      </c>
      <c r="E45" s="4">
        <f>Acciones!E45/Acciones!E44</f>
        <v>1.0142857006617942</v>
      </c>
      <c r="F45" s="15">
        <f t="shared" si="0"/>
        <v>29569.551392674501</v>
      </c>
      <c r="G45" s="15">
        <f t="shared" si="2"/>
        <v>1069.5513926745007</v>
      </c>
      <c r="H45" s="4">
        <f t="shared" si="1"/>
        <v>3.752811904121045E-2</v>
      </c>
      <c r="I45" s="4"/>
    </row>
    <row r="46" spans="1:9" x14ac:dyDescent="0.2">
      <c r="A46" s="1">
        <f>Acciones!A46</f>
        <v>45064</v>
      </c>
      <c r="B46" s="4">
        <f>Acciones!B46/Acciones!B45</f>
        <v>1.0347125008081717</v>
      </c>
      <c r="C46" s="4">
        <f>Acciones!C46/Acciones!C45</f>
        <v>0.93385680129261928</v>
      </c>
      <c r="D46" s="4">
        <f>Acciones!D46/Acciones!D45</f>
        <v>1.0372600421880946</v>
      </c>
      <c r="E46" s="4">
        <f>Acciones!E46/Acciones!E45</f>
        <v>1</v>
      </c>
      <c r="F46" s="15">
        <f t="shared" si="0"/>
        <v>28365.733786989433</v>
      </c>
      <c r="G46" s="15">
        <f t="shared" si="2"/>
        <v>-134.2662130105673</v>
      </c>
      <c r="H46" s="4">
        <f t="shared" si="1"/>
        <v>-4.7110951933532208E-3</v>
      </c>
      <c r="I46" s="4"/>
    </row>
    <row r="47" spans="1:9" x14ac:dyDescent="0.2">
      <c r="A47" s="1">
        <f>Acciones!A47</f>
        <v>45065</v>
      </c>
      <c r="B47" s="4">
        <f>Acciones!B47/Acciones!B46</f>
        <v>0.97932902282727963</v>
      </c>
      <c r="C47" s="4">
        <f>Acciones!C47/Acciones!C46</f>
        <v>0.98022134980798881</v>
      </c>
      <c r="D47" s="4">
        <f>Acciones!D47/Acciones!D46</f>
        <v>0.95238094688276365</v>
      </c>
      <c r="E47" s="4">
        <f>Acciones!E47/Acciones!E46</f>
        <v>1</v>
      </c>
      <c r="F47" s="15">
        <f t="shared" si="0"/>
        <v>27763.563871899009</v>
      </c>
      <c r="G47" s="15">
        <f t="shared" si="2"/>
        <v>-736.43612810099148</v>
      </c>
      <c r="H47" s="4">
        <f t="shared" si="1"/>
        <v>-2.5839864143894387E-2</v>
      </c>
      <c r="I47" s="4"/>
    </row>
    <row r="48" spans="1:9" x14ac:dyDescent="0.2">
      <c r="A48" s="1">
        <f>Acciones!A48</f>
        <v>45068</v>
      </c>
      <c r="B48" s="4">
        <f>Acciones!B48/Acciones!B47</f>
        <v>1.0062283769982732</v>
      </c>
      <c r="C48" s="4">
        <f>Acciones!C48/Acciones!C47</f>
        <v>1.0704060461187204</v>
      </c>
      <c r="D48" s="4">
        <f>Acciones!D48/Acciones!D47</f>
        <v>0.98019795018184652</v>
      </c>
      <c r="E48" s="4">
        <f>Acciones!E48/Acciones!E47</f>
        <v>1</v>
      </c>
      <c r="F48" s="15">
        <f t="shared" si="0"/>
        <v>28992.636259440264</v>
      </c>
      <c r="G48" s="15">
        <f t="shared" si="2"/>
        <v>492.63625944026353</v>
      </c>
      <c r="H48" s="4">
        <f t="shared" si="1"/>
        <v>1.7285482787377626E-2</v>
      </c>
      <c r="I48" s="4"/>
    </row>
    <row r="49" spans="1:9" x14ac:dyDescent="0.2">
      <c r="A49" s="1">
        <f>Acciones!A49</f>
        <v>45069</v>
      </c>
      <c r="B49" s="4">
        <f>Acciones!B49/Acciones!B48</f>
        <v>0.99381017556188045</v>
      </c>
      <c r="C49" s="4">
        <f>Acciones!C49/Acciones!C48</f>
        <v>0.96973540114685008</v>
      </c>
      <c r="D49" s="4">
        <f>Acciones!D49/Acciones!D48</f>
        <v>0.98737381576957028</v>
      </c>
      <c r="E49" s="4">
        <f>Acciones!E49/Acciones!E48</f>
        <v>1.0140844937994031</v>
      </c>
      <c r="F49" s="15">
        <f t="shared" si="0"/>
        <v>28142.024798954077</v>
      </c>
      <c r="G49" s="15">
        <f t="shared" si="2"/>
        <v>-357.97520104592331</v>
      </c>
      <c r="H49" s="4">
        <f t="shared" si="1"/>
        <v>-1.2560533370032378E-2</v>
      </c>
      <c r="I49" s="4"/>
    </row>
    <row r="50" spans="1:9" x14ac:dyDescent="0.2">
      <c r="A50" s="1">
        <f>Acciones!A50</f>
        <v>45070</v>
      </c>
      <c r="B50" s="4">
        <f>Acciones!B50/Acciones!B49</f>
        <v>1.0152249604606989</v>
      </c>
      <c r="C50" s="4">
        <f>Acciones!C50/Acciones!C49</f>
        <v>1.0046367778720535</v>
      </c>
      <c r="D50" s="4">
        <f>Acciones!D50/Acciones!D49</f>
        <v>0.9877237546346801</v>
      </c>
      <c r="E50" s="4">
        <f>Acciones!E50/Acciones!E49</f>
        <v>1</v>
      </c>
      <c r="F50" s="15">
        <f t="shared" si="0"/>
        <v>28474.574297743755</v>
      </c>
      <c r="G50" s="15">
        <f t="shared" si="2"/>
        <v>-25.425702256245131</v>
      </c>
      <c r="H50" s="4">
        <f t="shared" si="1"/>
        <v>-8.9212990372788958E-4</v>
      </c>
      <c r="I50" s="4"/>
    </row>
    <row r="51" spans="1:9" x14ac:dyDescent="0.2">
      <c r="A51" s="1">
        <f>Acciones!A51</f>
        <v>45071</v>
      </c>
      <c r="B51" s="4">
        <f>Acciones!B51/Acciones!B50</f>
        <v>0.9969325138561177</v>
      </c>
      <c r="C51" s="4">
        <f>Acciones!C51/Acciones!C50</f>
        <v>0.9600591715976331</v>
      </c>
      <c r="D51" s="4">
        <f>Acciones!D51/Acciones!D50</f>
        <v>0.9954687481670168</v>
      </c>
      <c r="E51" s="4">
        <f>Acciones!E51/Acciones!E50</f>
        <v>1</v>
      </c>
      <c r="F51" s="15">
        <f t="shared" si="0"/>
        <v>28064.513410344094</v>
      </c>
      <c r="G51" s="15">
        <f t="shared" si="2"/>
        <v>-435.48658965590585</v>
      </c>
      <c r="H51" s="4">
        <f t="shared" si="1"/>
        <v>-1.5280231215996642E-2</v>
      </c>
      <c r="I51" s="4"/>
    </row>
    <row r="52" spans="1:9" x14ac:dyDescent="0.2">
      <c r="A52" s="1">
        <f>Acciones!A52</f>
        <v>45072</v>
      </c>
      <c r="B52" s="4">
        <f>Acciones!B52/Acciones!B51</f>
        <v>0.9825641171845666</v>
      </c>
      <c r="C52" s="4">
        <f>Acciones!C52/Acciones!C51</f>
        <v>1.0009244616116117</v>
      </c>
      <c r="D52" s="4">
        <f>Acciones!D52/Acciones!D51</f>
        <v>0.98582387435498264</v>
      </c>
      <c r="E52" s="4">
        <f>Acciones!E52/Acciones!E51</f>
        <v>0.95277782156143942</v>
      </c>
      <c r="F52" s="15">
        <f t="shared" si="0"/>
        <v>28046.273557594039</v>
      </c>
      <c r="G52" s="15">
        <f t="shared" si="2"/>
        <v>-453.72644240596128</v>
      </c>
      <c r="H52" s="4">
        <f t="shared" si="1"/>
        <v>-1.5920226049331965E-2</v>
      </c>
      <c r="I52" s="4"/>
    </row>
    <row r="53" spans="1:9" x14ac:dyDescent="0.2">
      <c r="A53" s="1">
        <f>Acciones!A53</f>
        <v>45075</v>
      </c>
      <c r="B53" s="4">
        <f>Acciones!B53/Acciones!B52</f>
        <v>1.003827341777501</v>
      </c>
      <c r="C53" s="4">
        <f>Acciones!C53/Acciones!C52</f>
        <v>0.9975369833034663</v>
      </c>
      <c r="D53" s="4">
        <f>Acciones!D53/Acciones!D52</f>
        <v>1.0284907655915936</v>
      </c>
      <c r="E53" s="4">
        <f>Acciones!E53/Acciones!E52</f>
        <v>1</v>
      </c>
      <c r="F53" s="15">
        <f t="shared" si="0"/>
        <v>28774.904693520119</v>
      </c>
      <c r="G53" s="15">
        <f t="shared" si="2"/>
        <v>274.9046935201186</v>
      </c>
      <c r="H53" s="4">
        <f t="shared" si="1"/>
        <v>9.6457787200041611E-3</v>
      </c>
      <c r="I53" s="4"/>
    </row>
    <row r="54" spans="1:9" x14ac:dyDescent="0.2">
      <c r="A54" s="1">
        <f>Acciones!A54</f>
        <v>45076</v>
      </c>
      <c r="B54" s="4">
        <f>Acciones!B54/Acciones!B53</f>
        <v>0.96048527045471832</v>
      </c>
      <c r="C54" s="4">
        <f>Acciones!C54/Acciones!C53</f>
        <v>1.0239506474247653</v>
      </c>
      <c r="D54" s="4">
        <f>Acciones!D54/Acciones!D53</f>
        <v>0.96716765441834351</v>
      </c>
      <c r="E54" s="4">
        <f>Acciones!E54/Acciones!E53</f>
        <v>1</v>
      </c>
      <c r="F54" s="15">
        <f t="shared" si="0"/>
        <v>28260.906141310217</v>
      </c>
      <c r="G54" s="15">
        <f t="shared" si="2"/>
        <v>-239.09385868978279</v>
      </c>
      <c r="H54" s="4">
        <f t="shared" si="1"/>
        <v>-8.3892581996415361E-3</v>
      </c>
      <c r="I54" s="4"/>
    </row>
    <row r="55" spans="1:9" x14ac:dyDescent="0.2">
      <c r="A55" s="1">
        <f>Acciones!A55</f>
        <v>45077</v>
      </c>
      <c r="B55" s="4">
        <f>Acciones!B55/Acciones!B54</f>
        <v>1.0101047663625682</v>
      </c>
      <c r="C55" s="4">
        <f>Acciones!C55/Acciones!C54</f>
        <v>1.0393657980894697</v>
      </c>
      <c r="D55" s="4">
        <f>Acciones!D55/Acciones!D54</f>
        <v>0.99098131036908765</v>
      </c>
      <c r="E55" s="4">
        <f>Acciones!E55/Acciones!E54</f>
        <v>1</v>
      </c>
      <c r="F55" s="15">
        <f t="shared" si="0"/>
        <v>28819.154867809826</v>
      </c>
      <c r="G55" s="15">
        <f t="shared" si="2"/>
        <v>319.1548678098261</v>
      </c>
      <c r="H55" s="4">
        <f t="shared" si="1"/>
        <v>1.1198416414379908E-2</v>
      </c>
      <c r="I55" s="4"/>
    </row>
    <row r="56" spans="1:9" x14ac:dyDescent="0.2">
      <c r="A56" s="1">
        <f>Acciones!A56</f>
        <v>45078</v>
      </c>
      <c r="B56" s="4">
        <f>Acciones!B56/Acciones!B55</f>
        <v>0.99606995902479989</v>
      </c>
      <c r="C56" s="4">
        <f>Acciones!C56/Acciones!C55</f>
        <v>1.021866416876021</v>
      </c>
      <c r="D56" s="4">
        <f>Acciones!D56/Acciones!D55</f>
        <v>0.97493583965104191</v>
      </c>
      <c r="E56" s="4">
        <f>Acciones!E56/Acciones!E55</f>
        <v>1</v>
      </c>
      <c r="F56" s="15">
        <f t="shared" si="0"/>
        <v>28443.334213419417</v>
      </c>
      <c r="G56" s="15">
        <f t="shared" si="2"/>
        <v>-56.66578658058279</v>
      </c>
      <c r="H56" s="4">
        <f t="shared" si="1"/>
        <v>-1.9882732133538195E-3</v>
      </c>
      <c r="I56" s="4"/>
    </row>
    <row r="57" spans="1:9" x14ac:dyDescent="0.2">
      <c r="A57" s="1">
        <f>Acciones!A57</f>
        <v>45079</v>
      </c>
      <c r="B57" s="4">
        <f>Acciones!B57/Acciones!B56</f>
        <v>0.97740314508320136</v>
      </c>
      <c r="C57" s="4">
        <f>Acciones!C57/Acciones!C56</f>
        <v>0.99619708141219543</v>
      </c>
      <c r="D57" s="4">
        <f>Acciones!D57/Acciones!D56</f>
        <v>1.0427109610391512</v>
      </c>
      <c r="E57" s="4">
        <f>Acciones!E57/Acciones!E56</f>
        <v>0.96209909273738736</v>
      </c>
      <c r="F57" s="15">
        <f t="shared" si="0"/>
        <v>28603.437901654204</v>
      </c>
      <c r="G57" s="15">
        <f t="shared" si="2"/>
        <v>103.43790165420432</v>
      </c>
      <c r="H57" s="4">
        <f t="shared" si="1"/>
        <v>3.6294000580423535E-3</v>
      </c>
      <c r="I57" s="4"/>
    </row>
    <row r="58" spans="1:9" x14ac:dyDescent="0.2">
      <c r="A58" s="1">
        <f>Acciones!A58</f>
        <v>45082</v>
      </c>
      <c r="B58" s="4">
        <f>Acciones!B58/Acciones!B57</f>
        <v>1.0275229746222367</v>
      </c>
      <c r="C58" s="4">
        <f>Acciones!C58/Acciones!C57</f>
        <v>0.91276851439935069</v>
      </c>
      <c r="D58" s="4">
        <f>Acciones!D58/Acciones!D57</f>
        <v>0.9680766716996354</v>
      </c>
      <c r="E58" s="4">
        <f>Acciones!E58/Acciones!E57</f>
        <v>1</v>
      </c>
      <c r="F58" s="15">
        <f t="shared" si="0"/>
        <v>27448.398014968014</v>
      </c>
      <c r="G58" s="15">
        <f t="shared" si="2"/>
        <v>-1051.6019850319863</v>
      </c>
      <c r="H58" s="4">
        <f t="shared" si="1"/>
        <v>-3.6898315264280224E-2</v>
      </c>
      <c r="I58" s="4"/>
    </row>
    <row r="59" spans="1:9" x14ac:dyDescent="0.2">
      <c r="A59" s="1">
        <f>Acciones!A59</f>
        <v>45083</v>
      </c>
      <c r="B59" s="4">
        <f>Acciones!B59/Acciones!B58</f>
        <v>0.99535715672095226</v>
      </c>
      <c r="C59" s="4">
        <f>Acciones!C59/Acciones!C58</f>
        <v>1.0934457022838744</v>
      </c>
      <c r="D59" s="4">
        <f>Acciones!D59/Acciones!D58</f>
        <v>1.0065233371308466</v>
      </c>
      <c r="E59" s="4">
        <f>Acciones!E59/Acciones!E58</f>
        <v>1</v>
      </c>
      <c r="F59" s="15">
        <f t="shared" si="0"/>
        <v>29436.717591528606</v>
      </c>
      <c r="G59" s="15">
        <f t="shared" si="2"/>
        <v>936.71759152860614</v>
      </c>
      <c r="H59" s="4">
        <f t="shared" si="1"/>
        <v>3.2867283913284417E-2</v>
      </c>
      <c r="I59" s="4"/>
    </row>
    <row r="60" spans="1:9" x14ac:dyDescent="0.2">
      <c r="A60" s="1">
        <f>Acciones!A60</f>
        <v>45084</v>
      </c>
      <c r="B60" s="4">
        <f>Acciones!B60/Acciones!B59</f>
        <v>1.0351631692540881</v>
      </c>
      <c r="C60" s="4">
        <f>Acciones!C60/Acciones!C59</f>
        <v>0.94907804839763721</v>
      </c>
      <c r="D60" s="4">
        <f>Acciones!D60/Acciones!D59</f>
        <v>1.0088433364116081</v>
      </c>
      <c r="E60" s="4">
        <f>Acciones!E60/Acciones!E59</f>
        <v>0.97575759852665822</v>
      </c>
      <c r="F60" s="15">
        <f t="shared" si="0"/>
        <v>28094.412708179563</v>
      </c>
      <c r="G60" s="15">
        <f t="shared" si="2"/>
        <v>-405.5872918204368</v>
      </c>
      <c r="H60" s="4">
        <f t="shared" si="1"/>
        <v>-1.4231133046331168E-2</v>
      </c>
      <c r="I60" s="4"/>
    </row>
    <row r="61" spans="1:9" x14ac:dyDescent="0.2">
      <c r="A61" s="1">
        <f>Acciones!A61</f>
        <v>45085</v>
      </c>
      <c r="B61" s="4">
        <f>Acciones!B61/Acciones!B60</f>
        <v>0.99549394727398244</v>
      </c>
      <c r="C61" s="4">
        <f>Acciones!C61/Acciones!C60</f>
        <v>1.021954850505167</v>
      </c>
      <c r="D61" s="4">
        <f>Acciones!D61/Acciones!D60</f>
        <v>0.99123956150841008</v>
      </c>
      <c r="E61" s="4">
        <f>Acciones!E61/Acciones!E60</f>
        <v>0.98447206463601789</v>
      </c>
      <c r="F61" s="15">
        <f t="shared" si="0"/>
        <v>28519.791865840227</v>
      </c>
      <c r="G61" s="15">
        <f t="shared" si="2"/>
        <v>19.791865840226819</v>
      </c>
      <c r="H61" s="4">
        <f t="shared" si="1"/>
        <v>6.9445143299051715E-4</v>
      </c>
      <c r="I61" s="4"/>
    </row>
    <row r="62" spans="1:9" x14ac:dyDescent="0.2">
      <c r="A62" s="1">
        <f>Acciones!A62</f>
        <v>45086</v>
      </c>
      <c r="B62" s="4">
        <f>Acciones!B62/Acciones!B61</f>
        <v>1.0003481504472256</v>
      </c>
      <c r="C62" s="4">
        <f>Acciones!C62/Acciones!C61</f>
        <v>0.94926430001851581</v>
      </c>
      <c r="D62" s="4">
        <f>Acciones!D62/Acciones!D61</f>
        <v>0.99026486520361556</v>
      </c>
      <c r="E62" s="4">
        <f>Acciones!E62/Acciones!E61</f>
        <v>0.97791792745216033</v>
      </c>
      <c r="F62" s="15">
        <f t="shared" si="0"/>
        <v>27800.426629764232</v>
      </c>
      <c r="G62" s="15">
        <f t="shared" si="2"/>
        <v>-699.57337023576838</v>
      </c>
      <c r="H62" s="4">
        <f t="shared" si="1"/>
        <v>-2.4546434043360321E-2</v>
      </c>
      <c r="I62" s="4"/>
    </row>
    <row r="63" spans="1:9" x14ac:dyDescent="0.2">
      <c r="A63" s="1">
        <f>Acciones!A63</f>
        <v>45089</v>
      </c>
      <c r="B63" s="4">
        <f>Acciones!B63/Acciones!B62</f>
        <v>1.0097460175305315</v>
      </c>
      <c r="C63" s="4">
        <f>Acciones!C63/Acciones!C62</f>
        <v>0.99888397397604578</v>
      </c>
      <c r="D63" s="4">
        <f>Acciones!D63/Acciones!D62</f>
        <v>1.006555764022965</v>
      </c>
      <c r="E63" s="4">
        <f>Acciones!E63/Acciones!E62</f>
        <v>0.98709678610207541</v>
      </c>
      <c r="F63" s="15">
        <f t="shared" si="0"/>
        <v>28518.098777920361</v>
      </c>
      <c r="G63" s="15">
        <f t="shared" si="2"/>
        <v>18.09877792036059</v>
      </c>
      <c r="H63" s="4">
        <f t="shared" si="1"/>
        <v>6.3504483931087208E-4</v>
      </c>
      <c r="I63" s="4"/>
    </row>
    <row r="64" spans="1:9" x14ac:dyDescent="0.2">
      <c r="A64" s="1">
        <f>Acciones!A64</f>
        <v>45090</v>
      </c>
      <c r="B64" s="4">
        <f>Acciones!B64/Acciones!B63</f>
        <v>0.96863146077685447</v>
      </c>
      <c r="C64" s="4">
        <f>Acciones!C64/Acciones!C63</f>
        <v>1.030415851712237</v>
      </c>
      <c r="D64" s="4">
        <f>Acciones!D64/Acciones!D63</f>
        <v>0.99782543719308658</v>
      </c>
      <c r="E64" s="4">
        <f>Acciones!E64/Acciones!E63</f>
        <v>1.0196078248044145</v>
      </c>
      <c r="F64" s="15">
        <f t="shared" si="0"/>
        <v>28765.258112340387</v>
      </c>
      <c r="G64" s="15">
        <f t="shared" si="2"/>
        <v>265.25811234038702</v>
      </c>
      <c r="H64" s="4">
        <f t="shared" si="1"/>
        <v>9.3073021873819606E-3</v>
      </c>
      <c r="I64" s="4"/>
    </row>
    <row r="65" spans="1:9" x14ac:dyDescent="0.2">
      <c r="A65" s="1">
        <f>Acciones!A65</f>
        <v>45091</v>
      </c>
      <c r="B65" s="4">
        <f>Acciones!B65/Acciones!B64</f>
        <v>0.99608548728174118</v>
      </c>
      <c r="C65" s="4">
        <f>Acciones!C65/Acciones!C64</f>
        <v>0.99518070450748186</v>
      </c>
      <c r="D65" s="4">
        <f>Acciones!D65/Acciones!D64</f>
        <v>1.051967639290615</v>
      </c>
      <c r="E65" s="4">
        <f>Acciones!E65/Acciones!E64</f>
        <v>1</v>
      </c>
      <c r="F65" s="15">
        <f t="shared" si="0"/>
        <v>28960.19229121332</v>
      </c>
      <c r="G65" s="15">
        <f t="shared" si="2"/>
        <v>460.19229121331955</v>
      </c>
      <c r="H65" s="4">
        <f t="shared" si="1"/>
        <v>1.6147097937309507E-2</v>
      </c>
      <c r="I65" s="4"/>
    </row>
    <row r="66" spans="1:9" x14ac:dyDescent="0.2">
      <c r="A66" s="1">
        <f>Acciones!A66</f>
        <v>45092</v>
      </c>
      <c r="B66" s="4">
        <f>Acciones!B66/Acciones!B65</f>
        <v>0.99892801944143517</v>
      </c>
      <c r="C66" s="4">
        <f>Acciones!C66/Acciones!C65</f>
        <v>0.97154965475141919</v>
      </c>
      <c r="D66" s="4">
        <f>Acciones!D66/Acciones!D65</f>
        <v>0.99503517758551507</v>
      </c>
      <c r="E66" s="4">
        <f>Acciones!E66/Acciones!E65</f>
        <v>1</v>
      </c>
      <c r="F66" s="15">
        <f t="shared" si="0"/>
        <v>28176.321564038655</v>
      </c>
      <c r="G66" s="15">
        <f t="shared" si="2"/>
        <v>-323.6784359613448</v>
      </c>
      <c r="H66" s="4">
        <f t="shared" si="1"/>
        <v>-1.1357138103906816E-2</v>
      </c>
      <c r="I66" s="4"/>
    </row>
    <row r="67" spans="1:9" x14ac:dyDescent="0.2">
      <c r="A67" s="1">
        <f>Acciones!A67</f>
        <v>45093</v>
      </c>
      <c r="B67" s="4">
        <f>Acciones!B67/Acciones!B66</f>
        <v>1.0014307447234772</v>
      </c>
      <c r="C67" s="4">
        <f>Acciones!C67/Acciones!C66</f>
        <v>1.0560747663551402</v>
      </c>
      <c r="D67" s="4">
        <f>Acciones!D67/Acciones!D66</f>
        <v>1.0062149209335134</v>
      </c>
      <c r="E67" s="4">
        <f>Acciones!E67/Acciones!E66</f>
        <v>1.0096154522143435</v>
      </c>
      <c r="F67" s="15">
        <f t="shared" ref="F67:F130" si="3">$J$2*B67+$J$3*C67+$J$4*D67+$J$5*E67</f>
        <v>29152.752083420022</v>
      </c>
      <c r="G67" s="15">
        <f t="shared" si="2"/>
        <v>652.75208342002225</v>
      </c>
      <c r="H67" s="4">
        <f t="shared" ref="H67:H130" si="4">(F67/$J$6)-1</f>
        <v>2.2903581874386791E-2</v>
      </c>
      <c r="I67" s="4"/>
    </row>
    <row r="68" spans="1:9" x14ac:dyDescent="0.2">
      <c r="A68" s="1">
        <f>Acciones!A68</f>
        <v>45096</v>
      </c>
      <c r="B68" s="4">
        <f>Acciones!B68/Acciones!B67</f>
        <v>1</v>
      </c>
      <c r="C68" s="4">
        <f>Acciones!C68/Acciones!C67</f>
        <v>1.0147492625368733</v>
      </c>
      <c r="D68" s="4">
        <f>Acciones!D68/Acciones!D67</f>
        <v>1.0113675293098592</v>
      </c>
      <c r="E68" s="4">
        <f>Acciones!E68/Acciones!E67</f>
        <v>1</v>
      </c>
      <c r="F68" s="15">
        <f t="shared" si="3"/>
        <v>28753.793287198889</v>
      </c>
      <c r="G68" s="15">
        <f t="shared" si="2"/>
        <v>253.79328719888872</v>
      </c>
      <c r="H68" s="4">
        <f t="shared" si="4"/>
        <v>8.9050276210136392E-3</v>
      </c>
      <c r="I68" s="4"/>
    </row>
    <row r="69" spans="1:9" x14ac:dyDescent="0.2">
      <c r="A69" s="1">
        <f>Acciones!A69</f>
        <v>45097</v>
      </c>
      <c r="B69" s="4">
        <f>Acciones!B69/Acciones!B68</f>
        <v>1.0003571028663722</v>
      </c>
      <c r="C69" s="4">
        <f>Acciones!C69/Acciones!C68</f>
        <v>1.1591860749000698</v>
      </c>
      <c r="D69" s="4">
        <f>Acciones!D69/Acciones!D68</f>
        <v>0.96173470598743271</v>
      </c>
      <c r="E69" s="4">
        <f>Acciones!E69/Acciones!E68</f>
        <v>1</v>
      </c>
      <c r="F69" s="15">
        <f t="shared" si="3"/>
        <v>29630.864631457294</v>
      </c>
      <c r="G69" s="15">
        <f t="shared" ref="G69:G132" si="5">F69-$J$6</f>
        <v>1130.8646314572943</v>
      </c>
      <c r="H69" s="4">
        <f t="shared" si="4"/>
        <v>3.9679460752887419E-2</v>
      </c>
      <c r="I69" s="4"/>
    </row>
    <row r="70" spans="1:9" x14ac:dyDescent="0.2">
      <c r="A70" s="1">
        <f>Acciones!A70</f>
        <v>45098</v>
      </c>
      <c r="B70" s="4">
        <f>Acciones!B70/Acciones!B69</f>
        <v>0.99000353290015797</v>
      </c>
      <c r="C70" s="4">
        <f>Acciones!C70/Acciones!C69</f>
        <v>1.0473467860879755</v>
      </c>
      <c r="D70" s="4">
        <f>Acciones!D70/Acciones!D69</f>
        <v>0.99523615858896519</v>
      </c>
      <c r="E70" s="4">
        <f>Acciones!E70/Acciones!E69</f>
        <v>0.99365079989809113</v>
      </c>
      <c r="F70" s="15">
        <f t="shared" si="3"/>
        <v>28832.247818315474</v>
      </c>
      <c r="G70" s="15">
        <f t="shared" si="5"/>
        <v>332.24781831547443</v>
      </c>
      <c r="H70" s="4">
        <f t="shared" si="4"/>
        <v>1.1657818186507907E-2</v>
      </c>
      <c r="I70" s="4"/>
    </row>
    <row r="71" spans="1:9" x14ac:dyDescent="0.2">
      <c r="A71" s="1">
        <f>Acciones!A71</f>
        <v>45099</v>
      </c>
      <c r="B71" s="4">
        <f>Acciones!B71/Acciones!B70</f>
        <v>0.98701773622528155</v>
      </c>
      <c r="C71" s="4">
        <f>Acciones!C71/Acciones!C70</f>
        <v>0.96734025914658106</v>
      </c>
      <c r="D71" s="4">
        <f>Acciones!D71/Acciones!D70</f>
        <v>1.0112897588392671</v>
      </c>
      <c r="E71" s="4">
        <f>Acciones!E71/Acciones!E70</f>
        <v>0.98722038376706422</v>
      </c>
      <c r="F71" s="15">
        <f t="shared" si="3"/>
        <v>28186.904237792529</v>
      </c>
      <c r="G71" s="15">
        <f t="shared" si="5"/>
        <v>-313.09576220747113</v>
      </c>
      <c r="H71" s="4">
        <f t="shared" si="4"/>
        <v>-1.0985816217806033E-2</v>
      </c>
      <c r="I71" s="4"/>
    </row>
    <row r="72" spans="1:9" x14ac:dyDescent="0.2">
      <c r="A72" s="1">
        <f>Acciones!A72</f>
        <v>45100</v>
      </c>
      <c r="B72" s="4">
        <f>Acciones!B72/Acciones!B71</f>
        <v>0.98721222893098004</v>
      </c>
      <c r="C72" s="4">
        <f>Acciones!C72/Acciones!C71</f>
        <v>1.0795544917040496</v>
      </c>
      <c r="D72" s="4">
        <f>Acciones!D72/Acciones!D71</f>
        <v>0.99093934389807603</v>
      </c>
      <c r="E72" s="4">
        <f>Acciones!E72/Acciones!E71</f>
        <v>0.98705502816695601</v>
      </c>
      <c r="F72" s="15">
        <f t="shared" si="3"/>
        <v>29049.206566345918</v>
      </c>
      <c r="G72" s="15">
        <f t="shared" si="5"/>
        <v>549.20656634591796</v>
      </c>
      <c r="H72" s="4">
        <f t="shared" si="4"/>
        <v>1.9270405836698812E-2</v>
      </c>
      <c r="I72" s="4"/>
    </row>
    <row r="73" spans="1:9" x14ac:dyDescent="0.2">
      <c r="A73" s="1">
        <f>Acciones!A73</f>
        <v>45103</v>
      </c>
      <c r="B73" s="4">
        <f>Acciones!B73/Acciones!B72</f>
        <v>0.98075497772405018</v>
      </c>
      <c r="C73" s="4">
        <f>Acciones!C73/Acciones!C72</f>
        <v>0.9275461892003003</v>
      </c>
      <c r="D73" s="4">
        <f>Acciones!D73/Acciones!D72</f>
        <v>1.0213509880748055</v>
      </c>
      <c r="E73" s="4">
        <f>Acciones!E73/Acciones!E72</f>
        <v>1</v>
      </c>
      <c r="F73" s="15">
        <f t="shared" si="3"/>
        <v>27957.841100185084</v>
      </c>
      <c r="G73" s="15">
        <f t="shared" si="5"/>
        <v>-542.15889981491637</v>
      </c>
      <c r="H73" s="4">
        <f t="shared" si="4"/>
        <v>-1.9023119291751489E-2</v>
      </c>
      <c r="I73" s="4"/>
    </row>
    <row r="74" spans="1:9" x14ac:dyDescent="0.2">
      <c r="A74" s="1">
        <f>Acciones!A74</f>
        <v>45104</v>
      </c>
      <c r="B74" s="4">
        <f>Acciones!B74/Acciones!B73</f>
        <v>1.0524528421500436</v>
      </c>
      <c r="C74" s="4">
        <f>Acciones!C74/Acciones!C73</f>
        <v>1.1295298185338016</v>
      </c>
      <c r="D74" s="4">
        <f>Acciones!D74/Acciones!D73</f>
        <v>1.0139936898903423</v>
      </c>
      <c r="E74" s="4">
        <f>Acciones!E74/Acciones!E73</f>
        <v>1</v>
      </c>
      <c r="F74" s="15">
        <f t="shared" si="3"/>
        <v>30054.055122499689</v>
      </c>
      <c r="G74" s="15">
        <f t="shared" si="5"/>
        <v>1554.0551224996889</v>
      </c>
      <c r="H74" s="4">
        <f t="shared" si="4"/>
        <v>5.4528249912269677E-2</v>
      </c>
      <c r="I74" s="4"/>
    </row>
    <row r="75" spans="1:9" x14ac:dyDescent="0.2">
      <c r="A75" s="1">
        <f>Acciones!A75</f>
        <v>45105</v>
      </c>
      <c r="B75" s="4">
        <f>Acciones!B75/Acciones!B74</f>
        <v>0.96557906618975609</v>
      </c>
      <c r="C75" s="4">
        <f>Acciones!C75/Acciones!C74</f>
        <v>0.97907822141306189</v>
      </c>
      <c r="D75" s="4">
        <f>Acciones!D75/Acciones!D74</f>
        <v>0.99125839883796718</v>
      </c>
      <c r="E75" s="4">
        <f>Acciones!E75/Acciones!E74</f>
        <v>1.0032786854490492</v>
      </c>
      <c r="F75" s="15">
        <f t="shared" si="3"/>
        <v>28111.386593437677</v>
      </c>
      <c r="G75" s="15">
        <f t="shared" si="5"/>
        <v>-388.61340656232278</v>
      </c>
      <c r="H75" s="4">
        <f t="shared" si="4"/>
        <v>-1.363555812499373E-2</v>
      </c>
      <c r="I75" s="4"/>
    </row>
    <row r="76" spans="1:9" x14ac:dyDescent="0.2">
      <c r="A76" s="1">
        <f>Acciones!A76</f>
        <v>45106</v>
      </c>
      <c r="B76" s="4">
        <f>Acciones!B76/Acciones!B75</f>
        <v>1.0051986075214778</v>
      </c>
      <c r="C76" s="4">
        <f>Acciones!C76/Acciones!C75</f>
        <v>1.0546291791646072</v>
      </c>
      <c r="D76" s="4">
        <f>Acciones!D76/Acciones!D75</f>
        <v>1.0043006538866392</v>
      </c>
      <c r="E76" s="4">
        <f>Acciones!E76/Acciones!E75</f>
        <v>0.99019608759779265</v>
      </c>
      <c r="F76" s="15">
        <f t="shared" si="3"/>
        <v>29026.257349043193</v>
      </c>
      <c r="G76" s="15">
        <f t="shared" si="5"/>
        <v>526.25734904319324</v>
      </c>
      <c r="H76" s="4">
        <f t="shared" si="4"/>
        <v>1.8465170141866327E-2</v>
      </c>
      <c r="I76" s="4"/>
    </row>
    <row r="77" spans="1:9" x14ac:dyDescent="0.2">
      <c r="A77" s="1">
        <f>Acciones!A77</f>
        <v>45107</v>
      </c>
      <c r="B77" s="4">
        <f>Acciones!B77/Acciones!B76</f>
        <v>0.93683055188261144</v>
      </c>
      <c r="C77" s="4">
        <f>Acciones!C77/Acciones!C76</f>
        <v>1.0088592950932445</v>
      </c>
      <c r="D77" s="4">
        <f>Acciones!D77/Acciones!D76</f>
        <v>0.97456528174664558</v>
      </c>
      <c r="E77" s="4">
        <f>Acciones!E77/Acciones!E76</f>
        <v>1</v>
      </c>
      <c r="F77" s="15">
        <f t="shared" si="3"/>
        <v>28108.723052441419</v>
      </c>
      <c r="G77" s="15">
        <f t="shared" si="5"/>
        <v>-391.27694755858101</v>
      </c>
      <c r="H77" s="4">
        <f t="shared" si="4"/>
        <v>-1.372901570380991E-2</v>
      </c>
      <c r="I77" s="4"/>
    </row>
    <row r="78" spans="1:9" x14ac:dyDescent="0.2">
      <c r="A78" s="1">
        <f>Acciones!A78</f>
        <v>45110</v>
      </c>
      <c r="B78" s="4">
        <f>Acciones!B78/Acciones!B77</f>
        <v>1.0260252754296488</v>
      </c>
      <c r="C78" s="4">
        <f>Acciones!C78/Acciones!C77</f>
        <v>1.1029411764705883</v>
      </c>
      <c r="D78" s="4">
        <f>Acciones!D78/Acciones!D77</f>
        <v>1.0015562628253303</v>
      </c>
      <c r="E78" s="4">
        <f>Acciones!E78/Acciones!E77</f>
        <v>0.98349836541636781</v>
      </c>
      <c r="F78" s="15">
        <f t="shared" si="3"/>
        <v>29493.833278517683</v>
      </c>
      <c r="G78" s="15">
        <f t="shared" si="5"/>
        <v>993.83327851768263</v>
      </c>
      <c r="H78" s="4">
        <f t="shared" si="4"/>
        <v>3.4871343105883579E-2</v>
      </c>
      <c r="I78" s="4"/>
    </row>
    <row r="79" spans="1:9" x14ac:dyDescent="0.2">
      <c r="A79" s="1">
        <f>Acciones!A79</f>
        <v>45111</v>
      </c>
      <c r="B79" s="4">
        <f>Acciones!B79/Acciones!B78</f>
        <v>1.0099922833503951</v>
      </c>
      <c r="C79" s="4">
        <f>Acciones!C79/Acciones!C78</f>
        <v>1.0304000418526782</v>
      </c>
      <c r="D79" s="4">
        <f>Acciones!D79/Acciones!D78</f>
        <v>1.0000106121900674</v>
      </c>
      <c r="E79" s="4">
        <f>Acciones!E79/Acciones!E78</f>
        <v>0.96979868671366909</v>
      </c>
      <c r="F79" s="15">
        <f t="shared" si="3"/>
        <v>28657.772288152679</v>
      </c>
      <c r="G79" s="15">
        <f t="shared" si="5"/>
        <v>157.77228815267881</v>
      </c>
      <c r="H79" s="4">
        <f t="shared" si="4"/>
        <v>5.5358697597431838E-3</v>
      </c>
      <c r="I79" s="4"/>
    </row>
    <row r="80" spans="1:9" x14ac:dyDescent="0.2">
      <c r="A80" s="1">
        <f>Acciones!A80</f>
        <v>45112</v>
      </c>
      <c r="B80" s="4">
        <f>Acciones!B80/Acciones!B79</f>
        <v>1.0243530887090324</v>
      </c>
      <c r="C80" s="4">
        <f>Acciones!C80/Acciones!C79</f>
        <v>0.98044214607345093</v>
      </c>
      <c r="D80" s="4">
        <f>Acciones!D80/Acciones!D79</f>
        <v>0.9621715028189961</v>
      </c>
      <c r="E80" s="4">
        <f>Acciones!E80/Acciones!E79</f>
        <v>1.0311418376824919</v>
      </c>
      <c r="F80" s="15">
        <f t="shared" si="3"/>
        <v>28192.431333623063</v>
      </c>
      <c r="G80" s="15">
        <f t="shared" si="5"/>
        <v>-307.56866637693747</v>
      </c>
      <c r="H80" s="4">
        <f t="shared" si="4"/>
        <v>-1.0791883030769722E-2</v>
      </c>
      <c r="I80" s="4"/>
    </row>
    <row r="81" spans="1:9" x14ac:dyDescent="0.2">
      <c r="A81" s="1">
        <f>Acciones!A81</f>
        <v>45113</v>
      </c>
      <c r="B81" s="4">
        <f>Acciones!B81/Acciones!B80</f>
        <v>0.98997027737433152</v>
      </c>
      <c r="C81" s="4">
        <f>Acciones!C81/Acciones!C80</f>
        <v>0.99547489650445564</v>
      </c>
      <c r="D81" s="4">
        <f>Acciones!D81/Acciones!D80</f>
        <v>0.99512188888855124</v>
      </c>
      <c r="E81" s="4">
        <f>Acciones!E81/Acciones!E80</f>
        <v>0.98993289557122299</v>
      </c>
      <c r="F81" s="15">
        <f t="shared" si="3"/>
        <v>28317.757302129728</v>
      </c>
      <c r="G81" s="15">
        <f t="shared" si="5"/>
        <v>-182.24269787027151</v>
      </c>
      <c r="H81" s="4">
        <f t="shared" si="4"/>
        <v>-6.3944806270270771E-3</v>
      </c>
      <c r="I81" s="4"/>
    </row>
    <row r="82" spans="1:9" x14ac:dyDescent="0.2">
      <c r="A82" s="1">
        <f>Acciones!A82</f>
        <v>45114</v>
      </c>
      <c r="B82" s="4">
        <f>Acciones!B82/Acciones!B81</f>
        <v>1.0502814931203812</v>
      </c>
      <c r="C82" s="4">
        <f>Acciones!C82/Acciones!C81</f>
        <v>1.0114019844576405</v>
      </c>
      <c r="D82" s="4">
        <f>Acciones!D82/Acciones!D81</f>
        <v>0.98978208346990704</v>
      </c>
      <c r="E82" s="4">
        <f>Acciones!E82/Acciones!E81</f>
        <v>1</v>
      </c>
      <c r="F82" s="15">
        <f t="shared" si="3"/>
        <v>28682.124912967993</v>
      </c>
      <c r="G82" s="15">
        <f t="shared" si="5"/>
        <v>182.12491296799271</v>
      </c>
      <c r="H82" s="4">
        <f t="shared" si="4"/>
        <v>6.3903478234383915E-3</v>
      </c>
      <c r="I82" s="4"/>
    </row>
    <row r="83" spans="1:9" x14ac:dyDescent="0.2">
      <c r="A83" s="1">
        <f>Acciones!A83</f>
        <v>45117</v>
      </c>
      <c r="B83" s="4">
        <f>Acciones!B83/Acciones!B82</f>
        <v>0.98142184799642374</v>
      </c>
      <c r="C83" s="4">
        <f>Acciones!C83/Acciones!C82</f>
        <v>1.0790262400880712</v>
      </c>
      <c r="D83" s="4">
        <f>Acciones!D83/Acciones!D82</f>
        <v>1.0039207945291413</v>
      </c>
      <c r="E83" s="4">
        <f>Acciones!E83/Acciones!E82</f>
        <v>1</v>
      </c>
      <c r="F83" s="15">
        <f t="shared" si="3"/>
        <v>29224.933694115571</v>
      </c>
      <c r="G83" s="15">
        <f t="shared" si="5"/>
        <v>724.93369411557069</v>
      </c>
      <c r="H83" s="4">
        <f t="shared" si="4"/>
        <v>2.5436269968967418E-2</v>
      </c>
      <c r="I83" s="4"/>
    </row>
    <row r="84" spans="1:9" x14ac:dyDescent="0.2">
      <c r="A84" s="1">
        <f>Acciones!A84</f>
        <v>45118</v>
      </c>
      <c r="B84" s="4">
        <f>Acciones!B84/Acciones!B83</f>
        <v>1.0029123103894355</v>
      </c>
      <c r="C84" s="4">
        <f>Acciones!C84/Acciones!C83</f>
        <v>1.0283928931013002</v>
      </c>
      <c r="D84" s="4">
        <f>Acciones!D84/Acciones!D83</f>
        <v>1.0206496159776075</v>
      </c>
      <c r="E84" s="4">
        <f>Acciones!E84/Acciones!E83</f>
        <v>1</v>
      </c>
      <c r="F84" s="15">
        <f t="shared" si="3"/>
        <v>28986.421730601454</v>
      </c>
      <c r="G84" s="15">
        <f t="shared" si="5"/>
        <v>486.42173060145433</v>
      </c>
      <c r="H84" s="4">
        <f t="shared" si="4"/>
        <v>1.7067429143910573E-2</v>
      </c>
      <c r="I84" s="4"/>
    </row>
    <row r="85" spans="1:9" x14ac:dyDescent="0.2">
      <c r="A85" s="1">
        <f>Acciones!A85</f>
        <v>45119</v>
      </c>
      <c r="B85" s="4">
        <f>Acciones!B85/Acciones!B84</f>
        <v>1.0068965142297266</v>
      </c>
      <c r="C85" s="4">
        <f>Acciones!C85/Acciones!C84</f>
        <v>0.96175919191661363</v>
      </c>
      <c r="D85" s="4">
        <f>Acciones!D85/Acciones!D84</f>
        <v>0.99059979100132778</v>
      </c>
      <c r="E85" s="4">
        <f>Acciones!E85/Acciones!E84</f>
        <v>1</v>
      </c>
      <c r="F85" s="15">
        <f t="shared" si="3"/>
        <v>28066.848033025151</v>
      </c>
      <c r="G85" s="15">
        <f t="shared" si="5"/>
        <v>-433.15196697484862</v>
      </c>
      <c r="H85" s="4">
        <f t="shared" si="4"/>
        <v>-1.519831463069643E-2</v>
      </c>
      <c r="I85" s="4"/>
    </row>
    <row r="86" spans="1:9" x14ac:dyDescent="0.2">
      <c r="A86" s="1">
        <f>Acciones!A86</f>
        <v>45120</v>
      </c>
      <c r="B86" s="4">
        <f>Acciones!B86/Acciones!B85</f>
        <v>0.98630144382811302</v>
      </c>
      <c r="C86" s="4">
        <f>Acciones!C86/Acciones!C85</f>
        <v>1.1399542820031856</v>
      </c>
      <c r="D86" s="4">
        <f>Acciones!D86/Acciones!D85</f>
        <v>1.0000385450371894</v>
      </c>
      <c r="E86" s="4">
        <f>Acciones!E86/Acciones!E85</f>
        <v>1.016949136104438</v>
      </c>
      <c r="F86" s="15">
        <f t="shared" si="3"/>
        <v>29875.226431374962</v>
      </c>
      <c r="G86" s="15">
        <f t="shared" si="5"/>
        <v>1375.226431374962</v>
      </c>
      <c r="H86" s="4">
        <f t="shared" si="4"/>
        <v>4.8253558995612789E-2</v>
      </c>
      <c r="I86" s="4"/>
    </row>
    <row r="87" spans="1:9" x14ac:dyDescent="0.2">
      <c r="A87" s="1">
        <f>Acciones!A87</f>
        <v>45121</v>
      </c>
      <c r="B87" s="4">
        <f>Acciones!B87/Acciones!B86</f>
        <v>0.97404965498425466</v>
      </c>
      <c r="C87" s="4">
        <f>Acciones!C87/Acciones!C86</f>
        <v>0.93587418824206692</v>
      </c>
      <c r="D87" s="4">
        <f>Acciones!D87/Acciones!D86</f>
        <v>0.99505485561303086</v>
      </c>
      <c r="E87" s="4">
        <f>Acciones!E87/Acciones!E86</f>
        <v>1</v>
      </c>
      <c r="F87" s="15">
        <f t="shared" si="3"/>
        <v>27750.527136874836</v>
      </c>
      <c r="G87" s="15">
        <f t="shared" si="5"/>
        <v>-749.47286312516371</v>
      </c>
      <c r="H87" s="4">
        <f t="shared" si="4"/>
        <v>-2.6297293442988146E-2</v>
      </c>
      <c r="I87" s="4"/>
    </row>
    <row r="88" spans="1:9" x14ac:dyDescent="0.2">
      <c r="A88" s="1">
        <f>Acciones!A88</f>
        <v>45124</v>
      </c>
      <c r="B88" s="4">
        <f>Acciones!B88/Acciones!B87</f>
        <v>1.0022513829337814</v>
      </c>
      <c r="C88" s="4">
        <f>Acciones!C88/Acciones!C87</f>
        <v>0.95240131177400011</v>
      </c>
      <c r="D88" s="4">
        <f>Acciones!D88/Acciones!D87</f>
        <v>1.0055218814795106</v>
      </c>
      <c r="E88" s="4">
        <f>Acciones!E88/Acciones!E87</f>
        <v>1</v>
      </c>
      <c r="F88" s="15">
        <f t="shared" si="3"/>
        <v>28110.911116916344</v>
      </c>
      <c r="G88" s="15">
        <f t="shared" si="5"/>
        <v>-389.08888308365567</v>
      </c>
      <c r="H88" s="4">
        <f t="shared" si="4"/>
        <v>-1.3652241511707186E-2</v>
      </c>
      <c r="I88" s="4"/>
    </row>
    <row r="89" spans="1:9" x14ac:dyDescent="0.2">
      <c r="A89" s="1">
        <f>Acciones!A89</f>
        <v>45125</v>
      </c>
      <c r="B89" s="4">
        <f>Acciones!B89/Acciones!B88</f>
        <v>0.99962565029053374</v>
      </c>
      <c r="C89" s="4">
        <f>Acciones!C89/Acciones!C88</f>
        <v>0.97316344058843463</v>
      </c>
      <c r="D89" s="4">
        <f>Acciones!D89/Acciones!D88</f>
        <v>1.0083908883329447</v>
      </c>
      <c r="E89" s="4">
        <f>Acciones!E89/Acciones!E88</f>
        <v>1</v>
      </c>
      <c r="F89" s="15">
        <f t="shared" si="3"/>
        <v>28327.651344936443</v>
      </c>
      <c r="G89" s="15">
        <f t="shared" si="5"/>
        <v>-172.34865506355709</v>
      </c>
      <c r="H89" s="4">
        <f t="shared" si="4"/>
        <v>-6.0473212303002732E-3</v>
      </c>
      <c r="I89" s="4"/>
    </row>
    <row r="90" spans="1:9" x14ac:dyDescent="0.2">
      <c r="A90" s="1">
        <f>Acciones!A90</f>
        <v>45126</v>
      </c>
      <c r="B90" s="4">
        <f>Acciones!B90/Acciones!B89</f>
        <v>1</v>
      </c>
      <c r="C90" s="4">
        <f>Acciones!C90/Acciones!C89</f>
        <v>1.0496521498775224</v>
      </c>
      <c r="D90" s="4">
        <f>Acciones!D90/Acciones!D89</f>
        <v>1.0033709622556526</v>
      </c>
      <c r="E90" s="4">
        <f>Acciones!E90/Acciones!E89</f>
        <v>1</v>
      </c>
      <c r="F90" s="15">
        <f t="shared" si="3"/>
        <v>29005.405046392989</v>
      </c>
      <c r="G90" s="15">
        <f t="shared" si="5"/>
        <v>505.40504639298888</v>
      </c>
      <c r="H90" s="4">
        <f t="shared" si="4"/>
        <v>1.7733510399754016E-2</v>
      </c>
      <c r="I90" s="4"/>
    </row>
    <row r="91" spans="1:9" x14ac:dyDescent="0.2">
      <c r="A91" s="1">
        <f>Acciones!A91</f>
        <v>45127</v>
      </c>
      <c r="B91" s="4">
        <f>Acciones!B91/Acciones!B90</f>
        <v>0.98389511493087523</v>
      </c>
      <c r="C91" s="4">
        <f>Acciones!C91/Acciones!C90</f>
        <v>0.9672696781883956</v>
      </c>
      <c r="D91" s="4">
        <f>Acciones!D91/Acciones!D90</f>
        <v>0.98605692817996327</v>
      </c>
      <c r="E91" s="4">
        <f>Acciones!E91/Acciones!E90</f>
        <v>1</v>
      </c>
      <c r="F91" s="15">
        <f t="shared" si="3"/>
        <v>27993.264126847454</v>
      </c>
      <c r="G91" s="15">
        <f t="shared" si="5"/>
        <v>-506.73587315254554</v>
      </c>
      <c r="H91" s="4">
        <f t="shared" si="4"/>
        <v>-1.7780206075527882E-2</v>
      </c>
      <c r="I91" s="4"/>
    </row>
    <row r="92" spans="1:9" x14ac:dyDescent="0.2">
      <c r="A92" s="1">
        <f>Acciones!A92</f>
        <v>45128</v>
      </c>
      <c r="B92" s="4">
        <f>Acciones!B92/Acciones!B91</f>
        <v>0.99543202381909279</v>
      </c>
      <c r="C92" s="4">
        <f>Acciones!C92/Acciones!C91</f>
        <v>1.0036353969333294</v>
      </c>
      <c r="D92" s="4">
        <f>Acciones!D92/Acciones!D91</f>
        <v>1.0142777637653508</v>
      </c>
      <c r="E92" s="4">
        <f>Acciones!E92/Acciones!E91</f>
        <v>0.99666666984558006</v>
      </c>
      <c r="F92" s="15">
        <f t="shared" si="3"/>
        <v>28642.992676037647</v>
      </c>
      <c r="G92" s="15">
        <f t="shared" si="5"/>
        <v>142.99267603764747</v>
      </c>
      <c r="H92" s="4">
        <f t="shared" si="4"/>
        <v>5.0172868785138824E-3</v>
      </c>
      <c r="I92" s="4"/>
    </row>
    <row r="93" spans="1:9" x14ac:dyDescent="0.2">
      <c r="A93" s="1">
        <f>Acciones!A93</f>
        <v>45131</v>
      </c>
      <c r="B93" s="4">
        <f>Acciones!B93/Acciones!B92</f>
        <v>0.99426388512413544</v>
      </c>
      <c r="C93" s="4">
        <f>Acciones!C93/Acciones!C92</f>
        <v>0.95785595693886871</v>
      </c>
      <c r="D93" s="4">
        <f>Acciones!D93/Acciones!D92</f>
        <v>1.0028654890375508</v>
      </c>
      <c r="E93" s="4">
        <f>Acciones!E93/Acciones!E92</f>
        <v>1</v>
      </c>
      <c r="F93" s="15">
        <f t="shared" si="3"/>
        <v>28108.210079229233</v>
      </c>
      <c r="G93" s="15">
        <f t="shared" si="5"/>
        <v>-391.78992077076691</v>
      </c>
      <c r="H93" s="4">
        <f t="shared" si="4"/>
        <v>-1.3747014763886511E-2</v>
      </c>
      <c r="I93" s="4"/>
    </row>
    <row r="94" spans="1:9" x14ac:dyDescent="0.2">
      <c r="A94" s="1">
        <f>Acciones!A94</f>
        <v>45132</v>
      </c>
      <c r="B94" s="4">
        <f>Acciones!B94/Acciones!B93</f>
        <v>1.0026923176928655</v>
      </c>
      <c r="C94" s="4">
        <f>Acciones!C94/Acciones!C93</f>
        <v>0.99963635467813972</v>
      </c>
      <c r="D94" s="4">
        <f>Acciones!D94/Acciones!D93</f>
        <v>0.99276502728185978</v>
      </c>
      <c r="E94" s="4">
        <f>Acciones!E94/Acciones!E93</f>
        <v>1</v>
      </c>
      <c r="F94" s="15">
        <f t="shared" si="3"/>
        <v>28433.618754185954</v>
      </c>
      <c r="G94" s="15">
        <f t="shared" si="5"/>
        <v>-66.381245814045542</v>
      </c>
      <c r="H94" s="4">
        <f t="shared" si="4"/>
        <v>-2.3291665197910927E-3</v>
      </c>
      <c r="I94" s="4"/>
    </row>
    <row r="95" spans="1:9" x14ac:dyDescent="0.2">
      <c r="A95" s="1">
        <f>Acciones!A95</f>
        <v>45133</v>
      </c>
      <c r="B95" s="4">
        <f>Acciones!B95/Acciones!B94</f>
        <v>0.99846568585053408</v>
      </c>
      <c r="C95" s="4">
        <f>Acciones!C95/Acciones!C94</f>
        <v>1.0294277990255838</v>
      </c>
      <c r="D95" s="4">
        <f>Acciones!D95/Acciones!D94</f>
        <v>1.0040172029521266</v>
      </c>
      <c r="E95" s="4">
        <f>Acciones!E95/Acciones!E94</f>
        <v>1</v>
      </c>
      <c r="F95" s="15">
        <f t="shared" si="3"/>
        <v>28814.366020741181</v>
      </c>
      <c r="G95" s="15">
        <f t="shared" si="5"/>
        <v>314.36602074118127</v>
      </c>
      <c r="H95" s="4">
        <f t="shared" si="4"/>
        <v>1.1030386692673089E-2</v>
      </c>
      <c r="I95" s="4"/>
    </row>
    <row r="96" spans="1:9" x14ac:dyDescent="0.2">
      <c r="A96" s="1">
        <f>Acciones!A96</f>
        <v>45134</v>
      </c>
      <c r="B96" s="4">
        <f>Acciones!B96/Acciones!B95</f>
        <v>0.99193227819655261</v>
      </c>
      <c r="C96" s="4">
        <f>Acciones!C96/Acciones!C95</f>
        <v>0.95229681978798586</v>
      </c>
      <c r="D96" s="4">
        <f>Acciones!D96/Acciones!D95</f>
        <v>0.98751362571356727</v>
      </c>
      <c r="E96" s="4">
        <f>Acciones!E96/Acciones!E95</f>
        <v>1</v>
      </c>
      <c r="F96" s="15">
        <f t="shared" si="3"/>
        <v>27893.719018809472</v>
      </c>
      <c r="G96" s="15">
        <f t="shared" si="5"/>
        <v>-606.28098119052811</v>
      </c>
      <c r="H96" s="4">
        <f t="shared" si="4"/>
        <v>-2.1273016883878171E-2</v>
      </c>
      <c r="I96" s="4"/>
    </row>
    <row r="97" spans="1:9" x14ac:dyDescent="0.2">
      <c r="A97" s="1">
        <f>Acciones!A97</f>
        <v>45135</v>
      </c>
      <c r="B97" s="4">
        <f>Acciones!B97/Acciones!B96</f>
        <v>1.0240125294486966</v>
      </c>
      <c r="C97" s="4">
        <f>Acciones!C97/Acciones!C96</f>
        <v>1.0370315806542783</v>
      </c>
      <c r="D97" s="4">
        <f>Acciones!D97/Acciones!D96</f>
        <v>0.99395819029998056</v>
      </c>
      <c r="E97" s="4">
        <f>Acciones!E97/Acciones!E96</f>
        <v>1.0200668704308253</v>
      </c>
      <c r="F97" s="15">
        <f t="shared" si="3"/>
        <v>28985.793559655431</v>
      </c>
      <c r="G97" s="15">
        <f t="shared" si="5"/>
        <v>485.79355965543073</v>
      </c>
      <c r="H97" s="4">
        <f t="shared" si="4"/>
        <v>1.7045388058085198E-2</v>
      </c>
      <c r="I97" s="4"/>
    </row>
    <row r="98" spans="1:9" x14ac:dyDescent="0.2">
      <c r="A98" s="1">
        <f>Acciones!A98</f>
        <v>45138</v>
      </c>
      <c r="B98" s="4">
        <f>Acciones!B98/Acciones!B97</f>
        <v>1.0105899008200607</v>
      </c>
      <c r="C98" s="4">
        <f>Acciones!C98/Acciones!C97</f>
        <v>1.0408973530358854</v>
      </c>
      <c r="D98" s="4">
        <f>Acciones!D98/Acciones!D97</f>
        <v>1.0218416925209208</v>
      </c>
      <c r="E98" s="4">
        <f>Acciones!E98/Acciones!E97</f>
        <v>1</v>
      </c>
      <c r="F98" s="15">
        <f t="shared" si="3"/>
        <v>29144.00643192033</v>
      </c>
      <c r="G98" s="15">
        <f t="shared" si="5"/>
        <v>644.00643192033021</v>
      </c>
      <c r="H98" s="4">
        <f t="shared" si="4"/>
        <v>2.2596716909485171E-2</v>
      </c>
      <c r="I98" s="4"/>
    </row>
    <row r="99" spans="1:9" x14ac:dyDescent="0.2">
      <c r="A99" s="1">
        <f>Acciones!A99</f>
        <v>45139</v>
      </c>
      <c r="B99" s="4">
        <f>Acciones!B99/Acciones!B98</f>
        <v>0.98502994851133008</v>
      </c>
      <c r="C99" s="4">
        <f>Acciones!C99/Acciones!C98</f>
        <v>0.9772094297227617</v>
      </c>
      <c r="D99" s="4">
        <f>Acciones!D99/Acciones!D98</f>
        <v>1.000270692449845</v>
      </c>
      <c r="E99" s="4">
        <f>Acciones!E99/Acciones!E98</f>
        <v>1</v>
      </c>
      <c r="F99" s="15">
        <f t="shared" si="3"/>
        <v>28233.801326654342</v>
      </c>
      <c r="G99" s="15">
        <f t="shared" si="5"/>
        <v>-266.19867334565788</v>
      </c>
      <c r="H99" s="4">
        <f t="shared" si="4"/>
        <v>-9.34030432791777E-3</v>
      </c>
      <c r="I99" s="4"/>
    </row>
    <row r="100" spans="1:9" x14ac:dyDescent="0.2">
      <c r="A100" s="1">
        <f>Acciones!A100</f>
        <v>45140</v>
      </c>
      <c r="B100" s="4">
        <f>Acciones!B100/Acciones!B99</f>
        <v>0.95402742408122121</v>
      </c>
      <c r="C100" s="4">
        <f>Acciones!C100/Acciones!C99</f>
        <v>0.9868439909580885</v>
      </c>
      <c r="D100" s="4">
        <f>Acciones!D100/Acciones!D99</f>
        <v>0.99567102033439647</v>
      </c>
      <c r="E100" s="4">
        <f>Acciones!E100/Acciones!E99</f>
        <v>1</v>
      </c>
      <c r="F100" s="15">
        <f t="shared" si="3"/>
        <v>28170.824101730082</v>
      </c>
      <c r="G100" s="15">
        <f t="shared" si="5"/>
        <v>-329.17589826991752</v>
      </c>
      <c r="H100" s="4">
        <f t="shared" si="4"/>
        <v>-1.1550031518242743E-2</v>
      </c>
      <c r="I100" s="4"/>
    </row>
    <row r="101" spans="1:9" x14ac:dyDescent="0.2">
      <c r="A101" s="1">
        <f>Acciones!A101</f>
        <v>45141</v>
      </c>
      <c r="B101" s="4">
        <f>Acciones!B101/Acciones!B100</f>
        <v>1.0019911768183904</v>
      </c>
      <c r="C101" s="4">
        <f>Acciones!C101/Acciones!C100</f>
        <v>1.0230626685094293</v>
      </c>
      <c r="D101" s="4">
        <f>Acciones!D101/Acciones!D100</f>
        <v>1.0165868622762488</v>
      </c>
      <c r="E101" s="4">
        <f>Acciones!E101/Acciones!E100</f>
        <v>1</v>
      </c>
      <c r="F101" s="15">
        <f t="shared" si="3"/>
        <v>28891.933092466432</v>
      </c>
      <c r="G101" s="15">
        <f t="shared" si="5"/>
        <v>391.93309246643184</v>
      </c>
      <c r="H101" s="4">
        <f t="shared" si="4"/>
        <v>1.3752038332155436E-2</v>
      </c>
      <c r="I101" s="4"/>
    </row>
    <row r="102" spans="1:9" x14ac:dyDescent="0.2">
      <c r="A102" s="1">
        <f>Acciones!A102</f>
        <v>45142</v>
      </c>
      <c r="B102" s="4">
        <f>Acciones!B102/Acciones!B101</f>
        <v>1.0369635614404658</v>
      </c>
      <c r="C102" s="4">
        <f>Acciones!C102/Acciones!C101</f>
        <v>0.94578587147082283</v>
      </c>
      <c r="D102" s="4">
        <f>Acciones!D102/Acciones!D101</f>
        <v>0.99972210152247654</v>
      </c>
      <c r="E102" s="4">
        <f>Acciones!E102/Acciones!E101</f>
        <v>0.98360657275476071</v>
      </c>
      <c r="F102" s="15">
        <f t="shared" si="3"/>
        <v>28021.395409390396</v>
      </c>
      <c r="G102" s="15">
        <f t="shared" si="5"/>
        <v>-478.6045906096042</v>
      </c>
      <c r="H102" s="4">
        <f t="shared" si="4"/>
        <v>-1.6793143530161592E-2</v>
      </c>
      <c r="I102" s="4"/>
    </row>
    <row r="103" spans="1:9" x14ac:dyDescent="0.2">
      <c r="A103" s="1">
        <f>Acciones!A103</f>
        <v>45145</v>
      </c>
      <c r="B103" s="4">
        <f>Acciones!B103/Acciones!B102</f>
        <v>1.0176311631180497</v>
      </c>
      <c r="C103" s="4">
        <f>Acciones!C103/Acciones!C102</f>
        <v>0.93799957143856005</v>
      </c>
      <c r="D103" s="4">
        <f>Acciones!D103/Acciones!D102</f>
        <v>1.0048127902877428</v>
      </c>
      <c r="E103" s="4">
        <f>Acciones!E103/Acciones!E102</f>
        <v>1</v>
      </c>
      <c r="F103" s="15">
        <f t="shared" si="3"/>
        <v>28020.832902456921</v>
      </c>
      <c r="G103" s="15">
        <f t="shared" si="5"/>
        <v>-479.16709754307885</v>
      </c>
      <c r="H103" s="4">
        <f t="shared" si="4"/>
        <v>-1.6812880615546644E-2</v>
      </c>
      <c r="I103" s="4"/>
    </row>
    <row r="104" spans="1:9" x14ac:dyDescent="0.2">
      <c r="A104" s="1">
        <f>Acciones!A104</f>
        <v>45146</v>
      </c>
      <c r="B104" s="4">
        <f>Acciones!B104/Acciones!B103</f>
        <v>0.97627117377775652</v>
      </c>
      <c r="C104" s="4">
        <f>Acciones!C104/Acciones!C103</f>
        <v>1.0594612164746524</v>
      </c>
      <c r="D104" s="4">
        <f>Acciones!D104/Acciones!D103</f>
        <v>0.99254923809124818</v>
      </c>
      <c r="E104" s="4">
        <f>Acciones!E104/Acciones!E103</f>
        <v>1.0299999713897701</v>
      </c>
      <c r="F104" s="15">
        <f t="shared" si="3"/>
        <v>29072.322888287559</v>
      </c>
      <c r="G104" s="15">
        <f t="shared" si="5"/>
        <v>572.32288828755918</v>
      </c>
      <c r="H104" s="4">
        <f t="shared" si="4"/>
        <v>2.0081504852194954E-2</v>
      </c>
      <c r="I104" s="4"/>
    </row>
    <row r="105" spans="1:9" x14ac:dyDescent="0.2">
      <c r="A105" s="1">
        <f>Acciones!A105</f>
        <v>45147</v>
      </c>
      <c r="B105" s="4">
        <f>Acciones!B105/Acciones!B104</f>
        <v>0.98225312010162524</v>
      </c>
      <c r="C105" s="4">
        <f>Acciones!C105/Acciones!C104</f>
        <v>0.98643237125736349</v>
      </c>
      <c r="D105" s="4">
        <f>Acciones!D105/Acciones!D104</f>
        <v>0.9973297007267935</v>
      </c>
      <c r="E105" s="4">
        <f>Acciones!E105/Acciones!E104</f>
        <v>1.0032362429582584</v>
      </c>
      <c r="F105" s="15">
        <f t="shared" si="3"/>
        <v>28300.089790839</v>
      </c>
      <c r="G105" s="15">
        <f t="shared" si="5"/>
        <v>-199.91020916100024</v>
      </c>
      <c r="H105" s="4">
        <f t="shared" si="4"/>
        <v>-7.0143933038947504E-3</v>
      </c>
      <c r="I105" s="4"/>
    </row>
    <row r="106" spans="1:9" x14ac:dyDescent="0.2">
      <c r="A106" s="1">
        <f>Acciones!A106</f>
        <v>45148</v>
      </c>
      <c r="B106" s="4">
        <f>Acciones!B106/Acciones!B105</f>
        <v>0.98743124062299825</v>
      </c>
      <c r="C106" s="4">
        <f>Acciones!C106/Acciones!C105</f>
        <v>0.92333705867207971</v>
      </c>
      <c r="D106" s="4">
        <f>Acciones!D106/Acciones!D105</f>
        <v>0.9892957991584902</v>
      </c>
      <c r="E106" s="4">
        <f>Acciones!E106/Acciones!E105</f>
        <v>1</v>
      </c>
      <c r="F106" s="15">
        <f t="shared" si="3"/>
        <v>27620.669391150153</v>
      </c>
      <c r="G106" s="15">
        <f t="shared" si="5"/>
        <v>-879.33060884984661</v>
      </c>
      <c r="H106" s="4">
        <f t="shared" si="4"/>
        <v>-3.0853705573678836E-2</v>
      </c>
      <c r="I106" s="4"/>
    </row>
    <row r="107" spans="1:9" x14ac:dyDescent="0.2">
      <c r="A107" s="1">
        <f>Acciones!A107</f>
        <v>45149</v>
      </c>
      <c r="B107" s="4">
        <f>Acciones!B107/Acciones!B106</f>
        <v>0.99045348233371622</v>
      </c>
      <c r="C107" s="4">
        <f>Acciones!C107/Acciones!C106</f>
        <v>1.0097680471513339</v>
      </c>
      <c r="D107" s="4">
        <f>Acciones!D107/Acciones!D106</f>
        <v>0.99994032159673729</v>
      </c>
      <c r="E107" s="4">
        <f>Acciones!E107/Acciones!E106</f>
        <v>0.96774196525518508</v>
      </c>
      <c r="F107" s="15">
        <f t="shared" si="3"/>
        <v>28381.367660976575</v>
      </c>
      <c r="G107" s="15">
        <f t="shared" si="5"/>
        <v>-118.63233902342472</v>
      </c>
      <c r="H107" s="4">
        <f t="shared" si="4"/>
        <v>-4.1625382113482656E-3</v>
      </c>
      <c r="I107" s="4"/>
    </row>
    <row r="108" spans="1:9" x14ac:dyDescent="0.2">
      <c r="A108" s="1">
        <f>Acciones!A108</f>
        <v>45152</v>
      </c>
      <c r="B108" s="4">
        <f>Acciones!B108/Acciones!B107</f>
        <v>1.0196787069265381</v>
      </c>
      <c r="C108" s="4">
        <f>Acciones!C108/Acciones!C107</f>
        <v>1.0183393296293213</v>
      </c>
      <c r="D108" s="4">
        <f>Acciones!D108/Acciones!D107</f>
        <v>0.99458144978071894</v>
      </c>
      <c r="E108" s="4">
        <f>Acciones!E108/Acciones!E107</f>
        <v>0.96666669845580999</v>
      </c>
      <c r="F108" s="15">
        <f t="shared" si="3"/>
        <v>28505.580445035575</v>
      </c>
      <c r="G108" s="15">
        <f t="shared" si="5"/>
        <v>5.5804450355753943</v>
      </c>
      <c r="H108" s="4">
        <f t="shared" si="4"/>
        <v>1.9580508896765991E-4</v>
      </c>
      <c r="I108" s="4"/>
    </row>
    <row r="109" spans="1:9" x14ac:dyDescent="0.2">
      <c r="A109" s="1">
        <f>Acciones!A109</f>
        <v>45153</v>
      </c>
      <c r="B109" s="4">
        <f>Acciones!B109/Acciones!B108</f>
        <v>0.98818437150830596</v>
      </c>
      <c r="C109" s="4">
        <f>Acciones!C109/Acciones!C108</f>
        <v>0.95020784929280355</v>
      </c>
      <c r="D109" s="4">
        <f>Acciones!D109/Acciones!D108</f>
        <v>0.99451928312301263</v>
      </c>
      <c r="E109" s="4">
        <f>Acciones!E109/Acciones!E108</f>
        <v>1.0241379072209724</v>
      </c>
      <c r="F109" s="15">
        <f t="shared" si="3"/>
        <v>28063.571189506183</v>
      </c>
      <c r="G109" s="15">
        <f t="shared" si="5"/>
        <v>-436.42881049381685</v>
      </c>
      <c r="H109" s="4">
        <f t="shared" si="4"/>
        <v>-1.5313291596274259E-2</v>
      </c>
      <c r="I109" s="4"/>
    </row>
    <row r="110" spans="1:9" x14ac:dyDescent="0.2">
      <c r="A110" s="1">
        <f>Acciones!A110</f>
        <v>45154</v>
      </c>
      <c r="B110" s="4">
        <f>Acciones!B110/Acciones!B109</f>
        <v>0.99202862119638646</v>
      </c>
      <c r="C110" s="4">
        <f>Acciones!C110/Acciones!C109</f>
        <v>0.96688460880373772</v>
      </c>
      <c r="D110" s="4">
        <f>Acciones!D110/Acciones!D109</f>
        <v>0.99563173082744194</v>
      </c>
      <c r="E110" s="4">
        <f>Acciones!E110/Acciones!E109</f>
        <v>1.0101010003706357</v>
      </c>
      <c r="F110" s="15">
        <f t="shared" si="3"/>
        <v>28169.376768135775</v>
      </c>
      <c r="G110" s="15">
        <f t="shared" si="5"/>
        <v>-330.62323186422509</v>
      </c>
      <c r="H110" s="4">
        <f t="shared" si="4"/>
        <v>-1.1600815153130717E-2</v>
      </c>
      <c r="I110" s="4"/>
    </row>
    <row r="111" spans="1:9" x14ac:dyDescent="0.2">
      <c r="A111" s="1">
        <f>Acciones!A111</f>
        <v>45155</v>
      </c>
      <c r="B111" s="4">
        <f>Acciones!B111/Acciones!B110</f>
        <v>0.99316998014806546</v>
      </c>
      <c r="C111" s="4">
        <f>Acciones!C111/Acciones!C110</f>
        <v>0.90651388331588312</v>
      </c>
      <c r="D111" s="4">
        <f>Acciones!D111/Acciones!D110</f>
        <v>1.0098950366723058</v>
      </c>
      <c r="E111" s="4">
        <f>Acciones!E111/Acciones!E110</f>
        <v>1</v>
      </c>
      <c r="F111" s="15">
        <f t="shared" si="3"/>
        <v>27686.927188742178</v>
      </c>
      <c r="G111" s="15">
        <f t="shared" si="5"/>
        <v>-813.07281125782174</v>
      </c>
      <c r="H111" s="4">
        <f t="shared" si="4"/>
        <v>-2.8528870570449838E-2</v>
      </c>
      <c r="I111" s="4"/>
    </row>
    <row r="112" spans="1:9" x14ac:dyDescent="0.2">
      <c r="A112" s="1">
        <f>Acciones!A112</f>
        <v>45156</v>
      </c>
      <c r="B112" s="4">
        <f>Acciones!B112/Acciones!B111</f>
        <v>1.0080906099845501</v>
      </c>
      <c r="C112" s="4">
        <f>Acciones!C112/Acciones!C111</f>
        <v>0.91246080064046153</v>
      </c>
      <c r="D112" s="4">
        <f>Acciones!D112/Acciones!D111</f>
        <v>0.97521812545240572</v>
      </c>
      <c r="E112" s="4">
        <f>Acciones!E112/Acciones!E111</f>
        <v>1</v>
      </c>
      <c r="F112" s="15">
        <f t="shared" si="3"/>
        <v>27448.875995554368</v>
      </c>
      <c r="G112" s="15">
        <f t="shared" si="5"/>
        <v>-1051.1240044456317</v>
      </c>
      <c r="H112" s="4">
        <f t="shared" si="4"/>
        <v>-3.6881544015636147E-2</v>
      </c>
      <c r="I112" s="4"/>
    </row>
    <row r="113" spans="1:9" x14ac:dyDescent="0.2">
      <c r="A113" s="1">
        <f>Acciones!A113</f>
        <v>45159</v>
      </c>
      <c r="B113" s="4">
        <f>Acciones!B113/Acciones!B112</f>
        <v>0.98274468402738024</v>
      </c>
      <c r="C113" s="4">
        <f>Acciones!C113/Acciones!C112</f>
        <v>0.97916666666666663</v>
      </c>
      <c r="D113" s="4">
        <f>Acciones!D113/Acciones!D112</f>
        <v>0.98153681198651332</v>
      </c>
      <c r="E113" s="4">
        <f>Acciones!E113/Acciones!E112</f>
        <v>0.99000000953674006</v>
      </c>
      <c r="F113" s="15">
        <f t="shared" si="3"/>
        <v>28002.057899746364</v>
      </c>
      <c r="G113" s="15">
        <f t="shared" si="5"/>
        <v>-497.94210025363645</v>
      </c>
      <c r="H113" s="4">
        <f t="shared" si="4"/>
        <v>-1.7471652640478452E-2</v>
      </c>
      <c r="I113" s="4"/>
    </row>
    <row r="114" spans="1:9" x14ac:dyDescent="0.2">
      <c r="A114" s="1">
        <f>Acciones!A114</f>
        <v>45160</v>
      </c>
      <c r="B114" s="4">
        <f>Acciones!B114/Acciones!B113</f>
        <v>0.98325860932261888</v>
      </c>
      <c r="C114" s="4">
        <f>Acciones!C114/Acciones!C113</f>
        <v>0.9885638622527394</v>
      </c>
      <c r="D114" s="4">
        <f>Acciones!D114/Acciones!D113</f>
        <v>0.97934567773534542</v>
      </c>
      <c r="E114" s="4">
        <f>Acciones!E114/Acciones!E113</f>
        <v>0.98989899962936756</v>
      </c>
      <c r="F114" s="15">
        <f t="shared" si="3"/>
        <v>28070.663099345169</v>
      </c>
      <c r="G114" s="15">
        <f t="shared" si="5"/>
        <v>-429.33690065483097</v>
      </c>
      <c r="H114" s="4">
        <f t="shared" si="4"/>
        <v>-1.5064452654555471E-2</v>
      </c>
      <c r="I114" s="4"/>
    </row>
    <row r="115" spans="1:9" x14ac:dyDescent="0.2">
      <c r="A115" s="1">
        <f>Acciones!A115</f>
        <v>45161</v>
      </c>
      <c r="B115" s="4">
        <f>Acciones!B115/Acciones!B114</f>
        <v>1.0531561626554644</v>
      </c>
      <c r="C115" s="4">
        <f>Acciones!C115/Acciones!C114</f>
        <v>1.0686574876932149</v>
      </c>
      <c r="D115" s="4">
        <f>Acciones!D115/Acciones!D114</f>
        <v>0.97392574871118665</v>
      </c>
      <c r="E115" s="4">
        <f>Acciones!E115/Acciones!E114</f>
        <v>1</v>
      </c>
      <c r="F115" s="15">
        <f t="shared" si="3"/>
        <v>29077.550189491536</v>
      </c>
      <c r="G115" s="15">
        <f t="shared" si="5"/>
        <v>577.550189491536</v>
      </c>
      <c r="H115" s="4">
        <f t="shared" si="4"/>
        <v>2.0264918929527642E-2</v>
      </c>
      <c r="I115" s="4"/>
    </row>
    <row r="116" spans="1:9" x14ac:dyDescent="0.2">
      <c r="A116" s="1">
        <f>Acciones!A116</f>
        <v>45162</v>
      </c>
      <c r="B116" s="4">
        <f>Acciones!B116/Acciones!B115</f>
        <v>0.95110414890987649</v>
      </c>
      <c r="C116" s="4">
        <f>Acciones!C116/Acciones!C115</f>
        <v>0.88867629755599187</v>
      </c>
      <c r="D116" s="4">
        <f>Acciones!D116/Acciones!D115</f>
        <v>0.98242749393984852</v>
      </c>
      <c r="E116" s="4">
        <f>Acciones!E116/Acciones!E115</f>
        <v>1.0136054289369121</v>
      </c>
      <c r="F116" s="15">
        <f t="shared" si="3"/>
        <v>27170.394146517989</v>
      </c>
      <c r="G116" s="15">
        <f t="shared" si="5"/>
        <v>-1329.6058534820113</v>
      </c>
      <c r="H116" s="4">
        <f t="shared" si="4"/>
        <v>-4.665283696428113E-2</v>
      </c>
      <c r="I116" s="4"/>
    </row>
    <row r="117" spans="1:9" x14ac:dyDescent="0.2">
      <c r="A117" s="1">
        <f>Acciones!A117</f>
        <v>45163</v>
      </c>
      <c r="B117" s="4">
        <f>Acciones!B117/Acciones!B116</f>
        <v>0.98175782300594339</v>
      </c>
      <c r="C117" s="4">
        <f>Acciones!C117/Acciones!C116</f>
        <v>1.0030594520460736</v>
      </c>
      <c r="D117" s="4">
        <f>Acciones!D117/Acciones!D116</f>
        <v>1.0083404661442321</v>
      </c>
      <c r="E117" s="4">
        <f>Acciones!E117/Acciones!E116</f>
        <v>1</v>
      </c>
      <c r="F117" s="15">
        <f t="shared" si="3"/>
        <v>28548.621836400824</v>
      </c>
      <c r="G117" s="15">
        <f t="shared" si="5"/>
        <v>48.621836400823668</v>
      </c>
      <c r="H117" s="4">
        <f t="shared" si="4"/>
        <v>1.7060293473973864E-3</v>
      </c>
      <c r="I117" s="4"/>
    </row>
    <row r="118" spans="1:9" x14ac:dyDescent="0.2">
      <c r="A118" s="1">
        <f>Acciones!A118</f>
        <v>45166</v>
      </c>
      <c r="B118" s="4">
        <f>Acciones!B118/Acciones!B117</f>
        <v>1.0451858797544797</v>
      </c>
      <c r="C118" s="4">
        <f>Acciones!C118/Acciones!C117</f>
        <v>0.99983055365773477</v>
      </c>
      <c r="D118" s="4">
        <f>Acciones!D118/Acciones!D117</f>
        <v>1.0174549824847336</v>
      </c>
      <c r="E118" s="4">
        <f>Acciones!E118/Acciones!E117</f>
        <v>1</v>
      </c>
      <c r="F118" s="15">
        <f t="shared" si="3"/>
        <v>28831.090663736497</v>
      </c>
      <c r="G118" s="15">
        <f t="shared" si="5"/>
        <v>331.09066373649694</v>
      </c>
      <c r="H118" s="4">
        <f t="shared" si="4"/>
        <v>1.1617216271456066E-2</v>
      </c>
      <c r="I118" s="4"/>
    </row>
    <row r="119" spans="1:9" x14ac:dyDescent="0.2">
      <c r="A119" s="1">
        <f>Acciones!A119</f>
        <v>45167</v>
      </c>
      <c r="B119" s="4">
        <f>Acciones!B119/Acciones!B118</f>
        <v>1.0262625461343662</v>
      </c>
      <c r="C119" s="4">
        <f>Acciones!C119/Acciones!C118</f>
        <v>1.2993051953588037</v>
      </c>
      <c r="D119" s="4">
        <f>Acciones!D119/Acciones!D118</f>
        <v>1.0194062970067819</v>
      </c>
      <c r="E119" s="4">
        <f>Acciones!E119/Acciones!E118</f>
        <v>0.99664429852373992</v>
      </c>
      <c r="F119" s="15">
        <f t="shared" si="3"/>
        <v>31610.924879327307</v>
      </c>
      <c r="G119" s="15">
        <f t="shared" si="5"/>
        <v>3110.9248793273073</v>
      </c>
      <c r="H119" s="4">
        <f t="shared" si="4"/>
        <v>0.10915525892376521</v>
      </c>
      <c r="I119" s="4"/>
    </row>
    <row r="120" spans="1:9" x14ac:dyDescent="0.2">
      <c r="A120" s="1">
        <f>Acciones!A120</f>
        <v>45168</v>
      </c>
      <c r="B120" s="4">
        <f>Acciones!B120/Acciones!B119</f>
        <v>1.0035432291245412</v>
      </c>
      <c r="C120" s="4">
        <f>Acciones!C120/Acciones!C119</f>
        <v>0.98265139615694042</v>
      </c>
      <c r="D120" s="4">
        <f>Acciones!D120/Acciones!D119</f>
        <v>0.9966971821750118</v>
      </c>
      <c r="E120" s="4">
        <f>Acciones!E120/Acciones!E119</f>
        <v>1.0101010003706357</v>
      </c>
      <c r="F120" s="15">
        <f t="shared" si="3"/>
        <v>28370.116889215442</v>
      </c>
      <c r="G120" s="15">
        <f t="shared" si="5"/>
        <v>-129.88311078455808</v>
      </c>
      <c r="H120" s="4">
        <f t="shared" si="4"/>
        <v>-4.5573021327914853E-3</v>
      </c>
      <c r="I120" s="4"/>
    </row>
    <row r="121" spans="1:9" x14ac:dyDescent="0.2">
      <c r="A121" s="1">
        <f>Acciones!A121</f>
        <v>45169</v>
      </c>
      <c r="B121" s="4">
        <f>Acciones!B121/Acciones!B120</f>
        <v>0.99136925655670882</v>
      </c>
      <c r="C121" s="4">
        <f>Acciones!C121/Acciones!C120</f>
        <v>0.94619467406146018</v>
      </c>
      <c r="D121" s="4">
        <f>Acciones!D121/Acciones!D120</f>
        <v>1.0111044997565819</v>
      </c>
      <c r="E121" s="4">
        <f>Acciones!E121/Acciones!E120</f>
        <v>0.96333336830138994</v>
      </c>
      <c r="F121" s="15">
        <f t="shared" si="3"/>
        <v>27868.020324755817</v>
      </c>
      <c r="G121" s="15">
        <f t="shared" si="5"/>
        <v>-631.97967524418345</v>
      </c>
      <c r="H121" s="4">
        <f t="shared" si="4"/>
        <v>-2.2174725447164367E-2</v>
      </c>
      <c r="I121" s="4"/>
    </row>
    <row r="122" spans="1:9" x14ac:dyDescent="0.2">
      <c r="A122" s="1">
        <f>Acciones!A122</f>
        <v>45170</v>
      </c>
      <c r="B122" s="4">
        <f>Acciones!B122/Acciones!B121</f>
        <v>1.00395721894294</v>
      </c>
      <c r="C122" s="4">
        <f>Acciones!C122/Acciones!C121</f>
        <v>0.95866069730041581</v>
      </c>
      <c r="D122" s="4">
        <f>Acciones!D122/Acciones!D121</f>
        <v>1.0091752604458561</v>
      </c>
      <c r="E122" s="4">
        <f>Acciones!E122/Acciones!E121</f>
        <v>0.98615910075444912</v>
      </c>
      <c r="F122" s="15">
        <f t="shared" si="3"/>
        <v>28136.75454926227</v>
      </c>
      <c r="G122" s="15">
        <f t="shared" si="5"/>
        <v>-363.2454507377297</v>
      </c>
      <c r="H122" s="4">
        <f t="shared" si="4"/>
        <v>-1.2745454411850154E-2</v>
      </c>
      <c r="I122" s="4"/>
    </row>
    <row r="123" spans="1:9" x14ac:dyDescent="0.2">
      <c r="A123" s="1">
        <f>Acciones!A123</f>
        <v>45173</v>
      </c>
      <c r="B123" s="4">
        <f>Acciones!B123/Acciones!B122</f>
        <v>1.0011825262165095</v>
      </c>
      <c r="C123" s="4">
        <f>Acciones!C123/Acciones!C122</f>
        <v>1.0497560826743511</v>
      </c>
      <c r="D123" s="4">
        <f>Acciones!D123/Acciones!D122</f>
        <v>0.99133211867573423</v>
      </c>
      <c r="E123" s="4">
        <f>Acciones!E123/Acciones!E122</f>
        <v>1</v>
      </c>
      <c r="F123" s="15">
        <f t="shared" si="3"/>
        <v>28890.142813921462</v>
      </c>
      <c r="G123" s="15">
        <f t="shared" si="5"/>
        <v>390.14281392146222</v>
      </c>
      <c r="H123" s="4">
        <f t="shared" si="4"/>
        <v>1.3689221541103969E-2</v>
      </c>
      <c r="I123" s="4"/>
    </row>
    <row r="124" spans="1:9" x14ac:dyDescent="0.2">
      <c r="A124" s="1">
        <f>Acciones!A124</f>
        <v>45174</v>
      </c>
      <c r="B124" s="4">
        <f>Acciones!B124/Acciones!B123</f>
        <v>1.0141733149361216</v>
      </c>
      <c r="C124" s="4">
        <f>Acciones!C124/Acciones!C123</f>
        <v>0.97486057742179633</v>
      </c>
      <c r="D124" s="4">
        <f>Acciones!D124/Acciones!D123</f>
        <v>1.0064322505775218</v>
      </c>
      <c r="E124" s="4">
        <f>Acciones!E124/Acciones!E123</f>
        <v>1</v>
      </c>
      <c r="F124" s="15">
        <f t="shared" si="3"/>
        <v>28375.10459355871</v>
      </c>
      <c r="G124" s="15">
        <f t="shared" si="5"/>
        <v>-124.89540644129011</v>
      </c>
      <c r="H124" s="4">
        <f t="shared" si="4"/>
        <v>-4.3822949628522512E-3</v>
      </c>
      <c r="I124" s="4"/>
    </row>
    <row r="125" spans="1:9" x14ac:dyDescent="0.2">
      <c r="A125" s="1">
        <f>Acciones!A125</f>
        <v>45175</v>
      </c>
      <c r="B125" s="4">
        <f>Acciones!B125/Acciones!B124</f>
        <v>1.0019408548813196</v>
      </c>
      <c r="C125" s="4">
        <f>Acciones!C125/Acciones!C124</f>
        <v>1.0183517146991135</v>
      </c>
      <c r="D125" s="4">
        <f>Acciones!D125/Acciones!D124</f>
        <v>0.99971275217294719</v>
      </c>
      <c r="E125" s="4">
        <f>Acciones!E125/Acciones!E124</f>
        <v>0.98245615649495044</v>
      </c>
      <c r="F125" s="15">
        <f t="shared" si="3"/>
        <v>28581.770664177893</v>
      </c>
      <c r="G125" s="15">
        <f t="shared" si="5"/>
        <v>81.770664177893195</v>
      </c>
      <c r="H125" s="4">
        <f t="shared" si="4"/>
        <v>2.8691461115051275E-3</v>
      </c>
      <c r="I125" s="4"/>
    </row>
    <row r="126" spans="1:9" x14ac:dyDescent="0.2">
      <c r="A126" s="1">
        <f>Acciones!A126</f>
        <v>45176</v>
      </c>
      <c r="B126" s="4">
        <f>Acciones!B126/Acciones!B125</f>
        <v>0.99070129969124898</v>
      </c>
      <c r="C126" s="4">
        <f>Acciones!C126/Acciones!C125</f>
        <v>1.0190039204745978</v>
      </c>
      <c r="D126" s="4">
        <f>Acciones!D126/Acciones!D125</f>
        <v>0.99114316637777788</v>
      </c>
      <c r="E126" s="4">
        <f>Acciones!E126/Acciones!E125</f>
        <v>1.0428571878647321</v>
      </c>
      <c r="F126" s="15">
        <f t="shared" si="3"/>
        <v>28795.137990461859</v>
      </c>
      <c r="G126" s="15">
        <f t="shared" si="5"/>
        <v>295.13799046185886</v>
      </c>
      <c r="H126" s="4">
        <f t="shared" si="4"/>
        <v>1.0355718963573901E-2</v>
      </c>
      <c r="I126" s="4"/>
    </row>
    <row r="127" spans="1:9" x14ac:dyDescent="0.2">
      <c r="A127" s="1">
        <f>Acciones!A127</f>
        <v>45177</v>
      </c>
      <c r="B127" s="4">
        <f>Acciones!B127/Acciones!B126</f>
        <v>1.0254204189442313</v>
      </c>
      <c r="C127" s="4">
        <f>Acciones!C127/Acciones!C126</f>
        <v>0.87831883047443049</v>
      </c>
      <c r="D127" s="4">
        <f>Acciones!D127/Acciones!D126</f>
        <v>0.99732835676385523</v>
      </c>
      <c r="E127" s="4">
        <f>Acciones!E127/Acciones!E126</f>
        <v>1.006849308357517</v>
      </c>
      <c r="F127" s="15">
        <f t="shared" si="3"/>
        <v>27443.955119416794</v>
      </c>
      <c r="G127" s="15">
        <f t="shared" si="5"/>
        <v>-1056.0448805832057</v>
      </c>
      <c r="H127" s="4">
        <f t="shared" si="4"/>
        <v>-3.7054206336252782E-2</v>
      </c>
      <c r="I127" s="4"/>
    </row>
    <row r="128" spans="1:9" x14ac:dyDescent="0.2">
      <c r="A128" s="1">
        <f>Acciones!A128</f>
        <v>45180</v>
      </c>
      <c r="B128" s="4">
        <f>Acciones!B128/Acciones!B127</f>
        <v>1.0144927525044156</v>
      </c>
      <c r="C128" s="4">
        <f>Acciones!C128/Acciones!C127</f>
        <v>0.909523547699853</v>
      </c>
      <c r="D128" s="4">
        <f>Acciones!D128/Acciones!D127</f>
        <v>0.9707496941765511</v>
      </c>
      <c r="E128" s="4">
        <f>Acciones!E128/Acciones!E127</f>
        <v>1</v>
      </c>
      <c r="F128" s="15">
        <f t="shared" si="3"/>
        <v>27398.695278679566</v>
      </c>
      <c r="G128" s="15">
        <f t="shared" si="5"/>
        <v>-1101.3047213204336</v>
      </c>
      <c r="H128" s="4">
        <f t="shared" si="4"/>
        <v>-3.8642270923524014E-2</v>
      </c>
      <c r="I128" s="4"/>
    </row>
    <row r="129" spans="1:9" x14ac:dyDescent="0.2">
      <c r="A129" s="1">
        <f>Acciones!A129</f>
        <v>45181</v>
      </c>
      <c r="B129" s="4">
        <f>Acciones!B129/Acciones!B128</f>
        <v>0.98947364496272816</v>
      </c>
      <c r="C129" s="4">
        <f>Acciones!C129/Acciones!C128</f>
        <v>1.0062675884936945</v>
      </c>
      <c r="D129" s="4">
        <f>Acciones!D129/Acciones!D128</f>
        <v>0.99225452407988668</v>
      </c>
      <c r="E129" s="4">
        <f>Acciones!E129/Acciones!E128</f>
        <v>0.9523809176260597</v>
      </c>
      <c r="F129" s="15">
        <f t="shared" si="3"/>
        <v>28183.340135801845</v>
      </c>
      <c r="G129" s="15">
        <f t="shared" si="5"/>
        <v>-316.65986419815454</v>
      </c>
      <c r="H129" s="4">
        <f t="shared" si="4"/>
        <v>-1.1110872428005458E-2</v>
      </c>
      <c r="I129" s="4"/>
    </row>
    <row r="130" spans="1:9" x14ac:dyDescent="0.2">
      <c r="A130" s="1">
        <f>Acciones!A130</f>
        <v>45182</v>
      </c>
      <c r="B130" s="4">
        <f>Acciones!B130/Acciones!B129</f>
        <v>0.9696049574211939</v>
      </c>
      <c r="C130" s="4">
        <f>Acciones!C130/Acciones!C129</f>
        <v>0.98285714285714287</v>
      </c>
      <c r="D130" s="4">
        <f>Acciones!D130/Acciones!D129</f>
        <v>1.0189114853644718</v>
      </c>
      <c r="E130" s="4">
        <f>Acciones!E130/Acciones!E129</f>
        <v>1</v>
      </c>
      <c r="F130" s="15">
        <f t="shared" si="3"/>
        <v>28419.875061761755</v>
      </c>
      <c r="G130" s="15">
        <f t="shared" si="5"/>
        <v>-80.124938238244795</v>
      </c>
      <c r="H130" s="4">
        <f t="shared" si="4"/>
        <v>-2.8114013416927763E-3</v>
      </c>
      <c r="I130" s="4"/>
    </row>
    <row r="131" spans="1:9" x14ac:dyDescent="0.2">
      <c r="A131" s="1">
        <f>Acciones!A131</f>
        <v>45183</v>
      </c>
      <c r="B131" s="4">
        <f>Acciones!B131/Acciones!B130</f>
        <v>1.0305642508914008</v>
      </c>
      <c r="C131" s="4">
        <f>Acciones!C131/Acciones!C130</f>
        <v>1.0002325191054184</v>
      </c>
      <c r="D131" s="4">
        <f>Acciones!D131/Acciones!D130</f>
        <v>0.98696340224772627</v>
      </c>
      <c r="E131" s="4">
        <f>Acciones!E131/Acciones!E130</f>
        <v>1</v>
      </c>
      <c r="F131" s="15">
        <f t="shared" ref="F131:F194" si="6">$J$2*B131+$J$3*C131+$J$4*D131+$J$5*E131</f>
        <v>28478.817832098641</v>
      </c>
      <c r="G131" s="15">
        <f t="shared" si="5"/>
        <v>-21.182167901359207</v>
      </c>
      <c r="H131" s="4">
        <f t="shared" ref="H131:H194" si="7">(F131/$J$6)-1</f>
        <v>-7.4323396145115073E-4</v>
      </c>
      <c r="I131" s="4"/>
    </row>
    <row r="132" spans="1:9" x14ac:dyDescent="0.2">
      <c r="A132" s="1">
        <f>Acciones!A132</f>
        <v>45184</v>
      </c>
      <c r="B132" s="4">
        <f>Acciones!B132/Acciones!B131</f>
        <v>0.97756643531015497</v>
      </c>
      <c r="C132" s="4">
        <f>Acciones!C132/Acciones!C131</f>
        <v>0.97070452521031192</v>
      </c>
      <c r="D132" s="4">
        <f>Acciones!D132/Acciones!D131</f>
        <v>0.98491318087259005</v>
      </c>
      <c r="E132" s="4">
        <f>Acciones!E132/Acciones!E131</f>
        <v>0.96428574773730047</v>
      </c>
      <c r="F132" s="15">
        <f t="shared" si="6"/>
        <v>27795.878934364559</v>
      </c>
      <c r="G132" s="15">
        <f t="shared" si="5"/>
        <v>-704.12106563544148</v>
      </c>
      <c r="H132" s="4">
        <f t="shared" si="7"/>
        <v>-2.4706002302997909E-2</v>
      </c>
      <c r="I132" s="4"/>
    </row>
    <row r="133" spans="1:9" x14ac:dyDescent="0.2">
      <c r="A133" s="1">
        <f>Acciones!A133</f>
        <v>45187</v>
      </c>
      <c r="B133" s="4">
        <f>Acciones!B133/Acciones!B132</f>
        <v>0.99066513170475379</v>
      </c>
      <c r="C133" s="4">
        <f>Acciones!C133/Acciones!C132</f>
        <v>1</v>
      </c>
      <c r="D133" s="4">
        <f>Acciones!D133/Acciones!D132</f>
        <v>0.99740542829368373</v>
      </c>
      <c r="E133" s="4">
        <f>Acciones!E133/Acciones!E132</f>
        <v>0.99629629989383195</v>
      </c>
      <c r="F133" s="15">
        <f t="shared" si="6"/>
        <v>28421.011893319555</v>
      </c>
      <c r="G133" s="15">
        <f t="shared" ref="G133:G196" si="8">F133-$J$6</f>
        <v>-78.988106680444616</v>
      </c>
      <c r="H133" s="4">
        <f t="shared" si="7"/>
        <v>-2.7715125151033249E-3</v>
      </c>
      <c r="I133" s="4"/>
    </row>
    <row r="134" spans="1:9" x14ac:dyDescent="0.2">
      <c r="A134" s="1">
        <f>Acciones!A134</f>
        <v>45188</v>
      </c>
      <c r="B134" s="4">
        <f>Acciones!B134/Acciones!B133</f>
        <v>1.0070672212090883</v>
      </c>
      <c r="C134" s="4">
        <f>Acciones!C134/Acciones!C133</f>
        <v>0.98485030671079643</v>
      </c>
      <c r="D134" s="4">
        <f>Acciones!D134/Acciones!D133</f>
        <v>0.98623633304920943</v>
      </c>
      <c r="E134" s="4">
        <f>Acciones!E134/Acciones!E133</f>
        <v>0.96654269491693379</v>
      </c>
      <c r="F134" s="15">
        <f t="shared" si="6"/>
        <v>28059.161340519604</v>
      </c>
      <c r="G134" s="15">
        <f t="shared" si="8"/>
        <v>-440.83865948039602</v>
      </c>
      <c r="H134" s="4">
        <f t="shared" si="7"/>
        <v>-1.5468023139663001E-2</v>
      </c>
      <c r="I134" s="4"/>
    </row>
    <row r="135" spans="1:9" x14ac:dyDescent="0.2">
      <c r="A135" s="1">
        <f>Acciones!A135</f>
        <v>45189</v>
      </c>
      <c r="B135" s="4">
        <f>Acciones!B135/Acciones!B134</f>
        <v>0.98167641334765232</v>
      </c>
      <c r="C135" s="4">
        <f>Acciones!C135/Acciones!C134</f>
        <v>0.96716730190061395</v>
      </c>
      <c r="D135" s="4">
        <f>Acciones!D135/Acciones!D134</f>
        <v>0.99445866972758068</v>
      </c>
      <c r="E135" s="4">
        <f>Acciones!E135/Acciones!E134</f>
        <v>0.96153849680748649</v>
      </c>
      <c r="F135" s="15">
        <f t="shared" si="6"/>
        <v>27857.005244489599</v>
      </c>
      <c r="G135" s="15">
        <f t="shared" si="8"/>
        <v>-642.99475551040086</v>
      </c>
      <c r="H135" s="4">
        <f t="shared" si="7"/>
        <v>-2.2561219491593065E-2</v>
      </c>
      <c r="I135" s="4"/>
    </row>
    <row r="136" spans="1:9" x14ac:dyDescent="0.2">
      <c r="A136" s="1">
        <f>Acciones!A136</f>
        <v>45190</v>
      </c>
      <c r="B136" s="4">
        <f>Acciones!B136/Acciones!B135</f>
        <v>1.0051627318380167</v>
      </c>
      <c r="C136" s="4">
        <f>Acciones!C136/Acciones!C135</f>
        <v>1.0058464363673942</v>
      </c>
      <c r="D136" s="4">
        <f>Acciones!D136/Acciones!D135</f>
        <v>0.98433503875297423</v>
      </c>
      <c r="E136" s="4">
        <f>Acciones!E136/Acciones!E135</f>
        <v>0.98800001144408811</v>
      </c>
      <c r="F136" s="15">
        <f t="shared" si="6"/>
        <v>28350.961157395534</v>
      </c>
      <c r="G136" s="15">
        <f t="shared" si="8"/>
        <v>-149.03884260446648</v>
      </c>
      <c r="H136" s="4">
        <f t="shared" si="7"/>
        <v>-5.2294330738409389E-3</v>
      </c>
      <c r="I136" s="4"/>
    </row>
    <row r="137" spans="1:9" x14ac:dyDescent="0.2">
      <c r="A137" s="1">
        <f>Acciones!A137</f>
        <v>45191</v>
      </c>
      <c r="B137" s="4">
        <f>Acciones!B137/Acciones!B136</f>
        <v>1.0075068741038751</v>
      </c>
      <c r="C137" s="4">
        <f>Acciones!C137/Acciones!C136</f>
        <v>0.93512496948241863</v>
      </c>
      <c r="D137" s="4">
        <f>Acciones!D137/Acciones!D136</f>
        <v>0.98704613491037652</v>
      </c>
      <c r="E137" s="4">
        <f>Acciones!E137/Acciones!E136</f>
        <v>0.9716599463838157</v>
      </c>
      <c r="F137" s="15">
        <f t="shared" si="6"/>
        <v>27624.552323661293</v>
      </c>
      <c r="G137" s="15">
        <f t="shared" si="8"/>
        <v>-875.44767633870651</v>
      </c>
      <c r="H137" s="4">
        <f t="shared" si="7"/>
        <v>-3.0717462327673917E-2</v>
      </c>
      <c r="I137" s="4"/>
    </row>
    <row r="138" spans="1:9" x14ac:dyDescent="0.2">
      <c r="A138" s="1">
        <f>Acciones!A138</f>
        <v>45194</v>
      </c>
      <c r="B138" s="4">
        <f>Acciones!B138/Acciones!B137</f>
        <v>0.98980395064170801</v>
      </c>
      <c r="C138" s="4">
        <f>Acciones!C138/Acciones!C137</f>
        <v>0.99919800079465981</v>
      </c>
      <c r="D138" s="4">
        <f>Acciones!D138/Acciones!D137</f>
        <v>1.0326049170725169</v>
      </c>
      <c r="E138" s="4">
        <f>Acciones!E138/Acciones!E137</f>
        <v>1</v>
      </c>
      <c r="F138" s="15">
        <f t="shared" si="6"/>
        <v>28782.744005520413</v>
      </c>
      <c r="G138" s="15">
        <f t="shared" si="8"/>
        <v>282.74400552041334</v>
      </c>
      <c r="H138" s="4">
        <f t="shared" si="7"/>
        <v>9.9208422989618406E-3</v>
      </c>
      <c r="I138" s="4"/>
    </row>
    <row r="139" spans="1:9" x14ac:dyDescent="0.2">
      <c r="A139" s="1">
        <f>Acciones!A139</f>
        <v>45195</v>
      </c>
      <c r="B139" s="4">
        <f>Acciones!B139/Acciones!B138</f>
        <v>1.0186212380076729</v>
      </c>
      <c r="C139" s="4">
        <f>Acciones!C139/Acciones!C138</f>
        <v>0.96923072840457525</v>
      </c>
      <c r="D139" s="4">
        <f>Acciones!D139/Acciones!D138</f>
        <v>0.98300222432394202</v>
      </c>
      <c r="E139" s="4">
        <f>Acciones!E139/Acciones!E138</f>
        <v>0.93749996274709924</v>
      </c>
      <c r="F139" s="15">
        <f t="shared" si="6"/>
        <v>27759.138291218784</v>
      </c>
      <c r="G139" s="15">
        <f t="shared" si="8"/>
        <v>-740.86170878121629</v>
      </c>
      <c r="H139" s="4">
        <f t="shared" si="7"/>
        <v>-2.5995147676533881E-2</v>
      </c>
      <c r="I139" s="4"/>
    </row>
    <row r="140" spans="1:9" x14ac:dyDescent="0.2">
      <c r="A140" s="1">
        <f>Acciones!A140</f>
        <v>45196</v>
      </c>
      <c r="B140" s="4">
        <f>Acciones!B140/Acciones!B139</f>
        <v>0.98055236427880144</v>
      </c>
      <c r="C140" s="4">
        <f>Acciones!C140/Acciones!C139</f>
        <v>0.98385095627013841</v>
      </c>
      <c r="D140" s="4">
        <f>Acciones!D140/Acciones!D139</f>
        <v>0.99747463995595598</v>
      </c>
      <c r="E140" s="4">
        <f>Acciones!E140/Acciones!E139</f>
        <v>0.91111108991834677</v>
      </c>
      <c r="F140" s="15">
        <f t="shared" si="6"/>
        <v>27764.374753652584</v>
      </c>
      <c r="G140" s="15">
        <f t="shared" si="8"/>
        <v>-735.62524634741567</v>
      </c>
      <c r="H140" s="4">
        <f t="shared" si="7"/>
        <v>-2.5811412152540902E-2</v>
      </c>
      <c r="I140" s="4"/>
    </row>
    <row r="141" spans="1:9" x14ac:dyDescent="0.2">
      <c r="A141" s="1">
        <f>Acciones!A141</f>
        <v>45197</v>
      </c>
      <c r="B141" s="4">
        <f>Acciones!B141/Acciones!B140</f>
        <v>1.0027766863046201</v>
      </c>
      <c r="C141" s="4">
        <f>Acciones!C141/Acciones!C140</f>
        <v>1.0662177511438795</v>
      </c>
      <c r="D141" s="4">
        <f>Acciones!D141/Acciones!D140</f>
        <v>0.99905705133786848</v>
      </c>
      <c r="E141" s="4">
        <f>Acciones!E141/Acciones!E140</f>
        <v>0.95121955758116927</v>
      </c>
      <c r="F141" s="15">
        <f t="shared" si="6"/>
        <v>28861.06511800814</v>
      </c>
      <c r="G141" s="15">
        <f t="shared" si="8"/>
        <v>361.06511800814042</v>
      </c>
      <c r="H141" s="4">
        <f t="shared" si="7"/>
        <v>1.2668951509057669E-2</v>
      </c>
      <c r="I141" s="4"/>
    </row>
    <row r="142" spans="1:9" x14ac:dyDescent="0.2">
      <c r="A142" s="1">
        <f>Acciones!A142</f>
        <v>45198</v>
      </c>
      <c r="B142" s="4">
        <f>Acciones!B142/Acciones!B141</f>
        <v>0.99287974316153549</v>
      </c>
      <c r="C142" s="4">
        <f>Acciones!C142/Acciones!C141</f>
        <v>0.96710526315789469</v>
      </c>
      <c r="D142" s="4">
        <f>Acciones!D142/Acciones!D141</f>
        <v>1.0579596180973803</v>
      </c>
      <c r="E142" s="4">
        <f>Acciones!E142/Acciones!E141</f>
        <v>1.0102564002243317</v>
      </c>
      <c r="F142" s="15">
        <f t="shared" si="6"/>
        <v>28798.585483273004</v>
      </c>
      <c r="G142" s="15">
        <f t="shared" si="8"/>
        <v>298.58548327300377</v>
      </c>
      <c r="H142" s="4">
        <f t="shared" si="7"/>
        <v>1.0476683623614091E-2</v>
      </c>
      <c r="I142" s="4"/>
    </row>
    <row r="143" spans="1:9" x14ac:dyDescent="0.2">
      <c r="A143" s="1">
        <f>Acciones!A143</f>
        <v>45201</v>
      </c>
      <c r="B143" s="4">
        <f>Acciones!B143/Acciones!B142</f>
        <v>1.0203187087788292</v>
      </c>
      <c r="C143" s="4">
        <f>Acciones!C143/Acciones!C142</f>
        <v>1.0276190310108368</v>
      </c>
      <c r="D143" s="4">
        <f>Acciones!D143/Acciones!D142</f>
        <v>1.0003773160355285</v>
      </c>
      <c r="E143" s="4">
        <f>Acciones!E143/Acciones!E142</f>
        <v>0.9898477255654563</v>
      </c>
      <c r="F143" s="15">
        <f t="shared" si="6"/>
        <v>28781.43192629415</v>
      </c>
      <c r="G143" s="15">
        <f t="shared" si="8"/>
        <v>281.43192629414989</v>
      </c>
      <c r="H143" s="4">
        <f t="shared" si="7"/>
        <v>9.8748044313736738E-3</v>
      </c>
      <c r="I143" s="4"/>
    </row>
    <row r="144" spans="1:9" x14ac:dyDescent="0.2">
      <c r="A144" s="1">
        <f>Acciones!A144</f>
        <v>45202</v>
      </c>
      <c r="B144" s="4">
        <f>Acciones!B144/Acciones!B143</f>
        <v>0.97969549084800145</v>
      </c>
      <c r="C144" s="4">
        <f>Acciones!C144/Acciones!C143</f>
        <v>0.86495436100764356</v>
      </c>
      <c r="D144" s="4">
        <f>Acciones!D144/Acciones!D143</f>
        <v>1.0206030046561321</v>
      </c>
      <c r="E144" s="4">
        <f>Acciones!E144/Acciones!E143</f>
        <v>1</v>
      </c>
      <c r="F144" s="15">
        <f t="shared" si="6"/>
        <v>27352.030694101937</v>
      </c>
      <c r="G144" s="15">
        <f t="shared" si="8"/>
        <v>-1147.9693058980629</v>
      </c>
      <c r="H144" s="4">
        <f t="shared" si="7"/>
        <v>-4.0279624768353117E-2</v>
      </c>
      <c r="I144" s="4"/>
    </row>
    <row r="145" spans="1:9" x14ac:dyDescent="0.2">
      <c r="A145" s="1">
        <f>Acciones!A145</f>
        <v>45203</v>
      </c>
      <c r="B145" s="4">
        <f>Acciones!B145/Acciones!B144</f>
        <v>0.97329605848668155</v>
      </c>
      <c r="C145" s="4">
        <f>Acciones!C145/Acciones!C144</f>
        <v>1.0345170241882051</v>
      </c>
      <c r="D145" s="4">
        <f>Acciones!D145/Acciones!D144</f>
        <v>1.0132900065046253</v>
      </c>
      <c r="E145" s="4">
        <f>Acciones!E145/Acciones!E144</f>
        <v>0.96410253808186364</v>
      </c>
      <c r="F145" s="15">
        <f t="shared" si="6"/>
        <v>28669.911958987839</v>
      </c>
      <c r="G145" s="15">
        <f t="shared" si="8"/>
        <v>169.91195898783917</v>
      </c>
      <c r="H145" s="4">
        <f t="shared" si="7"/>
        <v>5.9618231223803608E-3</v>
      </c>
      <c r="I145" s="4"/>
    </row>
    <row r="146" spans="1:9" x14ac:dyDescent="0.2">
      <c r="A146" s="1">
        <f>Acciones!A146</f>
        <v>45204</v>
      </c>
      <c r="B146" s="4">
        <f>Acciones!B146/Acciones!B145</f>
        <v>1.0270271524754169</v>
      </c>
      <c r="C146" s="4">
        <f>Acciones!C146/Acciones!C145</f>
        <v>1.007324151117666</v>
      </c>
      <c r="D146" s="4">
        <f>Acciones!D146/Acciones!D145</f>
        <v>1.0059731260337244</v>
      </c>
      <c r="E146" s="4">
        <f>Acciones!E146/Acciones!E145</f>
        <v>0.94148935394462174</v>
      </c>
      <c r="F146" s="15">
        <f t="shared" si="6"/>
        <v>28402.097176314448</v>
      </c>
      <c r="G146" s="15">
        <f t="shared" si="8"/>
        <v>-97.902823685551994</v>
      </c>
      <c r="H146" s="4">
        <f t="shared" si="7"/>
        <v>-3.435186795984313E-3</v>
      </c>
      <c r="I146" s="4"/>
    </row>
    <row r="147" spans="1:9" x14ac:dyDescent="0.2">
      <c r="A147" s="1">
        <f>Acciones!A147</f>
        <v>45205</v>
      </c>
      <c r="B147" s="4">
        <f>Acciones!B147/Acciones!B146</f>
        <v>1.0275119466628266</v>
      </c>
      <c r="C147" s="4">
        <f>Acciones!C147/Acciones!C146</f>
        <v>1.059635685214414</v>
      </c>
      <c r="D147" s="4">
        <f>Acciones!D147/Acciones!D146</f>
        <v>1.0172437349000312</v>
      </c>
      <c r="E147" s="4">
        <f>Acciones!E147/Acciones!E146</f>
        <v>0.9548023025038771</v>
      </c>
      <c r="F147" s="15">
        <f t="shared" si="6"/>
        <v>29086.68083562846</v>
      </c>
      <c r="G147" s="15">
        <f t="shared" si="8"/>
        <v>586.68083562846004</v>
      </c>
      <c r="H147" s="4">
        <f t="shared" si="7"/>
        <v>2.0585292478191519E-2</v>
      </c>
      <c r="I147" s="4"/>
    </row>
    <row r="148" spans="1:9" x14ac:dyDescent="0.2">
      <c r="A148" s="1">
        <f>Acciones!A148</f>
        <v>45208</v>
      </c>
      <c r="B148" s="4">
        <f>Acciones!B148/Acciones!B147</f>
        <v>0.98680627084641592</v>
      </c>
      <c r="C148" s="4">
        <f>Acciones!C148/Acciones!C147</f>
        <v>1.0537149990682708</v>
      </c>
      <c r="D148" s="4">
        <f>Acciones!D148/Acciones!D147</f>
        <v>0.99830314709790324</v>
      </c>
      <c r="E148" s="4">
        <f>Acciones!E148/Acciones!E147</f>
        <v>1.0236686156797048</v>
      </c>
      <c r="F148" s="15">
        <f t="shared" si="6"/>
        <v>29077.323296328439</v>
      </c>
      <c r="G148" s="15">
        <f t="shared" si="8"/>
        <v>577.32329632843903</v>
      </c>
      <c r="H148" s="4">
        <f t="shared" si="7"/>
        <v>2.0256957765910188E-2</v>
      </c>
      <c r="I148" s="4"/>
    </row>
    <row r="149" spans="1:9" x14ac:dyDescent="0.2">
      <c r="A149" s="1">
        <f>Acciones!A149</f>
        <v>45209</v>
      </c>
      <c r="B149" s="4">
        <f>Acciones!B149/Acciones!B148</f>
        <v>1.0538733981193293</v>
      </c>
      <c r="C149" s="4">
        <f>Acciones!C149/Acciones!C148</f>
        <v>1.0113793050149955</v>
      </c>
      <c r="D149" s="4">
        <f>Acciones!D149/Acciones!D148</f>
        <v>0.99156927621504387</v>
      </c>
      <c r="E149" s="4">
        <f>Acciones!E149/Acciones!E148</f>
        <v>1.0635838225967371</v>
      </c>
      <c r="F149" s="15">
        <f t="shared" si="6"/>
        <v>29062.064077492607</v>
      </c>
      <c r="G149" s="15">
        <f t="shared" si="8"/>
        <v>562.06407749260688</v>
      </c>
      <c r="H149" s="4">
        <f t="shared" si="7"/>
        <v>1.9721546578687965E-2</v>
      </c>
      <c r="I149" s="4"/>
    </row>
    <row r="150" spans="1:9" x14ac:dyDescent="0.2">
      <c r="A150" s="1">
        <f>Acciones!A150</f>
        <v>45210</v>
      </c>
      <c r="B150" s="4">
        <f>Acciones!B150/Acciones!B149</f>
        <v>1.0533582786747719</v>
      </c>
      <c r="C150" s="4">
        <f>Acciones!C150/Acciones!C149</f>
        <v>0.91981007887909416</v>
      </c>
      <c r="D150" s="4">
        <f>Acciones!D150/Acciones!D149</f>
        <v>1.0016457193148827</v>
      </c>
      <c r="E150" s="4">
        <f>Acciones!E150/Acciones!E149</f>
        <v>1.021739109308369</v>
      </c>
      <c r="F150" s="15">
        <f t="shared" si="6"/>
        <v>28060.972019057954</v>
      </c>
      <c r="G150" s="15">
        <f t="shared" si="8"/>
        <v>-439.02798094204627</v>
      </c>
      <c r="H150" s="4">
        <f t="shared" si="7"/>
        <v>-1.5404490559370099E-2</v>
      </c>
      <c r="I150" s="4"/>
    </row>
    <row r="151" spans="1:9" x14ac:dyDescent="0.2">
      <c r="A151" s="1">
        <f>Acciones!A151</f>
        <v>45211</v>
      </c>
      <c r="B151" s="4">
        <f>Acciones!B151/Acciones!B150</f>
        <v>0.89868928361298817</v>
      </c>
      <c r="C151" s="4">
        <f>Acciones!C151/Acciones!C150</f>
        <v>0.98988904228356178</v>
      </c>
      <c r="D151" s="4">
        <f>Acciones!D151/Acciones!D150</f>
        <v>1.0176839732442178</v>
      </c>
      <c r="E151" s="4">
        <f>Acciones!E151/Acciones!E150</f>
        <v>1.063829789932311</v>
      </c>
      <c r="F151" s="15">
        <f t="shared" si="6"/>
        <v>28577.261971409185</v>
      </c>
      <c r="G151" s="15">
        <f t="shared" si="8"/>
        <v>77.261971409185207</v>
      </c>
      <c r="H151" s="4">
        <f t="shared" si="7"/>
        <v>2.7109463652346122E-3</v>
      </c>
      <c r="I151" s="4"/>
    </row>
    <row r="152" spans="1:9" x14ac:dyDescent="0.2">
      <c r="A152" s="1">
        <f>Acciones!A152</f>
        <v>45212</v>
      </c>
      <c r="B152" s="4">
        <f>Acciones!B152/Acciones!B151</f>
        <v>0.99251088004698862</v>
      </c>
      <c r="C152" s="4">
        <f>Acciones!C152/Acciones!C151</f>
        <v>0.99300003051757146</v>
      </c>
      <c r="D152" s="4">
        <f>Acciones!D152/Acciones!D151</f>
        <v>1.0129652582262674</v>
      </c>
      <c r="E152" s="4">
        <f>Acciones!E152/Acciones!E151</f>
        <v>1.0249999761581401</v>
      </c>
      <c r="F152" s="15">
        <f t="shared" si="6"/>
        <v>28674.440821213833</v>
      </c>
      <c r="G152" s="15">
        <f t="shared" si="8"/>
        <v>174.44082121383326</v>
      </c>
      <c r="H152" s="4">
        <f t="shared" si="7"/>
        <v>6.1207305689063851E-3</v>
      </c>
      <c r="I152" s="4"/>
    </row>
    <row r="153" spans="1:9" x14ac:dyDescent="0.2">
      <c r="A153" s="1">
        <f>Acciones!A153</f>
        <v>45215</v>
      </c>
      <c r="B153" s="4">
        <f>Acciones!B153/Acciones!B152</f>
        <v>1.0135027953074811</v>
      </c>
      <c r="C153" s="4">
        <f>Acciones!C153/Acciones!C152</f>
        <v>1.0451733461825325</v>
      </c>
      <c r="D153" s="4">
        <f>Acciones!D153/Acciones!D152</f>
        <v>1.0126664217026804</v>
      </c>
      <c r="E153" s="4">
        <f>Acciones!E153/Acciones!E152</f>
        <v>1.0243902212094127</v>
      </c>
      <c r="F153" s="15">
        <f t="shared" si="6"/>
        <v>29237.217005988819</v>
      </c>
      <c r="G153" s="15">
        <f t="shared" si="8"/>
        <v>737.21700598881944</v>
      </c>
      <c r="H153" s="4">
        <f t="shared" si="7"/>
        <v>2.5867263368028803E-2</v>
      </c>
      <c r="I153" s="4"/>
    </row>
    <row r="154" spans="1:9" x14ac:dyDescent="0.2">
      <c r="A154" s="1">
        <f>Acciones!A154</f>
        <v>45216</v>
      </c>
      <c r="B154" s="4">
        <f>Acciones!B154/Acciones!B153</f>
        <v>0.9874608709887136</v>
      </c>
      <c r="C154" s="4">
        <f>Acciones!C154/Acciones!C153</f>
        <v>1.0439779714758357</v>
      </c>
      <c r="D154" s="4">
        <f>Acciones!D154/Acciones!D153</f>
        <v>1.0054590025351369</v>
      </c>
      <c r="E154" s="4">
        <f>Acciones!E154/Acciones!E153</f>
        <v>1</v>
      </c>
      <c r="F154" s="15">
        <f t="shared" si="6"/>
        <v>28928.493802832305</v>
      </c>
      <c r="G154" s="15">
        <f t="shared" si="8"/>
        <v>428.49380283230494</v>
      </c>
      <c r="H154" s="4">
        <f t="shared" si="7"/>
        <v>1.5034870274817758E-2</v>
      </c>
      <c r="I154" s="4"/>
    </row>
    <row r="155" spans="1:9" x14ac:dyDescent="0.2">
      <c r="A155" s="1">
        <f>Acciones!A155</f>
        <v>45217</v>
      </c>
      <c r="B155" s="4">
        <f>Acciones!B155/Acciones!B154</f>
        <v>0.97698413558984365</v>
      </c>
      <c r="C155" s="4">
        <f>Acciones!C155/Acciones!C154</f>
        <v>0.92603335064855719</v>
      </c>
      <c r="D155" s="4">
        <f>Acciones!D155/Acciones!D154</f>
        <v>1.0325705274122077</v>
      </c>
      <c r="E155" s="4">
        <f>Acciones!E155/Acciones!E154</f>
        <v>0.97619049781574718</v>
      </c>
      <c r="F155" s="15">
        <f t="shared" si="6"/>
        <v>27911.514317834433</v>
      </c>
      <c r="G155" s="15">
        <f t="shared" si="8"/>
        <v>-588.48568216556669</v>
      </c>
      <c r="H155" s="4">
        <f t="shared" si="7"/>
        <v>-2.0648620426861997E-2</v>
      </c>
      <c r="I155" s="4"/>
    </row>
    <row r="156" spans="1:9" x14ac:dyDescent="0.2">
      <c r="A156" s="1">
        <f>Acciones!A156</f>
        <v>45218</v>
      </c>
      <c r="B156" s="4">
        <f>Acciones!B156/Acciones!B155</f>
        <v>1.0028431449360993</v>
      </c>
      <c r="C156" s="4">
        <f>Acciones!C156/Acciones!C155</f>
        <v>0.99807785099939739</v>
      </c>
      <c r="D156" s="4">
        <f>Acciones!D156/Acciones!D155</f>
        <v>0.99224181894411811</v>
      </c>
      <c r="E156" s="4">
        <f>Acciones!E156/Acciones!E155</f>
        <v>1.0243902212094127</v>
      </c>
      <c r="F156" s="15">
        <f t="shared" si="6"/>
        <v>28548.254997863576</v>
      </c>
      <c r="G156" s="15">
        <f t="shared" si="8"/>
        <v>48.254997863576136</v>
      </c>
      <c r="H156" s="4">
        <f t="shared" si="7"/>
        <v>1.6931578197745267E-3</v>
      </c>
      <c r="I156" s="4"/>
    </row>
    <row r="157" spans="1:9" x14ac:dyDescent="0.2">
      <c r="A157" s="1">
        <f>Acciones!A157</f>
        <v>45219</v>
      </c>
      <c r="B157" s="4">
        <f>Acciones!B157/Acciones!B156</f>
        <v>0.9833940607429309</v>
      </c>
      <c r="C157" s="4">
        <f>Acciones!C157/Acciones!C156</f>
        <v>1.0057061559855336</v>
      </c>
      <c r="D157" s="4">
        <f>Acciones!D157/Acciones!D156</f>
        <v>0.98929554076416293</v>
      </c>
      <c r="E157" s="4">
        <f>Acciones!E157/Acciones!E156</f>
        <v>0.99047619912629969</v>
      </c>
      <c r="F157" s="15">
        <f t="shared" si="6"/>
        <v>28336.662197299105</v>
      </c>
      <c r="G157" s="15">
        <f t="shared" si="8"/>
        <v>-163.33780270089483</v>
      </c>
      <c r="H157" s="4">
        <f t="shared" si="7"/>
        <v>-5.7311509719611964E-3</v>
      </c>
      <c r="I157" s="4"/>
    </row>
    <row r="158" spans="1:9" x14ac:dyDescent="0.2">
      <c r="A158" s="1">
        <f>Acciones!A158</f>
        <v>45222</v>
      </c>
      <c r="B158" s="4">
        <f>Acciones!B158/Acciones!B157</f>
        <v>1.0070016971967319</v>
      </c>
      <c r="C158" s="4">
        <f>Acciones!C158/Acciones!C157</f>
        <v>1.1308510421861133</v>
      </c>
      <c r="D158" s="4">
        <f>Acciones!D158/Acciones!D157</f>
        <v>0.99733517621216206</v>
      </c>
      <c r="E158" s="4">
        <f>Acciones!E158/Acciones!E157</f>
        <v>1</v>
      </c>
      <c r="F158" s="15">
        <f t="shared" si="6"/>
        <v>29740.94260307826</v>
      </c>
      <c r="G158" s="15">
        <f t="shared" si="8"/>
        <v>1240.9426030782597</v>
      </c>
      <c r="H158" s="4">
        <f t="shared" si="7"/>
        <v>4.3541845722044226E-2</v>
      </c>
      <c r="I158" s="4"/>
    </row>
    <row r="159" spans="1:9" x14ac:dyDescent="0.2">
      <c r="A159" s="1">
        <f>Acciones!A159</f>
        <v>45223</v>
      </c>
      <c r="B159" s="4">
        <f>Acciones!B159/Acciones!B158</f>
        <v>0.98609397140795108</v>
      </c>
      <c r="C159" s="4">
        <f>Acciones!C159/Acciones!C158</f>
        <v>1.1198494887181101</v>
      </c>
      <c r="D159" s="4">
        <f>Acciones!D159/Acciones!D158</f>
        <v>1.0320689878001605</v>
      </c>
      <c r="E159" s="4">
        <f>Acciones!E159/Acciones!E158</f>
        <v>1.0096153757981274</v>
      </c>
      <c r="F159" s="15">
        <f t="shared" si="6"/>
        <v>29963.473487641179</v>
      </c>
      <c r="G159" s="15">
        <f t="shared" si="8"/>
        <v>1463.4734876411785</v>
      </c>
      <c r="H159" s="4">
        <f t="shared" si="7"/>
        <v>5.1349946934778234E-2</v>
      </c>
      <c r="I159" s="4"/>
    </row>
    <row r="160" spans="1:9" x14ac:dyDescent="0.2">
      <c r="A160" s="1">
        <f>Acciones!A160</f>
        <v>45224</v>
      </c>
      <c r="B160" s="4">
        <f>Acciones!B160/Acciones!B159</f>
        <v>1.000414887144738</v>
      </c>
      <c r="C160" s="4">
        <f>Acciones!C160/Acciones!C159</f>
        <v>0.97334232430601331</v>
      </c>
      <c r="D160" s="4">
        <f>Acciones!D160/Acciones!D159</f>
        <v>0.98983183879375736</v>
      </c>
      <c r="E160" s="4">
        <f>Acciones!E160/Acciones!E159</f>
        <v>1</v>
      </c>
      <c r="F160" s="15">
        <f t="shared" si="6"/>
        <v>28146.522573851282</v>
      </c>
      <c r="G160" s="15">
        <f t="shared" si="8"/>
        <v>-353.47742614871822</v>
      </c>
      <c r="H160" s="4">
        <f t="shared" si="7"/>
        <v>-1.2402716706972572E-2</v>
      </c>
      <c r="I160" s="4"/>
    </row>
    <row r="161" spans="1:9" x14ac:dyDescent="0.2">
      <c r="A161" s="1">
        <f>Acciones!A161</f>
        <v>45225</v>
      </c>
      <c r="B161" s="4">
        <f>Acciones!B161/Acciones!B160</f>
        <v>1.0228025324305599</v>
      </c>
      <c r="C161" s="4">
        <f>Acciones!C161/Acciones!C160</f>
        <v>0.93342918802612174</v>
      </c>
      <c r="D161" s="4">
        <f>Acciones!D161/Acciones!D160</f>
        <v>0.96096161594559615</v>
      </c>
      <c r="E161" s="4">
        <f>Acciones!E161/Acciones!E160</f>
        <v>0.98095239825259961</v>
      </c>
      <c r="F161" s="15">
        <f t="shared" si="6"/>
        <v>27452.240499600375</v>
      </c>
      <c r="G161" s="15">
        <f t="shared" si="8"/>
        <v>-1047.7595003996248</v>
      </c>
      <c r="H161" s="4">
        <f t="shared" si="7"/>
        <v>-3.6763491242092106E-2</v>
      </c>
      <c r="I161" s="4"/>
    </row>
    <row r="162" spans="1:9" x14ac:dyDescent="0.2">
      <c r="A162" s="1">
        <f>Acciones!A162</f>
        <v>45226</v>
      </c>
      <c r="B162" s="4">
        <f>Acciones!B162/Acciones!B161</f>
        <v>0.9870287546856239</v>
      </c>
      <c r="C162" s="4">
        <f>Acciones!C162/Acciones!C161</f>
        <v>1.0128213147126461</v>
      </c>
      <c r="D162" s="4">
        <f>Acciones!D162/Acciones!D161</f>
        <v>0.99232188350343153</v>
      </c>
      <c r="E162" s="4">
        <f>Acciones!E162/Acciones!E161</f>
        <v>0.97087381337565348</v>
      </c>
      <c r="F162" s="15">
        <f t="shared" si="6"/>
        <v>28339.42793977023</v>
      </c>
      <c r="G162" s="15">
        <f t="shared" si="8"/>
        <v>-160.5720602297697</v>
      </c>
      <c r="H162" s="4">
        <f t="shared" si="7"/>
        <v>-5.6341073764831773E-3</v>
      </c>
      <c r="I162" s="4"/>
    </row>
    <row r="163" spans="1:9" x14ac:dyDescent="0.2">
      <c r="A163" s="1">
        <f>Acciones!A163</f>
        <v>45229</v>
      </c>
      <c r="B163" s="4">
        <f>Acciones!B163/Acciones!B162</f>
        <v>1.002053490842997</v>
      </c>
      <c r="C163" s="4">
        <f>Acciones!C163/Acciones!C162</f>
        <v>0.97462115372828739</v>
      </c>
      <c r="D163" s="4">
        <f>Acciones!D163/Acciones!D162</f>
        <v>1.0138081714447296</v>
      </c>
      <c r="E163" s="4">
        <f>Acciones!E163/Acciones!E162</f>
        <v>1</v>
      </c>
      <c r="F163" s="15">
        <f t="shared" si="6"/>
        <v>28404.169892816513</v>
      </c>
      <c r="G163" s="15">
        <f t="shared" si="8"/>
        <v>-95.830107183486689</v>
      </c>
      <c r="H163" s="4">
        <f t="shared" si="7"/>
        <v>-3.3624599011750078E-3</v>
      </c>
      <c r="I163" s="4"/>
    </row>
    <row r="164" spans="1:9" x14ac:dyDescent="0.2">
      <c r="A164" s="1">
        <f>Acciones!A164</f>
        <v>45230</v>
      </c>
      <c r="B164" s="4">
        <f>Acciones!B164/Acciones!B163</f>
        <v>0.99467206417280785</v>
      </c>
      <c r="C164" s="4">
        <f>Acciones!C164/Acciones!C163</f>
        <v>0.98245286893153538</v>
      </c>
      <c r="D164" s="4">
        <f>Acciones!D164/Acciones!D163</f>
        <v>1.0038050760555473</v>
      </c>
      <c r="E164" s="4">
        <f>Acciones!E164/Acciones!E163</f>
        <v>1</v>
      </c>
      <c r="F164" s="15">
        <f t="shared" si="6"/>
        <v>28352.705240009884</v>
      </c>
      <c r="G164" s="15">
        <f t="shared" si="8"/>
        <v>-147.29475999011629</v>
      </c>
      <c r="H164" s="4">
        <f t="shared" si="7"/>
        <v>-5.1682371926357051E-3</v>
      </c>
      <c r="I164" s="4"/>
    </row>
    <row r="165" spans="1:9" x14ac:dyDescent="0.2">
      <c r="A165" s="1">
        <f>Acciones!A165</f>
        <v>45231</v>
      </c>
      <c r="B165" s="4">
        <f>Acciones!B165/Acciones!B164</f>
        <v>1.0259579865165771</v>
      </c>
      <c r="C165" s="4">
        <f>Acciones!C165/Acciones!C164</f>
        <v>1.0011440454693077</v>
      </c>
      <c r="D165" s="4">
        <f>Acciones!D165/Acciones!D164</f>
        <v>0.97137186938628362</v>
      </c>
      <c r="E165" s="4">
        <f>Acciones!E165/Acciones!E164</f>
        <v>0.99500000476837003</v>
      </c>
      <c r="F165" s="15">
        <f t="shared" si="6"/>
        <v>28287.940104855315</v>
      </c>
      <c r="G165" s="15">
        <f t="shared" si="8"/>
        <v>-212.05989514468456</v>
      </c>
      <c r="H165" s="4">
        <f t="shared" si="7"/>
        <v>-7.4406980752520502E-3</v>
      </c>
      <c r="I165" s="4"/>
    </row>
    <row r="166" spans="1:9" x14ac:dyDescent="0.2">
      <c r="A166" s="1">
        <f>Acciones!A166</f>
        <v>45233</v>
      </c>
      <c r="B166" s="4">
        <f>Acciones!B166/Acciones!B165</f>
        <v>1.054618456854536</v>
      </c>
      <c r="C166" s="4">
        <f>Acciones!C166/Acciones!C165</f>
        <v>1.0485048546510962</v>
      </c>
      <c r="D166" s="4">
        <f>Acciones!D166/Acciones!D165</f>
        <v>1.0456119505302992</v>
      </c>
      <c r="E166" s="4">
        <f>Acciones!E166/Acciones!E165</f>
        <v>1.0050251208117269</v>
      </c>
      <c r="F166" s="15">
        <f t="shared" si="6"/>
        <v>29635.718387943776</v>
      </c>
      <c r="G166" s="15">
        <f t="shared" si="8"/>
        <v>1135.7183879437762</v>
      </c>
      <c r="H166" s="4">
        <f t="shared" si="7"/>
        <v>3.9849767998027197E-2</v>
      </c>
      <c r="I166" s="4"/>
    </row>
    <row r="167" spans="1:9" x14ac:dyDescent="0.2">
      <c r="A167" s="1">
        <f>Acciones!A167</f>
        <v>45236</v>
      </c>
      <c r="B167" s="4">
        <f>Acciones!B167/Acciones!B166</f>
        <v>1.0319879339214457</v>
      </c>
      <c r="C167" s="4">
        <f>Acciones!C167/Acciones!C166</f>
        <v>0.98395401759357604</v>
      </c>
      <c r="D167" s="4">
        <f>Acciones!D167/Acciones!D166</f>
        <v>0.99845158060597161</v>
      </c>
      <c r="E167" s="4">
        <f>Acciones!E167/Acciones!E166</f>
        <v>1</v>
      </c>
      <c r="F167" s="15">
        <f t="shared" si="6"/>
        <v>28444.036741923752</v>
      </c>
      <c r="G167" s="15">
        <f t="shared" si="8"/>
        <v>-55.963258076248167</v>
      </c>
      <c r="H167" s="4">
        <f t="shared" si="7"/>
        <v>-1.9636230903946617E-3</v>
      </c>
      <c r="I167" s="4"/>
    </row>
    <row r="168" spans="1:9" x14ac:dyDescent="0.2">
      <c r="A168" s="1">
        <f>Acciones!A168</f>
        <v>45237</v>
      </c>
      <c r="B168" s="4">
        <f>Acciones!B168/Acciones!B167</f>
        <v>0.95977847321288723</v>
      </c>
      <c r="C168" s="4">
        <f>Acciones!C168/Acciones!C167</f>
        <v>0.99076923076923074</v>
      </c>
      <c r="D168" s="4">
        <f>Acciones!D168/Acciones!D167</f>
        <v>1.0229036183874869</v>
      </c>
      <c r="E168" s="4">
        <f>Acciones!E168/Acciones!E167</f>
        <v>1.0199999809265099</v>
      </c>
      <c r="F168" s="15">
        <f t="shared" si="6"/>
        <v>28610.568427523467</v>
      </c>
      <c r="G168" s="15">
        <f t="shared" si="8"/>
        <v>110.56842752346711</v>
      </c>
      <c r="H168" s="4">
        <f t="shared" si="7"/>
        <v>3.8795939481919284E-3</v>
      </c>
      <c r="I168" s="4"/>
    </row>
    <row r="169" spans="1:9" x14ac:dyDescent="0.2">
      <c r="A169" s="1">
        <f>Acciones!A169</f>
        <v>45238</v>
      </c>
      <c r="B169" s="4">
        <f>Acciones!B169/Acciones!B168</f>
        <v>1.0146096869679624</v>
      </c>
      <c r="C169" s="4">
        <f>Acciones!C169/Acciones!C168</f>
        <v>0.92869567871093173</v>
      </c>
      <c r="D169" s="4">
        <f>Acciones!D169/Acciones!D168</f>
        <v>1.0026035294406688</v>
      </c>
      <c r="E169" s="4">
        <f>Acciones!E169/Acciones!E168</f>
        <v>1.0049019562011055</v>
      </c>
      <c r="F169" s="15">
        <f t="shared" si="6"/>
        <v>27926.738905654489</v>
      </c>
      <c r="G169" s="15">
        <f t="shared" si="8"/>
        <v>-573.26109434551108</v>
      </c>
      <c r="H169" s="4">
        <f t="shared" si="7"/>
        <v>-2.0114424363000372E-2</v>
      </c>
      <c r="I169" s="4"/>
    </row>
    <row r="170" spans="1:9" x14ac:dyDescent="0.2">
      <c r="A170" s="1">
        <f>Acciones!A170</f>
        <v>45239</v>
      </c>
      <c r="B170" s="4">
        <f>Acciones!B170/Acciones!B169</f>
        <v>1</v>
      </c>
      <c r="C170" s="4">
        <f>Acciones!C170/Acciones!C169</f>
        <v>1.1103531268627653</v>
      </c>
      <c r="D170" s="4">
        <f>Acciones!D170/Acciones!D169</f>
        <v>0.99384196862471597</v>
      </c>
      <c r="E170" s="4">
        <f>Acciones!E170/Acciones!E169</f>
        <v>1.0243902212094127</v>
      </c>
      <c r="F170" s="15">
        <f t="shared" si="6"/>
        <v>29620.920608095203</v>
      </c>
      <c r="G170" s="15">
        <f t="shared" si="8"/>
        <v>1120.9206080952026</v>
      </c>
      <c r="H170" s="4">
        <f t="shared" si="7"/>
        <v>3.9330547652463244E-2</v>
      </c>
      <c r="I170" s="4"/>
    </row>
    <row r="171" spans="1:9" x14ac:dyDescent="0.2">
      <c r="A171" s="1">
        <f>Acciones!A171</f>
        <v>45240</v>
      </c>
      <c r="B171" s="4">
        <f>Acciones!B171/Acciones!B170</f>
        <v>1.0121259065150343</v>
      </c>
      <c r="C171" s="4">
        <f>Acciones!C171/Acciones!C170</f>
        <v>1.0202987292522738</v>
      </c>
      <c r="D171" s="4">
        <f>Acciones!D171/Acciones!D170</f>
        <v>0.98137457549153007</v>
      </c>
      <c r="E171" s="4">
        <f>Acciones!E171/Acciones!E170</f>
        <v>1</v>
      </c>
      <c r="F171" s="15">
        <f t="shared" si="6"/>
        <v>28549.024355614521</v>
      </c>
      <c r="G171" s="15">
        <f t="shared" si="8"/>
        <v>49.024355614521482</v>
      </c>
      <c r="H171" s="4">
        <f t="shared" si="7"/>
        <v>1.7201528285797352E-3</v>
      </c>
      <c r="I171" s="4"/>
    </row>
    <row r="172" spans="1:9" x14ac:dyDescent="0.2">
      <c r="A172" s="1">
        <f>Acciones!A172</f>
        <v>45243</v>
      </c>
      <c r="B172" s="4">
        <f>Acciones!B172/Acciones!B171</f>
        <v>1.0239611094603862</v>
      </c>
      <c r="C172" s="4">
        <f>Acciones!C172/Acciones!C171</f>
        <v>0.94456579831464438</v>
      </c>
      <c r="D172" s="4">
        <f>Acciones!D172/Acciones!D171</f>
        <v>0.98235770770735453</v>
      </c>
      <c r="E172" s="4">
        <f>Acciones!E172/Acciones!E171</f>
        <v>0.97619049781574718</v>
      </c>
      <c r="F172" s="15">
        <f t="shared" si="6"/>
        <v>27749.863782160628</v>
      </c>
      <c r="G172" s="15">
        <f t="shared" si="8"/>
        <v>-750.13621783937197</v>
      </c>
      <c r="H172" s="4">
        <f t="shared" si="7"/>
        <v>-2.6320569046995534E-2</v>
      </c>
      <c r="I172" s="4"/>
    </row>
    <row r="173" spans="1:9" x14ac:dyDescent="0.2">
      <c r="A173" s="1">
        <f>Acciones!A173</f>
        <v>45244</v>
      </c>
      <c r="B173" s="4">
        <f>Acciones!B173/Acciones!B172</f>
        <v>1.0263253498838427</v>
      </c>
      <c r="C173" s="4">
        <f>Acciones!C173/Acciones!C172</f>
        <v>0.98956251144408758</v>
      </c>
      <c r="D173" s="4">
        <f>Acciones!D173/Acciones!D172</f>
        <v>1.0013604939184444</v>
      </c>
      <c r="E173" s="4">
        <f>Acciones!E173/Acciones!E172</f>
        <v>1.0048780442418845</v>
      </c>
      <c r="F173" s="15">
        <f t="shared" si="6"/>
        <v>28533.416765827089</v>
      </c>
      <c r="G173" s="15">
        <f t="shared" si="8"/>
        <v>33.416765827088966</v>
      </c>
      <c r="H173" s="4">
        <f t="shared" si="7"/>
        <v>1.1725180991961626E-3</v>
      </c>
      <c r="I173" s="4"/>
    </row>
    <row r="174" spans="1:9" x14ac:dyDescent="0.2">
      <c r="A174" s="1">
        <f>Acciones!A174</f>
        <v>45245</v>
      </c>
      <c r="B174" s="4">
        <f>Acciones!B174/Acciones!B173</f>
        <v>0.9960811593082638</v>
      </c>
      <c r="C174" s="4">
        <f>Acciones!C174/Acciones!C173</f>
        <v>1.1203183403742096</v>
      </c>
      <c r="D174" s="4">
        <f>Acciones!D174/Acciones!D173</f>
        <v>1.0190218351173539</v>
      </c>
      <c r="E174" s="4">
        <f>Acciones!E174/Acciones!E173</f>
        <v>0.99029127112521442</v>
      </c>
      <c r="F174" s="15">
        <f t="shared" si="6"/>
        <v>29766.128633496133</v>
      </c>
      <c r="G174" s="15">
        <f t="shared" si="8"/>
        <v>1266.1286334961333</v>
      </c>
      <c r="H174" s="4">
        <f t="shared" si="7"/>
        <v>4.4425566087583634E-2</v>
      </c>
      <c r="I174" s="4"/>
    </row>
    <row r="175" spans="1:9" x14ac:dyDescent="0.2">
      <c r="A175" s="1">
        <f>Acciones!A175</f>
        <v>45246</v>
      </c>
      <c r="B175" s="4">
        <f>Acciones!B175/Acciones!B174</f>
        <v>0.96387702573914291</v>
      </c>
      <c r="C175" s="4">
        <f>Acciones!C175/Acciones!C174</f>
        <v>0.9457097495900163</v>
      </c>
      <c r="D175" s="4">
        <f>Acciones!D175/Acciones!D174</f>
        <v>0.98879986620158666</v>
      </c>
      <c r="E175" s="4">
        <f>Acciones!E175/Acciones!E174</f>
        <v>1.0343136934077273</v>
      </c>
      <c r="F175" s="15">
        <f t="shared" si="6"/>
        <v>27934.536186950521</v>
      </c>
      <c r="G175" s="15">
        <f t="shared" si="8"/>
        <v>-565.46381304947863</v>
      </c>
      <c r="H175" s="4">
        <f t="shared" si="7"/>
        <v>-1.9840835545595792E-2</v>
      </c>
      <c r="I175" s="4"/>
    </row>
    <row r="176" spans="1:9" x14ac:dyDescent="0.2">
      <c r="A176" s="1">
        <f>Acciones!A176</f>
        <v>45247</v>
      </c>
      <c r="B176" s="4">
        <f>Acciones!B176/Acciones!B175</f>
        <v>1.0059370068923343</v>
      </c>
      <c r="C176" s="4">
        <f>Acciones!C176/Acciones!C175</f>
        <v>1.0229508560567213</v>
      </c>
      <c r="D176" s="4">
        <f>Acciones!D176/Acciones!D175</f>
        <v>0.98810133784274334</v>
      </c>
      <c r="E176" s="4">
        <f>Acciones!E176/Acciones!E175</f>
        <v>0.9715640067475857</v>
      </c>
      <c r="F176" s="15">
        <f t="shared" si="6"/>
        <v>28463.428072201175</v>
      </c>
      <c r="G176" s="15">
        <f t="shared" si="8"/>
        <v>-36.571927798824618</v>
      </c>
      <c r="H176" s="4">
        <f t="shared" si="7"/>
        <v>-1.283225536800825E-3</v>
      </c>
      <c r="I176" s="4"/>
    </row>
    <row r="177" spans="1:9" x14ac:dyDescent="0.2">
      <c r="A177" s="1">
        <f>Acciones!A177</f>
        <v>45251</v>
      </c>
      <c r="B177" s="4">
        <f>Acciones!B177/Acciones!B176</f>
        <v>1.0191809817050241</v>
      </c>
      <c r="C177" s="4">
        <f>Acciones!C177/Acciones!C176</f>
        <v>1.0289627100462044</v>
      </c>
      <c r="D177" s="4">
        <f>Acciones!D177/Acciones!D176</f>
        <v>1.0038429806622231</v>
      </c>
      <c r="E177" s="4">
        <f>Acciones!E177/Acciones!E176</f>
        <v>0.98048782303246673</v>
      </c>
      <c r="F177" s="15">
        <f t="shared" si="6"/>
        <v>28773.392014707322</v>
      </c>
      <c r="G177" s="15">
        <f t="shared" si="8"/>
        <v>273.39201470732223</v>
      </c>
      <c r="H177" s="4">
        <f t="shared" si="7"/>
        <v>9.5927022704322962E-3</v>
      </c>
      <c r="I177" s="4"/>
    </row>
    <row r="178" spans="1:9" x14ac:dyDescent="0.2">
      <c r="A178" s="1">
        <f>Acciones!A178</f>
        <v>45252</v>
      </c>
      <c r="B178" s="4">
        <f>Acciones!B178/Acciones!B177</f>
        <v>0.98432261619089556</v>
      </c>
      <c r="C178" s="4">
        <f>Acciones!C178/Acciones!C177</f>
        <v>1.0667157404466012</v>
      </c>
      <c r="D178" s="4">
        <f>Acciones!D178/Acciones!D177</f>
        <v>1.0228442152155632</v>
      </c>
      <c r="E178" s="4">
        <f>Acciones!E178/Acciones!E177</f>
        <v>1.0248755982853346</v>
      </c>
      <c r="F178" s="15">
        <f t="shared" si="6"/>
        <v>29444.186633635818</v>
      </c>
      <c r="G178" s="15">
        <f t="shared" si="8"/>
        <v>944.186633635818</v>
      </c>
      <c r="H178" s="4">
        <f t="shared" si="7"/>
        <v>3.3129355566169139E-2</v>
      </c>
      <c r="I178" s="4"/>
    </row>
    <row r="179" spans="1:9" x14ac:dyDescent="0.2">
      <c r="A179" s="1">
        <f>Acciones!A179</f>
        <v>45253</v>
      </c>
      <c r="B179" s="4">
        <f>Acciones!B179/Acciones!B178</f>
        <v>1.0238906925259157</v>
      </c>
      <c r="C179" s="4">
        <f>Acciones!C179/Acciones!C178</f>
        <v>0.98778867545937876</v>
      </c>
      <c r="D179" s="4">
        <f>Acciones!D179/Acciones!D178</f>
        <v>0.9861827910493981</v>
      </c>
      <c r="E179" s="4">
        <f>Acciones!E179/Acciones!E178</f>
        <v>1</v>
      </c>
      <c r="F179" s="15">
        <f t="shared" si="6"/>
        <v>28329.437751198784</v>
      </c>
      <c r="G179" s="15">
        <f t="shared" si="8"/>
        <v>-170.5622488012159</v>
      </c>
      <c r="H179" s="4">
        <f t="shared" si="7"/>
        <v>-5.9846403088146261E-3</v>
      </c>
      <c r="I179" s="4"/>
    </row>
    <row r="180" spans="1:9" x14ac:dyDescent="0.2">
      <c r="A180" s="1">
        <f>Acciones!A180</f>
        <v>45254</v>
      </c>
      <c r="B180" s="4">
        <f>Acciones!B180/Acciones!B179</f>
        <v>0.97296302477323326</v>
      </c>
      <c r="C180" s="4">
        <f>Acciones!C180/Acciones!C179</f>
        <v>1.0459554039855592</v>
      </c>
      <c r="D180" s="4">
        <f>Acciones!D180/Acciones!D179</f>
        <v>0.98922374131542068</v>
      </c>
      <c r="E180" s="4">
        <f>Acciones!E180/Acciones!E179</f>
        <v>1.0291261866243464</v>
      </c>
      <c r="F180" s="15">
        <f t="shared" si="6"/>
        <v>28894.378364157245</v>
      </c>
      <c r="G180" s="15">
        <f t="shared" si="8"/>
        <v>394.3783641572445</v>
      </c>
      <c r="H180" s="4">
        <f t="shared" si="7"/>
        <v>1.3837837338850578E-2</v>
      </c>
      <c r="I180" s="4"/>
    </row>
    <row r="181" spans="1:9" x14ac:dyDescent="0.2">
      <c r="A181" s="1">
        <f>Acciones!A181</f>
        <v>45257</v>
      </c>
      <c r="B181" s="4">
        <f>Acciones!B181/Acciones!B180</f>
        <v>1.0030453203189307</v>
      </c>
      <c r="C181" s="4">
        <f>Acciones!C181/Acciones!C180</f>
        <v>0.99650561195661891</v>
      </c>
      <c r="D181" s="4">
        <f>Acciones!D181/Acciones!D180</f>
        <v>1.0256021087722937</v>
      </c>
      <c r="E181" s="4">
        <f>Acciones!E181/Acciones!E180</f>
        <v>1</v>
      </c>
      <c r="F181" s="15">
        <f t="shared" si="6"/>
        <v>28733.483022427077</v>
      </c>
      <c r="G181" s="15">
        <f t="shared" si="8"/>
        <v>233.48302242707723</v>
      </c>
      <c r="H181" s="4">
        <f t="shared" si="7"/>
        <v>8.1923867518272075E-3</v>
      </c>
      <c r="I181" s="4"/>
    </row>
    <row r="182" spans="1:9" x14ac:dyDescent="0.2">
      <c r="A182" s="1">
        <f>Acciones!A182</f>
        <v>45258</v>
      </c>
      <c r="B182" s="4">
        <f>Acciones!B182/Acciones!B181</f>
        <v>1.0356736519319771</v>
      </c>
      <c r="C182" s="4">
        <f>Acciones!C182/Acciones!C181</f>
        <v>1.0935437271087651</v>
      </c>
      <c r="D182" s="4">
        <f>Acciones!D182/Acciones!D181</f>
        <v>0.99416045111258078</v>
      </c>
      <c r="E182" s="4">
        <f>Acciones!E182/Acciones!E181</f>
        <v>1.0377359275675304</v>
      </c>
      <c r="F182" s="15">
        <f t="shared" si="6"/>
        <v>29662.675302042415</v>
      </c>
      <c r="G182" s="15">
        <f t="shared" si="8"/>
        <v>1162.6753020424148</v>
      </c>
      <c r="H182" s="4">
        <f t="shared" si="7"/>
        <v>4.0795624633067185E-2</v>
      </c>
      <c r="I182" s="4"/>
    </row>
    <row r="183" spans="1:9" x14ac:dyDescent="0.2">
      <c r="A183" s="1">
        <f>Acciones!A183</f>
        <v>45259</v>
      </c>
      <c r="B183" s="4">
        <f>Acciones!B183/Acciones!B182</f>
        <v>0.96848654800589273</v>
      </c>
      <c r="C183" s="4">
        <f>Acciones!C183/Acciones!C182</f>
        <v>1.009148365857502</v>
      </c>
      <c r="D183" s="4">
        <f>Acciones!D183/Acciones!D182</f>
        <v>1.0203098452840873</v>
      </c>
      <c r="E183" s="4">
        <f>Acciones!E183/Acciones!E182</f>
        <v>1.0090909002241011</v>
      </c>
      <c r="F183" s="15">
        <f t="shared" si="6"/>
        <v>28729.710797740325</v>
      </c>
      <c r="G183" s="15">
        <f t="shared" si="8"/>
        <v>229.71079774032478</v>
      </c>
      <c r="H183" s="4">
        <f t="shared" si="7"/>
        <v>8.0600279908886741E-3</v>
      </c>
      <c r="I183" s="4"/>
    </row>
    <row r="184" spans="1:9" x14ac:dyDescent="0.2">
      <c r="A184" s="1">
        <f>Acciones!A184</f>
        <v>45260</v>
      </c>
      <c r="B184" s="4">
        <f>Acciones!B184/Acciones!B183</f>
        <v>1.002648487140456</v>
      </c>
      <c r="C184" s="4">
        <f>Acciones!C184/Acciones!C183</f>
        <v>0.97154207318742525</v>
      </c>
      <c r="D184" s="4">
        <f>Acciones!D184/Acciones!D183</f>
        <v>1.0005239690514589</v>
      </c>
      <c r="E184" s="4">
        <f>Acciones!E184/Acciones!E183</f>
        <v>1.009009000301248</v>
      </c>
      <c r="F184" s="15">
        <f t="shared" si="6"/>
        <v>28293.708592443585</v>
      </c>
      <c r="G184" s="15">
        <f t="shared" si="8"/>
        <v>-206.29140755641492</v>
      </c>
      <c r="H184" s="4">
        <f t="shared" si="7"/>
        <v>-7.2382950019794778E-3</v>
      </c>
      <c r="I184" s="4"/>
    </row>
    <row r="185" spans="1:9" x14ac:dyDescent="0.2">
      <c r="A185" s="1">
        <f>Acciones!A185</f>
        <v>45261</v>
      </c>
      <c r="B185" s="4">
        <f>Acciones!B185/Acciones!B184</f>
        <v>1.0007547964045553</v>
      </c>
      <c r="C185" s="4">
        <f>Acciones!C185/Acciones!C184</f>
        <v>1.1273627784191362</v>
      </c>
      <c r="D185" s="4">
        <f>Acciones!D185/Acciones!D184</f>
        <v>1.020616535741937</v>
      </c>
      <c r="E185" s="4">
        <f>Acciones!E185/Acciones!E184</f>
        <v>1.1160714238197844</v>
      </c>
      <c r="F185" s="15">
        <f t="shared" si="6"/>
        <v>30557.146370825925</v>
      </c>
      <c r="G185" s="15">
        <f t="shared" si="8"/>
        <v>2057.1463708259253</v>
      </c>
      <c r="H185" s="4">
        <f t="shared" si="7"/>
        <v>7.2180574414944854E-2</v>
      </c>
      <c r="I185" s="4"/>
    </row>
    <row r="186" spans="1:9" x14ac:dyDescent="0.2">
      <c r="A186" s="1">
        <f>Acciones!A186</f>
        <v>45264</v>
      </c>
      <c r="B186" s="4">
        <f>Acciones!B186/Acciones!B185</f>
        <v>0.99509789375121505</v>
      </c>
      <c r="C186" s="4">
        <f>Acciones!C186/Acciones!C185</f>
        <v>1.1136994292617846</v>
      </c>
      <c r="D186" s="4">
        <f>Acciones!D186/Acciones!D185</f>
        <v>1.0318676919274776</v>
      </c>
      <c r="E186" s="4">
        <f>Acciones!E186/Acciones!E185</f>
        <v>0.98800001144408811</v>
      </c>
      <c r="F186" s="15">
        <f t="shared" si="6"/>
        <v>29815.664188333467</v>
      </c>
      <c r="G186" s="15">
        <f t="shared" si="8"/>
        <v>1315.6641883334669</v>
      </c>
      <c r="H186" s="4">
        <f t="shared" si="7"/>
        <v>4.6163655730998787E-2</v>
      </c>
      <c r="I186" s="4"/>
    </row>
    <row r="187" spans="1:9" x14ac:dyDescent="0.2">
      <c r="A187" s="1">
        <f>Acciones!A187</f>
        <v>45265</v>
      </c>
      <c r="B187" s="4">
        <f>Acciones!B187/Acciones!B186</f>
        <v>0.99583191045568076</v>
      </c>
      <c r="C187" s="4">
        <f>Acciones!C187/Acciones!C186</f>
        <v>1.0202650086353857</v>
      </c>
      <c r="D187" s="4">
        <f>Acciones!D187/Acciones!D186</f>
        <v>0.99907501364873241</v>
      </c>
      <c r="E187" s="4">
        <f>Acciones!E187/Acciones!E186</f>
        <v>1.0323886327042162</v>
      </c>
      <c r="F187" s="15">
        <f t="shared" si="6"/>
        <v>28846.81688499156</v>
      </c>
      <c r="G187" s="15">
        <f t="shared" si="8"/>
        <v>346.81688499156007</v>
      </c>
      <c r="H187" s="4">
        <f t="shared" si="7"/>
        <v>1.2169013508475768E-2</v>
      </c>
      <c r="I187" s="4"/>
    </row>
    <row r="188" spans="1:9" x14ac:dyDescent="0.2">
      <c r="A188" s="1">
        <f>Acciones!A188</f>
        <v>45266</v>
      </c>
      <c r="B188" s="4">
        <f>Acciones!B188/Acciones!B187</f>
        <v>0.99353111968743102</v>
      </c>
      <c r="C188" s="4">
        <f>Acciones!C188/Acciones!C187</f>
        <v>1.0162205066722625</v>
      </c>
      <c r="D188" s="4">
        <f>Acciones!D188/Acciones!D187</f>
        <v>1.0054996313621998</v>
      </c>
      <c r="E188" s="4">
        <f>Acciones!E188/Acciones!E187</f>
        <v>1.0078431299217645</v>
      </c>
      <c r="F188" s="15">
        <f t="shared" si="6"/>
        <v>28729.587260484204</v>
      </c>
      <c r="G188" s="15">
        <f t="shared" si="8"/>
        <v>229.58726048420431</v>
      </c>
      <c r="H188" s="4">
        <f t="shared" si="7"/>
        <v>8.0556933503228567E-3</v>
      </c>
      <c r="I188" s="4"/>
    </row>
    <row r="189" spans="1:9" x14ac:dyDescent="0.2">
      <c r="A189" s="1">
        <f>Acciones!A189</f>
        <v>45267</v>
      </c>
      <c r="B189" s="4">
        <f>Acciones!B189/Acciones!B188</f>
        <v>0.98314824970295067</v>
      </c>
      <c r="C189" s="4">
        <f>Acciones!C189/Acciones!C188</f>
        <v>0.99556629700161048</v>
      </c>
      <c r="D189" s="4">
        <f>Acciones!D189/Acciones!D188</f>
        <v>0.99490176511981609</v>
      </c>
      <c r="E189" s="4">
        <f>Acciones!E189/Acciones!E188</f>
        <v>0.97276267118245996</v>
      </c>
      <c r="F189" s="15">
        <f t="shared" si="6"/>
        <v>28198.111038177318</v>
      </c>
      <c r="G189" s="15">
        <f t="shared" si="8"/>
        <v>-301.88896182268218</v>
      </c>
      <c r="H189" s="4">
        <f t="shared" si="7"/>
        <v>-1.0592595151673101E-2</v>
      </c>
      <c r="I189" s="4"/>
    </row>
    <row r="190" spans="1:9" x14ac:dyDescent="0.2">
      <c r="A190" s="1">
        <f>Acciones!A190</f>
        <v>45268</v>
      </c>
      <c r="B190" s="4">
        <f>Acciones!B190/Acciones!B189</f>
        <v>0.99766262468600964</v>
      </c>
      <c r="C190" s="4">
        <f>Acciones!C190/Acciones!C189</f>
        <v>1.0749674550911965</v>
      </c>
      <c r="D190" s="4">
        <f>Acciones!D190/Acciones!D189</f>
        <v>1.0009949658090831</v>
      </c>
      <c r="E190" s="4">
        <f>Acciones!E190/Acciones!E189</f>
        <v>1</v>
      </c>
      <c r="F190" s="15">
        <f t="shared" si="6"/>
        <v>29213.959667858231</v>
      </c>
      <c r="G190" s="15">
        <f t="shared" si="8"/>
        <v>713.95966785823111</v>
      </c>
      <c r="H190" s="4">
        <f t="shared" si="7"/>
        <v>2.5051216416078326E-2</v>
      </c>
      <c r="I190" s="4"/>
    </row>
    <row r="191" spans="1:9" x14ac:dyDescent="0.2">
      <c r="A191" s="1">
        <f>Acciones!A191</f>
        <v>45271</v>
      </c>
      <c r="B191" s="4">
        <f>Acciones!B191/Acciones!B190</f>
        <v>1.0054665767218511</v>
      </c>
      <c r="C191" s="4">
        <f>Acciones!C191/Acciones!C190</f>
        <v>0.88209910369033662</v>
      </c>
      <c r="D191" s="4">
        <f>Acciones!D191/Acciones!D190</f>
        <v>1.0288120079116725</v>
      </c>
      <c r="E191" s="4">
        <f>Acciones!E191/Acciones!E190</f>
        <v>0.95600004196166799</v>
      </c>
      <c r="F191" s="15">
        <f t="shared" si="6"/>
        <v>27445.194813490576</v>
      </c>
      <c r="G191" s="15">
        <f t="shared" si="8"/>
        <v>-1054.8051865094239</v>
      </c>
      <c r="H191" s="4">
        <f t="shared" si="7"/>
        <v>-3.7010708298576334E-2</v>
      </c>
      <c r="I191" s="4"/>
    </row>
    <row r="192" spans="1:9" x14ac:dyDescent="0.2">
      <c r="A192" s="1">
        <f>Acciones!A192</f>
        <v>45273</v>
      </c>
      <c r="B192" s="4">
        <f>Acciones!B192/Acciones!B191</f>
        <v>1.0497088634482346</v>
      </c>
      <c r="C192" s="4">
        <f>Acciones!C192/Acciones!C191</f>
        <v>1.1233268483977494</v>
      </c>
      <c r="D192" s="4">
        <f>Acciones!D192/Acciones!D191</f>
        <v>1.0110293243887039</v>
      </c>
      <c r="E192" s="4">
        <f>Acciones!E192/Acciones!E191</f>
        <v>0.97489532277634527</v>
      </c>
      <c r="F192" s="15">
        <f t="shared" si="6"/>
        <v>29817.80360100438</v>
      </c>
      <c r="G192" s="15">
        <f t="shared" si="8"/>
        <v>1317.8036010043797</v>
      </c>
      <c r="H192" s="4">
        <f t="shared" si="7"/>
        <v>4.6238722842258939E-2</v>
      </c>
      <c r="I192" s="4"/>
    </row>
    <row r="193" spans="1:9" x14ac:dyDescent="0.2">
      <c r="A193" s="1">
        <f>Acciones!A193</f>
        <v>45274</v>
      </c>
      <c r="B193" s="4">
        <f>Acciones!B193/Acciones!B192</f>
        <v>1.0122086336785481</v>
      </c>
      <c r="C193" s="4">
        <f>Acciones!C193/Acciones!C192</f>
        <v>1.0627852283911154</v>
      </c>
      <c r="D193" s="4">
        <f>Acciones!D193/Acciones!D192</f>
        <v>0.99531719372650374</v>
      </c>
      <c r="E193" s="4">
        <f>Acciones!E193/Acciones!E192</f>
        <v>1.0042918415410738</v>
      </c>
      <c r="F193" s="15">
        <f t="shared" si="6"/>
        <v>29115.966953331455</v>
      </c>
      <c r="G193" s="15">
        <f t="shared" si="8"/>
        <v>615.96695333145544</v>
      </c>
      <c r="H193" s="4">
        <f t="shared" si="7"/>
        <v>2.161287555548963E-2</v>
      </c>
      <c r="I193" s="4"/>
    </row>
    <row r="194" spans="1:9" x14ac:dyDescent="0.2">
      <c r="A194" s="1">
        <f>Acciones!A194</f>
        <v>45275</v>
      </c>
      <c r="B194" s="4">
        <f>Acciones!B194/Acciones!B193</f>
        <v>0.99378647016503086</v>
      </c>
      <c r="C194" s="4">
        <f>Acciones!C194/Acciones!C193</f>
        <v>1.0218011143923473</v>
      </c>
      <c r="D194" s="4">
        <f>Acciones!D194/Acciones!D193</f>
        <v>1.0010226069815775</v>
      </c>
      <c r="E194" s="4">
        <f>Acciones!E194/Acciones!E193</f>
        <v>0.97435899787165592</v>
      </c>
      <c r="F194" s="15">
        <f t="shared" si="6"/>
        <v>28554.563790414792</v>
      </c>
      <c r="G194" s="15">
        <f t="shared" si="8"/>
        <v>54.563790414791583</v>
      </c>
      <c r="H194" s="4">
        <f t="shared" si="7"/>
        <v>1.9145189619225178E-3</v>
      </c>
      <c r="I194" s="4"/>
    </row>
    <row r="195" spans="1:9" x14ac:dyDescent="0.2">
      <c r="A195" s="1">
        <f>Acciones!A195</f>
        <v>45278</v>
      </c>
      <c r="B195" s="4">
        <f>Acciones!B195/Acciones!B194</f>
        <v>0.99926450240303288</v>
      </c>
      <c r="C195" s="4">
        <f>Acciones!C195/Acciones!C194</f>
        <v>1.0972792865654317</v>
      </c>
      <c r="D195" s="4">
        <f>Acciones!D195/Acciones!D194</f>
        <v>0.99754933032088067</v>
      </c>
      <c r="E195" s="4">
        <f>Acciones!E195/Acciones!E194</f>
        <v>1</v>
      </c>
      <c r="F195" s="15">
        <f t="shared" ref="F195:F258" si="9">$J$2*B195+$J$3*C195+$J$4*D195+$J$5*E195</f>
        <v>29397.072283991023</v>
      </c>
      <c r="G195" s="15">
        <f t="shared" si="8"/>
        <v>897.07228399102314</v>
      </c>
      <c r="H195" s="4">
        <f t="shared" ref="H195:H258" si="10">(F195/$J$6)-1</f>
        <v>3.1476220490913143E-2</v>
      </c>
      <c r="I195" s="4"/>
    </row>
    <row r="196" spans="1:9" x14ac:dyDescent="0.2">
      <c r="A196" s="1">
        <f>Acciones!A196</f>
        <v>45279</v>
      </c>
      <c r="B196" s="4">
        <f>Acciones!B196/Acciones!B195</f>
        <v>0.97902093962198178</v>
      </c>
      <c r="C196" s="4">
        <f>Acciones!C196/Acciones!C195</f>
        <v>1.0959356653760031</v>
      </c>
      <c r="D196" s="4">
        <f>Acciones!D196/Acciones!D195</f>
        <v>1.0044374099392028</v>
      </c>
      <c r="E196" s="4">
        <f>Acciones!E196/Acciones!E195</f>
        <v>1.0263157647072105</v>
      </c>
      <c r="F196" s="15">
        <f t="shared" si="9"/>
        <v>29527.072915030651</v>
      </c>
      <c r="G196" s="15">
        <f t="shared" si="8"/>
        <v>1027.0729150306506</v>
      </c>
      <c r="H196" s="4">
        <f t="shared" si="10"/>
        <v>3.6037646141426238E-2</v>
      </c>
      <c r="I196" s="4"/>
    </row>
    <row r="197" spans="1:9" x14ac:dyDescent="0.2">
      <c r="A197" s="1">
        <f>Acciones!A197</f>
        <v>45280</v>
      </c>
      <c r="B197" s="4">
        <f>Acciones!B197/Acciones!B196</f>
        <v>0.99774441870530162</v>
      </c>
      <c r="C197" s="4">
        <f>Acciones!C197/Acciones!C196</f>
        <v>1.0469571415334635</v>
      </c>
      <c r="D197" s="4">
        <f>Acciones!D197/Acciones!D196</f>
        <v>0.9965299291705394</v>
      </c>
      <c r="E197" s="4">
        <f>Acciones!E197/Acciones!E196</f>
        <v>1.004273500354721</v>
      </c>
      <c r="F197" s="15">
        <f t="shared" si="9"/>
        <v>28927.001853692818</v>
      </c>
      <c r="G197" s="15">
        <f t="shared" ref="G197:G260" si="11">F197-$J$6</f>
        <v>427.00185369281826</v>
      </c>
      <c r="H197" s="4">
        <f t="shared" si="10"/>
        <v>1.4982521182204112E-2</v>
      </c>
      <c r="I197" s="4"/>
    </row>
    <row r="198" spans="1:9" x14ac:dyDescent="0.2">
      <c r="A198" s="1">
        <f>Acciones!A198</f>
        <v>45281</v>
      </c>
      <c r="B198" s="4">
        <f>Acciones!B198/Acciones!B197</f>
        <v>1.064431019446199</v>
      </c>
      <c r="C198" s="4">
        <f>Acciones!C198/Acciones!C197</f>
        <v>1.0822099576070008</v>
      </c>
      <c r="D198" s="4">
        <f>Acciones!D198/Acciones!D197</f>
        <v>1.0024639934845241</v>
      </c>
      <c r="E198" s="4">
        <f>Acciones!E198/Acciones!E197</f>
        <v>0.93617027104845629</v>
      </c>
      <c r="F198" s="15">
        <f t="shared" si="9"/>
        <v>29180.079590939953</v>
      </c>
      <c r="G198" s="15">
        <f t="shared" si="11"/>
        <v>680.07959093995305</v>
      </c>
      <c r="H198" s="4">
        <f t="shared" si="10"/>
        <v>2.3862441787366739E-2</v>
      </c>
      <c r="I198" s="4"/>
    </row>
    <row r="199" spans="1:9" x14ac:dyDescent="0.2">
      <c r="A199" s="1">
        <f>Acciones!A199</f>
        <v>45282</v>
      </c>
      <c r="B199" s="4">
        <f>Acciones!B199/Acciones!B198</f>
        <v>1.0438936979938285</v>
      </c>
      <c r="C199" s="4">
        <f>Acciones!C199/Acciones!C198</f>
        <v>1.0741045993963458</v>
      </c>
      <c r="D199" s="4">
        <f>Acciones!D199/Acciones!D198</f>
        <v>0.87924557043607854</v>
      </c>
      <c r="E199" s="4">
        <f>Acciones!E199/Acciones!E198</f>
        <v>1</v>
      </c>
      <c r="F199" s="15">
        <f t="shared" si="9"/>
        <v>28150.077341604469</v>
      </c>
      <c r="G199" s="15">
        <f t="shared" si="11"/>
        <v>-349.92265839553147</v>
      </c>
      <c r="H199" s="4">
        <f t="shared" si="10"/>
        <v>-1.2277988013878249E-2</v>
      </c>
      <c r="I199" s="4"/>
    </row>
    <row r="200" spans="1:9" x14ac:dyDescent="0.2">
      <c r="A200" s="1">
        <f>Acciones!A200</f>
        <v>45286</v>
      </c>
      <c r="B200" s="4">
        <f>Acciones!B200/Acciones!B199</f>
        <v>0.99830459769732594</v>
      </c>
      <c r="C200" s="4">
        <f>Acciones!C200/Acciones!C199</f>
        <v>1.0009645545439969</v>
      </c>
      <c r="D200" s="4">
        <f>Acciones!D200/Acciones!D199</f>
        <v>0.99920982914130796</v>
      </c>
      <c r="E200" s="4">
        <f>Acciones!E200/Acciones!E199</f>
        <v>1</v>
      </c>
      <c r="F200" s="15">
        <f t="shared" si="9"/>
        <v>28495.327651521693</v>
      </c>
      <c r="G200" s="15">
        <f t="shared" si="11"/>
        <v>-4.672348478306958</v>
      </c>
      <c r="H200" s="4">
        <f t="shared" si="10"/>
        <v>-1.6394205187042488E-4</v>
      </c>
      <c r="I200" s="4"/>
    </row>
    <row r="201" spans="1:9" x14ac:dyDescent="0.2">
      <c r="A201" s="1">
        <f>Acciones!A201</f>
        <v>45287</v>
      </c>
      <c r="B201" s="4">
        <f>Acciones!B201/Acciones!B200</f>
        <v>1.0101901560731159</v>
      </c>
      <c r="C201" s="4">
        <f>Acciones!C201/Acciones!C200</f>
        <v>1.1495029179786422</v>
      </c>
      <c r="D201" s="4">
        <f>Acciones!D201/Acciones!D200</f>
        <v>0.98819299072949018</v>
      </c>
      <c r="E201" s="4">
        <f>Acciones!E201/Acciones!E200</f>
        <v>1.0272727006723075</v>
      </c>
      <c r="F201" s="15">
        <f t="shared" si="9"/>
        <v>29987.8730280456</v>
      </c>
      <c r="G201" s="15">
        <f t="shared" si="11"/>
        <v>1487.8730280456002</v>
      </c>
      <c r="H201" s="4">
        <f t="shared" si="10"/>
        <v>5.2206071159494716E-2</v>
      </c>
      <c r="I201" s="4"/>
    </row>
    <row r="202" spans="1:9" x14ac:dyDescent="0.2">
      <c r="A202" s="1">
        <f>Acciones!A202</f>
        <v>45288</v>
      </c>
      <c r="B202" s="4">
        <f>Acciones!B202/Acciones!B201</f>
        <v>0.97814392312900789</v>
      </c>
      <c r="C202" s="4">
        <f>Acciones!C202/Acciones!C201</f>
        <v>0.91397374037080548</v>
      </c>
      <c r="D202" s="4">
        <f>Acciones!D202/Acciones!D201</f>
        <v>1.020965804063424</v>
      </c>
      <c r="E202" s="4">
        <f>Acciones!E202/Acciones!E201</f>
        <v>0.97345135264038585</v>
      </c>
      <c r="F202" s="15">
        <f t="shared" si="9"/>
        <v>27669.894744630543</v>
      </c>
      <c r="G202" s="15">
        <f t="shared" si="11"/>
        <v>-830.10525536945715</v>
      </c>
      <c r="H202" s="4">
        <f t="shared" si="10"/>
        <v>-2.9126500188402016E-2</v>
      </c>
      <c r="I202" s="4"/>
    </row>
    <row r="203" spans="1:9" x14ac:dyDescent="0.2">
      <c r="A203" s="1">
        <f>Acciones!A203</f>
        <v>45289</v>
      </c>
      <c r="B203" s="4">
        <f>Acciones!B203/Acciones!B202</f>
        <v>1.0391887337155246</v>
      </c>
      <c r="C203" s="4">
        <f>Acciones!C203/Acciones!C202</f>
        <v>0.83066144682419096</v>
      </c>
      <c r="D203" s="4">
        <f>Acciones!D203/Acciones!D202</f>
        <v>0.9973027350035526</v>
      </c>
      <c r="E203" s="4">
        <f>Acciones!E203/Acciones!E202</f>
        <v>1.0181818004482066</v>
      </c>
      <c r="F203" s="15">
        <f t="shared" si="9"/>
        <v>27101.471565334814</v>
      </c>
      <c r="G203" s="15">
        <f t="shared" si="11"/>
        <v>-1398.5284346651861</v>
      </c>
      <c r="H203" s="4">
        <f t="shared" si="10"/>
        <v>-4.907117314614684E-2</v>
      </c>
      <c r="I203" s="4"/>
    </row>
    <row r="204" spans="1:9" x14ac:dyDescent="0.2">
      <c r="A204" s="1">
        <f>Acciones!A204</f>
        <v>45293</v>
      </c>
      <c r="B204" s="4">
        <f>Acciones!B204/Acciones!B203</f>
        <v>0.97419789299725978</v>
      </c>
      <c r="C204" s="4">
        <f>Acciones!C204/Acciones!C203</f>
        <v>0.97851729723896486</v>
      </c>
      <c r="D204" s="4">
        <f>Acciones!D204/Acciones!D203</f>
        <v>0.98428715362232067</v>
      </c>
      <c r="E204" s="4">
        <f>Acciones!E204/Acciones!E203</f>
        <v>1.0089285628756075</v>
      </c>
      <c r="F204" s="15">
        <f t="shared" si="9"/>
        <v>28097.585581299623</v>
      </c>
      <c r="G204" s="15">
        <f t="shared" si="11"/>
        <v>-402.4144187003767</v>
      </c>
      <c r="H204" s="4">
        <f t="shared" si="10"/>
        <v>-1.4119804164925531E-2</v>
      </c>
      <c r="I204" s="4"/>
    </row>
    <row r="205" spans="1:9" x14ac:dyDescent="0.2">
      <c r="A205" s="1">
        <f>Acciones!A205</f>
        <v>45294</v>
      </c>
      <c r="B205" s="4">
        <f>Acciones!B205/Acciones!B204</f>
        <v>0.99422749698090351</v>
      </c>
      <c r="C205" s="4">
        <f>Acciones!C205/Acciones!C204</f>
        <v>1.0329571846747134</v>
      </c>
      <c r="D205" s="4">
        <f>Acciones!D205/Acciones!D204</f>
        <v>0.97925670930759978</v>
      </c>
      <c r="E205" s="4">
        <f>Acciones!E205/Acciones!E204</f>
        <v>0.9247787269861476</v>
      </c>
      <c r="F205" s="15">
        <f t="shared" si="9"/>
        <v>28171.739585342752</v>
      </c>
      <c r="G205" s="15">
        <f t="shared" si="11"/>
        <v>-328.26041465724848</v>
      </c>
      <c r="H205" s="4">
        <f t="shared" si="10"/>
        <v>-1.1517909286219208E-2</v>
      </c>
      <c r="I205" s="4"/>
    </row>
    <row r="206" spans="1:9" x14ac:dyDescent="0.2">
      <c r="A206" s="1">
        <f>Acciones!A206</f>
        <v>45295</v>
      </c>
      <c r="B206" s="4">
        <f>Acciones!B206/Acciones!B205</f>
        <v>0.95389341975434738</v>
      </c>
      <c r="C206" s="4">
        <f>Acciones!C206/Acciones!C205</f>
        <v>1.1221104721931248</v>
      </c>
      <c r="D206" s="4">
        <f>Acciones!D206/Acciones!D205</f>
        <v>0.98481166351275218</v>
      </c>
      <c r="E206" s="4">
        <f>Acciones!E206/Acciones!E205</f>
        <v>1.014354053886023</v>
      </c>
      <c r="F206" s="15">
        <f t="shared" si="9"/>
        <v>29425.740386475547</v>
      </c>
      <c r="G206" s="15">
        <f t="shared" si="11"/>
        <v>925.74038647554698</v>
      </c>
      <c r="H206" s="4">
        <f t="shared" si="10"/>
        <v>3.2482118823703443E-2</v>
      </c>
      <c r="I206" s="4"/>
    </row>
    <row r="207" spans="1:9" x14ac:dyDescent="0.2">
      <c r="A207" s="1">
        <f>Acciones!A207</f>
        <v>45296</v>
      </c>
      <c r="B207" s="4">
        <f>Acciones!B207/Acciones!B206</f>
        <v>1.064088718995035</v>
      </c>
      <c r="C207" s="4">
        <f>Acciones!C207/Acciones!C206</f>
        <v>0.89489522543356181</v>
      </c>
      <c r="D207" s="4">
        <f>Acciones!D207/Acciones!D206</f>
        <v>0.98611917505213653</v>
      </c>
      <c r="E207" s="4">
        <f>Acciones!E207/Acciones!E206</f>
        <v>1.0330189506792875</v>
      </c>
      <c r="F207" s="15">
        <f t="shared" si="9"/>
        <v>27768.611137358908</v>
      </c>
      <c r="G207" s="15">
        <f t="shared" si="11"/>
        <v>-731.38886264109169</v>
      </c>
      <c r="H207" s="4">
        <f t="shared" si="10"/>
        <v>-2.5662767110213758E-2</v>
      </c>
      <c r="I207" s="4"/>
    </row>
    <row r="208" spans="1:9" x14ac:dyDescent="0.2">
      <c r="A208" s="1">
        <f>Acciones!A208</f>
        <v>45299</v>
      </c>
      <c r="B208" s="4">
        <f>Acciones!B208/Acciones!B207</f>
        <v>0.97409156720958423</v>
      </c>
      <c r="C208" s="4">
        <f>Acciones!C208/Acciones!C207</f>
        <v>1.0852310705065251</v>
      </c>
      <c r="D208" s="4">
        <f>Acciones!D208/Acciones!D207</f>
        <v>1.0097682754717017</v>
      </c>
      <c r="E208" s="4">
        <f>Acciones!E208/Acciones!E207</f>
        <v>1</v>
      </c>
      <c r="F208" s="15">
        <f t="shared" si="9"/>
        <v>29316.698409762546</v>
      </c>
      <c r="G208" s="15">
        <f t="shared" si="11"/>
        <v>816.69840976254636</v>
      </c>
      <c r="H208" s="4">
        <f t="shared" si="10"/>
        <v>2.8656084553071892E-2</v>
      </c>
      <c r="I208" s="4"/>
    </row>
    <row r="209" spans="1:9" x14ac:dyDescent="0.2">
      <c r="A209" s="1">
        <f>Acciones!A209</f>
        <v>45300</v>
      </c>
      <c r="B209" s="4">
        <f>Acciones!B209/Acciones!B208</f>
        <v>0.96960275141939589</v>
      </c>
      <c r="C209" s="4">
        <f>Acciones!C209/Acciones!C208</f>
        <v>0.98949650167311176</v>
      </c>
      <c r="D209" s="4">
        <f>Acciones!D209/Acciones!D208</f>
        <v>0.99708129797749778</v>
      </c>
      <c r="E209" s="4">
        <f>Acciones!E209/Acciones!E208</f>
        <v>0.93607301312957125</v>
      </c>
      <c r="F209" s="15">
        <f t="shared" si="9"/>
        <v>27913.040947850066</v>
      </c>
      <c r="G209" s="15">
        <f t="shared" si="11"/>
        <v>-586.959052149934</v>
      </c>
      <c r="H209" s="4">
        <f t="shared" si="10"/>
        <v>-2.0595054461401197E-2</v>
      </c>
      <c r="I209" s="4"/>
    </row>
    <row r="210" spans="1:9" x14ac:dyDescent="0.2">
      <c r="A210" s="1">
        <f>Acciones!A210</f>
        <v>45301</v>
      </c>
      <c r="B210" s="4">
        <f>Acciones!B210/Acciones!B209</f>
        <v>1.0092625537065116</v>
      </c>
      <c r="C210" s="4">
        <f>Acciones!C210/Acciones!C209</f>
        <v>0.99504940511137352</v>
      </c>
      <c r="D210" s="4">
        <f>Acciones!D210/Acciones!D209</f>
        <v>1.0143029091299636</v>
      </c>
      <c r="E210" s="4">
        <f>Acciones!E210/Acciones!E209</f>
        <v>0.965853690306818</v>
      </c>
      <c r="F210" s="15">
        <f t="shared" si="9"/>
        <v>28440.612674517975</v>
      </c>
      <c r="G210" s="15">
        <f t="shared" si="11"/>
        <v>-59.387325482024607</v>
      </c>
      <c r="H210" s="4">
        <f t="shared" si="10"/>
        <v>-2.0837658063868059E-3</v>
      </c>
      <c r="I210" s="4"/>
    </row>
    <row r="211" spans="1:9" x14ac:dyDescent="0.2">
      <c r="A211" s="1">
        <f>Acciones!A211</f>
        <v>45302</v>
      </c>
      <c r="B211" s="4">
        <f>Acciones!B211/Acciones!B210</f>
        <v>1.0462407508072684</v>
      </c>
      <c r="C211" s="4">
        <f>Acciones!C211/Acciones!C210</f>
        <v>0.87922895202411511</v>
      </c>
      <c r="D211" s="4">
        <f>Acciones!D211/Acciones!D210</f>
        <v>1.0183253974763213</v>
      </c>
      <c r="E211" s="4">
        <f>Acciones!E211/Acciones!E210</f>
        <v>0.95454543812544268</v>
      </c>
      <c r="F211" s="15">
        <f t="shared" si="9"/>
        <v>27447.77155650768</v>
      </c>
      <c r="G211" s="15">
        <f t="shared" si="11"/>
        <v>-1052.2284434923204</v>
      </c>
      <c r="H211" s="4">
        <f t="shared" si="10"/>
        <v>-3.6920296262888397E-2</v>
      </c>
      <c r="I211" s="4"/>
    </row>
    <row r="212" spans="1:9" x14ac:dyDescent="0.2">
      <c r="A212" s="1">
        <f>Acciones!A212</f>
        <v>45303</v>
      </c>
      <c r="B212" s="4">
        <f>Acciones!B212/Acciones!B211</f>
        <v>1.0222671655977242</v>
      </c>
      <c r="C212" s="4">
        <f>Acciones!C212/Acciones!C211</f>
        <v>0.84442686150794866</v>
      </c>
      <c r="D212" s="4">
        <f>Acciones!D212/Acciones!D211</f>
        <v>0.98800094358752544</v>
      </c>
      <c r="E212" s="4">
        <f>Acciones!E212/Acciones!E211</f>
        <v>1.0052910002851581</v>
      </c>
      <c r="F212" s="15">
        <f t="shared" si="9"/>
        <v>27009.100201361172</v>
      </c>
      <c r="G212" s="15">
        <f t="shared" si="11"/>
        <v>-1490.8997986388276</v>
      </c>
      <c r="H212" s="4">
        <f t="shared" si="10"/>
        <v>-5.231227363645008E-2</v>
      </c>
      <c r="I212" s="4"/>
    </row>
    <row r="213" spans="1:9" x14ac:dyDescent="0.2">
      <c r="A213" s="1">
        <f>Acciones!A213</f>
        <v>45306</v>
      </c>
      <c r="B213" s="4">
        <f>Acciones!B213/Acciones!B212</f>
        <v>0.97590764580285772</v>
      </c>
      <c r="C213" s="4">
        <f>Acciones!C213/Acciones!C212</f>
        <v>0.99956369488699426</v>
      </c>
      <c r="D213" s="4">
        <f>Acciones!D213/Acciones!D212</f>
        <v>1</v>
      </c>
      <c r="E213" s="4">
        <f>Acciones!E213/Acciones!E212</f>
        <v>1.0105263058828824</v>
      </c>
      <c r="F213" s="15">
        <f t="shared" si="9"/>
        <v>28469.426544092301</v>
      </c>
      <c r="G213" s="15">
        <f t="shared" si="11"/>
        <v>-30.573455907699099</v>
      </c>
      <c r="H213" s="4">
        <f t="shared" si="10"/>
        <v>-1.072752838866653E-3</v>
      </c>
      <c r="I213" s="4"/>
    </row>
    <row r="214" spans="1:9" x14ac:dyDescent="0.2">
      <c r="A214" s="1">
        <f>Acciones!A214</f>
        <v>45307</v>
      </c>
      <c r="B214" s="4">
        <f>Acciones!B214/Acciones!B213</f>
        <v>1</v>
      </c>
      <c r="C214" s="4">
        <f>Acciones!C214/Acciones!C213</f>
        <v>0.95141871999747163</v>
      </c>
      <c r="D214" s="4">
        <f>Acciones!D214/Acciones!D213</f>
        <v>0.99044235554307714</v>
      </c>
      <c r="E214" s="4">
        <f>Acciones!E214/Acciones!E213</f>
        <v>1</v>
      </c>
      <c r="F214" s="15">
        <f t="shared" si="9"/>
        <v>27942.901395406749</v>
      </c>
      <c r="G214" s="15">
        <f t="shared" si="11"/>
        <v>-557.09860459325137</v>
      </c>
      <c r="H214" s="4">
        <f t="shared" si="10"/>
        <v>-1.9547319459412349E-2</v>
      </c>
      <c r="I214" s="4"/>
    </row>
    <row r="215" spans="1:9" x14ac:dyDescent="0.2">
      <c r="A215" s="1">
        <f>Acciones!A215</f>
        <v>45308</v>
      </c>
      <c r="B215" s="4">
        <f>Acciones!B215/Acciones!B214</f>
        <v>0.92762937348973296</v>
      </c>
      <c r="C215" s="4">
        <f>Acciones!C215/Acciones!C214</f>
        <v>0.97351865921090264</v>
      </c>
      <c r="D215" s="4">
        <f>Acciones!D215/Acciones!D214</f>
        <v>0.98775508186176064</v>
      </c>
      <c r="E215" s="4">
        <f>Acciones!E215/Acciones!E214</f>
        <v>1</v>
      </c>
      <c r="F215" s="15">
        <f t="shared" si="9"/>
        <v>27872.68088833525</v>
      </c>
      <c r="G215" s="15">
        <f t="shared" si="11"/>
        <v>-627.31911166475038</v>
      </c>
      <c r="H215" s="4">
        <f t="shared" si="10"/>
        <v>-2.201119690051756E-2</v>
      </c>
      <c r="I215" s="4"/>
    </row>
    <row r="216" spans="1:9" x14ac:dyDescent="0.2">
      <c r="A216" s="1">
        <f>Acciones!A216</f>
        <v>45309</v>
      </c>
      <c r="B216" s="4">
        <f>Acciones!B216/Acciones!B215</f>
        <v>1.074735609390894</v>
      </c>
      <c r="C216" s="4">
        <f>Acciones!C216/Acciones!C215</f>
        <v>0.93526120915317745</v>
      </c>
      <c r="D216" s="4">
        <f>Acciones!D216/Acciones!D215</f>
        <v>0.99942962365947718</v>
      </c>
      <c r="E216" s="4">
        <f>Acciones!E216/Acciones!E215</f>
        <v>1</v>
      </c>
      <c r="F216" s="15">
        <f t="shared" si="9"/>
        <v>28140.852356418087</v>
      </c>
      <c r="G216" s="15">
        <f t="shared" si="11"/>
        <v>-359.14764358191314</v>
      </c>
      <c r="H216" s="4">
        <f t="shared" si="10"/>
        <v>-1.2601671704628559E-2</v>
      </c>
      <c r="I216" s="4"/>
    </row>
    <row r="217" spans="1:9" x14ac:dyDescent="0.2">
      <c r="A217" s="1">
        <f>Acciones!A217</f>
        <v>45310</v>
      </c>
      <c r="B217" s="4">
        <f>Acciones!B217/Acciones!B216</f>
        <v>0.98236093015663661</v>
      </c>
      <c r="C217" s="4">
        <f>Acciones!C217/Acciones!C216</f>
        <v>0.99348476449912049</v>
      </c>
      <c r="D217" s="4">
        <f>Acciones!D217/Acciones!D216</f>
        <v>1.0021210697679623</v>
      </c>
      <c r="E217" s="4">
        <f>Acciones!E217/Acciones!E216</f>
        <v>1</v>
      </c>
      <c r="F217" s="15">
        <f t="shared" si="9"/>
        <v>28397.579215969497</v>
      </c>
      <c r="G217" s="15">
        <f t="shared" si="11"/>
        <v>-102.42078403050255</v>
      </c>
      <c r="H217" s="4">
        <f t="shared" si="10"/>
        <v>-3.5937117203684865E-3</v>
      </c>
      <c r="I217" s="4"/>
    </row>
    <row r="218" spans="1:9" x14ac:dyDescent="0.2">
      <c r="A218" s="1">
        <f>Acciones!A218</f>
        <v>45313</v>
      </c>
      <c r="B218" s="4">
        <f>Acciones!B218/Acciones!B217</f>
        <v>0.99102217109886137</v>
      </c>
      <c r="C218" s="4">
        <f>Acciones!C218/Acciones!C217</f>
        <v>1.0297826131184891</v>
      </c>
      <c r="D218" s="4">
        <f>Acciones!D218/Acciones!D217</f>
        <v>0.99790643590068262</v>
      </c>
      <c r="E218" s="4">
        <f>Acciones!E218/Acciones!E217</f>
        <v>1</v>
      </c>
      <c r="F218" s="15">
        <f t="shared" si="9"/>
        <v>28730.576782478489</v>
      </c>
      <c r="G218" s="15">
        <f t="shared" si="11"/>
        <v>230.57678247848889</v>
      </c>
      <c r="H218" s="4">
        <f t="shared" si="10"/>
        <v>8.0904134202979261E-3</v>
      </c>
      <c r="I218" s="4"/>
    </row>
    <row r="219" spans="1:9" x14ac:dyDescent="0.2">
      <c r="A219" s="1">
        <f>Acciones!A219</f>
        <v>45314</v>
      </c>
      <c r="B219" s="4">
        <f>Acciones!B219/Acciones!B218</f>
        <v>0.97874559747132861</v>
      </c>
      <c r="C219" s="4">
        <f>Acciones!C219/Acciones!C218</f>
        <v>0.98694676152577621</v>
      </c>
      <c r="D219" s="4">
        <f>Acciones!D219/Acciones!D218</f>
        <v>1.0178614769050984</v>
      </c>
      <c r="E219" s="4">
        <f>Acciones!E219/Acciones!E218</f>
        <v>1.0104167190535611</v>
      </c>
      <c r="F219" s="15">
        <f t="shared" si="9"/>
        <v>28537.510549490093</v>
      </c>
      <c r="G219" s="15">
        <f t="shared" si="11"/>
        <v>37.510549490092671</v>
      </c>
      <c r="H219" s="4">
        <f t="shared" si="10"/>
        <v>1.3161596312312174E-3</v>
      </c>
      <c r="I219" s="4"/>
    </row>
    <row r="220" spans="1:9" x14ac:dyDescent="0.2">
      <c r="A220" s="1">
        <f>Acciones!A220</f>
        <v>45315</v>
      </c>
      <c r="B220" s="4">
        <f>Acciones!B220/Acciones!B219</f>
        <v>1.0138838682560491</v>
      </c>
      <c r="C220" s="4">
        <f>Acciones!C220/Acciones!C219</f>
        <v>0.95900324551837346</v>
      </c>
      <c r="D220" s="4">
        <f>Acciones!D220/Acciones!D219</f>
        <v>0.98573069897524734</v>
      </c>
      <c r="E220" s="4">
        <f>Acciones!E220/Acciones!E219</f>
        <v>1.005154634107376</v>
      </c>
      <c r="F220" s="15">
        <f t="shared" si="9"/>
        <v>28044.781848663759</v>
      </c>
      <c r="G220" s="15">
        <f t="shared" si="11"/>
        <v>-455.21815133624114</v>
      </c>
      <c r="H220" s="4">
        <f t="shared" si="10"/>
        <v>-1.5972566713552294E-2</v>
      </c>
      <c r="I220" s="4"/>
    </row>
    <row r="221" spans="1:9" x14ac:dyDescent="0.2">
      <c r="A221" s="1">
        <f>Acciones!A221</f>
        <v>45316</v>
      </c>
      <c r="B221" s="4">
        <f>Acciones!B221/Acciones!B220</f>
        <v>0.99683996835696054</v>
      </c>
      <c r="C221" s="4">
        <f>Acciones!C221/Acciones!C220</f>
        <v>1.0382884926919331</v>
      </c>
      <c r="D221" s="4">
        <f>Acciones!D221/Acciones!D220</f>
        <v>0.99092360576739746</v>
      </c>
      <c r="E221" s="4">
        <f>Acciones!E221/Acciones!E220</f>
        <v>0.97435893830620046</v>
      </c>
      <c r="F221" s="15">
        <f t="shared" si="9"/>
        <v>28620.890788180801</v>
      </c>
      <c r="G221" s="15">
        <f t="shared" si="11"/>
        <v>120.89078818080088</v>
      </c>
      <c r="H221" s="4">
        <f t="shared" si="10"/>
        <v>4.2417820414315521E-3</v>
      </c>
      <c r="I221" s="4"/>
    </row>
    <row r="222" spans="1:9" x14ac:dyDescent="0.2">
      <c r="A222" s="1">
        <f>Acciones!A222</f>
        <v>45317</v>
      </c>
      <c r="B222" s="4">
        <f>Acciones!B222/Acciones!B221</f>
        <v>1.0014089567954485</v>
      </c>
      <c r="C222" s="4">
        <f>Acciones!C222/Acciones!C221</f>
        <v>1.0884322524182131</v>
      </c>
      <c r="D222" s="4">
        <f>Acciones!D222/Acciones!D221</f>
        <v>1.0231826320599817</v>
      </c>
      <c r="E222" s="4">
        <f>Acciones!E222/Acciones!E221</f>
        <v>0.99473684705855603</v>
      </c>
      <c r="F222" s="15">
        <f t="shared" si="9"/>
        <v>29547.91672617897</v>
      </c>
      <c r="G222" s="15">
        <f t="shared" si="11"/>
        <v>1047.9167261789698</v>
      </c>
      <c r="H222" s="4">
        <f t="shared" si="10"/>
        <v>3.676900793610427E-2</v>
      </c>
      <c r="I222" s="4"/>
    </row>
    <row r="223" spans="1:9" x14ac:dyDescent="0.2">
      <c r="A223" s="1">
        <f>Acciones!A223</f>
        <v>45320</v>
      </c>
      <c r="B223" s="4">
        <f>Acciones!B223/Acciones!B222</f>
        <v>0.98241295769467485</v>
      </c>
      <c r="C223" s="4">
        <f>Acciones!C223/Acciones!C222</f>
        <v>1.0488141701298941</v>
      </c>
      <c r="D223" s="4">
        <f>Acciones!D223/Acciones!D222</f>
        <v>1.0121870629468801</v>
      </c>
      <c r="E223" s="4">
        <f>Acciones!E223/Acciones!E222</f>
        <v>1.0158730008554684</v>
      </c>
      <c r="F223" s="15">
        <f t="shared" si="9"/>
        <v>29111.352102339235</v>
      </c>
      <c r="G223" s="15">
        <f t="shared" si="11"/>
        <v>611.35210233923499</v>
      </c>
      <c r="H223" s="4">
        <f t="shared" si="10"/>
        <v>2.1450950959271298E-2</v>
      </c>
      <c r="I223" s="4"/>
    </row>
    <row r="224" spans="1:9" x14ac:dyDescent="0.2">
      <c r="A224" s="1">
        <f>Acciones!A224</f>
        <v>45321</v>
      </c>
      <c r="B224" s="4">
        <f>Acciones!B224/Acciones!B223</f>
        <v>1.007518744689208</v>
      </c>
      <c r="C224" s="4">
        <f>Acciones!C224/Acciones!C223</f>
        <v>0.98303276287110175</v>
      </c>
      <c r="D224" s="4">
        <f>Acciones!D224/Acciones!D223</f>
        <v>1.0001734441640628</v>
      </c>
      <c r="E224" s="4">
        <f>Acciones!E224/Acciones!E223</f>
        <v>1.0260417045016452</v>
      </c>
      <c r="F224" s="15">
        <f t="shared" si="9"/>
        <v>28510.090670087371</v>
      </c>
      <c r="G224" s="15">
        <f t="shared" si="11"/>
        <v>10.090670087371109</v>
      </c>
      <c r="H224" s="4">
        <f t="shared" si="10"/>
        <v>3.5405859955695007E-4</v>
      </c>
      <c r="I224" s="4"/>
    </row>
    <row r="225" spans="1:9" x14ac:dyDescent="0.2">
      <c r="A225" s="1">
        <f>Acciones!A225</f>
        <v>45322</v>
      </c>
      <c r="B225" s="4">
        <f>Acciones!B225/Acciones!B224</f>
        <v>0.98649613439494011</v>
      </c>
      <c r="C225" s="4">
        <f>Acciones!C225/Acciones!C224</f>
        <v>0.9729135076306602</v>
      </c>
      <c r="D225" s="4">
        <f>Acciones!D225/Acciones!D224</f>
        <v>0.9738081034786249</v>
      </c>
      <c r="E225" s="4">
        <f>Acciones!E225/Acciones!E224</f>
        <v>0.96954311618403466</v>
      </c>
      <c r="F225" s="15">
        <f t="shared" si="9"/>
        <v>27765.982966672003</v>
      </c>
      <c r="G225" s="15">
        <f t="shared" si="11"/>
        <v>-734.01703332799661</v>
      </c>
      <c r="H225" s="4">
        <f t="shared" si="10"/>
        <v>-2.5754983625543737E-2</v>
      </c>
      <c r="I225" s="4"/>
    </row>
    <row r="226" spans="1:9" x14ac:dyDescent="0.2">
      <c r="A226" s="1">
        <f>Acciones!A226</f>
        <v>45323</v>
      </c>
      <c r="B226" s="4">
        <f>Acciones!B226/Acciones!B225</f>
        <v>0.99279533811504461</v>
      </c>
      <c r="C226" s="4">
        <f>Acciones!C226/Acciones!C225</f>
        <v>1.0454828482111049</v>
      </c>
      <c r="D226" s="4">
        <f>Acciones!D226/Acciones!D225</f>
        <v>0.99712641273161051</v>
      </c>
      <c r="E226" s="4">
        <f>Acciones!E226/Acciones!E225</f>
        <v>1.005235597192679</v>
      </c>
      <c r="F226" s="15">
        <f t="shared" si="9"/>
        <v>28906.930653283991</v>
      </c>
      <c r="G226" s="15">
        <f t="shared" si="11"/>
        <v>406.93065328399098</v>
      </c>
      <c r="H226" s="4">
        <f t="shared" si="10"/>
        <v>1.4278268536280336E-2</v>
      </c>
      <c r="I226" s="4"/>
    </row>
    <row r="227" spans="1:9" x14ac:dyDescent="0.2">
      <c r="A227" s="1">
        <f>Acciones!A227</f>
        <v>45324</v>
      </c>
      <c r="B227" s="4">
        <f>Acciones!B227/Acciones!B226</f>
        <v>0.98947753551246453</v>
      </c>
      <c r="C227" s="4">
        <f>Acciones!C227/Acciones!C226</f>
        <v>0.97277462995929842</v>
      </c>
      <c r="D227" s="4">
        <f>Acciones!D227/Acciones!D226</f>
        <v>0.99423062016036978</v>
      </c>
      <c r="E227" s="4">
        <f>Acciones!E227/Acciones!E226</f>
        <v>0.97395835758652805</v>
      </c>
      <c r="F227" s="15">
        <f t="shared" si="9"/>
        <v>28003.607527236563</v>
      </c>
      <c r="G227" s="15">
        <f t="shared" si="11"/>
        <v>-496.39247276343667</v>
      </c>
      <c r="H227" s="4">
        <f t="shared" si="10"/>
        <v>-1.7417279746085534E-2</v>
      </c>
      <c r="I227" s="4"/>
    </row>
    <row r="228" spans="1:9" x14ac:dyDescent="0.2">
      <c r="A228" s="1">
        <f>Acciones!A228</f>
        <v>45328</v>
      </c>
      <c r="B228" s="4">
        <f>Acciones!B228/Acciones!B227</f>
        <v>1.0047670692239767</v>
      </c>
      <c r="C228" s="4">
        <f>Acciones!C228/Acciones!C227</f>
        <v>0.93744752854270308</v>
      </c>
      <c r="D228" s="4">
        <f>Acciones!D228/Acciones!D227</f>
        <v>1.012840623359665</v>
      </c>
      <c r="E228" s="4">
        <f>Acciones!E228/Acciones!E227</f>
        <v>0.99465241153060924</v>
      </c>
      <c r="F228" s="15">
        <f t="shared" si="9"/>
        <v>28021.430760454597</v>
      </c>
      <c r="G228" s="15">
        <f t="shared" si="11"/>
        <v>-478.56923954540252</v>
      </c>
      <c r="H228" s="4">
        <f t="shared" si="10"/>
        <v>-1.6791903141943898E-2</v>
      </c>
      <c r="I228" s="4"/>
    </row>
    <row r="229" spans="1:9" x14ac:dyDescent="0.2">
      <c r="A229" s="1">
        <f>Acciones!A229</f>
        <v>45329</v>
      </c>
      <c r="B229" s="4">
        <f>Acciones!B229/Acciones!B228</f>
        <v>1.021532965132143</v>
      </c>
      <c r="C229" s="4">
        <f>Acciones!C229/Acciones!C228</f>
        <v>1.0317466165520863</v>
      </c>
      <c r="D229" s="4">
        <f>Acciones!D229/Acciones!D228</f>
        <v>1.0073605378232238</v>
      </c>
      <c r="E229" s="4">
        <f>Acciones!E229/Acciones!E228</f>
        <v>0.97311824132203029</v>
      </c>
      <c r="F229" s="15">
        <f t="shared" si="9"/>
        <v>28802.713940710724</v>
      </c>
      <c r="G229" s="15">
        <f t="shared" si="11"/>
        <v>302.71394071072427</v>
      </c>
      <c r="H229" s="4">
        <f t="shared" si="10"/>
        <v>1.0621541779323618E-2</v>
      </c>
      <c r="I229" s="4"/>
    </row>
    <row r="230" spans="1:9" x14ac:dyDescent="0.2">
      <c r="A230" s="1">
        <f>Acciones!A230</f>
        <v>45330</v>
      </c>
      <c r="B230" s="4">
        <f>Acciones!B230/Acciones!B229</f>
        <v>0.98356551343677256</v>
      </c>
      <c r="C230" s="4">
        <f>Acciones!C230/Acciones!C229</f>
        <v>1.2265226920375838</v>
      </c>
      <c r="D230" s="4">
        <f>Acciones!D230/Acciones!D229</f>
        <v>1.0093692799175631</v>
      </c>
      <c r="E230" s="4">
        <f>Acciones!E230/Acciones!E229</f>
        <v>1.0055249226456788</v>
      </c>
      <c r="F230" s="15">
        <f t="shared" si="9"/>
        <v>30718.524745112612</v>
      </c>
      <c r="G230" s="15">
        <f t="shared" si="11"/>
        <v>2218.5247451126124</v>
      </c>
      <c r="H230" s="4">
        <f t="shared" si="10"/>
        <v>7.784297351272329E-2</v>
      </c>
      <c r="I230" s="4"/>
    </row>
    <row r="231" spans="1:9" x14ac:dyDescent="0.2">
      <c r="A231" s="1">
        <f>Acciones!A231</f>
        <v>45331</v>
      </c>
      <c r="B231" s="4">
        <f>Acciones!B231/Acciones!B230</f>
        <v>0.97021431424943827</v>
      </c>
      <c r="C231" s="4">
        <f>Acciones!C231/Acciones!C230</f>
        <v>1.1075776938675292</v>
      </c>
      <c r="D231" s="4">
        <f>Acciones!D231/Acciones!D230</f>
        <v>1.0053475862153571</v>
      </c>
      <c r="E231" s="4">
        <f>Acciones!E231/Acciones!E230</f>
        <v>0.96703293392327527</v>
      </c>
      <c r="F231" s="15">
        <f t="shared" si="9"/>
        <v>29289.895190346149</v>
      </c>
      <c r="G231" s="15">
        <f t="shared" si="11"/>
        <v>789.89519034614932</v>
      </c>
      <c r="H231" s="4">
        <f t="shared" si="10"/>
        <v>2.7715620713899991E-2</v>
      </c>
      <c r="I231" s="4"/>
    </row>
    <row r="232" spans="1:9" x14ac:dyDescent="0.2">
      <c r="A232" s="1">
        <f>Acciones!A232</f>
        <v>45334</v>
      </c>
      <c r="B232" s="4">
        <f>Acciones!B232/Acciones!B231</f>
        <v>1.055409984317393</v>
      </c>
      <c r="C232" s="4">
        <f>Acciones!C232/Acciones!C231</f>
        <v>1.1456196229150675</v>
      </c>
      <c r="D232" s="4">
        <f>Acciones!D232/Acciones!D231</f>
        <v>1.0254143543439509</v>
      </c>
      <c r="E232" s="4">
        <f>Acciones!E232/Acciones!E231</f>
        <v>1</v>
      </c>
      <c r="F232" s="15">
        <f t="shared" si="9"/>
        <v>30331.464906243527</v>
      </c>
      <c r="G232" s="15">
        <f t="shared" si="11"/>
        <v>1831.4649062435274</v>
      </c>
      <c r="H232" s="4">
        <f t="shared" si="10"/>
        <v>6.4261926534860514E-2</v>
      </c>
      <c r="I232" s="4"/>
    </row>
    <row r="233" spans="1:9" x14ac:dyDescent="0.2">
      <c r="A233" s="1">
        <f>Acciones!A233</f>
        <v>45335</v>
      </c>
      <c r="B233" s="4">
        <f>Acciones!B233/Acciones!B232</f>
        <v>1.0287336224659329</v>
      </c>
      <c r="C233" s="4">
        <f>Acciones!C233/Acciones!C232</f>
        <v>0.94167164081926813</v>
      </c>
      <c r="D233" s="4">
        <f>Acciones!D233/Acciones!D232</f>
        <v>0.98450355679077739</v>
      </c>
      <c r="E233" s="4">
        <f>Acciones!E233/Acciones!E232</f>
        <v>1</v>
      </c>
      <c r="F233" s="15">
        <f t="shared" si="9"/>
        <v>27891.483834321589</v>
      </c>
      <c r="G233" s="15">
        <f t="shared" si="11"/>
        <v>-608.5161656784112</v>
      </c>
      <c r="H233" s="4">
        <f t="shared" si="10"/>
        <v>-2.1351444409768772E-2</v>
      </c>
      <c r="I233" s="4"/>
    </row>
    <row r="234" spans="1:9" x14ac:dyDescent="0.2">
      <c r="A234" s="1">
        <f>Acciones!A234</f>
        <v>45336</v>
      </c>
      <c r="B234" s="4">
        <f>Acciones!B234/Acciones!B233</f>
        <v>1.0434482432854773</v>
      </c>
      <c r="C234" s="4">
        <f>Acciones!C234/Acciones!C233</f>
        <v>1.1427629304539908</v>
      </c>
      <c r="D234" s="4">
        <f>Acciones!D234/Acciones!D233</f>
        <v>1.0060953886065598</v>
      </c>
      <c r="E234" s="4">
        <f>Acciones!E234/Acciones!E233</f>
        <v>0.97727274882399195</v>
      </c>
      <c r="F234" s="15">
        <f t="shared" si="9"/>
        <v>29944.270695409636</v>
      </c>
      <c r="G234" s="15">
        <f t="shared" si="11"/>
        <v>1444.2706954096357</v>
      </c>
      <c r="H234" s="4">
        <f t="shared" si="10"/>
        <v>5.067616475121528E-2</v>
      </c>
      <c r="I234" s="4"/>
    </row>
    <row r="235" spans="1:9" x14ac:dyDescent="0.2">
      <c r="A235" s="1">
        <f>Acciones!A235</f>
        <v>45337</v>
      </c>
      <c r="B235" s="4">
        <f>Acciones!B235/Acciones!B234</f>
        <v>1.0426304800207844</v>
      </c>
      <c r="C235" s="4">
        <f>Acciones!C235/Acciones!C234</f>
        <v>0.91615742276295431</v>
      </c>
      <c r="D235" s="4">
        <f>Acciones!D235/Acciones!D234</f>
        <v>0.99614115128886216</v>
      </c>
      <c r="E235" s="4">
        <f>Acciones!E235/Acciones!E234</f>
        <v>1.0174418435411425</v>
      </c>
      <c r="F235" s="15">
        <f t="shared" si="9"/>
        <v>27910.043848685717</v>
      </c>
      <c r="G235" s="15">
        <f t="shared" si="11"/>
        <v>-589.95615131428349</v>
      </c>
      <c r="H235" s="4">
        <f t="shared" si="10"/>
        <v>-2.0700215835588898E-2</v>
      </c>
      <c r="I235" s="4"/>
    </row>
    <row r="236" spans="1:9" x14ac:dyDescent="0.2">
      <c r="A236" s="1">
        <f>Acciones!A236</f>
        <v>45338</v>
      </c>
      <c r="B236" s="4">
        <f>Acciones!B236/Acciones!B235</f>
        <v>0.96228216539891021</v>
      </c>
      <c r="C236" s="4">
        <f>Acciones!C236/Acciones!C235</f>
        <v>0.98859315589353614</v>
      </c>
      <c r="D236" s="4">
        <f>Acciones!D236/Acciones!D235</f>
        <v>0.97841719359111556</v>
      </c>
      <c r="E236" s="4">
        <f>Acciones!E236/Acciones!E235</f>
        <v>0.95999997002737714</v>
      </c>
      <c r="F236" s="15">
        <f t="shared" si="9"/>
        <v>27823.794330946508</v>
      </c>
      <c r="G236" s="15">
        <f t="shared" si="11"/>
        <v>-676.20566905349187</v>
      </c>
      <c r="H236" s="4">
        <f t="shared" si="10"/>
        <v>-2.3726514703631296E-2</v>
      </c>
      <c r="I236" s="4"/>
    </row>
    <row r="237" spans="1:9" x14ac:dyDescent="0.2">
      <c r="A237" s="1">
        <f>Acciones!A237</f>
        <v>45341</v>
      </c>
      <c r="B237" s="4">
        <f>Acciones!B237/Acciones!B236</f>
        <v>1.0306324006554946</v>
      </c>
      <c r="C237" s="4">
        <f>Acciones!C237/Acciones!C236</f>
        <v>0.99780219780219781</v>
      </c>
      <c r="D237" s="4">
        <f>Acciones!D237/Acciones!D236</f>
        <v>1</v>
      </c>
      <c r="E237" s="4">
        <f>Acciones!E237/Acciones!E236</f>
        <v>1.0059524464194991</v>
      </c>
      <c r="F237" s="15">
        <f t="shared" si="9"/>
        <v>28619.072736722355</v>
      </c>
      <c r="G237" s="15">
        <f t="shared" si="11"/>
        <v>119.07273672235533</v>
      </c>
      <c r="H237" s="4">
        <f t="shared" si="10"/>
        <v>4.1779907621879442E-3</v>
      </c>
      <c r="I237" s="4"/>
    </row>
    <row r="238" spans="1:9" x14ac:dyDescent="0.2">
      <c r="A238" s="1">
        <f>Acciones!A238</f>
        <v>45342</v>
      </c>
      <c r="B238" s="4">
        <f>Acciones!B238/Acciones!B237</f>
        <v>1.0162990953107733</v>
      </c>
      <c r="C238" s="4">
        <f>Acciones!C238/Acciones!C237</f>
        <v>0.92149776509154624</v>
      </c>
      <c r="D238" s="4">
        <f>Acciones!D238/Acciones!D237</f>
        <v>0.9931448929324308</v>
      </c>
      <c r="E238" s="4">
        <f>Acciones!E238/Acciones!E237</f>
        <v>0.99408277554203905</v>
      </c>
      <c r="F238" s="15">
        <f t="shared" si="9"/>
        <v>27710.179796762917</v>
      </c>
      <c r="G238" s="15">
        <f t="shared" si="11"/>
        <v>-789.82020323708275</v>
      </c>
      <c r="H238" s="4">
        <f t="shared" si="10"/>
        <v>-2.771298958726609E-2</v>
      </c>
      <c r="I238" s="4"/>
    </row>
    <row r="239" spans="1:9" x14ac:dyDescent="0.2">
      <c r="A239" s="1">
        <f>Acciones!A239</f>
        <v>45343</v>
      </c>
      <c r="B239" s="4">
        <f>Acciones!B239/Acciones!B238</f>
        <v>0.97893076065004136</v>
      </c>
      <c r="C239" s="4">
        <f>Acciones!C239/Acciones!C238</f>
        <v>0.93288080228641035</v>
      </c>
      <c r="D239" s="4">
        <f>Acciones!D239/Acciones!D238</f>
        <v>1.0194316367520044</v>
      </c>
      <c r="E239" s="4">
        <f>Acciones!E239/Acciones!E238</f>
        <v>1</v>
      </c>
      <c r="F239" s="15">
        <f t="shared" si="9"/>
        <v>27982.941651516088</v>
      </c>
      <c r="G239" s="15">
        <f t="shared" si="11"/>
        <v>-517.05834848391169</v>
      </c>
      <c r="H239" s="4">
        <f t="shared" si="10"/>
        <v>-1.8142398192417919E-2</v>
      </c>
      <c r="I239" s="4"/>
    </row>
    <row r="240" spans="1:9" x14ac:dyDescent="0.2">
      <c r="A240" s="1">
        <f>Acciones!A240</f>
        <v>45344</v>
      </c>
      <c r="B240" s="4">
        <f>Acciones!B240/Acciones!B239</f>
        <v>1.0481851231274801</v>
      </c>
      <c r="C240" s="4">
        <f>Acciones!C240/Acciones!C239</f>
        <v>1.0780209395876614</v>
      </c>
      <c r="D240" s="4">
        <f>Acciones!D240/Acciones!D239</f>
        <v>0.9988828160828499</v>
      </c>
      <c r="E240" s="4">
        <f>Acciones!E240/Acciones!E239</f>
        <v>1.0059524464194991</v>
      </c>
      <c r="F240" s="15">
        <f t="shared" si="9"/>
        <v>29431.41347316471</v>
      </c>
      <c r="G240" s="15">
        <f t="shared" si="11"/>
        <v>931.41347316471001</v>
      </c>
      <c r="H240" s="4">
        <f t="shared" si="10"/>
        <v>3.268117449700747E-2</v>
      </c>
      <c r="I240" s="4"/>
    </row>
    <row r="241" spans="1:9" x14ac:dyDescent="0.2">
      <c r="A241" s="1">
        <f>Acciones!A241</f>
        <v>45345</v>
      </c>
      <c r="B241" s="4">
        <f>Acciones!B241/Acciones!B240</f>
        <v>0.9764020675669578</v>
      </c>
      <c r="C241" s="4">
        <f>Acciones!C241/Acciones!C240</f>
        <v>0.97223867352372073</v>
      </c>
      <c r="D241" s="4">
        <f>Acciones!D241/Acciones!D240</f>
        <v>1.0121364501083672</v>
      </c>
      <c r="E241" s="4">
        <f>Acciones!E241/Acciones!E240</f>
        <v>0.99408277554203905</v>
      </c>
      <c r="F241" s="15">
        <f t="shared" si="9"/>
        <v>28242.494401524586</v>
      </c>
      <c r="G241" s="15">
        <f t="shared" si="11"/>
        <v>-257.50559847541444</v>
      </c>
      <c r="H241" s="4">
        <f t="shared" si="10"/>
        <v>-9.0352841570320308E-3</v>
      </c>
      <c r="I241" s="4"/>
    </row>
    <row r="242" spans="1:9" x14ac:dyDescent="0.2">
      <c r="A242" s="1">
        <f>Acciones!A242</f>
        <v>45348</v>
      </c>
      <c r="B242" s="4">
        <f>Acciones!B242/Acciones!B241</f>
        <v>1.0069052592103998</v>
      </c>
      <c r="C242" s="4">
        <f>Acciones!C242/Acciones!C241</f>
        <v>1.2236646460878486</v>
      </c>
      <c r="D242" s="4">
        <f>Acciones!D242/Acciones!D241</f>
        <v>0.98814723028284401</v>
      </c>
      <c r="E242" s="4">
        <f>Acciones!E242/Acciones!E241</f>
        <v>1</v>
      </c>
      <c r="F242" s="15">
        <f t="shared" si="9"/>
        <v>30530.454847899404</v>
      </c>
      <c r="G242" s="15">
        <f t="shared" si="11"/>
        <v>2030.4548478994038</v>
      </c>
      <c r="H242" s="4">
        <f t="shared" si="10"/>
        <v>7.1244029750856308E-2</v>
      </c>
      <c r="I242" s="4"/>
    </row>
    <row r="243" spans="1:9" x14ac:dyDescent="0.2">
      <c r="A243" s="1">
        <f>Acciones!A243</f>
        <v>45349</v>
      </c>
      <c r="B243" s="4">
        <f>Acciones!B243/Acciones!B242</f>
        <v>0.95261836522862442</v>
      </c>
      <c r="C243" s="4">
        <f>Acciones!C243/Acciones!C242</f>
        <v>1.0387581283519796</v>
      </c>
      <c r="D243" s="4">
        <f>Acciones!D243/Acciones!D242</f>
        <v>0.99818253462169859</v>
      </c>
      <c r="E243" s="4">
        <f>Acciones!E243/Acciones!E242</f>
        <v>1</v>
      </c>
      <c r="F243" s="15">
        <f t="shared" si="9"/>
        <v>28684.191843860975</v>
      </c>
      <c r="G243" s="15">
        <f t="shared" si="11"/>
        <v>184.1918438609755</v>
      </c>
      <c r="H243" s="4">
        <f t="shared" si="10"/>
        <v>6.4628717144201708E-3</v>
      </c>
      <c r="I243" s="4"/>
    </row>
    <row r="244" spans="1:9" x14ac:dyDescent="0.2">
      <c r="A244" s="1">
        <f>Acciones!A244</f>
        <v>45350</v>
      </c>
      <c r="B244" s="4">
        <f>Acciones!B244/Acciones!B243</f>
        <v>0.96858642038457221</v>
      </c>
      <c r="C244" s="4">
        <f>Acciones!C244/Acciones!C243</f>
        <v>1.0159633568373196</v>
      </c>
      <c r="D244" s="4">
        <f>Acciones!D244/Acciones!D243</f>
        <v>1.0011204502917119</v>
      </c>
      <c r="E244" s="4">
        <f>Acciones!E244/Acciones!E243</f>
        <v>0.95238099630727602</v>
      </c>
      <c r="F244" s="15">
        <f t="shared" si="9"/>
        <v>28291.004343907676</v>
      </c>
      <c r="G244" s="15">
        <f t="shared" si="11"/>
        <v>-208.99565609232377</v>
      </c>
      <c r="H244" s="4">
        <f t="shared" si="10"/>
        <v>-7.3331809155201544E-3</v>
      </c>
      <c r="I244" s="4"/>
    </row>
    <row r="245" spans="1:9" x14ac:dyDescent="0.2">
      <c r="A245" s="1">
        <f>Acciones!A245</f>
        <v>45351</v>
      </c>
      <c r="B245" s="4">
        <f>Acciones!B245/Acciones!B244</f>
        <v>0.98614871613749044</v>
      </c>
      <c r="C245" s="4">
        <f>Acciones!C245/Acciones!C244</f>
        <v>0.83498034128108989</v>
      </c>
      <c r="D245" s="4">
        <f>Acciones!D245/Acciones!D244</f>
        <v>0.98942361904785525</v>
      </c>
      <c r="E245" s="4">
        <f>Acciones!E245/Acciones!E244</f>
        <v>0.95624996786937611</v>
      </c>
      <c r="F245" s="15">
        <f t="shared" si="9"/>
        <v>26537.444762411695</v>
      </c>
      <c r="G245" s="15">
        <f t="shared" si="11"/>
        <v>-1962.5552375883053</v>
      </c>
      <c r="H245" s="4">
        <f t="shared" si="10"/>
        <v>-6.8861587283800207E-2</v>
      </c>
      <c r="I245" s="4"/>
    </row>
    <row r="246" spans="1:9" x14ac:dyDescent="0.2">
      <c r="A246" s="1">
        <f>Acciones!A246</f>
        <v>45352</v>
      </c>
      <c r="B246" s="4">
        <f>Acciones!B246/Acciones!B245</f>
        <v>1.0140458367342016</v>
      </c>
      <c r="C246" s="4">
        <f>Acciones!C246/Acciones!C245</f>
        <v>1.0278640075798897</v>
      </c>
      <c r="D246" s="4">
        <f>Acciones!D246/Acciones!D245</f>
        <v>0.98148470632825358</v>
      </c>
      <c r="E246" s="4">
        <f>Acciones!E246/Acciones!E245</f>
        <v>0.9281045644692385</v>
      </c>
      <c r="F246" s="15">
        <f t="shared" si="9"/>
        <v>28233.290668442009</v>
      </c>
      <c r="G246" s="15">
        <f t="shared" si="11"/>
        <v>-266.70933155799139</v>
      </c>
      <c r="H246" s="4">
        <f t="shared" si="10"/>
        <v>-9.3582221599295412E-3</v>
      </c>
      <c r="I246" s="4"/>
    </row>
    <row r="247" spans="1:9" x14ac:dyDescent="0.2">
      <c r="A247" s="1">
        <f>Acciones!A247</f>
        <v>45355</v>
      </c>
      <c r="B247" s="4">
        <f>Acciones!B247/Acciones!B246</f>
        <v>1.0114865016731549</v>
      </c>
      <c r="C247" s="4">
        <f>Acciones!C247/Acciones!C246</f>
        <v>0.96446535673176059</v>
      </c>
      <c r="D247" s="4">
        <f>Acciones!D247/Acciones!D246</f>
        <v>0.98126235808585927</v>
      </c>
      <c r="E247" s="4">
        <f>Acciones!E247/Acciones!E246</f>
        <v>0.91549295183449331</v>
      </c>
      <c r="F247" s="15">
        <f t="shared" si="9"/>
        <v>27550.458460756076</v>
      </c>
      <c r="G247" s="15">
        <f t="shared" si="11"/>
        <v>-949.54153924392449</v>
      </c>
      <c r="H247" s="4">
        <f t="shared" si="10"/>
        <v>-3.3317246991014904E-2</v>
      </c>
      <c r="I247" s="4"/>
    </row>
    <row r="248" spans="1:9" x14ac:dyDescent="0.2">
      <c r="A248" s="1">
        <f>Acciones!A248</f>
        <v>45356</v>
      </c>
      <c r="B248" s="4">
        <f>Acciones!B248/Acciones!B247</f>
        <v>1.046426153849886</v>
      </c>
      <c r="C248" s="4">
        <f>Acciones!C248/Acciones!C247</f>
        <v>0.86321327030624595</v>
      </c>
      <c r="D248" s="4">
        <f>Acciones!D248/Acciones!D247</f>
        <v>0.98049326529251191</v>
      </c>
      <c r="E248" s="4">
        <f>Acciones!E248/Acciones!E247</f>
        <v>0.93846159489196912</v>
      </c>
      <c r="F248" s="15">
        <f t="shared" si="9"/>
        <v>26829.489031214889</v>
      </c>
      <c r="G248" s="15">
        <f t="shared" si="11"/>
        <v>-1670.5109687851109</v>
      </c>
      <c r="H248" s="4">
        <f t="shared" si="10"/>
        <v>-5.8614419957372266E-2</v>
      </c>
      <c r="I248" s="4"/>
    </row>
    <row r="249" spans="1:9" x14ac:dyDescent="0.2">
      <c r="A249" s="1">
        <f>Acciones!A249</f>
        <v>45357</v>
      </c>
      <c r="B249" s="4">
        <f>Acciones!B249/Acciones!B248</f>
        <v>0.98308328042290749</v>
      </c>
      <c r="C249" s="4">
        <f>Acciones!C249/Acciones!C248</f>
        <v>1.0108626697673666</v>
      </c>
      <c r="D249" s="4">
        <f>Acciones!D249/Acciones!D248</f>
        <v>0.98785100611638099</v>
      </c>
      <c r="E249" s="4">
        <f>Acciones!E249/Acciones!E248</f>
        <v>1</v>
      </c>
      <c r="F249" s="15">
        <f t="shared" si="9"/>
        <v>28422.496905433967</v>
      </c>
      <c r="G249" s="15">
        <f t="shared" si="11"/>
        <v>-77.503094566032814</v>
      </c>
      <c r="H249" s="4">
        <f t="shared" si="10"/>
        <v>-2.7194068268783234E-3</v>
      </c>
      <c r="I249" s="4"/>
    </row>
    <row r="250" spans="1:9" x14ac:dyDescent="0.2">
      <c r="A250" s="1">
        <f>Acciones!A250</f>
        <v>45358</v>
      </c>
      <c r="B250" s="4">
        <f>Acciones!B250/Acciones!B249</f>
        <v>0.99967541793604697</v>
      </c>
      <c r="C250" s="4">
        <f>Acciones!C250/Acciones!C249</f>
        <v>0.96325413005907778</v>
      </c>
      <c r="D250" s="4">
        <f>Acciones!D250/Acciones!D249</f>
        <v>1.0114796411438003</v>
      </c>
      <c r="E250" s="4">
        <f>Acciones!E250/Acciones!E249</f>
        <v>1.0573769931157637</v>
      </c>
      <c r="F250" s="15">
        <f t="shared" si="9"/>
        <v>28580.148071912106</v>
      </c>
      <c r="G250" s="15">
        <f t="shared" si="11"/>
        <v>80.148071912106388</v>
      </c>
      <c r="H250" s="4">
        <f t="shared" si="10"/>
        <v>2.8122130495475961E-3</v>
      </c>
      <c r="I250" s="4"/>
    </row>
    <row r="251" spans="1:9" x14ac:dyDescent="0.2">
      <c r="A251" s="1">
        <f>Acciones!A251</f>
        <v>45359</v>
      </c>
      <c r="B251" s="4">
        <f>Acciones!B251/Acciones!B250</f>
        <v>0.97596611726456295</v>
      </c>
      <c r="C251" s="4">
        <f>Acciones!C251/Acciones!C250</f>
        <v>1.0769481922743664</v>
      </c>
      <c r="D251" s="4">
        <f>Acciones!D251/Acciones!D250</f>
        <v>0.99961635281808359</v>
      </c>
      <c r="E251" s="4">
        <f>Acciones!E251/Acciones!E250</f>
        <v>1.0775194006193729</v>
      </c>
      <c r="F251" s="15">
        <f t="shared" si="9"/>
        <v>29569.409468619837</v>
      </c>
      <c r="G251" s="15">
        <f t="shared" si="11"/>
        <v>1069.4094686198368</v>
      </c>
      <c r="H251" s="4">
        <f t="shared" si="10"/>
        <v>3.752313924981876E-2</v>
      </c>
      <c r="I251" s="4"/>
    </row>
    <row r="252" spans="1:9" x14ac:dyDescent="0.2">
      <c r="A252" s="1">
        <f>Acciones!A252</f>
        <v>45362</v>
      </c>
      <c r="B252" s="4">
        <f>Acciones!B252/Acciones!B251</f>
        <v>0.99434281956976056</v>
      </c>
      <c r="C252" s="4">
        <f>Acciones!C252/Acciones!C251</f>
        <v>0.88034364120209452</v>
      </c>
      <c r="D252" s="4">
        <f>Acciones!D252/Acciones!D251</f>
        <v>1.0223114448451089</v>
      </c>
      <c r="E252" s="4">
        <f>Acciones!E252/Acciones!E251</f>
        <v>1.0431655126664159</v>
      </c>
      <c r="F252" s="15">
        <f t="shared" si="9"/>
        <v>27803.989228030434</v>
      </c>
      <c r="G252" s="15">
        <f t="shared" si="11"/>
        <v>-696.01077196956612</v>
      </c>
      <c r="H252" s="4">
        <f t="shared" si="10"/>
        <v>-2.4421430595423343E-2</v>
      </c>
      <c r="I252" s="4"/>
    </row>
    <row r="253" spans="1:9" x14ac:dyDescent="0.2">
      <c r="A253" s="1">
        <f>Acciones!A253</f>
        <v>45363</v>
      </c>
      <c r="B253" s="4">
        <f>Acciones!B253/Acciones!B252</f>
        <v>0.98594374107321492</v>
      </c>
      <c r="C253" s="4">
        <f>Acciones!C253/Acciones!C252</f>
        <v>0.97465842891753252</v>
      </c>
      <c r="D253" s="4">
        <f>Acciones!D253/Acciones!D252</f>
        <v>0.98797900557507234</v>
      </c>
      <c r="E253" s="4">
        <f>Acciones!E253/Acciones!E252</f>
        <v>1.1034482560174781</v>
      </c>
      <c r="F253" s="15">
        <f t="shared" si="9"/>
        <v>28658.813632319663</v>
      </c>
      <c r="G253" s="15">
        <f t="shared" si="11"/>
        <v>158.81363231966316</v>
      </c>
      <c r="H253" s="4">
        <f t="shared" si="10"/>
        <v>5.5724081515671209E-3</v>
      </c>
      <c r="I253" s="4"/>
    </row>
    <row r="254" spans="1:9" x14ac:dyDescent="0.2">
      <c r="A254" s="1">
        <f>Acciones!A254</f>
        <v>45364</v>
      </c>
      <c r="B254" s="4">
        <f>Acciones!B254/Acciones!B253</f>
        <v>1.0451460492660312</v>
      </c>
      <c r="C254" s="4">
        <f>Acciones!C254/Acciones!C253</f>
        <v>0.97158507019016427</v>
      </c>
      <c r="D254" s="4">
        <f>Acciones!D254/Acciones!D253</f>
        <v>1.0077196757461566</v>
      </c>
      <c r="E254" s="4">
        <f>Acciones!E254/Acciones!E253</f>
        <v>1.0249999757856152</v>
      </c>
      <c r="F254" s="15">
        <f t="shared" si="9"/>
        <v>28602.76596352012</v>
      </c>
      <c r="G254" s="15">
        <f t="shared" si="11"/>
        <v>102.76596352011984</v>
      </c>
      <c r="H254" s="4">
        <f t="shared" si="10"/>
        <v>3.605823281407794E-3</v>
      </c>
      <c r="I254" s="4"/>
    </row>
    <row r="255" spans="1:9" x14ac:dyDescent="0.2">
      <c r="A255" s="1">
        <f>Acciones!A255</f>
        <v>45365</v>
      </c>
      <c r="B255" s="4">
        <f>Acciones!B255/Acciones!B254</f>
        <v>0.98635917519953886</v>
      </c>
      <c r="C255" s="4">
        <f>Acciones!C255/Acciones!C254</f>
        <v>0.90210938104789451</v>
      </c>
      <c r="D255" s="4">
        <f>Acciones!D255/Acciones!D254</f>
        <v>0.98562168238702297</v>
      </c>
      <c r="E255" s="4">
        <f>Acciones!E255/Acciones!E254</f>
        <v>0.98780488957258394</v>
      </c>
      <c r="F255" s="15">
        <f t="shared" si="9"/>
        <v>27311.439949672826</v>
      </c>
      <c r="G255" s="15">
        <f t="shared" si="11"/>
        <v>-1188.5600503271744</v>
      </c>
      <c r="H255" s="4">
        <f t="shared" si="10"/>
        <v>-4.1703861414988608E-2</v>
      </c>
      <c r="I255" s="4"/>
    </row>
    <row r="256" spans="1:9" x14ac:dyDescent="0.2">
      <c r="A256" s="1">
        <f>Acciones!A256</f>
        <v>45366</v>
      </c>
      <c r="B256" s="4">
        <f>Acciones!B256/Acciones!B255</f>
        <v>0.98748762837219806</v>
      </c>
      <c r="C256" s="4">
        <f>Acciones!C256/Acciones!C255</f>
        <v>1.0861721211479956</v>
      </c>
      <c r="D256" s="4">
        <f>Acciones!D256/Acciones!D255</f>
        <v>0.99546204867917643</v>
      </c>
      <c r="E256" s="4">
        <f>Acciones!E256/Acciones!E255</f>
        <v>0.92592592320052014</v>
      </c>
      <c r="F256" s="15">
        <f t="shared" si="9"/>
        <v>28822.054914603272</v>
      </c>
      <c r="G256" s="15">
        <f t="shared" si="11"/>
        <v>322.05491460327175</v>
      </c>
      <c r="H256" s="4">
        <f t="shared" si="10"/>
        <v>1.1300172442220147E-2</v>
      </c>
      <c r="I256" s="4"/>
    </row>
    <row r="257" spans="1:9" x14ac:dyDescent="0.2">
      <c r="A257" s="1">
        <f>Acciones!A257</f>
        <v>45370</v>
      </c>
      <c r="B257" s="4">
        <f>Acciones!B257/Acciones!B256</f>
        <v>1.0056685637134435</v>
      </c>
      <c r="C257" s="4">
        <f>Acciones!C257/Acciones!C256</f>
        <v>1.004979789927001</v>
      </c>
      <c r="D257" s="4">
        <f>Acciones!D257/Acciones!D256</f>
        <v>1.0030331154540011</v>
      </c>
      <c r="E257" s="4">
        <f>Acciones!E257/Acciones!E256</f>
        <v>1</v>
      </c>
      <c r="F257" s="15">
        <f t="shared" si="9"/>
        <v>28597.479131843571</v>
      </c>
      <c r="G257" s="15">
        <f t="shared" si="11"/>
        <v>97.47913184357094</v>
      </c>
      <c r="H257" s="4">
        <f t="shared" si="10"/>
        <v>3.4203204155638378E-3</v>
      </c>
      <c r="I257" s="4"/>
    </row>
    <row r="258" spans="1:9" x14ac:dyDescent="0.2">
      <c r="A258" s="1">
        <f>Acciones!A258</f>
        <v>45371</v>
      </c>
      <c r="B258" s="4">
        <f>Acciones!B258/Acciones!B257</f>
        <v>0.99568965713575253</v>
      </c>
      <c r="C258" s="4">
        <f>Acciones!C258/Acciones!C257</f>
        <v>1.1433583178852906</v>
      </c>
      <c r="D258" s="4">
        <f>Acciones!D258/Acciones!D257</f>
        <v>1.0015508736219305</v>
      </c>
      <c r="E258" s="4">
        <f>Acciones!E258/Acciones!E257</f>
        <v>1</v>
      </c>
      <c r="F258" s="15">
        <f t="shared" si="9"/>
        <v>29862.326556104697</v>
      </c>
      <c r="G258" s="15">
        <f t="shared" si="11"/>
        <v>1362.3265561046974</v>
      </c>
      <c r="H258" s="4">
        <f t="shared" si="10"/>
        <v>4.7800931793147372E-2</v>
      </c>
      <c r="I258" s="4"/>
    </row>
    <row r="259" spans="1:9" x14ac:dyDescent="0.2">
      <c r="A259" s="1">
        <f>Acciones!A259</f>
        <v>45372</v>
      </c>
      <c r="B259" s="4">
        <f>Acciones!B259/Acciones!B258</f>
        <v>1.0116549309167242</v>
      </c>
      <c r="C259" s="4">
        <f>Acciones!C259/Acciones!C258</f>
        <v>0.98823689066705789</v>
      </c>
      <c r="D259" s="4">
        <f>Acciones!D259/Acciones!D258</f>
        <v>1.0102292498040562</v>
      </c>
      <c r="E259" s="4">
        <f>Acciones!E259/Acciones!E258</f>
        <v>1</v>
      </c>
      <c r="F259" s="15">
        <f t="shared" ref="F259:F322" si="12">$J$2*B259+$J$3*C259+$J$4*D259+$J$5*E259</f>
        <v>28531.335217586147</v>
      </c>
      <c r="G259" s="15">
        <f t="shared" si="11"/>
        <v>31.335217586147337</v>
      </c>
      <c r="H259" s="4">
        <f t="shared" ref="H259:H322" si="13">(F259/$J$6)-1</f>
        <v>1.0994813188121011E-3</v>
      </c>
      <c r="I259" s="4"/>
    </row>
    <row r="260" spans="1:9" x14ac:dyDescent="0.2">
      <c r="A260" s="1">
        <f>Acciones!A260</f>
        <v>45373</v>
      </c>
      <c r="B260" s="4">
        <f>Acciones!B260/Acciones!B259</f>
        <v>0.98222521446680799</v>
      </c>
      <c r="C260" s="4">
        <f>Acciones!C260/Acciones!C259</f>
        <v>0.9582436279084916</v>
      </c>
      <c r="D260" s="4">
        <f>Acciones!D260/Acciones!D259</f>
        <v>0.93420959835745476</v>
      </c>
      <c r="E260" s="4">
        <f>Acciones!E260/Acciones!E259</f>
        <v>1</v>
      </c>
      <c r="F260" s="15">
        <f t="shared" si="12"/>
        <v>27383.198699339046</v>
      </c>
      <c r="G260" s="15">
        <f t="shared" si="11"/>
        <v>-1116.8013006609544</v>
      </c>
      <c r="H260" s="4">
        <f t="shared" si="13"/>
        <v>-3.9186010549507211E-2</v>
      </c>
      <c r="I260" s="4"/>
    </row>
    <row r="261" spans="1:9" x14ac:dyDescent="0.2">
      <c r="A261" s="1">
        <f>Acciones!A261</f>
        <v>45376</v>
      </c>
      <c r="B261" s="4">
        <f>Acciones!B261/Acciones!B260</f>
        <v>1.0385388517779572</v>
      </c>
      <c r="C261" s="4">
        <f>Acciones!C261/Acciones!C260</f>
        <v>0.99840819335410957</v>
      </c>
      <c r="D261" s="4">
        <f>Acciones!D261/Acciones!D260</f>
        <v>0.9953438674128352</v>
      </c>
      <c r="E261" s="4">
        <f>Acciones!E261/Acciones!E260</f>
        <v>0.98666667938232011</v>
      </c>
      <c r="F261" s="15">
        <f t="shared" si="12"/>
        <v>28499.869228818006</v>
      </c>
      <c r="G261" s="15">
        <f t="shared" ref="G261:G324" si="14">F261-$J$6</f>
        <v>-0.13077118199362303</v>
      </c>
      <c r="H261" s="4">
        <f t="shared" si="13"/>
        <v>-4.5884625260450562E-6</v>
      </c>
      <c r="I261" s="4"/>
    </row>
    <row r="262" spans="1:9" x14ac:dyDescent="0.2">
      <c r="A262" s="1">
        <f>Acciones!A262</f>
        <v>45377</v>
      </c>
      <c r="B262" s="4">
        <f>Acciones!B262/Acciones!B261</f>
        <v>0.96805420508925366</v>
      </c>
      <c r="C262" s="4">
        <f>Acciones!C262/Acciones!C261</f>
        <v>0.97096007865548639</v>
      </c>
      <c r="D262" s="4">
        <f>Acciones!D262/Acciones!D261</f>
        <v>0.98077962630577042</v>
      </c>
      <c r="E262" s="4">
        <f>Acciones!E262/Acciones!E261</f>
        <v>0.94594591764571589</v>
      </c>
      <c r="F262" s="15">
        <f t="shared" si="12"/>
        <v>27622.809275148651</v>
      </c>
      <c r="G262" s="15">
        <f t="shared" si="14"/>
        <v>-877.19072485134893</v>
      </c>
      <c r="H262" s="4">
        <f t="shared" si="13"/>
        <v>-3.0778621924608784E-2</v>
      </c>
      <c r="I262" s="4"/>
    </row>
    <row r="263" spans="1:9" x14ac:dyDescent="0.2">
      <c r="A263" s="1">
        <f>Acciones!A263</f>
        <v>45378</v>
      </c>
      <c r="B263" s="4">
        <f>Acciones!B263/Acciones!B262</f>
        <v>1.0033333571017493</v>
      </c>
      <c r="C263" s="4">
        <f>Acciones!C263/Acciones!C262</f>
        <v>1.0634529192724016</v>
      </c>
      <c r="D263" s="4">
        <f>Acciones!D263/Acciones!D262</f>
        <v>1.0104927892888915</v>
      </c>
      <c r="E263" s="4">
        <f>Acciones!E263/Acciones!E262</f>
        <v>1.0142857009050767</v>
      </c>
      <c r="F263" s="15">
        <f t="shared" si="12"/>
        <v>29297.968730810775</v>
      </c>
      <c r="G263" s="15">
        <f t="shared" si="14"/>
        <v>797.96873081077501</v>
      </c>
      <c r="H263" s="4">
        <f t="shared" si="13"/>
        <v>2.7998902835465689E-2</v>
      </c>
      <c r="I263" s="4"/>
    </row>
    <row r="264" spans="1:9" x14ac:dyDescent="0.2">
      <c r="A264" s="1">
        <f>Acciones!A264</f>
        <v>45383</v>
      </c>
      <c r="B264" s="4">
        <f>Acciones!B264/Acciones!B263</f>
        <v>0.99069773870916211</v>
      </c>
      <c r="C264" s="4">
        <f>Acciones!C264/Acciones!C263</f>
        <v>0.99498178184357133</v>
      </c>
      <c r="D264" s="4">
        <f>Acciones!D264/Acciones!D263</f>
        <v>0.98881340857269917</v>
      </c>
      <c r="E264" s="4">
        <f>Acciones!E264/Acciones!E263</f>
        <v>1.0211268250040317</v>
      </c>
      <c r="F264" s="15">
        <f t="shared" si="12"/>
        <v>28424.100636245159</v>
      </c>
      <c r="G264" s="15">
        <f t="shared" si="14"/>
        <v>-75.899363754841033</v>
      </c>
      <c r="H264" s="4">
        <f t="shared" si="13"/>
        <v>-2.6631355703452542E-3</v>
      </c>
      <c r="I264" s="4"/>
    </row>
    <row r="265" spans="1:9" x14ac:dyDescent="0.2">
      <c r="A265" s="1">
        <f>Acciones!A265</f>
        <v>45384</v>
      </c>
      <c r="B265" s="4">
        <f>Acciones!B265/Acciones!B264</f>
        <v>0.99899392379198149</v>
      </c>
      <c r="C265" s="4">
        <f>Acciones!C265/Acciones!C264</f>
        <v>0.90478305507304357</v>
      </c>
      <c r="D265" s="4">
        <f>Acciones!D265/Acciones!D264</f>
        <v>0.98060119806079993</v>
      </c>
      <c r="E265" s="4">
        <f>Acciones!E265/Acciones!E264</f>
        <v>0.97931028302586376</v>
      </c>
      <c r="F265" s="15">
        <f t="shared" si="12"/>
        <v>27284.136293716099</v>
      </c>
      <c r="G265" s="15">
        <f t="shared" si="14"/>
        <v>-1215.8637062839007</v>
      </c>
      <c r="H265" s="4">
        <f t="shared" si="13"/>
        <v>-4.2661884431014041E-2</v>
      </c>
      <c r="I265" s="4"/>
    </row>
    <row r="266" spans="1:9" x14ac:dyDescent="0.2">
      <c r="A266" s="1">
        <f>Acciones!A266</f>
        <v>45385</v>
      </c>
      <c r="B266" s="4">
        <f>Acciones!B266/Acciones!B265</f>
        <v>0.99865725803024785</v>
      </c>
      <c r="C266" s="4">
        <f>Acciones!C266/Acciones!C265</f>
        <v>0.98906582749090666</v>
      </c>
      <c r="D266" s="4">
        <f>Acciones!D266/Acciones!D265</f>
        <v>0.99092673369057449</v>
      </c>
      <c r="E266" s="4">
        <f>Acciones!E266/Acciones!E265</f>
        <v>0.98591550596411914</v>
      </c>
      <c r="F266" s="15">
        <f t="shared" si="12"/>
        <v>28223.228383977879</v>
      </c>
      <c r="G266" s="15">
        <f t="shared" si="14"/>
        <v>-276.77161602212072</v>
      </c>
      <c r="H266" s="4">
        <f t="shared" si="13"/>
        <v>-9.711284772705997E-3</v>
      </c>
      <c r="I266" s="4"/>
    </row>
    <row r="267" spans="1:9" x14ac:dyDescent="0.2">
      <c r="A267" s="1">
        <f>Acciones!A267</f>
        <v>45386</v>
      </c>
      <c r="B267" s="4">
        <f>Acciones!B267/Acciones!B266</f>
        <v>0.98319329006092548</v>
      </c>
      <c r="C267" s="4">
        <f>Acciones!C267/Acciones!C266</f>
        <v>0.950732344399848</v>
      </c>
      <c r="D267" s="4">
        <f>Acciones!D267/Acciones!D266</f>
        <v>0.98924629185720914</v>
      </c>
      <c r="E267" s="4">
        <f>Acciones!E267/Acciones!E266</f>
        <v>1</v>
      </c>
      <c r="F267" s="15">
        <f t="shared" si="12"/>
        <v>27865.596705583885</v>
      </c>
      <c r="G267" s="15">
        <f t="shared" si="14"/>
        <v>-634.40329441611539</v>
      </c>
      <c r="H267" s="4">
        <f t="shared" si="13"/>
        <v>-2.2259764716354935E-2</v>
      </c>
      <c r="I267" s="4"/>
    </row>
    <row r="268" spans="1:9" x14ac:dyDescent="0.2">
      <c r="A268" s="1">
        <f>Acciones!A268</f>
        <v>45387</v>
      </c>
      <c r="B268" s="4">
        <f>Acciones!B268/Acciones!B267</f>
        <v>1.0112820304997929</v>
      </c>
      <c r="C268" s="4">
        <f>Acciones!C268/Acciones!C267</f>
        <v>0.98807894015673992</v>
      </c>
      <c r="D268" s="4">
        <f>Acciones!D268/Acciones!D267</f>
        <v>0.9893861420709521</v>
      </c>
      <c r="E268" s="4">
        <f>Acciones!E268/Acciones!E267</f>
        <v>1</v>
      </c>
      <c r="F268" s="15">
        <f t="shared" si="12"/>
        <v>28320.098458947825</v>
      </c>
      <c r="G268" s="15">
        <f t="shared" si="14"/>
        <v>-179.90154105217516</v>
      </c>
      <c r="H268" s="4">
        <f t="shared" si="13"/>
        <v>-6.3123347737605862E-3</v>
      </c>
      <c r="I268" s="4"/>
    </row>
    <row r="269" spans="1:9" x14ac:dyDescent="0.2">
      <c r="A269" s="1">
        <f>Acciones!A269</f>
        <v>45390</v>
      </c>
      <c r="B269" s="4">
        <f>Acciones!B269/Acciones!B268</f>
        <v>0.98884383370856788</v>
      </c>
      <c r="C269" s="4">
        <f>Acciones!C269/Acciones!C268</f>
        <v>0.96614586791408841</v>
      </c>
      <c r="D269" s="4">
        <f>Acciones!D269/Acciones!D268</f>
        <v>1.0030181321869043</v>
      </c>
      <c r="E269" s="4">
        <f>Acciones!E269/Acciones!E268</f>
        <v>1</v>
      </c>
      <c r="F269" s="15">
        <f t="shared" si="12"/>
        <v>28169.520485032866</v>
      </c>
      <c r="G269" s="15">
        <f t="shared" si="14"/>
        <v>-330.47951496713358</v>
      </c>
      <c r="H269" s="4">
        <f t="shared" si="13"/>
        <v>-1.1595772454987108E-2</v>
      </c>
      <c r="I269" s="4"/>
    </row>
    <row r="270" spans="1:9" x14ac:dyDescent="0.2">
      <c r="A270" s="1">
        <f>Acciones!A270</f>
        <v>45391</v>
      </c>
      <c r="B270" s="4">
        <f>Acciones!B270/Acciones!B269</f>
        <v>0.98974358423835418</v>
      </c>
      <c r="C270" s="4">
        <f>Acciones!C270/Acciones!C269</f>
        <v>1.0059708622671055</v>
      </c>
      <c r="D270" s="4">
        <f>Acciones!D270/Acciones!D269</f>
        <v>1.0171291139544156</v>
      </c>
      <c r="E270" s="4">
        <f>Acciones!E270/Acciones!E269</f>
        <v>1</v>
      </c>
      <c r="F270" s="15">
        <f t="shared" si="12"/>
        <v>28692.116875915897</v>
      </c>
      <c r="G270" s="15">
        <f t="shared" si="14"/>
        <v>192.11687591589725</v>
      </c>
      <c r="H270" s="4">
        <f t="shared" si="13"/>
        <v>6.7409430145928262E-3</v>
      </c>
      <c r="I270" s="4"/>
    </row>
    <row r="271" spans="1:9" x14ac:dyDescent="0.2">
      <c r="A271" s="1">
        <f>Acciones!A271</f>
        <v>45392</v>
      </c>
      <c r="B271" s="4">
        <f>Acciones!B271/Acciones!B270</f>
        <v>0.96753019787724215</v>
      </c>
      <c r="C271" s="4">
        <f>Acciones!C271/Acciones!C270</f>
        <v>0.96713470844606453</v>
      </c>
      <c r="D271" s="4">
        <f>Acciones!D271/Acciones!D270</f>
        <v>0.98103761496117559</v>
      </c>
      <c r="E271" s="4">
        <f>Acciones!E271/Acciones!E270</f>
        <v>0.98571429909491581</v>
      </c>
      <c r="F271" s="15">
        <f t="shared" si="12"/>
        <v>27805.940217441756</v>
      </c>
      <c r="G271" s="15">
        <f t="shared" si="14"/>
        <v>-694.05978255824448</v>
      </c>
      <c r="H271" s="4">
        <f t="shared" si="13"/>
        <v>-2.4352974826605034E-2</v>
      </c>
      <c r="I271" s="4"/>
    </row>
    <row r="272" spans="1:9" x14ac:dyDescent="0.2">
      <c r="A272" s="1">
        <f>Acciones!A272</f>
        <v>45393</v>
      </c>
      <c r="B272" s="4">
        <f>Acciones!B272/Acciones!B271</f>
        <v>1.0035702489715463</v>
      </c>
      <c r="C272" s="4">
        <f>Acciones!C272/Acciones!C271</f>
        <v>1.0135016874835132</v>
      </c>
      <c r="D272" s="4">
        <f>Acciones!D272/Acciones!D271</f>
        <v>1.0327494939565269</v>
      </c>
      <c r="E272" s="4">
        <f>Acciones!E272/Acciones!E271</f>
        <v>1</v>
      </c>
      <c r="F272" s="15">
        <f t="shared" si="12"/>
        <v>28968.256842059058</v>
      </c>
      <c r="G272" s="15">
        <f t="shared" si="14"/>
        <v>468.25684205905782</v>
      </c>
      <c r="H272" s="4">
        <f t="shared" si="13"/>
        <v>1.6430064633651043E-2</v>
      </c>
      <c r="I272" s="4"/>
    </row>
    <row r="273" spans="1:9" x14ac:dyDescent="0.2">
      <c r="A273" s="1">
        <f>Acciones!A273</f>
        <v>45394</v>
      </c>
      <c r="B273" s="4">
        <f>Acciones!B273/Acciones!B272</f>
        <v>0.97509779485944137</v>
      </c>
      <c r="C273" s="4">
        <f>Acciones!C273/Acciones!C272</f>
        <v>0.92647058823529416</v>
      </c>
      <c r="D273" s="4">
        <f>Acciones!D273/Acciones!D272</f>
        <v>1.0094670655289644</v>
      </c>
      <c r="E273" s="4">
        <f>Acciones!E273/Acciones!E272</f>
        <v>1</v>
      </c>
      <c r="F273" s="15">
        <f t="shared" si="12"/>
        <v>27808.983525532982</v>
      </c>
      <c r="G273" s="15">
        <f t="shared" si="14"/>
        <v>-691.01647446701827</v>
      </c>
      <c r="H273" s="4">
        <f t="shared" si="13"/>
        <v>-2.4246192086562091E-2</v>
      </c>
      <c r="I273" s="4"/>
    </row>
    <row r="274" spans="1:9" x14ac:dyDescent="0.2">
      <c r="A274" s="1">
        <f>Acciones!A274</f>
        <v>45397</v>
      </c>
      <c r="B274" s="4">
        <f>Acciones!B274/Acciones!B273</f>
        <v>1.0098503816264846</v>
      </c>
      <c r="C274" s="4">
        <f>Acciones!C274/Acciones!C273</f>
        <v>0.94864612511671331</v>
      </c>
      <c r="D274" s="4">
        <f>Acciones!D274/Acciones!D273</f>
        <v>1.0188742684053056</v>
      </c>
      <c r="E274" s="4">
        <f>Acciones!E274/Acciones!E273</f>
        <v>0.92028984443101569</v>
      </c>
      <c r="F274" s="15">
        <f t="shared" si="12"/>
        <v>27796.951352725115</v>
      </c>
      <c r="G274" s="15">
        <f t="shared" si="14"/>
        <v>-703.0486472748853</v>
      </c>
      <c r="H274" s="4">
        <f t="shared" si="13"/>
        <v>-2.4668373588592418E-2</v>
      </c>
      <c r="I274" s="4"/>
    </row>
    <row r="275" spans="1:9" x14ac:dyDescent="0.2">
      <c r="A275" s="1">
        <f>Acciones!A275</f>
        <v>45398</v>
      </c>
      <c r="B275" s="4">
        <f>Acciones!B275/Acciones!B274</f>
        <v>0.98410407534072586</v>
      </c>
      <c r="C275" s="4">
        <f>Acciones!C275/Acciones!C274</f>
        <v>0.98279529481422045</v>
      </c>
      <c r="D275" s="4">
        <f>Acciones!D275/Acciones!D274</f>
        <v>1.0213316869371081</v>
      </c>
      <c r="E275" s="4">
        <f>Acciones!E275/Acciones!E274</f>
        <v>1</v>
      </c>
      <c r="F275" s="15">
        <f t="shared" si="12"/>
        <v>28494.236433798716</v>
      </c>
      <c r="G275" s="15">
        <f t="shared" si="14"/>
        <v>-5.7635662012835382</v>
      </c>
      <c r="H275" s="4">
        <f t="shared" si="13"/>
        <v>-2.0223039302746937E-4</v>
      </c>
      <c r="I275" s="4"/>
    </row>
    <row r="276" spans="1:9" x14ac:dyDescent="0.2">
      <c r="A276" s="1">
        <f>Acciones!A276</f>
        <v>45399</v>
      </c>
      <c r="B276" s="4">
        <f>Acciones!B276/Acciones!B275</f>
        <v>0.99596175631719797</v>
      </c>
      <c r="C276" s="4">
        <f>Acciones!C276/Acciones!C275</f>
        <v>0.99411127992649329</v>
      </c>
      <c r="D276" s="4">
        <f>Acciones!D276/Acciones!D275</f>
        <v>1.0094526003769375</v>
      </c>
      <c r="E276" s="4">
        <f>Acciones!E276/Acciones!E275</f>
        <v>1</v>
      </c>
      <c r="F276" s="15">
        <f t="shared" si="12"/>
        <v>28524.449310181255</v>
      </c>
      <c r="G276" s="15">
        <f t="shared" si="14"/>
        <v>24.449310181254987</v>
      </c>
      <c r="H276" s="4">
        <f t="shared" si="13"/>
        <v>8.5787053267560864E-4</v>
      </c>
      <c r="I276" s="4"/>
    </row>
    <row r="277" spans="1:9" x14ac:dyDescent="0.2">
      <c r="A277" s="1">
        <f>Acciones!A277</f>
        <v>45400</v>
      </c>
      <c r="B277" s="4">
        <f>Acciones!B277/Acciones!B276</f>
        <v>1.0228529484932469</v>
      </c>
      <c r="C277" s="4">
        <f>Acciones!C277/Acciones!C276</f>
        <v>1.0387652924533539</v>
      </c>
      <c r="D277" s="4">
        <f>Acciones!D277/Acciones!D276</f>
        <v>1.016728038660734</v>
      </c>
      <c r="E277" s="4">
        <f>Acciones!E277/Acciones!E276</f>
        <v>1</v>
      </c>
      <c r="F277" s="15">
        <f t="shared" si="12"/>
        <v>29115.535984640566</v>
      </c>
      <c r="G277" s="15">
        <f t="shared" si="14"/>
        <v>615.53598464056631</v>
      </c>
      <c r="H277" s="4">
        <f t="shared" si="13"/>
        <v>2.1597753847037326E-2</v>
      </c>
      <c r="I277" s="4"/>
    </row>
    <row r="278" spans="1:9" x14ac:dyDescent="0.2">
      <c r="A278" s="1">
        <f>Acciones!A278</f>
        <v>45401</v>
      </c>
      <c r="B278" s="4">
        <f>Acciones!B278/Acciones!B277</f>
        <v>1.0036036999381612</v>
      </c>
      <c r="C278" s="4">
        <f>Acciones!C278/Acciones!C277</f>
        <v>1.0962836815957515</v>
      </c>
      <c r="D278" s="4">
        <f>Acciones!D278/Acciones!D277</f>
        <v>0.99636626915323956</v>
      </c>
      <c r="E278" s="4">
        <f>Acciones!E278/Acciones!E277</f>
        <v>1</v>
      </c>
      <c r="F278" s="15">
        <f t="shared" si="12"/>
        <v>29390.970616475599</v>
      </c>
      <c r="G278" s="15">
        <f t="shared" si="14"/>
        <v>890.97061647559894</v>
      </c>
      <c r="H278" s="4">
        <f t="shared" si="13"/>
        <v>3.1262126893880637E-2</v>
      </c>
      <c r="I278" s="4"/>
    </row>
    <row r="279" spans="1:9" x14ac:dyDescent="0.2">
      <c r="A279" s="1">
        <f>Acciones!A279</f>
        <v>45404</v>
      </c>
      <c r="B279" s="4">
        <f>Acciones!B279/Acciones!B278</f>
        <v>1.005385928471747</v>
      </c>
      <c r="C279" s="4">
        <f>Acciones!C279/Acciones!C278</f>
        <v>1.058846442051107</v>
      </c>
      <c r="D279" s="4">
        <f>Acciones!D279/Acciones!D278</f>
        <v>0.99569498439194815</v>
      </c>
      <c r="E279" s="4">
        <f>Acciones!E279/Acciones!E278</f>
        <v>1</v>
      </c>
      <c r="F279" s="15">
        <f t="shared" si="12"/>
        <v>29034.841793056112</v>
      </c>
      <c r="G279" s="15">
        <f t="shared" si="14"/>
        <v>534.84179305611178</v>
      </c>
      <c r="H279" s="4">
        <f t="shared" si="13"/>
        <v>1.876637870372333E-2</v>
      </c>
      <c r="I279" s="4"/>
    </row>
    <row r="280" spans="1:9" x14ac:dyDescent="0.2">
      <c r="A280" s="1">
        <f>Acciones!A280</f>
        <v>45405</v>
      </c>
      <c r="B280" s="4">
        <f>Acciones!B280/Acciones!B279</f>
        <v>0.99642854614597898</v>
      </c>
      <c r="C280" s="4">
        <f>Acciones!C280/Acciones!C279</f>
        <v>1.1023292918255649</v>
      </c>
      <c r="D280" s="4">
        <f>Acciones!D280/Acciones!D279</f>
        <v>0.98866585305783383</v>
      </c>
      <c r="E280" s="4">
        <f>Acciones!E280/Acciones!E279</f>
        <v>1</v>
      </c>
      <c r="F280" s="15">
        <f t="shared" si="12"/>
        <v>29346.286714432132</v>
      </c>
      <c r="G280" s="15">
        <f t="shared" si="14"/>
        <v>846.2867144321317</v>
      </c>
      <c r="H280" s="4">
        <f t="shared" si="13"/>
        <v>2.9694270681829282E-2</v>
      </c>
      <c r="I280" s="4"/>
    </row>
    <row r="281" spans="1:9" x14ac:dyDescent="0.2">
      <c r="A281" s="1">
        <f>Acciones!A281</f>
        <v>45406</v>
      </c>
      <c r="B281" s="4">
        <f>Acciones!B281/Acciones!B280</f>
        <v>0.99677420580143716</v>
      </c>
      <c r="C281" s="4">
        <f>Acciones!C281/Acciones!C280</f>
        <v>0.98826740929035339</v>
      </c>
      <c r="D281" s="4">
        <f>Acciones!D281/Acciones!D280</f>
        <v>1.0054603026579521</v>
      </c>
      <c r="E281" s="4">
        <f>Acciones!E281/Acciones!E280</f>
        <v>0.99212599164295689</v>
      </c>
      <c r="F281" s="15">
        <f t="shared" si="12"/>
        <v>28388.54608917917</v>
      </c>
      <c r="G281" s="15">
        <f t="shared" si="14"/>
        <v>-111.45391082083006</v>
      </c>
      <c r="H281" s="4">
        <f t="shared" si="13"/>
        <v>-3.910663537572967E-3</v>
      </c>
      <c r="I281" s="4"/>
    </row>
    <row r="282" spans="1:9" x14ac:dyDescent="0.2">
      <c r="A282" s="1">
        <f>Acciones!A282</f>
        <v>45407</v>
      </c>
      <c r="B282" s="4">
        <f>Acciones!B282/Acciones!B281</f>
        <v>1.0104278717348052</v>
      </c>
      <c r="C282" s="4">
        <f>Acciones!C282/Acciones!C281</f>
        <v>1.0000613197527404</v>
      </c>
      <c r="D282" s="4">
        <f>Acciones!D282/Acciones!D281</f>
        <v>1.0052877258301189</v>
      </c>
      <c r="E282" s="4">
        <f>Acciones!E282/Acciones!E281</f>
        <v>1</v>
      </c>
      <c r="F282" s="15">
        <f t="shared" si="12"/>
        <v>28589.957347024039</v>
      </c>
      <c r="G282" s="15">
        <f t="shared" si="14"/>
        <v>89.957347024039336</v>
      </c>
      <c r="H282" s="4">
        <f t="shared" si="13"/>
        <v>3.1563981411943942E-3</v>
      </c>
      <c r="I282" s="4"/>
    </row>
    <row r="283" spans="1:9" x14ac:dyDescent="0.2">
      <c r="A283" s="1">
        <f>Acciones!A283</f>
        <v>45408</v>
      </c>
      <c r="B283" s="4">
        <f>Acciones!B283/Acciones!B282</f>
        <v>1.0209964860936591</v>
      </c>
      <c r="C283" s="4">
        <f>Acciones!C283/Acciones!C282</f>
        <v>1.0143865105564602</v>
      </c>
      <c r="D283" s="4">
        <f>Acciones!D283/Acciones!D282</f>
        <v>0.99545699737276294</v>
      </c>
      <c r="E283" s="4">
        <f>Acciones!E283/Acciones!E282</f>
        <v>1</v>
      </c>
      <c r="F283" s="15">
        <f t="shared" si="12"/>
        <v>28664.729525341809</v>
      </c>
      <c r="G283" s="15">
        <f t="shared" si="14"/>
        <v>164.72952534180877</v>
      </c>
      <c r="H283" s="4">
        <f t="shared" si="13"/>
        <v>5.7799833453267002E-3</v>
      </c>
      <c r="I283" s="4"/>
    </row>
    <row r="284" spans="1:9" x14ac:dyDescent="0.2">
      <c r="A284" s="1">
        <f>Acciones!A284</f>
        <v>45411</v>
      </c>
      <c r="B284" s="4">
        <f>Acciones!B284/Acciones!B283</f>
        <v>1.0296270864961947</v>
      </c>
      <c r="C284" s="4">
        <f>Acciones!C284/Acciones!C283</f>
        <v>0.92204179567277689</v>
      </c>
      <c r="D284" s="4">
        <f>Acciones!D284/Acciones!D283</f>
        <v>0.99495834605490452</v>
      </c>
      <c r="E284" s="4">
        <f>Acciones!E284/Acciones!E283</f>
        <v>1</v>
      </c>
      <c r="F284" s="15">
        <f t="shared" si="12"/>
        <v>27812.675322177107</v>
      </c>
      <c r="G284" s="15">
        <f t="shared" si="14"/>
        <v>-687.32467782289314</v>
      </c>
      <c r="H284" s="4">
        <f t="shared" si="13"/>
        <v>-2.4116655362206751E-2</v>
      </c>
      <c r="I284" s="4"/>
    </row>
    <row r="285" spans="1:9" x14ac:dyDescent="0.2">
      <c r="A285" s="1">
        <f>Acciones!A285</f>
        <v>45412</v>
      </c>
      <c r="B285" s="4">
        <f>Acciones!B285/Acciones!B284</f>
        <v>0.97054836762235397</v>
      </c>
      <c r="C285" s="4">
        <f>Acciones!C285/Acciones!C284</f>
        <v>0.90856316766271583</v>
      </c>
      <c r="D285" s="4">
        <f>Acciones!D285/Acciones!D284</f>
        <v>0.98725667470974432</v>
      </c>
      <c r="E285" s="4">
        <f>Acciones!E285/Acciones!E284</f>
        <v>0.99206349957227113</v>
      </c>
      <c r="F285" s="15">
        <f t="shared" si="12"/>
        <v>27357.185374218978</v>
      </c>
      <c r="G285" s="15">
        <f t="shared" si="14"/>
        <v>-1142.8146257810222</v>
      </c>
      <c r="H285" s="4">
        <f t="shared" si="13"/>
        <v>-4.0098758799334111E-2</v>
      </c>
      <c r="I285" s="4"/>
    </row>
    <row r="286" spans="1:9" x14ac:dyDescent="0.2">
      <c r="A286" s="1">
        <f>Acciones!A286</f>
        <v>45414</v>
      </c>
      <c r="B286" s="4">
        <f>Acciones!B286/Acciones!B285</f>
        <v>1.0031391578782345</v>
      </c>
      <c r="C286" s="4">
        <f>Acciones!C286/Acciones!C285</f>
        <v>1.0467819063357249</v>
      </c>
      <c r="D286" s="4">
        <f>Acciones!D286/Acciones!D285</f>
        <v>0.99682685521932546</v>
      </c>
      <c r="E286" s="4">
        <f>Acciones!E286/Acciones!E285</f>
        <v>0.992000007629392</v>
      </c>
      <c r="F286" s="15">
        <f t="shared" si="12"/>
        <v>28879.683756918115</v>
      </c>
      <c r="G286" s="15">
        <f t="shared" si="14"/>
        <v>379.68375691811525</v>
      </c>
      <c r="H286" s="4">
        <f t="shared" si="13"/>
        <v>1.3322237084846256E-2</v>
      </c>
      <c r="I286" s="4"/>
    </row>
    <row r="287" spans="1:9" x14ac:dyDescent="0.2">
      <c r="A287" s="1">
        <f>Acciones!A287</f>
        <v>45415</v>
      </c>
      <c r="B287" s="4">
        <f>Acciones!B287/Acciones!B286</f>
        <v>1.0205146468462971</v>
      </c>
      <c r="C287" s="4">
        <f>Acciones!C287/Acciones!C286</f>
        <v>1.0239663865687705</v>
      </c>
      <c r="D287" s="4">
        <f>Acciones!D287/Acciones!D286</f>
        <v>0.99289792277876732</v>
      </c>
      <c r="E287" s="4">
        <f>Acciones!E287/Acciones!E286</f>
        <v>1</v>
      </c>
      <c r="F287" s="15">
        <f t="shared" si="12"/>
        <v>28728.461164153032</v>
      </c>
      <c r="G287" s="15">
        <f t="shared" si="14"/>
        <v>228.46116415303186</v>
      </c>
      <c r="H287" s="4">
        <f t="shared" si="13"/>
        <v>8.0161811983519016E-3</v>
      </c>
      <c r="I287" s="4"/>
    </row>
    <row r="288" spans="1:9" x14ac:dyDescent="0.2">
      <c r="A288" s="1">
        <f>Acciones!A288</f>
        <v>45418</v>
      </c>
      <c r="B288" s="4">
        <f>Acciones!B288/Acciones!B287</f>
        <v>0.97172058095963609</v>
      </c>
      <c r="C288" s="4">
        <f>Acciones!C288/Acciones!C287</f>
        <v>1.1774432612924999</v>
      </c>
      <c r="D288" s="4">
        <f>Acciones!D288/Acciones!D287</f>
        <v>1.0033274449468963</v>
      </c>
      <c r="E288" s="4">
        <f>Acciones!E288/Acciones!E287</f>
        <v>0.97580647487173977</v>
      </c>
      <c r="F288" s="15">
        <f t="shared" si="12"/>
        <v>29986.943076901007</v>
      </c>
      <c r="G288" s="15">
        <f t="shared" si="14"/>
        <v>1486.9430769010069</v>
      </c>
      <c r="H288" s="4">
        <f t="shared" si="13"/>
        <v>5.2173441294772083E-2</v>
      </c>
      <c r="I288" s="4"/>
    </row>
    <row r="289" spans="1:9" x14ac:dyDescent="0.2">
      <c r="A289" s="1">
        <f>Acciones!A289</f>
        <v>45419</v>
      </c>
      <c r="B289" s="4">
        <f>Acciones!B289/Acciones!B288</f>
        <v>1.0347124876559144</v>
      </c>
      <c r="C289" s="4">
        <f>Acciones!C289/Acciones!C288</f>
        <v>0.97096932827637028</v>
      </c>
      <c r="D289" s="4">
        <f>Acciones!D289/Acciones!D288</f>
        <v>1.0075684048943598</v>
      </c>
      <c r="E289" s="4">
        <f>Acciones!E289/Acciones!E288</f>
        <v>0.98347109066446936</v>
      </c>
      <c r="F289" s="15">
        <f t="shared" si="12"/>
        <v>28330.477373019399</v>
      </c>
      <c r="G289" s="15">
        <f t="shared" si="14"/>
        <v>-169.52262698060076</v>
      </c>
      <c r="H289" s="4">
        <f t="shared" si="13"/>
        <v>-5.948162350196573E-3</v>
      </c>
      <c r="I289" s="4"/>
    </row>
    <row r="290" spans="1:9" x14ac:dyDescent="0.2">
      <c r="A290" s="1">
        <f>Acciones!A290</f>
        <v>45420</v>
      </c>
      <c r="B290" s="4">
        <f>Acciones!B290/Acciones!B289</f>
        <v>0.97289048657838473</v>
      </c>
      <c r="C290" s="4">
        <f>Acciones!C290/Acciones!C289</f>
        <v>1.006244830471837</v>
      </c>
      <c r="D290" s="4">
        <f>Acciones!D290/Acciones!D289</f>
        <v>0.99743500734196688</v>
      </c>
      <c r="E290" s="4">
        <f>Acciones!E290/Acciones!E289</f>
        <v>0.9915965468977388</v>
      </c>
      <c r="F290" s="15">
        <f t="shared" si="12"/>
        <v>28392.573673864033</v>
      </c>
      <c r="G290" s="15">
        <f t="shared" si="14"/>
        <v>-107.42632613596652</v>
      </c>
      <c r="H290" s="4">
        <f t="shared" si="13"/>
        <v>-3.769344776700545E-3</v>
      </c>
      <c r="I290" s="4"/>
    </row>
    <row r="291" spans="1:9" x14ac:dyDescent="0.2">
      <c r="A291" s="1">
        <f>Acciones!A291</f>
        <v>45421</v>
      </c>
      <c r="B291" s="4">
        <f>Acciones!B291/Acciones!B290</f>
        <v>1.0306514232341131</v>
      </c>
      <c r="C291" s="4">
        <f>Acciones!C291/Acciones!C290</f>
        <v>0.96372946596294129</v>
      </c>
      <c r="D291" s="4">
        <f>Acciones!D291/Acciones!D290</f>
        <v>0.9988409096809282</v>
      </c>
      <c r="E291" s="4">
        <f>Acciones!E291/Acciones!E290</f>
        <v>0.99152543143409422</v>
      </c>
      <c r="F291" s="15">
        <f t="shared" si="12"/>
        <v>28204.508877664139</v>
      </c>
      <c r="G291" s="15">
        <f t="shared" si="14"/>
        <v>-295.49112233586129</v>
      </c>
      <c r="H291" s="4">
        <f t="shared" si="13"/>
        <v>-1.0368109555644267E-2</v>
      </c>
      <c r="I291" s="4"/>
    </row>
    <row r="292" spans="1:9" x14ac:dyDescent="0.2">
      <c r="A292" s="1">
        <f>Acciones!A292</f>
        <v>45422</v>
      </c>
      <c r="B292" s="4">
        <f>Acciones!B292/Acciones!B291</f>
        <v>0.96519092914610716</v>
      </c>
      <c r="C292" s="4">
        <f>Acciones!C292/Acciones!C291</f>
        <v>0.87864893919872311</v>
      </c>
      <c r="D292" s="4">
        <f>Acciones!D292/Acciones!D291</f>
        <v>0.96936596486589</v>
      </c>
      <c r="E292" s="4">
        <f>Acciones!E292/Acciones!E291</f>
        <v>1.02564110401663</v>
      </c>
      <c r="F292" s="15">
        <f t="shared" si="12"/>
        <v>27060.018895149609</v>
      </c>
      <c r="G292" s="15">
        <f t="shared" si="14"/>
        <v>-1439.9811048503907</v>
      </c>
      <c r="H292" s="4">
        <f t="shared" si="13"/>
        <v>-5.0525652801768128E-2</v>
      </c>
      <c r="I292" s="4"/>
    </row>
    <row r="293" spans="1:9" x14ac:dyDescent="0.2">
      <c r="A293" s="1">
        <f>Acciones!A293</f>
        <v>45425</v>
      </c>
      <c r="B293" s="4">
        <f>Acciones!B293/Acciones!B292</f>
        <v>1.0227590929346535</v>
      </c>
      <c r="C293" s="4">
        <f>Acciones!C293/Acciones!C292</f>
        <v>0.99605885843203246</v>
      </c>
      <c r="D293" s="4">
        <f>Acciones!D293/Acciones!D292</f>
        <v>1.0172761427987602</v>
      </c>
      <c r="E293" s="4">
        <f>Acciones!E293/Acciones!E292</f>
        <v>1</v>
      </c>
      <c r="F293" s="15">
        <f t="shared" si="12"/>
        <v>28714.9774083632</v>
      </c>
      <c r="G293" s="15">
        <f t="shared" si="14"/>
        <v>214.97740836320008</v>
      </c>
      <c r="H293" s="4">
        <f t="shared" si="13"/>
        <v>7.5430669601121991E-3</v>
      </c>
      <c r="I293" s="4"/>
    </row>
    <row r="294" spans="1:9" x14ac:dyDescent="0.2">
      <c r="A294" s="1">
        <f>Acciones!A294</f>
        <v>45426</v>
      </c>
      <c r="B294" s="4">
        <f>Acciones!B294/Acciones!B293</f>
        <v>0.97672033781581824</v>
      </c>
      <c r="C294" s="4">
        <f>Acciones!C294/Acciones!C293</f>
        <v>1.0551159418017972</v>
      </c>
      <c r="D294" s="4">
        <f>Acciones!D294/Acciones!D293</f>
        <v>1.0037876859687203</v>
      </c>
      <c r="E294" s="4">
        <f>Acciones!E294/Acciones!E293</f>
        <v>0.96666660043928343</v>
      </c>
      <c r="F294" s="15">
        <f t="shared" si="12"/>
        <v>28796.665791575699</v>
      </c>
      <c r="G294" s="15">
        <f t="shared" si="14"/>
        <v>296.66579157569868</v>
      </c>
      <c r="H294" s="4">
        <f t="shared" si="13"/>
        <v>1.040932602020006E-2</v>
      </c>
      <c r="I294" s="4"/>
    </row>
    <row r="295" spans="1:9" x14ac:dyDescent="0.2">
      <c r="A295" s="1">
        <f>Acciones!A295</f>
        <v>45427</v>
      </c>
      <c r="B295" s="4">
        <f>Acciones!B295/Acciones!B294</f>
        <v>1.0042060597113989</v>
      </c>
      <c r="C295" s="4">
        <f>Acciones!C295/Acciones!C294</f>
        <v>1.1006249879535854</v>
      </c>
      <c r="D295" s="4">
        <f>Acciones!D295/Acciones!D294</f>
        <v>0.97580378604414675</v>
      </c>
      <c r="E295" s="4">
        <f>Acciones!E295/Acciones!E294</f>
        <v>1.0258621478123298</v>
      </c>
      <c r="F295" s="15">
        <f t="shared" si="12"/>
        <v>29370.938267958241</v>
      </c>
      <c r="G295" s="15">
        <f t="shared" si="14"/>
        <v>870.93826795824134</v>
      </c>
      <c r="H295" s="4">
        <f t="shared" si="13"/>
        <v>3.0559237472219003E-2</v>
      </c>
      <c r="I295" s="4"/>
    </row>
    <row r="296" spans="1:9" x14ac:dyDescent="0.2">
      <c r="A296" s="1">
        <f>Acciones!A296</f>
        <v>45428</v>
      </c>
      <c r="B296" s="4">
        <f>Acciones!B296/Acciones!B295</f>
        <v>0.98254793778869309</v>
      </c>
      <c r="C296" s="4">
        <f>Acciones!C296/Acciones!C295</f>
        <v>0.97910878893307951</v>
      </c>
      <c r="D296" s="4">
        <f>Acciones!D296/Acciones!D295</f>
        <v>1.0110028655596728</v>
      </c>
      <c r="E296" s="4">
        <f>Acciones!E296/Acciones!E295</f>
        <v>1.0504201175583934</v>
      </c>
      <c r="F296" s="15">
        <f t="shared" si="12"/>
        <v>28627.790579292574</v>
      </c>
      <c r="G296" s="15">
        <f t="shared" si="14"/>
        <v>127.79057929257397</v>
      </c>
      <c r="H296" s="4">
        <f t="shared" si="13"/>
        <v>4.4838799751780734E-3</v>
      </c>
      <c r="I296" s="4"/>
    </row>
    <row r="297" spans="1:9" x14ac:dyDescent="0.2">
      <c r="A297" s="1">
        <f>Acciones!A297</f>
        <v>45429</v>
      </c>
      <c r="B297" s="4">
        <f>Acciones!B297/Acciones!B296</f>
        <v>1.0039077004377532</v>
      </c>
      <c r="C297" s="4">
        <f>Acciones!C297/Acciones!C296</f>
        <v>0.98220385536866628</v>
      </c>
      <c r="D297" s="4">
        <f>Acciones!D297/Acciones!D296</f>
        <v>0.99213621263830698</v>
      </c>
      <c r="E297" s="4">
        <f>Acciones!E297/Acciones!E296</f>
        <v>1</v>
      </c>
      <c r="F297" s="15">
        <f t="shared" si="12"/>
        <v>28265.975703917535</v>
      </c>
      <c r="G297" s="15">
        <f t="shared" si="14"/>
        <v>-234.0242960824653</v>
      </c>
      <c r="H297" s="4">
        <f t="shared" si="13"/>
        <v>-8.2113788099110741E-3</v>
      </c>
      <c r="I297" s="4"/>
    </row>
    <row r="298" spans="1:9" x14ac:dyDescent="0.2">
      <c r="A298" s="1">
        <f>Acciones!A298</f>
        <v>45432</v>
      </c>
      <c r="B298" s="4">
        <f>Acciones!B298/Acciones!B297</f>
        <v>1.0222929779279257</v>
      </c>
      <c r="C298" s="4">
        <f>Acciones!C298/Acciones!C297</f>
        <v>1.1541162881283624</v>
      </c>
      <c r="D298" s="4">
        <f>Acciones!D298/Acciones!D297</f>
        <v>0.99135412807832235</v>
      </c>
      <c r="E298" s="4">
        <f>Acciones!E298/Acciones!E297</f>
        <v>1.015999984741208</v>
      </c>
      <c r="F298" s="15">
        <f t="shared" si="12"/>
        <v>30043.67135682705</v>
      </c>
      <c r="G298" s="15">
        <f t="shared" si="14"/>
        <v>1543.6713568270497</v>
      </c>
      <c r="H298" s="4">
        <f t="shared" si="13"/>
        <v>5.4163907257089416E-2</v>
      </c>
      <c r="I298" s="4"/>
    </row>
    <row r="299" spans="1:9" x14ac:dyDescent="0.2">
      <c r="A299" s="1">
        <f>Acciones!A299</f>
        <v>45433</v>
      </c>
      <c r="B299" s="4">
        <f>Acciones!B299/Acciones!B298</f>
        <v>0.99342338508212624</v>
      </c>
      <c r="C299" s="4">
        <f>Acciones!C299/Acciones!C298</f>
        <v>0.95939253778785583</v>
      </c>
      <c r="D299" s="4">
        <f>Acciones!D299/Acciones!D298</f>
        <v>1.0150793094323149</v>
      </c>
      <c r="E299" s="4">
        <f>Acciones!E299/Acciones!E298</f>
        <v>0.99212599164295689</v>
      </c>
      <c r="F299" s="15">
        <f t="shared" si="12"/>
        <v>28198.697005131486</v>
      </c>
      <c r="G299" s="15">
        <f t="shared" si="14"/>
        <v>-301.30299486851436</v>
      </c>
      <c r="H299" s="4">
        <f t="shared" si="13"/>
        <v>-1.0572034907667116E-2</v>
      </c>
      <c r="I299" s="4"/>
    </row>
    <row r="300" spans="1:9" x14ac:dyDescent="0.2">
      <c r="A300" s="1">
        <f>Acciones!A300</f>
        <v>45434</v>
      </c>
      <c r="B300" s="4">
        <f>Acciones!B300/Acciones!B299</f>
        <v>0.99965153129974826</v>
      </c>
      <c r="C300" s="4">
        <f>Acciones!C300/Acciones!C299</f>
        <v>0.99101826592007669</v>
      </c>
      <c r="D300" s="4">
        <f>Acciones!D300/Acciones!D299</f>
        <v>1.0021787659171857</v>
      </c>
      <c r="E300" s="4">
        <f>Acciones!E300/Acciones!E299</f>
        <v>1</v>
      </c>
      <c r="F300" s="15">
        <f t="shared" si="12"/>
        <v>28435.241544961704</v>
      </c>
      <c r="G300" s="15">
        <f t="shared" si="14"/>
        <v>-64.758455038296233</v>
      </c>
      <c r="H300" s="4">
        <f t="shared" si="13"/>
        <v>-2.2722264925717495E-3</v>
      </c>
      <c r="I300" s="4"/>
    </row>
    <row r="301" spans="1:9" x14ac:dyDescent="0.2">
      <c r="A301" s="1">
        <f>Acciones!A301</f>
        <v>45435</v>
      </c>
      <c r="B301" s="4">
        <f>Acciones!B301/Acciones!B300</f>
        <v>1.003834081475157</v>
      </c>
      <c r="C301" s="4">
        <f>Acciones!C301/Acciones!C300</f>
        <v>0.95205054571305769</v>
      </c>
      <c r="D301" s="4">
        <f>Acciones!D301/Acciones!D300</f>
        <v>0.99154344798858518</v>
      </c>
      <c r="E301" s="4">
        <f>Acciones!E301/Acciones!E300</f>
        <v>1.0079365004277367</v>
      </c>
      <c r="F301" s="15">
        <f t="shared" si="12"/>
        <v>28016.984701675501</v>
      </c>
      <c r="G301" s="15">
        <f t="shared" si="14"/>
        <v>-483.01529832449887</v>
      </c>
      <c r="H301" s="4">
        <f t="shared" si="13"/>
        <v>-1.6947905204368396E-2</v>
      </c>
      <c r="I301" s="4"/>
    </row>
    <row r="302" spans="1:9" x14ac:dyDescent="0.2">
      <c r="A302" s="1">
        <f>Acciones!A302</f>
        <v>45436</v>
      </c>
      <c r="B302" s="4">
        <f>Acciones!B302/Acciones!B301</f>
        <v>0.99131941699779758</v>
      </c>
      <c r="C302" s="4">
        <f>Acciones!C302/Acciones!C301</f>
        <v>1.0489365238902748</v>
      </c>
      <c r="D302" s="4">
        <f>Acciones!D302/Acciones!D301</f>
        <v>1.003141945395462</v>
      </c>
      <c r="E302" s="4">
        <f>Acciones!E302/Acciones!E301</f>
        <v>1</v>
      </c>
      <c r="F302" s="15">
        <f t="shared" si="12"/>
        <v>28965.934390404524</v>
      </c>
      <c r="G302" s="15">
        <f t="shared" si="14"/>
        <v>465.93439040452358</v>
      </c>
      <c r="H302" s="4">
        <f t="shared" si="13"/>
        <v>1.634857510191301E-2</v>
      </c>
      <c r="I302" s="4"/>
    </row>
    <row r="303" spans="1:9" x14ac:dyDescent="0.2">
      <c r="A303" s="1">
        <f>Acciones!A303</f>
        <v>45439</v>
      </c>
      <c r="B303" s="4">
        <f>Acciones!B303/Acciones!B302</f>
        <v>1.0136603080010238</v>
      </c>
      <c r="C303" s="4">
        <f>Acciones!C303/Acciones!C302</f>
        <v>0.99971637520764633</v>
      </c>
      <c r="D303" s="4">
        <f>Acciones!D303/Acciones!D302</f>
        <v>1</v>
      </c>
      <c r="E303" s="4">
        <f>Acciones!E303/Acciones!E302</f>
        <v>1.0236220250711217</v>
      </c>
      <c r="F303" s="15">
        <f t="shared" si="12"/>
        <v>28675.037780367391</v>
      </c>
      <c r="G303" s="15">
        <f t="shared" si="14"/>
        <v>175.03778036739095</v>
      </c>
      <c r="H303" s="4">
        <f t="shared" si="13"/>
        <v>6.1416765041188981E-3</v>
      </c>
      <c r="I303" s="4"/>
    </row>
    <row r="304" spans="1:9" x14ac:dyDescent="0.2">
      <c r="A304" s="1">
        <f>Acciones!A304</f>
        <v>45440</v>
      </c>
      <c r="B304" s="4">
        <f>Acciones!B304/Acciones!B303</f>
        <v>0.98514166935604963</v>
      </c>
      <c r="C304" s="4">
        <f>Acciones!C304/Acciones!C303</f>
        <v>0.9906666424257532</v>
      </c>
      <c r="D304" s="4">
        <f>Acciones!D304/Acciones!D303</f>
        <v>1.009845844002131</v>
      </c>
      <c r="E304" s="4">
        <f>Acciones!E304/Acciones!E303</f>
        <v>1.0153846929764612</v>
      </c>
      <c r="F304" s="15">
        <f t="shared" si="12"/>
        <v>28542.403197182673</v>
      </c>
      <c r="G304" s="15">
        <f t="shared" si="14"/>
        <v>42.403197182673466</v>
      </c>
      <c r="H304" s="4">
        <f t="shared" si="13"/>
        <v>1.4878314800939041E-3</v>
      </c>
      <c r="I304" s="4"/>
    </row>
    <row r="305" spans="1:9" x14ac:dyDescent="0.2">
      <c r="A305" s="1">
        <f>Acciones!A305</f>
        <v>45441</v>
      </c>
      <c r="B305" s="4">
        <f>Acciones!B305/Acciones!B304</f>
        <v>1.0038582881398479</v>
      </c>
      <c r="C305" s="4">
        <f>Acciones!C305/Acciones!C304</f>
        <v>0.98593968161778212</v>
      </c>
      <c r="D305" s="4">
        <f>Acciones!D305/Acciones!D304</f>
        <v>1.0066486768299889</v>
      </c>
      <c r="E305" s="4">
        <f>Acciones!E305/Acciones!E304</f>
        <v>0.99242415964002151</v>
      </c>
      <c r="F305" s="15">
        <f t="shared" si="12"/>
        <v>28404.750630178409</v>
      </c>
      <c r="G305" s="15">
        <f t="shared" si="14"/>
        <v>-95.249369821591245</v>
      </c>
      <c r="H305" s="4">
        <f t="shared" si="13"/>
        <v>-3.342083151634756E-3</v>
      </c>
      <c r="I305" s="4"/>
    </row>
    <row r="306" spans="1:9" x14ac:dyDescent="0.2">
      <c r="A306" s="1">
        <f>Acciones!A306</f>
        <v>45442</v>
      </c>
      <c r="B306" s="4">
        <f>Acciones!B306/Acciones!B305</f>
        <v>1.0104821171842862</v>
      </c>
      <c r="C306" s="4">
        <f>Acciones!C306/Acciones!C305</f>
        <v>0.98460648277410057</v>
      </c>
      <c r="D306" s="4">
        <f>Acciones!D306/Acciones!D305</f>
        <v>1.0171501304516275</v>
      </c>
      <c r="E306" s="4">
        <f>Acciones!E306/Acciones!E305</f>
        <v>1.0305344143583994</v>
      </c>
      <c r="F306" s="15">
        <f t="shared" si="12"/>
        <v>28729.889579986429</v>
      </c>
      <c r="G306" s="15">
        <f t="shared" si="14"/>
        <v>229.88957998642945</v>
      </c>
      <c r="H306" s="4">
        <f t="shared" si="13"/>
        <v>8.0663010521553336E-3</v>
      </c>
      <c r="I306" s="4"/>
    </row>
    <row r="307" spans="1:9" x14ac:dyDescent="0.2">
      <c r="A307" s="1">
        <f>Acciones!A307</f>
        <v>45443</v>
      </c>
      <c r="B307" s="4">
        <f>Acciones!B307/Acciones!B306</f>
        <v>1.0027663393001163</v>
      </c>
      <c r="C307" s="4">
        <f>Acciones!C307/Acciones!C306</f>
        <v>0.96640113673027139</v>
      </c>
      <c r="D307" s="4">
        <f>Acciones!D307/Acciones!D306</f>
        <v>1.0139645494141316</v>
      </c>
      <c r="E307" s="4">
        <f>Acciones!E307/Acciones!E306</f>
        <v>0.97777779936299891</v>
      </c>
      <c r="F307" s="15">
        <f t="shared" si="12"/>
        <v>28207.916377125792</v>
      </c>
      <c r="G307" s="15">
        <f t="shared" si="14"/>
        <v>-292.08362287420823</v>
      </c>
      <c r="H307" s="4">
        <f t="shared" si="13"/>
        <v>-1.0248548171024829E-2</v>
      </c>
      <c r="I307" s="4"/>
    </row>
    <row r="308" spans="1:9" x14ac:dyDescent="0.2">
      <c r="A308" s="1">
        <f>Acciones!A308</f>
        <v>45446</v>
      </c>
      <c r="B308" s="4">
        <f>Acciones!B308/Acciones!B307</f>
        <v>0.89827578902832284</v>
      </c>
      <c r="C308" s="4">
        <f>Acciones!C308/Acciones!C307</f>
        <v>1.0520742005402084</v>
      </c>
      <c r="D308" s="4">
        <f>Acciones!D308/Acciones!D307</f>
        <v>1.0413638122551148</v>
      </c>
      <c r="E308" s="4">
        <f>Acciones!E308/Acciones!E307</f>
        <v>0.98484840959010023</v>
      </c>
      <c r="F308" s="15">
        <f t="shared" si="12"/>
        <v>28968.974542027809</v>
      </c>
      <c r="G308" s="15">
        <f t="shared" si="14"/>
        <v>468.97454202780864</v>
      </c>
      <c r="H308" s="4">
        <f t="shared" si="13"/>
        <v>1.6455247088694946E-2</v>
      </c>
      <c r="I308" s="4"/>
    </row>
    <row r="309" spans="1:9" x14ac:dyDescent="0.2">
      <c r="A309" s="1">
        <f>Acciones!A309</f>
        <v>45447</v>
      </c>
      <c r="B309" s="4">
        <f>Acciones!B309/Acciones!B308</f>
        <v>1.0176583997071504</v>
      </c>
      <c r="C309" s="4">
        <f>Acciones!C309/Acciones!C308</f>
        <v>1.0657150115010889</v>
      </c>
      <c r="D309" s="4">
        <f>Acciones!D309/Acciones!D308</f>
        <v>1.0087152016552976</v>
      </c>
      <c r="E309" s="4">
        <f>Acciones!E309/Acciones!E308</f>
        <v>1</v>
      </c>
      <c r="F309" s="15">
        <f t="shared" si="12"/>
        <v>29273.249024788347</v>
      </c>
      <c r="G309" s="15">
        <f t="shared" si="14"/>
        <v>773.24902478834701</v>
      </c>
      <c r="H309" s="4">
        <f t="shared" si="13"/>
        <v>2.7131544729415591E-2</v>
      </c>
      <c r="I309" s="4"/>
    </row>
    <row r="310" spans="1:9" x14ac:dyDescent="0.2">
      <c r="A310" s="1">
        <f>Acciones!A310</f>
        <v>45448</v>
      </c>
      <c r="B310" s="4">
        <f>Acciones!B310/Acciones!B309</f>
        <v>1.0132025473651867</v>
      </c>
      <c r="C310" s="4">
        <f>Acciones!C310/Acciones!C309</f>
        <v>1.0050909154957559</v>
      </c>
      <c r="D310" s="4">
        <f>Acciones!D310/Acciones!D309</f>
        <v>0.97757649672629343</v>
      </c>
      <c r="E310" s="4">
        <f>Acciones!E310/Acciones!E309</f>
        <v>1</v>
      </c>
      <c r="F310" s="15">
        <f t="shared" si="12"/>
        <v>28370.337580250769</v>
      </c>
      <c r="G310" s="15">
        <f t="shared" si="14"/>
        <v>-129.66241974923105</v>
      </c>
      <c r="H310" s="4">
        <f t="shared" si="13"/>
        <v>-4.5495585876923483E-3</v>
      </c>
      <c r="I310" s="4"/>
    </row>
    <row r="311" spans="1:9" x14ac:dyDescent="0.2">
      <c r="A311" s="1">
        <f>Acciones!A311</f>
        <v>45449</v>
      </c>
      <c r="B311" s="4">
        <f>Acciones!B311/Acciones!B310</f>
        <v>0.98324645400227395</v>
      </c>
      <c r="C311" s="4">
        <f>Acciones!C311/Acciones!C310</f>
        <v>1.0001083684407959</v>
      </c>
      <c r="D311" s="4">
        <f>Acciones!D311/Acciones!D310</f>
        <v>1.0340249029728994</v>
      </c>
      <c r="E311" s="4">
        <f>Acciones!E311/Acciones!E310</f>
        <v>0.95384619616898081</v>
      </c>
      <c r="F311" s="15">
        <f t="shared" si="12"/>
        <v>28528.795197853906</v>
      </c>
      <c r="G311" s="15">
        <f t="shared" si="14"/>
        <v>28.795197853905847</v>
      </c>
      <c r="H311" s="4">
        <f t="shared" si="13"/>
        <v>1.0103578194353702E-3</v>
      </c>
      <c r="I311" s="4"/>
    </row>
    <row r="312" spans="1:9" x14ac:dyDescent="0.2">
      <c r="A312" s="1">
        <f>Acciones!A312</f>
        <v>45450</v>
      </c>
      <c r="B312" s="4">
        <f>Acciones!B312/Acciones!B311</f>
        <v>0.95001894907677198</v>
      </c>
      <c r="C312" s="4">
        <f>Acciones!C312/Acciones!C311</f>
        <v>0.96216450232909079</v>
      </c>
      <c r="D312" s="4">
        <f>Acciones!D312/Acciones!D311</f>
        <v>1.0469808384295904</v>
      </c>
      <c r="E312" s="4">
        <f>Acciones!E312/Acciones!E311</f>
        <v>1.0080645083760893</v>
      </c>
      <c r="F312" s="15">
        <f t="shared" si="12"/>
        <v>28479.79227425946</v>
      </c>
      <c r="G312" s="15">
        <f t="shared" si="14"/>
        <v>-20.2077257405399</v>
      </c>
      <c r="H312" s="4">
        <f t="shared" si="13"/>
        <v>-7.0904300843999124E-4</v>
      </c>
      <c r="I312" s="4"/>
    </row>
    <row r="313" spans="1:9" x14ac:dyDescent="0.2">
      <c r="A313" s="1">
        <f>Acciones!A313</f>
        <v>45453</v>
      </c>
      <c r="B313" s="4">
        <f>Acciones!B313/Acciones!B312</f>
        <v>1.0338780051091458</v>
      </c>
      <c r="C313" s="4">
        <f>Acciones!C313/Acciones!C312</f>
        <v>1.000140707627073</v>
      </c>
      <c r="D313" s="4">
        <f>Acciones!D313/Acciones!D312</f>
        <v>0.98547546995427671</v>
      </c>
      <c r="E313" s="4">
        <f>Acciones!E313/Acciones!E312</f>
        <v>0.976000022888176</v>
      </c>
      <c r="F313" s="15">
        <f t="shared" si="12"/>
        <v>28342.664565766936</v>
      </c>
      <c r="G313" s="15">
        <f t="shared" si="14"/>
        <v>-157.33543423306401</v>
      </c>
      <c r="H313" s="4">
        <f t="shared" si="13"/>
        <v>-5.5205415520372947E-3</v>
      </c>
      <c r="I313" s="4"/>
    </row>
    <row r="314" spans="1:9" x14ac:dyDescent="0.2">
      <c r="A314" s="1">
        <f>Acciones!A314</f>
        <v>45454</v>
      </c>
      <c r="B314" s="4">
        <f>Acciones!B314/Acciones!B313</f>
        <v>0.99614499812485446</v>
      </c>
      <c r="C314" s="4">
        <f>Acciones!C314/Acciones!C313</f>
        <v>1.030564903728469</v>
      </c>
      <c r="D314" s="4">
        <f>Acciones!D314/Acciones!D313</f>
        <v>1.0017727105164949</v>
      </c>
      <c r="E314" s="4">
        <f>Acciones!E314/Acciones!E313</f>
        <v>1</v>
      </c>
      <c r="F314" s="15">
        <f t="shared" si="12"/>
        <v>28794.601184022395</v>
      </c>
      <c r="G314" s="15">
        <f t="shared" si="14"/>
        <v>294.60118402239459</v>
      </c>
      <c r="H314" s="4">
        <f t="shared" si="13"/>
        <v>1.0336883649908479E-2</v>
      </c>
      <c r="I314" s="4"/>
    </row>
    <row r="315" spans="1:9" x14ac:dyDescent="0.2">
      <c r="A315" s="1">
        <f>Acciones!A315</f>
        <v>45455</v>
      </c>
      <c r="B315" s="4">
        <f>Acciones!B315/Acciones!B314</f>
        <v>0.9907120846494385</v>
      </c>
      <c r="C315" s="4">
        <f>Acciones!C315/Acciones!C314</f>
        <v>1.0448151747624459</v>
      </c>
      <c r="D315" s="4">
        <f>Acciones!D315/Acciones!D314</f>
        <v>0.99257009435921884</v>
      </c>
      <c r="E315" s="4">
        <f>Acciones!E315/Acciones!E314</f>
        <v>1</v>
      </c>
      <c r="F315" s="15">
        <f t="shared" si="12"/>
        <v>28818.937400108458</v>
      </c>
      <c r="G315" s="15">
        <f t="shared" si="14"/>
        <v>318.93740010845795</v>
      </c>
      <c r="H315" s="4">
        <f t="shared" si="13"/>
        <v>1.119078596871792E-2</v>
      </c>
      <c r="I315" s="4"/>
    </row>
    <row r="316" spans="1:9" x14ac:dyDescent="0.2">
      <c r="A316" s="1">
        <f>Acciones!A316</f>
        <v>45456</v>
      </c>
      <c r="B316" s="4">
        <f>Acciones!B316/Acciones!B315</f>
        <v>0.99218744489967725</v>
      </c>
      <c r="C316" s="4">
        <f>Acciones!C316/Acciones!C315</f>
        <v>0.9616551220005205</v>
      </c>
      <c r="D316" s="4">
        <f>Acciones!D316/Acciones!D315</f>
        <v>0.99753707218022514</v>
      </c>
      <c r="E316" s="4">
        <f>Acciones!E316/Acciones!E315</f>
        <v>1</v>
      </c>
      <c r="F316" s="15">
        <f t="shared" si="12"/>
        <v>28083.750437956067</v>
      </c>
      <c r="G316" s="15">
        <f t="shared" si="14"/>
        <v>-416.24956204393311</v>
      </c>
      <c r="H316" s="4">
        <f t="shared" si="13"/>
        <v>-1.4605247791015241E-2</v>
      </c>
      <c r="I316" s="4"/>
    </row>
    <row r="317" spans="1:9" x14ac:dyDescent="0.2">
      <c r="A317" s="1">
        <f>Acciones!A317</f>
        <v>45457</v>
      </c>
      <c r="B317" s="4">
        <f>Acciones!B317/Acciones!B316</f>
        <v>0.99173234059196258</v>
      </c>
      <c r="C317" s="4">
        <f>Acciones!C317/Acciones!C316</f>
        <v>0.97137887343512463</v>
      </c>
      <c r="D317" s="4">
        <f>Acciones!D317/Acciones!D316</f>
        <v>0.99100082865530392</v>
      </c>
      <c r="E317" s="4">
        <f>Acciones!E317/Acciones!E316</f>
        <v>1</v>
      </c>
      <c r="F317" s="15">
        <f t="shared" si="12"/>
        <v>28109.170776258594</v>
      </c>
      <c r="G317" s="15">
        <f t="shared" si="14"/>
        <v>-390.82922374140617</v>
      </c>
      <c r="H317" s="4">
        <f t="shared" si="13"/>
        <v>-1.3713306096189704E-2</v>
      </c>
      <c r="I317" s="4"/>
    </row>
    <row r="318" spans="1:9" x14ac:dyDescent="0.2">
      <c r="A318" s="1">
        <f>Acciones!A318</f>
        <v>45460</v>
      </c>
      <c r="B318" s="4">
        <f>Acciones!B318/Acciones!B317</f>
        <v>1.0170702694734928</v>
      </c>
      <c r="C318" s="4">
        <f>Acciones!C318/Acciones!C317</f>
        <v>1.0351166478860065</v>
      </c>
      <c r="D318" s="4">
        <f>Acciones!D318/Acciones!D317</f>
        <v>1.0186184090882708</v>
      </c>
      <c r="E318" s="4">
        <f>Acciones!E318/Acciones!E317</f>
        <v>0.99180328669775397</v>
      </c>
      <c r="F318" s="15">
        <f t="shared" si="12"/>
        <v>29034.456265794644</v>
      </c>
      <c r="G318" s="15">
        <f t="shared" si="14"/>
        <v>534.45626579464442</v>
      </c>
      <c r="H318" s="4">
        <f t="shared" si="13"/>
        <v>1.8752851431391049E-2</v>
      </c>
      <c r="I318" s="4"/>
    </row>
    <row r="319" spans="1:9" x14ac:dyDescent="0.2">
      <c r="A319" s="1">
        <f>Acciones!A319</f>
        <v>45461</v>
      </c>
      <c r="B319" s="4">
        <f>Acciones!B319/Acciones!B318</f>
        <v>1.0421545574162161</v>
      </c>
      <c r="C319" s="4">
        <f>Acciones!C319/Acciones!C318</f>
        <v>1.004081879802994</v>
      </c>
      <c r="D319" s="4">
        <f>Acciones!D319/Acciones!D318</f>
        <v>0.98747608842358592</v>
      </c>
      <c r="E319" s="4">
        <f>Acciones!E319/Acciones!E318</f>
        <v>1</v>
      </c>
      <c r="F319" s="15">
        <f t="shared" si="12"/>
        <v>28561.079693321059</v>
      </c>
      <c r="G319" s="15">
        <f t="shared" si="14"/>
        <v>61.079693321058585</v>
      </c>
      <c r="H319" s="4">
        <f t="shared" si="13"/>
        <v>2.1431471340722652E-3</v>
      </c>
      <c r="I319" s="4"/>
    </row>
    <row r="320" spans="1:9" x14ac:dyDescent="0.2">
      <c r="A320" s="1">
        <f>Acciones!A320</f>
        <v>45462</v>
      </c>
      <c r="B320" s="4">
        <f>Acciones!B320/Acciones!B319</f>
        <v>1</v>
      </c>
      <c r="C320" s="4">
        <f>Acciones!C320/Acciones!C319</f>
        <v>1.0041998641727881</v>
      </c>
      <c r="D320" s="4">
        <f>Acciones!D320/Acciones!D319</f>
        <v>1</v>
      </c>
      <c r="E320" s="4">
        <f>Acciones!E320/Acciones!E319</f>
        <v>1</v>
      </c>
      <c r="F320" s="15">
        <f t="shared" si="12"/>
        <v>28539.898709641486</v>
      </c>
      <c r="G320" s="15">
        <f t="shared" si="14"/>
        <v>39.898709641485766</v>
      </c>
      <c r="H320" s="4">
        <f t="shared" si="13"/>
        <v>1.3999547242626864E-3</v>
      </c>
      <c r="I320" s="4"/>
    </row>
    <row r="321" spans="1:9" x14ac:dyDescent="0.2">
      <c r="A321" s="1">
        <f>Acciones!A321</f>
        <v>45463</v>
      </c>
      <c r="B321" s="4">
        <f>Acciones!B321/Acciones!B320</f>
        <v>1.0078651872867173</v>
      </c>
      <c r="C321" s="4">
        <f>Acciones!C321/Acciones!C320</f>
        <v>1.0186327405014237</v>
      </c>
      <c r="D321" s="4">
        <f>Acciones!D321/Acciones!D320</f>
        <v>1.0079647653766599</v>
      </c>
      <c r="E321" s="4">
        <f>Acciones!E321/Acciones!E320</f>
        <v>0.99173554533223462</v>
      </c>
      <c r="F321" s="15">
        <f t="shared" si="12"/>
        <v>28738.732343360924</v>
      </c>
      <c r="G321" s="15">
        <f t="shared" si="14"/>
        <v>238.73234336092355</v>
      </c>
      <c r="H321" s="4">
        <f t="shared" si="13"/>
        <v>8.3765734512604162E-3</v>
      </c>
      <c r="I321" s="4"/>
    </row>
    <row r="322" spans="1:9" x14ac:dyDescent="0.2">
      <c r="A322" s="1">
        <f>Acciones!A322</f>
        <v>45464</v>
      </c>
      <c r="B322" s="4">
        <f>Acciones!B322/Acciones!B321</f>
        <v>1.0029728205308459</v>
      </c>
      <c r="C322" s="4">
        <f>Acciones!C322/Acciones!C321</f>
        <v>0.91238318864224</v>
      </c>
      <c r="D322" s="4">
        <f>Acciones!D322/Acciones!D321</f>
        <v>1.0018529076297393</v>
      </c>
      <c r="E322" s="4">
        <f>Acciones!E322/Acciones!E321</f>
        <v>1</v>
      </c>
      <c r="F322" s="15">
        <f t="shared" si="12"/>
        <v>27696.574240256632</v>
      </c>
      <c r="G322" s="15">
        <f t="shared" si="14"/>
        <v>-803.42575974336796</v>
      </c>
      <c r="H322" s="4">
        <f t="shared" si="13"/>
        <v>-2.8190377534854982E-2</v>
      </c>
      <c r="I322" s="4"/>
    </row>
    <row r="323" spans="1:9" x14ac:dyDescent="0.2">
      <c r="A323" s="1">
        <f>Acciones!A323</f>
        <v>45467</v>
      </c>
      <c r="B323" s="4">
        <f>Acciones!B323/Acciones!B322</f>
        <v>1.0200074065687808</v>
      </c>
      <c r="C323" s="4">
        <f>Acciones!C323/Acciones!C322</f>
        <v>0.9681532094031744</v>
      </c>
      <c r="D323" s="4">
        <f>Acciones!D323/Acciones!D322</f>
        <v>0.99562393748311218</v>
      </c>
      <c r="E323" s="4">
        <f>Acciones!E323/Acciones!E322</f>
        <v>1</v>
      </c>
      <c r="F323" s="15">
        <f t="shared" ref="F323:F386" si="15">$J$2*B323+$J$3*C323+$J$4*D323+$J$5*E323</f>
        <v>28223.720787152015</v>
      </c>
      <c r="G323" s="15">
        <f t="shared" si="14"/>
        <v>-276.27921284798504</v>
      </c>
      <c r="H323" s="4">
        <f t="shared" ref="H323:H386" si="16">(F323/$J$6)-1</f>
        <v>-9.694007468350363E-3</v>
      </c>
      <c r="I323" s="4"/>
    </row>
    <row r="324" spans="1:9" x14ac:dyDescent="0.2">
      <c r="A324" s="1">
        <f>Acciones!A324</f>
        <v>45468</v>
      </c>
      <c r="B324" s="4">
        <f>Acciones!B324/Acciones!B323</f>
        <v>0.96403929565067126</v>
      </c>
      <c r="C324" s="4">
        <f>Acciones!C324/Acciones!C323</f>
        <v>1.0279482897898793</v>
      </c>
      <c r="D324" s="4">
        <f>Acciones!D324/Acciones!D323</f>
        <v>0.98459608122583497</v>
      </c>
      <c r="E324" s="4">
        <f>Acciones!E324/Acciones!E323</f>
        <v>1</v>
      </c>
      <c r="F324" s="15">
        <f t="shared" si="15"/>
        <v>28485.607100039553</v>
      </c>
      <c r="G324" s="15">
        <f t="shared" si="14"/>
        <v>-14.392899960446812</v>
      </c>
      <c r="H324" s="4">
        <f t="shared" si="16"/>
        <v>-5.0501403369984654E-4</v>
      </c>
      <c r="I324" s="4"/>
    </row>
    <row r="325" spans="1:9" x14ac:dyDescent="0.2">
      <c r="A325" s="1">
        <f>Acciones!A325</f>
        <v>45469</v>
      </c>
      <c r="B325" s="4">
        <f>Acciones!B325/Acciones!B324</f>
        <v>1.0109267946831562</v>
      </c>
      <c r="C325" s="4">
        <f>Acciones!C325/Acciones!C324</f>
        <v>1.0334493001302059</v>
      </c>
      <c r="D325" s="4">
        <f>Acciones!D325/Acciones!D324</f>
        <v>1.0036224469144959</v>
      </c>
      <c r="E325" s="4">
        <f>Acciones!E325/Acciones!E324</f>
        <v>1</v>
      </c>
      <c r="F325" s="15">
        <f t="shared" si="15"/>
        <v>28892.236601772962</v>
      </c>
      <c r="G325" s="15">
        <f t="shared" ref="G325:G388" si="17">F325-$J$6</f>
        <v>392.23660177296188</v>
      </c>
      <c r="H325" s="4">
        <f t="shared" si="16"/>
        <v>1.3762687781507355E-2</v>
      </c>
      <c r="I325" s="4"/>
    </row>
    <row r="326" spans="1:9" x14ac:dyDescent="0.2">
      <c r="A326" s="1">
        <f>Acciones!A326</f>
        <v>45470</v>
      </c>
      <c r="B326" s="4">
        <f>Acciones!B326/Acciones!B325</f>
        <v>0.98583679519079892</v>
      </c>
      <c r="C326" s="4">
        <f>Acciones!C326/Acciones!C325</f>
        <v>1.0140797354949285</v>
      </c>
      <c r="D326" s="4">
        <f>Acciones!D326/Acciones!D325</f>
        <v>1.0048412694875</v>
      </c>
      <c r="E326" s="4">
        <f>Acciones!E326/Acciones!E325</f>
        <v>1</v>
      </c>
      <c r="F326" s="15">
        <f t="shared" si="15"/>
        <v>28632.598965244615</v>
      </c>
      <c r="G326" s="15">
        <f t="shared" si="17"/>
        <v>132.5989652446151</v>
      </c>
      <c r="H326" s="4">
        <f t="shared" si="16"/>
        <v>4.6525952717408892E-3</v>
      </c>
      <c r="I326" s="4"/>
    </row>
    <row r="327" spans="1:9" x14ac:dyDescent="0.2">
      <c r="A327" s="1">
        <f>Acciones!A327</f>
        <v>45471</v>
      </c>
      <c r="B327" s="4">
        <f>Acciones!B327/Acciones!B326</f>
        <v>1.03402648354272</v>
      </c>
      <c r="C327" s="4">
        <f>Acciones!C327/Acciones!C326</f>
        <v>1.0177840267706606</v>
      </c>
      <c r="D327" s="4">
        <f>Acciones!D327/Acciones!D326</f>
        <v>0.79624926427134102</v>
      </c>
      <c r="E327" s="4">
        <f>Acciones!E327/Acciones!E326</f>
        <v>1</v>
      </c>
      <c r="F327" s="15">
        <f t="shared" si="15"/>
        <v>26750.533589434206</v>
      </c>
      <c r="G327" s="15">
        <f t="shared" si="17"/>
        <v>-1749.4664105657939</v>
      </c>
      <c r="H327" s="4">
        <f t="shared" si="16"/>
        <v>-6.1384786335641928E-2</v>
      </c>
      <c r="I327" s="4"/>
    </row>
    <row r="328" spans="1:9" x14ac:dyDescent="0.2">
      <c r="A328" s="1">
        <f>Acciones!A328</f>
        <v>45474</v>
      </c>
      <c r="B328" s="4">
        <f>Acciones!B328/Acciones!B327</f>
        <v>0.98135288123056652</v>
      </c>
      <c r="C328" s="4">
        <f>Acciones!C328/Acciones!C327</f>
        <v>1.1269599784248119</v>
      </c>
      <c r="D328" s="4">
        <f>Acciones!D328/Acciones!D327</f>
        <v>1.0190709302882921</v>
      </c>
      <c r="E328" s="4">
        <f>Acciones!E328/Acciones!E327</f>
        <v>1</v>
      </c>
      <c r="F328" s="15">
        <f t="shared" si="15"/>
        <v>29831.564182225615</v>
      </c>
      <c r="G328" s="15">
        <f t="shared" si="17"/>
        <v>1331.5641822256148</v>
      </c>
      <c r="H328" s="4">
        <f t="shared" si="16"/>
        <v>4.6721550253530308E-2</v>
      </c>
      <c r="I328" s="4"/>
    </row>
    <row r="329" spans="1:9" x14ac:dyDescent="0.2">
      <c r="A329" s="1">
        <f>Acciones!A329</f>
        <v>45475</v>
      </c>
      <c r="B329" s="4">
        <f>Acciones!B329/Acciones!B328</f>
        <v>1.0078240883120837</v>
      </c>
      <c r="C329" s="4">
        <f>Acciones!C329/Acciones!C328</f>
        <v>0.97205276801452112</v>
      </c>
      <c r="D329" s="4">
        <f>Acciones!D329/Acciones!D328</f>
        <v>0.98586878055438787</v>
      </c>
      <c r="E329" s="4">
        <f>Acciones!E329/Acciones!E328</f>
        <v>1</v>
      </c>
      <c r="F329" s="15">
        <f t="shared" si="15"/>
        <v>28120.573410774123</v>
      </c>
      <c r="G329" s="15">
        <f t="shared" si="17"/>
        <v>-379.42658922587725</v>
      </c>
      <c r="H329" s="4">
        <f t="shared" si="16"/>
        <v>-1.3313213657048295E-2</v>
      </c>
      <c r="I329" s="4"/>
    </row>
    <row r="330" spans="1:9" x14ac:dyDescent="0.2">
      <c r="A330" s="1">
        <f>Acciones!A330</f>
        <v>45476</v>
      </c>
      <c r="B330" s="4">
        <f>Acciones!B330/Acciones!B329</f>
        <v>0.99445471054317547</v>
      </c>
      <c r="C330" s="4">
        <f>Acciones!C330/Acciones!C329</f>
        <v>0.9398938758626787</v>
      </c>
      <c r="D330" s="4">
        <f>Acciones!D330/Acciones!D329</f>
        <v>0.9858098753022364</v>
      </c>
      <c r="E330" s="4">
        <f>Acciones!E330/Acciones!E329</f>
        <v>1</v>
      </c>
      <c r="F330" s="15">
        <f t="shared" si="15"/>
        <v>27767.682060618929</v>
      </c>
      <c r="G330" s="15">
        <f t="shared" si="17"/>
        <v>-732.31793938107148</v>
      </c>
      <c r="H330" s="4">
        <f t="shared" si="16"/>
        <v>-2.5695366294072652E-2</v>
      </c>
      <c r="I330" s="4"/>
    </row>
    <row r="331" spans="1:9" x14ac:dyDescent="0.2">
      <c r="A331" s="1">
        <f>Acciones!A331</f>
        <v>45477</v>
      </c>
      <c r="B331" s="4">
        <f>Acciones!B331/Acciones!B330</f>
        <v>0.99888478695024063</v>
      </c>
      <c r="C331" s="4">
        <f>Acciones!C331/Acciones!C330</f>
        <v>0.99765099471079277</v>
      </c>
      <c r="D331" s="4">
        <f>Acciones!D331/Acciones!D330</f>
        <v>1.0094892299944991</v>
      </c>
      <c r="E331" s="4">
        <f>Acciones!E331/Acciones!E330</f>
        <v>1</v>
      </c>
      <c r="F331" s="15">
        <f t="shared" si="15"/>
        <v>28568.673504023362</v>
      </c>
      <c r="G331" s="15">
        <f t="shared" si="17"/>
        <v>68.673504023361602</v>
      </c>
      <c r="H331" s="4">
        <f t="shared" si="16"/>
        <v>2.4095966323987028E-3</v>
      </c>
      <c r="I331" s="4"/>
    </row>
    <row r="332" spans="1:9" x14ac:dyDescent="0.2">
      <c r="A332" s="1">
        <f>Acciones!A332</f>
        <v>45478</v>
      </c>
      <c r="B332" s="4">
        <f>Acciones!B332/Acciones!B331</f>
        <v>0.97729805152272498</v>
      </c>
      <c r="C332" s="4">
        <f>Acciones!C332/Acciones!C331</f>
        <v>0.96576718930844707</v>
      </c>
      <c r="D332" s="4">
        <f>Acciones!D332/Acciones!D331</f>
        <v>0.98968904752845388</v>
      </c>
      <c r="E332" s="4">
        <f>Acciones!E332/Acciones!E331</f>
        <v>0.98333325054911025</v>
      </c>
      <c r="F332" s="15">
        <f t="shared" si="15"/>
        <v>27900.55483206443</v>
      </c>
      <c r="G332" s="15">
        <f t="shared" si="17"/>
        <v>-599.44516793556977</v>
      </c>
      <c r="H332" s="4">
        <f t="shared" si="16"/>
        <v>-2.1033163787212983E-2</v>
      </c>
      <c r="I332" s="4"/>
    </row>
    <row r="333" spans="1:9" x14ac:dyDescent="0.2">
      <c r="A333" s="1">
        <f>Acciones!A333</f>
        <v>45481</v>
      </c>
      <c r="B333" s="4">
        <f>Acciones!B333/Acciones!B332</f>
        <v>1.0365575372506994</v>
      </c>
      <c r="C333" s="4">
        <f>Acciones!C333/Acciones!C332</f>
        <v>0.95891086369277567</v>
      </c>
      <c r="D333" s="4">
        <f>Acciones!D333/Acciones!D332</f>
        <v>0.96167998086787354</v>
      </c>
      <c r="E333" s="4">
        <f>Acciones!E333/Acciones!E332</f>
        <v>1</v>
      </c>
      <c r="F333" s="15">
        <f t="shared" si="15"/>
        <v>27854.404394137553</v>
      </c>
      <c r="G333" s="15">
        <f t="shared" si="17"/>
        <v>-645.59560586244697</v>
      </c>
      <c r="H333" s="4">
        <f t="shared" si="16"/>
        <v>-2.2652477398682369E-2</v>
      </c>
      <c r="I333" s="4"/>
    </row>
    <row r="334" spans="1:9" x14ac:dyDescent="0.2">
      <c r="A334" s="1">
        <f>Acciones!A334</f>
        <v>45482</v>
      </c>
      <c r="B334" s="4">
        <f>Acciones!B334/Acciones!B333</f>
        <v>0.96656864351770566</v>
      </c>
      <c r="C334" s="4">
        <f>Acciones!C334/Acciones!C333</f>
        <v>0.97380453929580701</v>
      </c>
      <c r="D334" s="4">
        <f>Acciones!D334/Acciones!D333</f>
        <v>0.98716857861127438</v>
      </c>
      <c r="E334" s="4">
        <f>Acciones!E334/Acciones!E333</f>
        <v>0.99152543143409422</v>
      </c>
      <c r="F334" s="15">
        <f t="shared" si="15"/>
        <v>27959.209034622396</v>
      </c>
      <c r="G334" s="15">
        <f t="shared" si="17"/>
        <v>-540.79096537760415</v>
      </c>
      <c r="H334" s="4">
        <f t="shared" si="16"/>
        <v>-1.8975121592196609E-2</v>
      </c>
      <c r="I334" s="4"/>
    </row>
    <row r="335" spans="1:9" x14ac:dyDescent="0.2">
      <c r="A335" s="1">
        <f>Acciones!A335</f>
        <v>45483</v>
      </c>
      <c r="B335" s="4">
        <f>Acciones!B335/Acciones!B334</f>
        <v>1.0220448577203098</v>
      </c>
      <c r="C335" s="4">
        <f>Acciones!C335/Acciones!C334</f>
        <v>0.9871219030778462</v>
      </c>
      <c r="D335" s="4">
        <f>Acciones!D335/Acciones!D334</f>
        <v>0.99427424073888393</v>
      </c>
      <c r="E335" s="4">
        <f>Acciones!E335/Acciones!E334</f>
        <v>0.95726499645276275</v>
      </c>
      <c r="F335" s="15">
        <f t="shared" si="15"/>
        <v>28162.514969139658</v>
      </c>
      <c r="G335" s="15">
        <f t="shared" si="17"/>
        <v>-337.48503086034179</v>
      </c>
      <c r="H335" s="4">
        <f t="shared" si="16"/>
        <v>-1.1841580030187426E-2</v>
      </c>
      <c r="I335" s="4"/>
    </row>
    <row r="336" spans="1:9" x14ac:dyDescent="0.2">
      <c r="A336" s="1">
        <f>Acciones!A336</f>
        <v>45484</v>
      </c>
      <c r="B336" s="4">
        <f>Acciones!B336/Acciones!B335</f>
        <v>1.0018594770197164</v>
      </c>
      <c r="C336" s="4">
        <f>Acciones!C336/Acciones!C335</f>
        <v>1.0074294205052006</v>
      </c>
      <c r="D336" s="4">
        <f>Acciones!D336/Acciones!D335</f>
        <v>1.0055884027387945</v>
      </c>
      <c r="E336" s="4">
        <f>Acciones!E336/Acciones!E335</f>
        <v>0.98214287424877611</v>
      </c>
      <c r="F336" s="15">
        <f t="shared" si="15"/>
        <v>28534.757500124626</v>
      </c>
      <c r="G336" s="15">
        <f t="shared" si="17"/>
        <v>34.757500124625949</v>
      </c>
      <c r="H336" s="4">
        <f t="shared" si="16"/>
        <v>1.2195614078815975E-3</v>
      </c>
      <c r="I336" s="4"/>
    </row>
    <row r="337" spans="1:9" x14ac:dyDescent="0.2">
      <c r="A337" s="1">
        <f>Acciones!A337</f>
        <v>45485</v>
      </c>
      <c r="B337" s="4">
        <f>Acciones!B337/Acciones!B336</f>
        <v>0.99517439124423468</v>
      </c>
      <c r="C337" s="4">
        <f>Acciones!C337/Acciones!C336</f>
        <v>1.0750147276571711</v>
      </c>
      <c r="D337" s="4">
        <f>Acciones!D337/Acciones!D336</f>
        <v>0.99869154177844122</v>
      </c>
      <c r="E337" s="4">
        <f>Acciones!E337/Acciones!E336</f>
        <v>1.0545454013446154</v>
      </c>
      <c r="F337" s="15">
        <f t="shared" si="15"/>
        <v>29482.665407277746</v>
      </c>
      <c r="G337" s="15">
        <f t="shared" si="17"/>
        <v>982.66540727774554</v>
      </c>
      <c r="H337" s="4">
        <f t="shared" si="16"/>
        <v>3.4479487974657719E-2</v>
      </c>
      <c r="I337" s="4"/>
    </row>
    <row r="338" spans="1:9" x14ac:dyDescent="0.2">
      <c r="A338" s="1">
        <f>Acciones!A338</f>
        <v>45488</v>
      </c>
      <c r="B338" s="4">
        <f>Acciones!B338/Acciones!B337</f>
        <v>1.0029839825054447</v>
      </c>
      <c r="C338" s="4">
        <f>Acciones!C338/Acciones!C337</f>
        <v>1.1953461676375823</v>
      </c>
      <c r="D338" s="4">
        <f>Acciones!D338/Acciones!D337</f>
        <v>0.97899000659940971</v>
      </c>
      <c r="E338" s="4">
        <f>Acciones!E338/Acciones!E337</f>
        <v>1.0344828294942319</v>
      </c>
      <c r="F338" s="15">
        <f t="shared" si="15"/>
        <v>30345.788159538461</v>
      </c>
      <c r="G338" s="15">
        <f t="shared" si="17"/>
        <v>1845.7881595384606</v>
      </c>
      <c r="H338" s="4">
        <f t="shared" si="16"/>
        <v>6.47644968259109E-2</v>
      </c>
      <c r="I338" s="4"/>
    </row>
    <row r="339" spans="1:9" x14ac:dyDescent="0.2">
      <c r="A339" s="1">
        <f>Acciones!A339</f>
        <v>45489</v>
      </c>
      <c r="B339" s="4">
        <f>Acciones!B339/Acciones!B338</f>
        <v>0.99665304354159978</v>
      </c>
      <c r="C339" s="4">
        <f>Acciones!C339/Acciones!C338</f>
        <v>1.0743308508465099</v>
      </c>
      <c r="D339" s="4">
        <f>Acciones!D339/Acciones!D338</f>
        <v>1.0125962199880321</v>
      </c>
      <c r="E339" s="4">
        <f>Acciones!E339/Acciones!E338</f>
        <v>1</v>
      </c>
      <c r="F339" s="15">
        <f t="shared" si="15"/>
        <v>29320.390935317766</v>
      </c>
      <c r="G339" s="15">
        <f t="shared" si="17"/>
        <v>820.39093531776598</v>
      </c>
      <c r="H339" s="4">
        <f t="shared" si="16"/>
        <v>2.878564685325502E-2</v>
      </c>
      <c r="I339" s="4"/>
    </row>
    <row r="340" spans="1:9" x14ac:dyDescent="0.2">
      <c r="A340" s="1">
        <f>Acciones!A340</f>
        <v>45490</v>
      </c>
      <c r="B340" s="4">
        <f>Acciones!B340/Acciones!B339</f>
        <v>0.94888056343354332</v>
      </c>
      <c r="C340" s="4">
        <f>Acciones!C340/Acciones!C339</f>
        <v>0.96591877733540177</v>
      </c>
      <c r="D340" s="4">
        <f>Acciones!D340/Acciones!D339</f>
        <v>1.0071216709773554</v>
      </c>
      <c r="E340" s="4">
        <f>Acciones!E340/Acciones!E339</f>
        <v>1</v>
      </c>
      <c r="F340" s="15">
        <f t="shared" si="15"/>
        <v>28068.527066477276</v>
      </c>
      <c r="G340" s="15">
        <f t="shared" si="17"/>
        <v>-431.47293352272391</v>
      </c>
      <c r="H340" s="4">
        <f t="shared" si="16"/>
        <v>-1.5139401176235912E-2</v>
      </c>
      <c r="I340" s="4"/>
    </row>
    <row r="341" spans="1:9" x14ac:dyDescent="0.2">
      <c r="A341" s="1">
        <f>Acciones!A341</f>
        <v>45491</v>
      </c>
      <c r="B341" s="4">
        <f>Acciones!B341/Acciones!B340</f>
        <v>0.96342910705890261</v>
      </c>
      <c r="C341" s="4">
        <f>Acciones!C341/Acciones!C340</f>
        <v>0.93500724442295613</v>
      </c>
      <c r="D341" s="4">
        <f>Acciones!D341/Acciones!D340</f>
        <v>1.0089856005269962</v>
      </c>
      <c r="E341" s="4">
        <f>Acciones!E341/Acciones!E340</f>
        <v>1</v>
      </c>
      <c r="F341" s="15">
        <f t="shared" si="15"/>
        <v>27844.426701994205</v>
      </c>
      <c r="G341" s="15">
        <f t="shared" si="17"/>
        <v>-655.57329800579464</v>
      </c>
      <c r="H341" s="4">
        <f t="shared" si="16"/>
        <v>-2.3002571859852439E-2</v>
      </c>
      <c r="I341" s="4"/>
    </row>
    <row r="342" spans="1:9" x14ac:dyDescent="0.2">
      <c r="A342" s="1">
        <f>Acciones!A342</f>
        <v>45492</v>
      </c>
      <c r="B342" s="4">
        <f>Acciones!B342/Acciones!B341</f>
        <v>1.0065305781764924</v>
      </c>
      <c r="C342" s="4">
        <f>Acciones!C342/Acciones!C341</f>
        <v>1.0587218776306322</v>
      </c>
      <c r="D342" s="4">
        <f>Acciones!D342/Acciones!D341</f>
        <v>1.0061054818217838</v>
      </c>
      <c r="E342" s="4">
        <f>Acciones!E342/Acciones!E341</f>
        <v>1</v>
      </c>
      <c r="F342" s="15">
        <f t="shared" si="15"/>
        <v>29141.769679326571</v>
      </c>
      <c r="G342" s="15">
        <f t="shared" si="17"/>
        <v>641.76967932657135</v>
      </c>
      <c r="H342" s="4">
        <f t="shared" si="16"/>
        <v>2.2518234362335798E-2</v>
      </c>
      <c r="I342" s="4"/>
    </row>
    <row r="343" spans="1:9" x14ac:dyDescent="0.2">
      <c r="A343" s="1">
        <f>Acciones!A343</f>
        <v>45495</v>
      </c>
      <c r="B343" s="4">
        <f>Acciones!B343/Acciones!B342</f>
        <v>1.0401459912104767</v>
      </c>
      <c r="C343" s="4">
        <f>Acciones!C343/Acciones!C342</f>
        <v>0.97673690163067628</v>
      </c>
      <c r="D343" s="4">
        <f>Acciones!D343/Acciones!D342</f>
        <v>1.0226998039575916</v>
      </c>
      <c r="E343" s="4">
        <f>Acciones!E343/Acciones!E342</f>
        <v>1</v>
      </c>
      <c r="F343" s="15">
        <f t="shared" si="15"/>
        <v>28646.509574304007</v>
      </c>
      <c r="G343" s="15">
        <f t="shared" si="17"/>
        <v>146.5095743040074</v>
      </c>
      <c r="H343" s="4">
        <f t="shared" si="16"/>
        <v>5.1406868176844256E-3</v>
      </c>
      <c r="I343" s="4"/>
    </row>
    <row r="344" spans="1:9" x14ac:dyDescent="0.2">
      <c r="A344" s="1">
        <f>Acciones!A344</f>
        <v>45496</v>
      </c>
      <c r="B344" s="4">
        <f>Acciones!B344/Acciones!B343</f>
        <v>0.99610133693041047</v>
      </c>
      <c r="C344" s="4">
        <f>Acciones!C344/Acciones!C343</f>
        <v>0.89775333280687941</v>
      </c>
      <c r="D344" s="4">
        <f>Acciones!D344/Acciones!D343</f>
        <v>0.98944866922745911</v>
      </c>
      <c r="E344" s="4">
        <f>Acciones!E344/Acciones!E343</f>
        <v>1</v>
      </c>
      <c r="F344" s="15">
        <f t="shared" si="15"/>
        <v>27409.498033196382</v>
      </c>
      <c r="G344" s="15">
        <f t="shared" si="17"/>
        <v>-1090.5019668036184</v>
      </c>
      <c r="H344" s="4">
        <f t="shared" si="16"/>
        <v>-3.826322690539008E-2</v>
      </c>
      <c r="I344" s="4"/>
    </row>
    <row r="345" spans="1:9" x14ac:dyDescent="0.2">
      <c r="A345" s="1">
        <f>Acciones!A345</f>
        <v>45497</v>
      </c>
      <c r="B345" s="4">
        <f>Acciones!B345/Acciones!B344</f>
        <v>0.98630146456193657</v>
      </c>
      <c r="C345" s="4">
        <f>Acciones!C345/Acciones!C344</f>
        <v>0.96923976942931855</v>
      </c>
      <c r="D345" s="4">
        <f>Acciones!D345/Acciones!D344</f>
        <v>0.98445126600797417</v>
      </c>
      <c r="E345" s="4">
        <f>Acciones!E345/Acciones!E344</f>
        <v>0.98333325054911025</v>
      </c>
      <c r="F345" s="15">
        <f t="shared" si="15"/>
        <v>27912.678473645152</v>
      </c>
      <c r="G345" s="15">
        <f t="shared" si="17"/>
        <v>-587.32152635484817</v>
      </c>
      <c r="H345" s="4">
        <f t="shared" si="16"/>
        <v>-2.0607772854556061E-2</v>
      </c>
      <c r="I345" s="4"/>
    </row>
    <row r="346" spans="1:9" x14ac:dyDescent="0.2">
      <c r="A346" s="1">
        <f>Acciones!A346</f>
        <v>45498</v>
      </c>
      <c r="B346" s="4">
        <f>Acciones!B346/Acciones!B345</f>
        <v>0.99603164033995351</v>
      </c>
      <c r="C346" s="4">
        <f>Acciones!C346/Acciones!C345</f>
        <v>0.99011356307000797</v>
      </c>
      <c r="D346" s="4">
        <f>Acciones!D346/Acciones!D345</f>
        <v>1.0053665544070645</v>
      </c>
      <c r="E346" s="4">
        <f>Acciones!E346/Acciones!E345</f>
        <v>1</v>
      </c>
      <c r="F346" s="15">
        <f t="shared" si="15"/>
        <v>28445.855134425561</v>
      </c>
      <c r="G346" s="15">
        <f t="shared" si="17"/>
        <v>-54.144865574438882</v>
      </c>
      <c r="H346" s="4">
        <f t="shared" si="16"/>
        <v>-1.8998198447170989E-3</v>
      </c>
      <c r="I346" s="4"/>
    </row>
    <row r="347" spans="1:9" x14ac:dyDescent="0.2">
      <c r="A347" s="1">
        <f>Acciones!A347</f>
        <v>45499</v>
      </c>
      <c r="B347" s="4">
        <f>Acciones!B347/Acciones!B346</f>
        <v>1.0035857219772197</v>
      </c>
      <c r="C347" s="4">
        <f>Acciones!C347/Acciones!C346</f>
        <v>1.0527406415920499</v>
      </c>
      <c r="D347" s="4">
        <f>Acciones!D347/Acciones!D346</f>
        <v>1.0157630414940571</v>
      </c>
      <c r="E347" s="4">
        <f>Acciones!E347/Acciones!E346</f>
        <v>1</v>
      </c>
      <c r="F347" s="15">
        <f t="shared" si="15"/>
        <v>29171.216536985314</v>
      </c>
      <c r="G347" s="15">
        <f t="shared" si="17"/>
        <v>671.21653698531372</v>
      </c>
      <c r="H347" s="4">
        <f t="shared" si="16"/>
        <v>2.3551457438081291E-2</v>
      </c>
      <c r="I347" s="4"/>
    </row>
    <row r="348" spans="1:9" x14ac:dyDescent="0.2">
      <c r="A348" s="1">
        <f>Acciones!A348</f>
        <v>45502</v>
      </c>
      <c r="B348" s="4">
        <f>Acciones!B348/Acciones!B347</f>
        <v>0.99841205708492298</v>
      </c>
      <c r="C348" s="4">
        <f>Acciones!C348/Acciones!C347</f>
        <v>0.96284241338129817</v>
      </c>
      <c r="D348" s="4">
        <f>Acciones!D348/Acciones!D347</f>
        <v>1.022747017247438</v>
      </c>
      <c r="E348" s="4">
        <f>Acciones!E348/Acciones!E347</f>
        <v>1</v>
      </c>
      <c r="F348" s="15">
        <f t="shared" si="15"/>
        <v>28368.915299393942</v>
      </c>
      <c r="G348" s="15">
        <f t="shared" si="17"/>
        <v>-131.08470060605759</v>
      </c>
      <c r="H348" s="4">
        <f t="shared" si="16"/>
        <v>-4.599463179159935E-3</v>
      </c>
      <c r="I348" s="4"/>
    </row>
    <row r="349" spans="1:9" x14ac:dyDescent="0.2">
      <c r="A349" s="1">
        <f>Acciones!A349</f>
        <v>45503</v>
      </c>
      <c r="B349" s="4">
        <f>Acciones!B349/Acciones!B348</f>
        <v>1.0413518685624705</v>
      </c>
      <c r="C349" s="4">
        <f>Acciones!C349/Acciones!C348</f>
        <v>0.97707563744391435</v>
      </c>
      <c r="D349" s="4">
        <f>Acciones!D349/Acciones!D348</f>
        <v>1.0186378095994006</v>
      </c>
      <c r="E349" s="4">
        <f>Acciones!E349/Acciones!E348</f>
        <v>1</v>
      </c>
      <c r="F349" s="15">
        <f t="shared" si="15"/>
        <v>28613.328191679841</v>
      </c>
      <c r="G349" s="15">
        <f t="shared" si="17"/>
        <v>113.32819167984053</v>
      </c>
      <c r="H349" s="4">
        <f t="shared" si="16"/>
        <v>3.9764277782399216E-3</v>
      </c>
      <c r="I349" s="4"/>
    </row>
    <row r="350" spans="1:9" x14ac:dyDescent="0.2">
      <c r="A350" s="1">
        <f>Acciones!A350</f>
        <v>45504</v>
      </c>
      <c r="B350" s="4">
        <f>Acciones!B350/Acciones!B349</f>
        <v>0.98816337480198835</v>
      </c>
      <c r="C350" s="4">
        <f>Acciones!C350/Acciones!C349</f>
        <v>0.98412609698884446</v>
      </c>
      <c r="D350" s="4">
        <f>Acciones!D350/Acciones!D349</f>
        <v>0.99979189932807266</v>
      </c>
      <c r="E350" s="4">
        <f>Acciones!E350/Acciones!E349</f>
        <v>1</v>
      </c>
      <c r="F350" s="15">
        <f t="shared" si="15"/>
        <v>28305.688726481709</v>
      </c>
      <c r="G350" s="15">
        <f t="shared" si="17"/>
        <v>-194.31127351829127</v>
      </c>
      <c r="H350" s="4">
        <f t="shared" si="16"/>
        <v>-6.8179394216943967E-3</v>
      </c>
      <c r="I350" s="4"/>
    </row>
    <row r="351" spans="1:9" x14ac:dyDescent="0.2">
      <c r="A351" s="1">
        <f>Acciones!A351</f>
        <v>45505</v>
      </c>
      <c r="B351" s="4">
        <f>Acciones!B351/Acciones!B350</f>
        <v>0.96986090910331779</v>
      </c>
      <c r="C351" s="4">
        <f>Acciones!C351/Acciones!C350</f>
        <v>0.92790585731805353</v>
      </c>
      <c r="D351" s="4">
        <f>Acciones!D351/Acciones!D350</f>
        <v>0.98942152739060041</v>
      </c>
      <c r="E351" s="4">
        <f>Acciones!E351/Acciones!E350</f>
        <v>1</v>
      </c>
      <c r="F351" s="15">
        <f t="shared" si="15"/>
        <v>27603.834100289125</v>
      </c>
      <c r="G351" s="15">
        <f t="shared" si="17"/>
        <v>-896.16589971087524</v>
      </c>
      <c r="H351" s="4">
        <f t="shared" si="16"/>
        <v>-3.1444417533714963E-2</v>
      </c>
      <c r="I351" s="4"/>
    </row>
    <row r="352" spans="1:9" x14ac:dyDescent="0.2">
      <c r="A352" s="1">
        <f>Acciones!A352</f>
        <v>45506</v>
      </c>
      <c r="B352" s="4">
        <f>Acciones!B352/Acciones!B351</f>
        <v>0.99282871242243886</v>
      </c>
      <c r="C352" s="4">
        <f>Acciones!C352/Acciones!C351</f>
        <v>0.96358939985501191</v>
      </c>
      <c r="D352" s="4">
        <f>Acciones!D352/Acciones!D351</f>
        <v>1.0264314788532198</v>
      </c>
      <c r="E352" s="4">
        <f>Acciones!E352/Acciones!E351</f>
        <v>0.9745762943022912</v>
      </c>
      <c r="F352" s="15">
        <f t="shared" si="15"/>
        <v>28253.484199295948</v>
      </c>
      <c r="G352" s="15">
        <f t="shared" si="17"/>
        <v>-246.5158007040518</v>
      </c>
      <c r="H352" s="4">
        <f t="shared" si="16"/>
        <v>-8.6496772176860581E-3</v>
      </c>
      <c r="I352" s="4"/>
    </row>
    <row r="353" spans="1:9" x14ac:dyDescent="0.2">
      <c r="A353" s="1">
        <f>Acciones!A353</f>
        <v>45509</v>
      </c>
      <c r="B353" s="4">
        <f>Acciones!B353/Acciones!B352</f>
        <v>0.99959867367003219</v>
      </c>
      <c r="C353" s="4">
        <f>Acciones!C353/Acciones!C352</f>
        <v>0.99329591606996626</v>
      </c>
      <c r="D353" s="4">
        <f>Acciones!D353/Acciones!D352</f>
        <v>0.98251008423525599</v>
      </c>
      <c r="E353" s="4">
        <f>Acciones!E353/Acciones!E352</f>
        <v>1</v>
      </c>
      <c r="F353" s="15">
        <f t="shared" si="15"/>
        <v>28260.007402862353</v>
      </c>
      <c r="G353" s="15">
        <f t="shared" si="17"/>
        <v>-239.99259713764695</v>
      </c>
      <c r="H353" s="4">
        <f t="shared" si="16"/>
        <v>-8.4207928820226874E-3</v>
      </c>
      <c r="I353" s="4"/>
    </row>
    <row r="354" spans="1:9" x14ac:dyDescent="0.2">
      <c r="A354" s="1">
        <f>Acciones!A354</f>
        <v>45510</v>
      </c>
      <c r="B354" s="4">
        <f>Acciones!B354/Acciones!B353</f>
        <v>0.99879569519727607</v>
      </c>
      <c r="C354" s="4">
        <f>Acciones!C354/Acciones!C353</f>
        <v>1.0323352829219059</v>
      </c>
      <c r="D354" s="4">
        <f>Acciones!D354/Acciones!D353</f>
        <v>1.0217714439603902</v>
      </c>
      <c r="E354" s="4">
        <f>Acciones!E354/Acciones!E353</f>
        <v>0.95652177969313756</v>
      </c>
      <c r="F354" s="15">
        <f t="shared" si="15"/>
        <v>28781.554348864731</v>
      </c>
      <c r="G354" s="15">
        <f t="shared" si="17"/>
        <v>281.55434886473085</v>
      </c>
      <c r="H354" s="4">
        <f t="shared" si="16"/>
        <v>9.8790999601658935E-3</v>
      </c>
      <c r="I354" s="4"/>
    </row>
    <row r="355" spans="1:9" x14ac:dyDescent="0.2">
      <c r="A355" s="1">
        <f>Acciones!A355</f>
        <v>45511</v>
      </c>
      <c r="B355" s="4">
        <f>Acciones!B355/Acciones!B354</f>
        <v>0.96061088948511586</v>
      </c>
      <c r="C355" s="4">
        <f>Acciones!C355/Acciones!C354</f>
        <v>0.9162555938312571</v>
      </c>
      <c r="D355" s="4">
        <f>Acciones!D355/Acciones!D354</f>
        <v>0.98759703859535275</v>
      </c>
      <c r="E355" s="4">
        <f>Acciones!E355/Acciones!E354</f>
        <v>1</v>
      </c>
      <c r="F355" s="15">
        <f t="shared" si="15"/>
        <v>27442.536640548373</v>
      </c>
      <c r="G355" s="15">
        <f t="shared" si="17"/>
        <v>-1057.4633594516272</v>
      </c>
      <c r="H355" s="4">
        <f t="shared" si="16"/>
        <v>-3.710397752461847E-2</v>
      </c>
      <c r="I355" s="4"/>
    </row>
    <row r="356" spans="1:9" x14ac:dyDescent="0.2">
      <c r="A356" s="1">
        <f>Acciones!A356</f>
        <v>45512</v>
      </c>
      <c r="B356" s="4">
        <f>Acciones!B356/Acciones!B355</f>
        <v>1.0330545062726217</v>
      </c>
      <c r="C356" s="4">
        <f>Acciones!C356/Acciones!C355</f>
        <v>1.0726193033179177</v>
      </c>
      <c r="D356" s="4">
        <f>Acciones!D356/Acciones!D355</f>
        <v>1.0020098287355987</v>
      </c>
      <c r="E356" s="4">
        <f>Acciones!E356/Acciones!E355</f>
        <v>1</v>
      </c>
      <c r="F356" s="15">
        <f t="shared" si="15"/>
        <v>29325.672440830382</v>
      </c>
      <c r="G356" s="15">
        <f t="shared" si="17"/>
        <v>825.67244083038167</v>
      </c>
      <c r="H356" s="4">
        <f t="shared" si="16"/>
        <v>2.8970962836153635E-2</v>
      </c>
      <c r="I356" s="4"/>
    </row>
    <row r="357" spans="1:9" x14ac:dyDescent="0.2">
      <c r="A357" s="1">
        <f>Acciones!A357</f>
        <v>45513</v>
      </c>
      <c r="B357" s="4">
        <f>Acciones!B357/Acciones!B356</f>
        <v>0.97488860119956711</v>
      </c>
      <c r="C357" s="4">
        <f>Acciones!C357/Acciones!C356</f>
        <v>0.97336035261640785</v>
      </c>
      <c r="D357" s="4">
        <f>Acciones!D357/Acciones!D356</f>
        <v>0.99589582452700787</v>
      </c>
      <c r="E357" s="4">
        <f>Acciones!E357/Acciones!E356</f>
        <v>0.97272729932769253</v>
      </c>
      <c r="F357" s="15">
        <f t="shared" si="15"/>
        <v>27967.991845626748</v>
      </c>
      <c r="G357" s="15">
        <f t="shared" si="17"/>
        <v>-532.00815437325218</v>
      </c>
      <c r="H357" s="4">
        <f t="shared" si="16"/>
        <v>-1.8666952785026392E-2</v>
      </c>
      <c r="I357" s="4"/>
    </row>
    <row r="358" spans="1:9" x14ac:dyDescent="0.2">
      <c r="A358" s="1">
        <f>Acciones!A358</f>
        <v>45516</v>
      </c>
      <c r="B358" s="4">
        <f>Acciones!B358/Acciones!B357</f>
        <v>1.012463654062504</v>
      </c>
      <c r="C358" s="4">
        <f>Acciones!C358/Acciones!C357</f>
        <v>0.9013358811735166</v>
      </c>
      <c r="D358" s="4">
        <f>Acciones!D358/Acciones!D357</f>
        <v>1.0124495020670992</v>
      </c>
      <c r="E358" s="4">
        <f>Acciones!E358/Acciones!E357</f>
        <v>0.98130831854637146</v>
      </c>
      <c r="F358" s="15">
        <f t="shared" si="15"/>
        <v>27628.004433043207</v>
      </c>
      <c r="G358" s="15">
        <f t="shared" si="17"/>
        <v>-871.99556695679348</v>
      </c>
      <c r="H358" s="4">
        <f t="shared" si="16"/>
        <v>-3.0596335682694487E-2</v>
      </c>
      <c r="I358" s="4"/>
    </row>
    <row r="359" spans="1:9" x14ac:dyDescent="0.2">
      <c r="A359" s="1">
        <f>Acciones!A359</f>
        <v>45517</v>
      </c>
      <c r="B359" s="4">
        <f>Acciones!B359/Acciones!B358</f>
        <v>1.0082067889517874</v>
      </c>
      <c r="C359" s="4">
        <f>Acciones!C359/Acciones!C358</f>
        <v>1.0167849826680715</v>
      </c>
      <c r="D359" s="4">
        <f>Acciones!D359/Acciones!D358</f>
        <v>1.053877331299969</v>
      </c>
      <c r="E359" s="4">
        <f>Acciones!E359/Acciones!E358</f>
        <v>0.98095239825259961</v>
      </c>
      <c r="F359" s="15">
        <f t="shared" si="15"/>
        <v>29122.192600066919</v>
      </c>
      <c r="G359" s="15">
        <f t="shared" si="17"/>
        <v>622.19260006691911</v>
      </c>
      <c r="H359" s="4">
        <f t="shared" si="16"/>
        <v>2.1831319300593677E-2</v>
      </c>
      <c r="I359" s="4"/>
    </row>
    <row r="360" spans="1:9" x14ac:dyDescent="0.2">
      <c r="A360" s="1">
        <f>Acciones!A360</f>
        <v>45518</v>
      </c>
      <c r="B360" s="4">
        <f>Acciones!B360/Acciones!B359</f>
        <v>0.99186001419379477</v>
      </c>
      <c r="C360" s="4">
        <f>Acciones!C360/Acciones!C359</f>
        <v>0.96267919934522883</v>
      </c>
      <c r="D360" s="4">
        <f>Acciones!D360/Acciones!D359</f>
        <v>0.9909561967649082</v>
      </c>
      <c r="E360" s="4">
        <f>Acciones!E360/Acciones!E359</f>
        <v>0.97087381337565348</v>
      </c>
      <c r="F360" s="15">
        <f t="shared" si="15"/>
        <v>27866.330384673129</v>
      </c>
      <c r="G360" s="15">
        <f t="shared" si="17"/>
        <v>-633.66961532687128</v>
      </c>
      <c r="H360" s="4">
        <f t="shared" si="16"/>
        <v>-2.2234021590416542E-2</v>
      </c>
      <c r="I360" s="4"/>
    </row>
    <row r="361" spans="1:9" x14ac:dyDescent="0.2">
      <c r="A361" s="1">
        <f>Acciones!A361</f>
        <v>45519</v>
      </c>
      <c r="B361" s="4">
        <f>Acciones!B361/Acciones!B360</f>
        <v>1.0168239616429722</v>
      </c>
      <c r="C361" s="4">
        <f>Acciones!C361/Acciones!C360</f>
        <v>1.017605633802817</v>
      </c>
      <c r="D361" s="4">
        <f>Acciones!D361/Acciones!D360</f>
        <v>1.0389639010224334</v>
      </c>
      <c r="E361" s="4">
        <f>Acciones!E361/Acciones!E360</f>
        <v>1.03999996185302</v>
      </c>
      <c r="F361" s="15">
        <f t="shared" si="15"/>
        <v>29335.776187293111</v>
      </c>
      <c r="G361" s="15">
        <f t="shared" si="17"/>
        <v>835.77618729311143</v>
      </c>
      <c r="H361" s="4">
        <f t="shared" si="16"/>
        <v>2.932548025589865E-2</v>
      </c>
      <c r="I361" s="4"/>
    </row>
    <row r="362" spans="1:9" x14ac:dyDescent="0.2">
      <c r="A362" s="1">
        <f>Acciones!A362</f>
        <v>45520</v>
      </c>
      <c r="B362" s="4">
        <f>Acciones!B362/Acciones!B361</f>
        <v>1.0004035144964234</v>
      </c>
      <c r="C362" s="4">
        <f>Acciones!C362/Acciones!C361</f>
        <v>1.0494809266192664</v>
      </c>
      <c r="D362" s="4">
        <f>Acciones!D362/Acciones!D361</f>
        <v>1.0090832804506582</v>
      </c>
      <c r="E362" s="4">
        <f>Acciones!E362/Acciones!E361</f>
        <v>1.0384616178168409</v>
      </c>
      <c r="F362" s="15">
        <f t="shared" si="15"/>
        <v>29273.852806119718</v>
      </c>
      <c r="G362" s="15">
        <f t="shared" si="17"/>
        <v>773.85280611971757</v>
      </c>
      <c r="H362" s="4">
        <f t="shared" si="16"/>
        <v>2.715273003928842E-2</v>
      </c>
      <c r="I362" s="4"/>
    </row>
    <row r="363" spans="1:9" x14ac:dyDescent="0.2">
      <c r="A363" s="1">
        <f>Acciones!A363</f>
        <v>45523</v>
      </c>
      <c r="B363" s="4">
        <f>Acciones!B363/Acciones!B362</f>
        <v>1.0145220083987441</v>
      </c>
      <c r="C363" s="4">
        <f>Acciones!C363/Acciones!C362</f>
        <v>1.0204418478620714</v>
      </c>
      <c r="D363" s="4">
        <f>Acciones!D363/Acciones!D362</f>
        <v>1.0045167583976831</v>
      </c>
      <c r="E363" s="4">
        <f>Acciones!E363/Acciones!E362</f>
        <v>0.95370363931597602</v>
      </c>
      <c r="F363" s="15">
        <f t="shared" si="15"/>
        <v>28535.562184299983</v>
      </c>
      <c r="G363" s="15">
        <f t="shared" si="17"/>
        <v>35.562184299982619</v>
      </c>
      <c r="H363" s="4">
        <f t="shared" si="16"/>
        <v>1.2477959403502936E-3</v>
      </c>
      <c r="I363" s="4"/>
    </row>
    <row r="364" spans="1:9" x14ac:dyDescent="0.2">
      <c r="A364" s="1">
        <f>Acciones!A364</f>
        <v>45524</v>
      </c>
      <c r="B364" s="4">
        <f>Acciones!B364/Acciones!B363</f>
        <v>1.0019881246268074</v>
      </c>
      <c r="C364" s="4">
        <f>Acciones!C364/Acciones!C363</f>
        <v>1.0177705977382876</v>
      </c>
      <c r="D364" s="4">
        <f>Acciones!D364/Acciones!D363</f>
        <v>1.019454613617037</v>
      </c>
      <c r="E364" s="4">
        <f>Acciones!E364/Acciones!E363</f>
        <v>0.97087381337565348</v>
      </c>
      <c r="F364" s="15">
        <f t="shared" si="15"/>
        <v>28710.131224444023</v>
      </c>
      <c r="G364" s="15">
        <f t="shared" si="17"/>
        <v>210.13122444402325</v>
      </c>
      <c r="H364" s="4">
        <f t="shared" si="16"/>
        <v>7.3730254190884637E-3</v>
      </c>
      <c r="I364" s="4"/>
    </row>
    <row r="365" spans="1:9" x14ac:dyDescent="0.2">
      <c r="A365" s="1">
        <f>Acciones!A365</f>
        <v>45525</v>
      </c>
      <c r="B365" s="4">
        <f>Acciones!B365/Acciones!B364</f>
        <v>1.0146824478975591</v>
      </c>
      <c r="C365" s="4">
        <f>Acciones!C365/Acciones!C364</f>
        <v>1.080126953125</v>
      </c>
      <c r="D365" s="4">
        <f>Acciones!D365/Acciones!D364</f>
        <v>1.0205936414166099</v>
      </c>
      <c r="E365" s="4">
        <f>Acciones!E365/Acciones!E364</f>
        <v>1</v>
      </c>
      <c r="F365" s="15">
        <f t="shared" si="15"/>
        <v>29518.531036495056</v>
      </c>
      <c r="G365" s="15">
        <f t="shared" si="17"/>
        <v>1018.5310364950565</v>
      </c>
      <c r="H365" s="4">
        <f t="shared" si="16"/>
        <v>3.5737931105089604E-2</v>
      </c>
      <c r="I365" s="4"/>
    </row>
    <row r="366" spans="1:9" x14ac:dyDescent="0.2">
      <c r="A366" s="1">
        <f>Acciones!A366</f>
        <v>45526</v>
      </c>
      <c r="B366" s="4">
        <f>Acciones!B366/Acciones!B365</f>
        <v>1.0144700697308278</v>
      </c>
      <c r="C366" s="4">
        <f>Acciones!C366/Acciones!C365</f>
        <v>0.96987420557783566</v>
      </c>
      <c r="D366" s="4">
        <f>Acciones!D366/Acciones!D365</f>
        <v>0.99946366888340643</v>
      </c>
      <c r="E366" s="4">
        <f>Acciones!E366/Acciones!E365</f>
        <v>0.980000019073486</v>
      </c>
      <c r="F366" s="15">
        <f t="shared" si="15"/>
        <v>28149.086990785574</v>
      </c>
      <c r="G366" s="15">
        <f t="shared" si="17"/>
        <v>-350.91300921442598</v>
      </c>
      <c r="H366" s="4">
        <f t="shared" si="16"/>
        <v>-1.2312737165418475E-2</v>
      </c>
      <c r="I366" s="4"/>
    </row>
    <row r="367" spans="1:9" x14ac:dyDescent="0.2">
      <c r="A367" s="1">
        <f>Acciones!A367</f>
        <v>45527</v>
      </c>
      <c r="B367" s="4">
        <f>Acciones!B367/Acciones!B366</f>
        <v>0.98997687407420321</v>
      </c>
      <c r="C367" s="4">
        <f>Acciones!C367/Acciones!C366</f>
        <v>1.0766690477264984</v>
      </c>
      <c r="D367" s="4">
        <f>Acciones!D367/Acciones!D366</f>
        <v>0.98921163572719739</v>
      </c>
      <c r="E367" s="4">
        <f>Acciones!E367/Acciones!E366</f>
        <v>1</v>
      </c>
      <c r="F367" s="15">
        <f t="shared" si="15"/>
        <v>29085.391369933423</v>
      </c>
      <c r="G367" s="15">
        <f t="shared" si="17"/>
        <v>585.39136993342254</v>
      </c>
      <c r="H367" s="4">
        <f t="shared" si="16"/>
        <v>2.0540048067839489E-2</v>
      </c>
      <c r="I367" s="4"/>
    </row>
    <row r="368" spans="1:9" x14ac:dyDescent="0.2">
      <c r="A368" s="1">
        <f>Acciones!A368</f>
        <v>45530</v>
      </c>
      <c r="B368" s="4">
        <f>Acciones!B368/Acciones!B367</f>
        <v>0.96612152202140977</v>
      </c>
      <c r="C368" s="4">
        <f>Acciones!C368/Acciones!C367</f>
        <v>1.0120183199948674</v>
      </c>
      <c r="D368" s="4">
        <f>Acciones!D368/Acciones!D367</f>
        <v>1.0165680284715102</v>
      </c>
      <c r="E368" s="4">
        <f>Acciones!E368/Acciones!E367</f>
        <v>0.95918365236820202</v>
      </c>
      <c r="F368" s="15">
        <f t="shared" si="15"/>
        <v>28436.789739766387</v>
      </c>
      <c r="G368" s="15">
        <f t="shared" si="17"/>
        <v>-63.210260233612644</v>
      </c>
      <c r="H368" s="4">
        <f t="shared" si="16"/>
        <v>-2.2179038678460383E-3</v>
      </c>
      <c r="I368" s="4"/>
    </row>
    <row r="369" spans="1:9" x14ac:dyDescent="0.2">
      <c r="A369" s="1">
        <f>Acciones!A369</f>
        <v>45531</v>
      </c>
      <c r="B369" s="4">
        <f>Acciones!B369/Acciones!B368</f>
        <v>1.0028214233902251</v>
      </c>
      <c r="C369" s="4">
        <f>Acciones!C369/Acciones!C368</f>
        <v>0.97332852263042069</v>
      </c>
      <c r="D369" s="4">
        <f>Acciones!D369/Acciones!D368</f>
        <v>1.0290258159318297</v>
      </c>
      <c r="E369" s="4">
        <f>Acciones!E369/Acciones!E368</f>
        <v>0.9468084978215453</v>
      </c>
      <c r="F369" s="15">
        <f t="shared" si="15"/>
        <v>28254.200844191579</v>
      </c>
      <c r="G369" s="15">
        <f t="shared" si="17"/>
        <v>-245.79915580842135</v>
      </c>
      <c r="H369" s="4">
        <f t="shared" si="16"/>
        <v>-8.6245317827515766E-3</v>
      </c>
      <c r="I369" s="4"/>
    </row>
    <row r="370" spans="1:9" x14ac:dyDescent="0.2">
      <c r="A370" s="1">
        <f>Acciones!A370</f>
        <v>45532</v>
      </c>
      <c r="B370" s="4">
        <f>Acciones!B370/Acciones!B369</f>
        <v>1.0136656129900532</v>
      </c>
      <c r="C370" s="4">
        <f>Acciones!C370/Acciones!C369</f>
        <v>0.96182525410023434</v>
      </c>
      <c r="D370" s="4">
        <f>Acciones!D370/Acciones!D369</f>
        <v>0.96991511421401888</v>
      </c>
      <c r="E370" s="4">
        <f>Acciones!E370/Acciones!E369</f>
        <v>0.97752811095732928</v>
      </c>
      <c r="F370" s="15">
        <f t="shared" si="15"/>
        <v>27760.725311822913</v>
      </c>
      <c r="G370" s="15">
        <f t="shared" si="17"/>
        <v>-739.27468817708723</v>
      </c>
      <c r="H370" s="4">
        <f t="shared" si="16"/>
        <v>-2.5939462743055697E-2</v>
      </c>
      <c r="I370" s="4"/>
    </row>
    <row r="371" spans="1:9" x14ac:dyDescent="0.2">
      <c r="A371" s="1">
        <f>Acciones!A371</f>
        <v>45533</v>
      </c>
      <c r="B371" s="4">
        <f>Acciones!B371/Acciones!B370</f>
        <v>0.98057095455833199</v>
      </c>
      <c r="C371" s="4">
        <f>Acciones!C371/Acciones!C370</f>
        <v>1.0088827452603053</v>
      </c>
      <c r="D371" s="4">
        <f>Acciones!D371/Acciones!D370</f>
        <v>1.0157332475506615</v>
      </c>
      <c r="E371" s="4">
        <f>Acciones!E371/Acciones!E370</f>
        <v>0.91954023854737921</v>
      </c>
      <c r="F371" s="15">
        <f t="shared" si="15"/>
        <v>28231.188208444262</v>
      </c>
      <c r="G371" s="15">
        <f t="shared" si="17"/>
        <v>-268.81179155573773</v>
      </c>
      <c r="H371" s="4">
        <f t="shared" si="16"/>
        <v>-9.4319926861662351E-3</v>
      </c>
      <c r="I371" s="4"/>
    </row>
    <row r="372" spans="1:9" x14ac:dyDescent="0.2">
      <c r="A372" s="1">
        <f>Acciones!A372</f>
        <v>45534</v>
      </c>
      <c r="B372" s="4">
        <f>Acciones!B372/Acciones!B371</f>
        <v>1.0101091318983537</v>
      </c>
      <c r="C372" s="4">
        <f>Acciones!C372/Acciones!C371</f>
        <v>0.96684331695155279</v>
      </c>
      <c r="D372" s="4">
        <f>Acciones!D372/Acciones!D371</f>
        <v>0.98913923591188779</v>
      </c>
      <c r="E372" s="4">
        <f>Acciones!E372/Acciones!E371</f>
        <v>0.96249996181577413</v>
      </c>
      <c r="F372" s="15">
        <f t="shared" si="15"/>
        <v>27905.535621789626</v>
      </c>
      <c r="G372" s="15">
        <f t="shared" si="17"/>
        <v>-594.46437821037398</v>
      </c>
      <c r="H372" s="4">
        <f t="shared" si="16"/>
        <v>-2.0858399235451741E-2</v>
      </c>
      <c r="I372" s="4"/>
    </row>
    <row r="373" spans="1:9" x14ac:dyDescent="0.2">
      <c r="A373" s="1">
        <f>Acciones!A373</f>
        <v>45537</v>
      </c>
      <c r="B373" s="4">
        <f>Acciones!B373/Acciones!B372</f>
        <v>0.99879914849139895</v>
      </c>
      <c r="C373" s="4">
        <f>Acciones!C373/Acciones!C372</f>
        <v>1.0218066752207116</v>
      </c>
      <c r="D373" s="4">
        <f>Acciones!D373/Acciones!D372</f>
        <v>0.99708216720413267</v>
      </c>
      <c r="E373" s="4">
        <f>Acciones!E373/Acciones!E372</f>
        <v>0.98701299907666951</v>
      </c>
      <c r="F373" s="15">
        <f t="shared" si="15"/>
        <v>28602.353601279665</v>
      </c>
      <c r="G373" s="15">
        <f t="shared" si="17"/>
        <v>102.35360127966487</v>
      </c>
      <c r="H373" s="4">
        <f t="shared" si="16"/>
        <v>3.5913544308654455E-3</v>
      </c>
      <c r="I373" s="4"/>
    </row>
    <row r="374" spans="1:9" x14ac:dyDescent="0.2">
      <c r="A374" s="1">
        <f>Acciones!A374</f>
        <v>45538</v>
      </c>
      <c r="B374" s="4">
        <f>Acciones!B374/Acciones!B373</f>
        <v>0.98436866676110657</v>
      </c>
      <c r="C374" s="4">
        <f>Acciones!C374/Acciones!C373</f>
        <v>0.89752606592306106</v>
      </c>
      <c r="D374" s="4">
        <f>Acciones!D374/Acciones!D373</f>
        <v>0.98716876732033221</v>
      </c>
      <c r="E374" s="4">
        <f>Acciones!E374/Acciones!E373</f>
        <v>0.98947366274625015</v>
      </c>
      <c r="F374" s="15">
        <f t="shared" si="15"/>
        <v>27285.580778240648</v>
      </c>
      <c r="G374" s="15">
        <f t="shared" si="17"/>
        <v>-1214.4192217593518</v>
      </c>
      <c r="H374" s="4">
        <f t="shared" si="16"/>
        <v>-4.2611200763486012E-2</v>
      </c>
      <c r="I374" s="4"/>
    </row>
    <row r="375" spans="1:9" x14ac:dyDescent="0.2">
      <c r="A375" s="1">
        <f>Acciones!A375</f>
        <v>45539</v>
      </c>
      <c r="B375" s="4">
        <f>Acciones!B375/Acciones!B374</f>
        <v>0.99755706579086012</v>
      </c>
      <c r="C375" s="4">
        <f>Acciones!C375/Acciones!C374</f>
        <v>0.98269795583302122</v>
      </c>
      <c r="D375" s="4">
        <f>Acciones!D375/Acciones!D374</f>
        <v>1.0026605556545962</v>
      </c>
      <c r="E375" s="4">
        <f>Acciones!E375/Acciones!E374</f>
        <v>0.95744687934006245</v>
      </c>
      <c r="F375" s="15">
        <f t="shared" si="15"/>
        <v>28119.643703598016</v>
      </c>
      <c r="G375" s="15">
        <f t="shared" si="17"/>
        <v>-380.35629640198385</v>
      </c>
      <c r="H375" s="4">
        <f t="shared" si="16"/>
        <v>-1.3345834961473124E-2</v>
      </c>
      <c r="I375" s="4"/>
    </row>
    <row r="376" spans="1:9" x14ac:dyDescent="0.2">
      <c r="A376" s="1">
        <f>Acciones!A376</f>
        <v>45540</v>
      </c>
      <c r="B376" s="4">
        <f>Acciones!B376/Acciones!B375</f>
        <v>0.9951020062901863</v>
      </c>
      <c r="C376" s="4">
        <f>Acciones!C376/Acciones!C375</f>
        <v>0.93653476210036712</v>
      </c>
      <c r="D376" s="4">
        <f>Acciones!D376/Acciones!D375</f>
        <v>0.99906386897410515</v>
      </c>
      <c r="E376" s="4">
        <f>Acciones!E376/Acciones!E375</f>
        <v>1</v>
      </c>
      <c r="F376" s="15">
        <f t="shared" si="15"/>
        <v>27870.575951710191</v>
      </c>
      <c r="G376" s="15">
        <f t="shared" si="17"/>
        <v>-629.42404828980943</v>
      </c>
      <c r="H376" s="4">
        <f t="shared" si="16"/>
        <v>-2.2085054325958198E-2</v>
      </c>
      <c r="I376" s="4"/>
    </row>
    <row r="377" spans="1:9" x14ac:dyDescent="0.2">
      <c r="A377" s="1">
        <f>Acciones!A377</f>
        <v>45541</v>
      </c>
      <c r="B377" s="4">
        <f>Acciones!B377/Acciones!B376</f>
        <v>1.0205085979012227</v>
      </c>
      <c r="C377" s="4">
        <f>Acciones!C377/Acciones!C376</f>
        <v>0.96478183670601769</v>
      </c>
      <c r="D377" s="4">
        <f>Acciones!D377/Acciones!D376</f>
        <v>1.0027987304590134</v>
      </c>
      <c r="E377" s="4">
        <f>Acciones!E377/Acciones!E376</f>
        <v>0.9166666666666663</v>
      </c>
      <c r="F377" s="15">
        <f t="shared" si="15"/>
        <v>27806.861512618245</v>
      </c>
      <c r="G377" s="15">
        <f t="shared" si="17"/>
        <v>-693.13848738175511</v>
      </c>
      <c r="H377" s="4">
        <f t="shared" si="16"/>
        <v>-2.4320648680061563E-2</v>
      </c>
      <c r="I377" s="4"/>
    </row>
    <row r="378" spans="1:9" x14ac:dyDescent="0.2">
      <c r="A378" s="1">
        <f>Acciones!A378</f>
        <v>45544</v>
      </c>
      <c r="B378" s="4">
        <f>Acciones!B378/Acciones!B377</f>
        <v>0.98231514475156412</v>
      </c>
      <c r="C378" s="4">
        <f>Acciones!C378/Acciones!C377</f>
        <v>1.0821333427688962</v>
      </c>
      <c r="D378" s="4">
        <f>Acciones!D378/Acciones!D377</f>
        <v>0.97946779628308611</v>
      </c>
      <c r="E378" s="4">
        <f>Acciones!E378/Acciones!E377</f>
        <v>1</v>
      </c>
      <c r="F378" s="15">
        <f t="shared" si="15"/>
        <v>29013.047725765849</v>
      </c>
      <c r="G378" s="15">
        <f t="shared" si="17"/>
        <v>513.04772576584946</v>
      </c>
      <c r="H378" s="4">
        <f t="shared" si="16"/>
        <v>1.8001674588275396E-2</v>
      </c>
      <c r="I378" s="4"/>
    </row>
    <row r="379" spans="1:9" x14ac:dyDescent="0.2">
      <c r="A379" s="1">
        <f>Acciones!A379</f>
        <v>45545</v>
      </c>
      <c r="B379" s="4">
        <f>Acciones!B379/Acciones!B378</f>
        <v>0.98527002531213881</v>
      </c>
      <c r="C379" s="4">
        <f>Acciones!C379/Acciones!C378</f>
        <v>1.097501203753072</v>
      </c>
      <c r="D379" s="4">
        <f>Acciones!D379/Acciones!D378</f>
        <v>0.99142035758773139</v>
      </c>
      <c r="E379" s="4">
        <f>Acciones!E379/Acciones!E378</f>
        <v>1</v>
      </c>
      <c r="F379" s="15">
        <f t="shared" si="15"/>
        <v>29288.910100123983</v>
      </c>
      <c r="G379" s="15">
        <f t="shared" si="17"/>
        <v>788.91010012398328</v>
      </c>
      <c r="H379" s="4">
        <f t="shared" si="16"/>
        <v>2.7681056144701177E-2</v>
      </c>
      <c r="I379" s="4"/>
    </row>
    <row r="380" spans="1:9" x14ac:dyDescent="0.2">
      <c r="A380" s="1">
        <f>Acciones!A380</f>
        <v>45546</v>
      </c>
      <c r="B380" s="4">
        <f>Acciones!B380/Acciones!B379</f>
        <v>0.97176076011193779</v>
      </c>
      <c r="C380" s="4">
        <f>Acciones!C380/Acciones!C379</f>
        <v>0.98015992271520402</v>
      </c>
      <c r="D380" s="4">
        <f>Acciones!D380/Acciones!D379</f>
        <v>0.98617807593474094</v>
      </c>
      <c r="E380" s="4">
        <f>Acciones!E380/Acciones!E379</f>
        <v>1</v>
      </c>
      <c r="F380" s="15">
        <f t="shared" si="15"/>
        <v>28074.462685533632</v>
      </c>
      <c r="G380" s="15">
        <f t="shared" si="17"/>
        <v>-425.53731446636812</v>
      </c>
      <c r="H380" s="4">
        <f t="shared" si="16"/>
        <v>-1.4931133840925148E-2</v>
      </c>
      <c r="I380" s="4"/>
    </row>
    <row r="381" spans="1:9" x14ac:dyDescent="0.2">
      <c r="A381" s="1">
        <f>Acciones!A381</f>
        <v>45547</v>
      </c>
      <c r="B381" s="4">
        <f>Acciones!B381/Acciones!B380</f>
        <v>0.99829066997333626</v>
      </c>
      <c r="C381" s="4">
        <f>Acciones!C381/Acciones!C380</f>
        <v>0.98152551028012169</v>
      </c>
      <c r="D381" s="4">
        <f>Acciones!D381/Acciones!D380</f>
        <v>0.9896093111749209</v>
      </c>
      <c r="E381" s="4">
        <f>Acciones!E381/Acciones!E380</f>
        <v>1</v>
      </c>
      <c r="F381" s="15">
        <f t="shared" si="15"/>
        <v>28214.602804317045</v>
      </c>
      <c r="G381" s="15">
        <f t="shared" si="17"/>
        <v>-285.3971956829555</v>
      </c>
      <c r="H381" s="4">
        <f t="shared" si="16"/>
        <v>-1.0013936690629999E-2</v>
      </c>
      <c r="I381" s="4"/>
    </row>
    <row r="382" spans="1:9" x14ac:dyDescent="0.2">
      <c r="A382" s="1">
        <f>Acciones!A382</f>
        <v>45548</v>
      </c>
      <c r="B382" s="4">
        <f>Acciones!B382/Acciones!B381</f>
        <v>1.0047088113219147</v>
      </c>
      <c r="C382" s="4">
        <f>Acciones!C382/Acciones!C381</f>
        <v>1.0174146698559139</v>
      </c>
      <c r="D382" s="4">
        <f>Acciones!D382/Acciones!D381</f>
        <v>0.99136130721676619</v>
      </c>
      <c r="E382" s="4">
        <f>Acciones!E382/Acciones!E381</f>
        <v>0.98484840959009878</v>
      </c>
      <c r="F382" s="15">
        <f t="shared" si="15"/>
        <v>28512.199528171088</v>
      </c>
      <c r="G382" s="15">
        <f t="shared" si="17"/>
        <v>12.199528171087877</v>
      </c>
      <c r="H382" s="4">
        <f t="shared" si="16"/>
        <v>4.2805362003806025E-4</v>
      </c>
      <c r="I382" s="4"/>
    </row>
    <row r="383" spans="1:9" x14ac:dyDescent="0.2">
      <c r="A383" s="1">
        <f>Acciones!A383</f>
        <v>45552</v>
      </c>
      <c r="B383" s="4">
        <f>Acciones!B383/Acciones!B382</f>
        <v>1.02215601854093</v>
      </c>
      <c r="C383" s="4">
        <f>Acciones!C383/Acciones!C382</f>
        <v>0.9780573103253144</v>
      </c>
      <c r="D383" s="4">
        <f>Acciones!D383/Acciones!D382</f>
        <v>1.0131072834870813</v>
      </c>
      <c r="E383" s="4">
        <f>Acciones!E383/Acciones!E382</f>
        <v>1</v>
      </c>
      <c r="F383" s="15">
        <f t="shared" si="15"/>
        <v>28500.163347854555</v>
      </c>
      <c r="G383" s="15">
        <f t="shared" si="17"/>
        <v>0.16334785455546807</v>
      </c>
      <c r="H383" s="4">
        <f t="shared" si="16"/>
        <v>5.7315036685601228E-6</v>
      </c>
      <c r="I383" s="4"/>
    </row>
    <row r="384" spans="1:9" x14ac:dyDescent="0.2">
      <c r="A384" s="1">
        <f>Acciones!A384</f>
        <v>45553</v>
      </c>
      <c r="B384" s="4">
        <f>Acciones!B384/Acciones!B383</f>
        <v>1.0029178621955583</v>
      </c>
      <c r="C384" s="4">
        <f>Acciones!C384/Acciones!C383</f>
        <v>0.97118332994684109</v>
      </c>
      <c r="D384" s="4">
        <f>Acciones!D384/Acciones!D383</f>
        <v>1.0239574266877827</v>
      </c>
      <c r="E384" s="4">
        <f>Acciones!E384/Acciones!E383</f>
        <v>1.0615384968074832</v>
      </c>
      <c r="F384" s="15">
        <f t="shared" si="15"/>
        <v>28814.49015149843</v>
      </c>
      <c r="G384" s="15">
        <f t="shared" si="17"/>
        <v>314.49015149843035</v>
      </c>
      <c r="H384" s="4">
        <f t="shared" si="16"/>
        <v>1.1034742157839617E-2</v>
      </c>
      <c r="I384" s="4"/>
    </row>
    <row r="385" spans="1:9" x14ac:dyDescent="0.2">
      <c r="A385" s="1">
        <f>Acciones!A385</f>
        <v>45554</v>
      </c>
      <c r="B385" s="4">
        <f>Acciones!B385/Acciones!B384</f>
        <v>0.99584369452855315</v>
      </c>
      <c r="C385" s="4">
        <f>Acciones!C385/Acciones!C384</f>
        <v>1.0099244404929981</v>
      </c>
      <c r="D385" s="4">
        <f>Acciones!D385/Acciones!D384</f>
        <v>0.99020319618889419</v>
      </c>
      <c r="E385" s="4">
        <f>Acciones!E385/Acciones!E384</f>
        <v>0.94202895420886124</v>
      </c>
      <c r="F385" s="15">
        <f t="shared" si="15"/>
        <v>28162.926325571098</v>
      </c>
      <c r="G385" s="15">
        <f t="shared" si="17"/>
        <v>-337.07367442890245</v>
      </c>
      <c r="H385" s="4">
        <f t="shared" si="16"/>
        <v>-1.1827146471189542E-2</v>
      </c>
      <c r="I385" s="4"/>
    </row>
    <row r="386" spans="1:9" x14ac:dyDescent="0.2">
      <c r="A386" s="1">
        <f>Acciones!A386</f>
        <v>45555</v>
      </c>
      <c r="B386" s="4">
        <f>Acciones!B386/Acciones!B385</f>
        <v>0.99833053902162683</v>
      </c>
      <c r="C386" s="4">
        <f>Acciones!C386/Acciones!C385</f>
        <v>1.0132143895660501</v>
      </c>
      <c r="D386" s="4">
        <f>Acciones!D386/Acciones!D385</f>
        <v>1.074777420660352</v>
      </c>
      <c r="E386" s="4">
        <f>Acciones!E386/Acciones!E385</f>
        <v>0.90769230063850292</v>
      </c>
      <c r="F386" s="15">
        <f t="shared" si="15"/>
        <v>28859.775447568456</v>
      </c>
      <c r="G386" s="15">
        <f t="shared" si="17"/>
        <v>359.775447568456</v>
      </c>
      <c r="H386" s="4">
        <f t="shared" si="16"/>
        <v>1.2623699914682707E-2</v>
      </c>
      <c r="I386" s="4"/>
    </row>
    <row r="387" spans="1:9" x14ac:dyDescent="0.2">
      <c r="A387" s="1">
        <f>Acciones!A387</f>
        <v>45558</v>
      </c>
      <c r="B387" s="4">
        <f>Acciones!B387/Acciones!B386</f>
        <v>0.99540134599033625</v>
      </c>
      <c r="C387" s="4">
        <f>Acciones!C387/Acciones!C386</f>
        <v>1.028070110219873</v>
      </c>
      <c r="D387" s="4">
        <f>Acciones!D387/Acciones!D386</f>
        <v>0.99640260055222185</v>
      </c>
      <c r="E387" s="4">
        <f>Acciones!E387/Acciones!E386</f>
        <v>0.91525431434096938</v>
      </c>
      <c r="F387" s="15">
        <f t="shared" ref="F387:F450" si="18">$J$2*B387+$J$3*C387+$J$4*D387+$J$5*E387</f>
        <v>28248.495492452519</v>
      </c>
      <c r="G387" s="15">
        <f t="shared" si="17"/>
        <v>-251.5045075474809</v>
      </c>
      <c r="H387" s="4">
        <f t="shared" ref="H387:H450" si="19">(F387/$J$6)-1</f>
        <v>-8.8247195630695163E-3</v>
      </c>
      <c r="I387" s="4"/>
    </row>
    <row r="388" spans="1:9" x14ac:dyDescent="0.2">
      <c r="A388" s="1">
        <f>Acciones!A388</f>
        <v>45559</v>
      </c>
      <c r="B388" s="4">
        <f>Acciones!B388/Acciones!B387</f>
        <v>1.0176396081237378</v>
      </c>
      <c r="C388" s="4">
        <f>Acciones!C388/Acciones!C387</f>
        <v>1.0100135746139502</v>
      </c>
      <c r="D388" s="4">
        <f>Acciones!D388/Acciones!D387</f>
        <v>1.0088913095149037</v>
      </c>
      <c r="E388" s="4">
        <f>Acciones!E388/Acciones!E387</f>
        <v>0.93333331125753882</v>
      </c>
      <c r="F388" s="15">
        <f t="shared" si="18"/>
        <v>28379.113894331109</v>
      </c>
      <c r="G388" s="15">
        <f t="shared" si="17"/>
        <v>-120.8861056688911</v>
      </c>
      <c r="H388" s="4">
        <f t="shared" si="19"/>
        <v>-4.2416177427681001E-3</v>
      </c>
      <c r="I388" s="4"/>
    </row>
    <row r="389" spans="1:9" x14ac:dyDescent="0.2">
      <c r="A389" s="1">
        <f>Acciones!A389</f>
        <v>45560</v>
      </c>
      <c r="B389" s="4">
        <f>Acciones!B389/Acciones!B388</f>
        <v>0.97647547752737074</v>
      </c>
      <c r="C389" s="4">
        <f>Acciones!C389/Acciones!C388</f>
        <v>1.0089897902460112</v>
      </c>
      <c r="D389" s="4">
        <f>Acciones!D389/Acciones!D388</f>
        <v>1.0226884892669035</v>
      </c>
      <c r="E389" s="4">
        <f>Acciones!E389/Acciones!E388</f>
        <v>1.0515872279074623</v>
      </c>
      <c r="F389" s="15">
        <f t="shared" si="18"/>
        <v>29013.681824842981</v>
      </c>
      <c r="G389" s="15">
        <f t="shared" ref="G389:G452" si="20">F389-$J$6</f>
        <v>513.68182484298086</v>
      </c>
      <c r="H389" s="4">
        <f t="shared" si="19"/>
        <v>1.8023923678700982E-2</v>
      </c>
      <c r="I389" s="4"/>
    </row>
    <row r="390" spans="1:9" x14ac:dyDescent="0.2">
      <c r="A390" s="1">
        <f>Acciones!A390</f>
        <v>45561</v>
      </c>
      <c r="B390" s="4">
        <f>Acciones!B390/Acciones!B389</f>
        <v>1.005917201973112</v>
      </c>
      <c r="C390" s="4">
        <f>Acciones!C390/Acciones!C389</f>
        <v>1.0868534624062325</v>
      </c>
      <c r="D390" s="4">
        <f>Acciones!D390/Acciones!D389</f>
        <v>1.0155347445630416</v>
      </c>
      <c r="E390" s="4">
        <f>Acciones!E390/Acciones!E389</f>
        <v>1.0377359275675331</v>
      </c>
      <c r="F390" s="15">
        <f t="shared" si="18"/>
        <v>29708.713147016948</v>
      </c>
      <c r="G390" s="15">
        <f t="shared" si="20"/>
        <v>1208.7131470169479</v>
      </c>
      <c r="H390" s="4">
        <f t="shared" si="19"/>
        <v>4.2410987614629692E-2</v>
      </c>
      <c r="I390" s="4"/>
    </row>
    <row r="391" spans="1:9" x14ac:dyDescent="0.2">
      <c r="A391" s="1">
        <f>Acciones!A391</f>
        <v>45562</v>
      </c>
      <c r="B391" s="4">
        <f>Acciones!B391/Acciones!B390</f>
        <v>1.0100840226650771</v>
      </c>
      <c r="C391" s="4">
        <f>Acciones!C391/Acciones!C390</f>
        <v>0.98232562042945926</v>
      </c>
      <c r="D391" s="4">
        <f>Acciones!D391/Acciones!D390</f>
        <v>1.0082972079018351</v>
      </c>
      <c r="E391" s="4">
        <f>Acciones!E391/Acciones!E390</f>
        <v>1</v>
      </c>
      <c r="F391" s="15">
        <f t="shared" si="18"/>
        <v>28450.359552425984</v>
      </c>
      <c r="G391" s="15">
        <f t="shared" si="20"/>
        <v>-49.640447574016434</v>
      </c>
      <c r="H391" s="4">
        <f t="shared" si="19"/>
        <v>-1.7417700903163968E-3</v>
      </c>
      <c r="I391" s="4"/>
    </row>
    <row r="392" spans="1:9" x14ac:dyDescent="0.2">
      <c r="A392" s="1">
        <f>Acciones!A392</f>
        <v>45565</v>
      </c>
      <c r="B392" s="4">
        <f>Acciones!B392/Acciones!B391</f>
        <v>0.97961728218183497</v>
      </c>
      <c r="C392" s="4">
        <f>Acciones!C392/Acciones!C391</f>
        <v>0.94306338782130894</v>
      </c>
      <c r="D392" s="4">
        <f>Acciones!D392/Acciones!D391</f>
        <v>0.98736190654477296</v>
      </c>
      <c r="E392" s="4">
        <f>Acciones!E392/Acciones!E391</f>
        <v>0.97454545769809608</v>
      </c>
      <c r="F392" s="15">
        <f t="shared" si="18"/>
        <v>27621.381754726117</v>
      </c>
      <c r="G392" s="15">
        <f t="shared" si="20"/>
        <v>-878.61824527388308</v>
      </c>
      <c r="H392" s="4">
        <f t="shared" si="19"/>
        <v>-3.0828710360487177E-2</v>
      </c>
      <c r="I392" s="4"/>
    </row>
    <row r="393" spans="1:9" x14ac:dyDescent="0.2">
      <c r="A393" s="1">
        <f>Acciones!A393</f>
        <v>45567</v>
      </c>
      <c r="B393" s="4">
        <f>Acciones!B393/Acciones!B392</f>
        <v>0.99787688428915489</v>
      </c>
      <c r="C393" s="4">
        <f>Acciones!C393/Acciones!C392</f>
        <v>0.92531696893446747</v>
      </c>
      <c r="D393" s="4">
        <f>Acciones!D393/Acciones!D392</f>
        <v>0.92662818854057161</v>
      </c>
      <c r="E393" s="4">
        <f>Acciones!E393/Acciones!E392</f>
        <v>1.0261193996655922</v>
      </c>
      <c r="F393" s="15">
        <f t="shared" si="18"/>
        <v>27193.018883455956</v>
      </c>
      <c r="G393" s="15">
        <f t="shared" si="20"/>
        <v>-1306.9811165440442</v>
      </c>
      <c r="H393" s="4">
        <f t="shared" si="19"/>
        <v>-4.58589865454051E-2</v>
      </c>
      <c r="I393" s="4"/>
    </row>
    <row r="394" spans="1:9" x14ac:dyDescent="0.2">
      <c r="A394" s="1">
        <f>Acciones!A394</f>
        <v>45568</v>
      </c>
      <c r="B394" s="4">
        <f>Acciones!B394/Acciones!B393</f>
        <v>0.99787236707826743</v>
      </c>
      <c r="C394" s="4">
        <f>Acciones!C394/Acciones!C393</f>
        <v>1.0105805584153729</v>
      </c>
      <c r="D394" s="4">
        <f>Acciones!D394/Acciones!D393</f>
        <v>0.98538137198160858</v>
      </c>
      <c r="E394" s="4">
        <f>Acciones!E394/Acciones!E393</f>
        <v>1</v>
      </c>
      <c r="F394" s="15">
        <f t="shared" si="18"/>
        <v>28446.882309536064</v>
      </c>
      <c r="G394" s="15">
        <f t="shared" si="20"/>
        <v>-53.117690463936015</v>
      </c>
      <c r="H394" s="4">
        <f t="shared" si="19"/>
        <v>-1.863778612769651E-3</v>
      </c>
      <c r="I394" s="4"/>
    </row>
    <row r="395" spans="1:9" x14ac:dyDescent="0.2">
      <c r="A395" s="1">
        <f>Acciones!A395</f>
        <v>45569</v>
      </c>
      <c r="B395" s="4">
        <f>Acciones!B395/Acciones!B394</f>
        <v>1.0268656524055901</v>
      </c>
      <c r="C395" s="4">
        <f>Acciones!C395/Acciones!C394</f>
        <v>1.0520470126363255</v>
      </c>
      <c r="D395" s="4">
        <f>Acciones!D395/Acciones!D394</f>
        <v>0.99642329519181094</v>
      </c>
      <c r="E395" s="4">
        <f>Acciones!E395/Acciones!E394</f>
        <v>1</v>
      </c>
      <c r="F395" s="15">
        <f t="shared" si="18"/>
        <v>29052.709355382765</v>
      </c>
      <c r="G395" s="15">
        <f t="shared" si="20"/>
        <v>552.70935538276535</v>
      </c>
      <c r="H395" s="4">
        <f t="shared" si="19"/>
        <v>1.9393310715184686E-2</v>
      </c>
      <c r="I395" s="4"/>
    </row>
    <row r="396" spans="1:9" x14ac:dyDescent="0.2">
      <c r="A396" s="1">
        <f>Acciones!A396</f>
        <v>45572</v>
      </c>
      <c r="B396" s="4">
        <f>Acciones!B396/Acciones!B395</f>
        <v>0.97882057008395218</v>
      </c>
      <c r="C396" s="4">
        <f>Acciones!C396/Acciones!C395</f>
        <v>0.97923508161512363</v>
      </c>
      <c r="D396" s="4">
        <f>Acciones!D396/Acciones!D395</f>
        <v>0.98353416003292582</v>
      </c>
      <c r="E396" s="4">
        <f>Acciones!E396/Acciones!E395</f>
        <v>0.89272724730909259</v>
      </c>
      <c r="F396" s="15">
        <f t="shared" si="18"/>
        <v>27473.946731166776</v>
      </c>
      <c r="G396" s="15">
        <f t="shared" si="20"/>
        <v>-1026.0532688332241</v>
      </c>
      <c r="H396" s="4">
        <f t="shared" si="19"/>
        <v>-3.6001869081867532E-2</v>
      </c>
      <c r="I396" s="4"/>
    </row>
    <row r="397" spans="1:9" x14ac:dyDescent="0.2">
      <c r="A397" s="1">
        <f>Acciones!A397</f>
        <v>45573</v>
      </c>
      <c r="B397" s="4">
        <f>Acciones!B397/Acciones!B396</f>
        <v>0.99109043058089863</v>
      </c>
      <c r="C397" s="4">
        <f>Acciones!C397/Acciones!C396</f>
        <v>1.0009446532407851</v>
      </c>
      <c r="D397" s="4">
        <f>Acciones!D397/Acciones!D396</f>
        <v>1.0029441066094287</v>
      </c>
      <c r="E397" s="4">
        <f>Acciones!E397/Acciones!E396</f>
        <v>1.0183299458228998</v>
      </c>
      <c r="F397" s="15">
        <f t="shared" si="18"/>
        <v>28608.046480940837</v>
      </c>
      <c r="G397" s="15">
        <f t="shared" si="20"/>
        <v>108.04648094083677</v>
      </c>
      <c r="H397" s="4">
        <f t="shared" si="19"/>
        <v>3.7911045944152288E-3</v>
      </c>
      <c r="I397" s="4"/>
    </row>
    <row r="398" spans="1:9" x14ac:dyDescent="0.2">
      <c r="A398" s="1">
        <f>Acciones!A398</f>
        <v>45574</v>
      </c>
      <c r="B398" s="4">
        <f>Acciones!B398/Acciones!B397</f>
        <v>1.0098458338752108</v>
      </c>
      <c r="C398" s="4">
        <f>Acciones!C398/Acciones!C397</f>
        <v>0.97686219638963423</v>
      </c>
      <c r="D398" s="4">
        <f>Acciones!D398/Acciones!D397</f>
        <v>1.0309608536193469</v>
      </c>
      <c r="E398" s="4">
        <f>Acciones!E398/Acciones!E397</f>
        <v>0.99000000953674205</v>
      </c>
      <c r="F398" s="15">
        <f t="shared" si="18"/>
        <v>28569.259872910312</v>
      </c>
      <c r="G398" s="15">
        <f t="shared" si="20"/>
        <v>69.259872910311969</v>
      </c>
      <c r="H398" s="4">
        <f t="shared" si="19"/>
        <v>2.4301709793090875E-3</v>
      </c>
      <c r="I398" s="4"/>
    </row>
    <row r="399" spans="1:9" x14ac:dyDescent="0.2">
      <c r="A399" s="1">
        <f>Acciones!A399</f>
        <v>45575</v>
      </c>
      <c r="B399" s="4">
        <f>Acciones!B399/Acciones!B398</f>
        <v>0.99788048434140175</v>
      </c>
      <c r="C399" s="4">
        <f>Acciones!C399/Acciones!C398</f>
        <v>0.988540200795056</v>
      </c>
      <c r="D399" s="4">
        <f>Acciones!D399/Acciones!D398</f>
        <v>0.99256191594448218</v>
      </c>
      <c r="E399" s="4">
        <f>Acciones!E399/Acciones!E398</f>
        <v>0.96969693868139029</v>
      </c>
      <c r="F399" s="15">
        <f t="shared" si="18"/>
        <v>28142.665924940407</v>
      </c>
      <c r="G399" s="15">
        <f t="shared" si="20"/>
        <v>-357.33407505959258</v>
      </c>
      <c r="H399" s="4">
        <f t="shared" si="19"/>
        <v>-1.2538037721389172E-2</v>
      </c>
      <c r="I399" s="4"/>
    </row>
    <row r="400" spans="1:9" x14ac:dyDescent="0.2">
      <c r="A400" s="1">
        <f>Acciones!A400</f>
        <v>45576</v>
      </c>
      <c r="B400" s="4">
        <f>Acciones!B400/Acciones!B399</f>
        <v>1.0220900492733374</v>
      </c>
      <c r="C400" s="4">
        <f>Acciones!C400/Acciones!C399</f>
        <v>1.0424951684441999</v>
      </c>
      <c r="D400" s="4">
        <f>Acciones!D400/Acciones!D399</f>
        <v>0.98689400599579269</v>
      </c>
      <c r="E400" s="4">
        <f>Acciones!E400/Acciones!E399</f>
        <v>0.7916666744276889</v>
      </c>
      <c r="F400" s="15">
        <f t="shared" si="18"/>
        <v>27704.126041986794</v>
      </c>
      <c r="G400" s="15">
        <f t="shared" si="20"/>
        <v>-795.87395801320599</v>
      </c>
      <c r="H400" s="4">
        <f t="shared" si="19"/>
        <v>-2.792540203555105E-2</v>
      </c>
      <c r="I400" s="4"/>
    </row>
    <row r="401" spans="1:9" x14ac:dyDescent="0.2">
      <c r="A401" s="1">
        <f>Acciones!A401</f>
        <v>45579</v>
      </c>
      <c r="B401" s="4">
        <f>Acciones!B401/Acciones!B400</f>
        <v>0.97423115078151079</v>
      </c>
      <c r="C401" s="4">
        <f>Acciones!C401/Acciones!C400</f>
        <v>1.0635202634840411</v>
      </c>
      <c r="D401" s="4">
        <f>Acciones!D401/Acciones!D400</f>
        <v>0.99618113981219836</v>
      </c>
      <c r="E401" s="4">
        <f>Acciones!E401/Acciones!E400</f>
        <v>0.97368423529278869</v>
      </c>
      <c r="F401" s="15">
        <f t="shared" si="18"/>
        <v>28830.326223065997</v>
      </c>
      <c r="G401" s="15">
        <f t="shared" si="20"/>
        <v>330.3262230659966</v>
      </c>
      <c r="H401" s="4">
        <f t="shared" si="19"/>
        <v>1.1590393791789388E-2</v>
      </c>
      <c r="I401" s="4"/>
    </row>
    <row r="402" spans="1:9" x14ac:dyDescent="0.2">
      <c r="A402" s="1">
        <f>Acciones!A402</f>
        <v>45580</v>
      </c>
      <c r="B402" s="4">
        <f>Acciones!B402/Acciones!B401</f>
        <v>0.97397605177863522</v>
      </c>
      <c r="C402" s="4">
        <f>Acciones!C402/Acciones!C401</f>
        <v>1.0171732337279149</v>
      </c>
      <c r="D402" s="4">
        <f>Acciones!D402/Acciones!D401</f>
        <v>1.0297073687192699</v>
      </c>
      <c r="E402" s="4">
        <f>Acciones!E402/Acciones!E401</f>
        <v>0.94594591764571334</v>
      </c>
      <c r="F402" s="15">
        <f t="shared" si="18"/>
        <v>28571.83813588454</v>
      </c>
      <c r="G402" s="15">
        <f t="shared" si="20"/>
        <v>71.838135884539952</v>
      </c>
      <c r="H402" s="4">
        <f t="shared" si="19"/>
        <v>2.5206363468259774E-3</v>
      </c>
      <c r="I402" s="4"/>
    </row>
    <row r="403" spans="1:9" x14ac:dyDescent="0.2">
      <c r="A403" s="1">
        <f>Acciones!A403</f>
        <v>45581</v>
      </c>
      <c r="B403" s="4">
        <f>Acciones!B403/Acciones!B402</f>
        <v>1.0144546384818829</v>
      </c>
      <c r="C403" s="4">
        <f>Acciones!C403/Acciones!C402</f>
        <v>1.0686089701892543</v>
      </c>
      <c r="D403" s="4">
        <f>Acciones!D403/Acciones!D402</f>
        <v>1.0335239381521668</v>
      </c>
      <c r="E403" s="4">
        <f>Acciones!E403/Acciones!E402</f>
        <v>1.0028571912707118</v>
      </c>
      <c r="F403" s="15">
        <f t="shared" si="18"/>
        <v>29553.33038499509</v>
      </c>
      <c r="G403" s="15">
        <f t="shared" si="20"/>
        <v>1053.3303849950898</v>
      </c>
      <c r="H403" s="4">
        <f t="shared" si="19"/>
        <v>3.6958960877020663E-2</v>
      </c>
      <c r="I403" s="4"/>
    </row>
    <row r="404" spans="1:9" x14ac:dyDescent="0.2">
      <c r="A404" s="1">
        <f>Acciones!A404</f>
        <v>45582</v>
      </c>
      <c r="B404" s="4">
        <f>Acciones!B404/Acciones!B403</f>
        <v>0.98877375267072976</v>
      </c>
      <c r="C404" s="4">
        <f>Acciones!C404/Acciones!C403</f>
        <v>1.0010906145365448</v>
      </c>
      <c r="D404" s="4">
        <f>Acciones!D404/Acciones!D403</f>
        <v>0.99295109754061106</v>
      </c>
      <c r="E404" s="4">
        <f>Acciones!E404/Acciones!E403</f>
        <v>0.99715094901289836</v>
      </c>
      <c r="F404" s="15">
        <f t="shared" si="18"/>
        <v>28384.910167421782</v>
      </c>
      <c r="G404" s="15">
        <f t="shared" si="20"/>
        <v>-115.08983257821819</v>
      </c>
      <c r="H404" s="4">
        <f t="shared" si="19"/>
        <v>-4.0382397395866132E-3</v>
      </c>
      <c r="I404" s="4"/>
    </row>
    <row r="405" spans="1:9" x14ac:dyDescent="0.2">
      <c r="A405" s="1">
        <f>Acciones!A405</f>
        <v>45583</v>
      </c>
      <c r="B405" s="4">
        <f>Acciones!B405/Acciones!B404</f>
        <v>1.0165939187968536</v>
      </c>
      <c r="C405" s="4">
        <f>Acciones!C405/Acciones!C404</f>
        <v>1.0448323681367822</v>
      </c>
      <c r="D405" s="4">
        <f>Acciones!D405/Acciones!D404</f>
        <v>0.98894874016197143</v>
      </c>
      <c r="E405" s="4">
        <f>Acciones!E405/Acciones!E404</f>
        <v>1</v>
      </c>
      <c r="F405" s="15">
        <f t="shared" si="18"/>
        <v>28873.473614708135</v>
      </c>
      <c r="G405" s="15">
        <f t="shared" si="20"/>
        <v>373.47361470813485</v>
      </c>
      <c r="H405" s="4">
        <f t="shared" si="19"/>
        <v>1.3104337358180063E-2</v>
      </c>
      <c r="I405" s="4"/>
    </row>
    <row r="406" spans="1:9" x14ac:dyDescent="0.2">
      <c r="A406" s="1">
        <f>Acciones!A406</f>
        <v>45586</v>
      </c>
      <c r="B406" s="4">
        <f>Acciones!B406/Acciones!B405</f>
        <v>0.96477655147763042</v>
      </c>
      <c r="C406" s="4">
        <f>Acciones!C406/Acciones!C405</f>
        <v>0.99403828220418422</v>
      </c>
      <c r="D406" s="4">
        <f>Acciones!D406/Acciones!D405</f>
        <v>0.99378283410515056</v>
      </c>
      <c r="E406" s="4">
        <f>Acciones!E406/Acciones!E405</f>
        <v>0.88571430760986891</v>
      </c>
      <c r="F406" s="15">
        <f t="shared" si="18"/>
        <v>27629.33864401724</v>
      </c>
      <c r="G406" s="15">
        <f t="shared" si="20"/>
        <v>-870.66135598276014</v>
      </c>
      <c r="H406" s="4">
        <f t="shared" si="19"/>
        <v>-3.0549521262552948E-2</v>
      </c>
      <c r="I406" s="4"/>
    </row>
    <row r="407" spans="1:9" x14ac:dyDescent="0.2">
      <c r="A407" s="1">
        <f>Acciones!A407</f>
        <v>45587</v>
      </c>
      <c r="B407" s="4">
        <f>Acciones!B407/Acciones!B406</f>
        <v>1.0093500661589296</v>
      </c>
      <c r="C407" s="4">
        <f>Acciones!C407/Acciones!C406</f>
        <v>1.0127211564078789</v>
      </c>
      <c r="D407" s="4">
        <f>Acciones!D407/Acciones!D406</f>
        <v>0.9922933744445176</v>
      </c>
      <c r="E407" s="4">
        <f>Acciones!E407/Acciones!E406</f>
        <v>0.93548383685478209</v>
      </c>
      <c r="F407" s="15">
        <f t="shared" si="18"/>
        <v>28221.671064577578</v>
      </c>
      <c r="G407" s="15">
        <f t="shared" si="20"/>
        <v>-278.32893542242164</v>
      </c>
      <c r="H407" s="4">
        <f t="shared" si="19"/>
        <v>-9.765927558681442E-3</v>
      </c>
      <c r="I407" s="4"/>
    </row>
    <row r="408" spans="1:9" x14ac:dyDescent="0.2">
      <c r="A408" s="1">
        <f>Acciones!A408</f>
        <v>45588</v>
      </c>
      <c r="B408" s="4">
        <f>Acciones!B408/Acciones!B407</f>
        <v>0.95412432950866521</v>
      </c>
      <c r="C408" s="4">
        <f>Acciones!C408/Acciones!C407</f>
        <v>0.94813437946508494</v>
      </c>
      <c r="D408" s="4">
        <f>Acciones!D408/Acciones!D407</f>
        <v>0.98083973813039305</v>
      </c>
      <c r="E408" s="4">
        <f>Acciones!E408/Acciones!E407</f>
        <v>0.96551727327240233</v>
      </c>
      <c r="F408" s="15">
        <f t="shared" si="18"/>
        <v>27465.454142500777</v>
      </c>
      <c r="G408" s="15">
        <f t="shared" si="20"/>
        <v>-1034.5458574992226</v>
      </c>
      <c r="H408" s="4">
        <f t="shared" si="19"/>
        <v>-3.6299854649095575E-2</v>
      </c>
      <c r="I408" s="4"/>
    </row>
    <row r="409" spans="1:9" x14ac:dyDescent="0.2">
      <c r="A409" s="1">
        <f>Acciones!A409</f>
        <v>45589</v>
      </c>
      <c r="B409" s="4">
        <f>Acciones!B409/Acciones!B408</f>
        <v>0.97457239893560654</v>
      </c>
      <c r="C409" s="4">
        <f>Acciones!C409/Acciones!C408</f>
        <v>1.0099154351404858</v>
      </c>
      <c r="D409" s="4">
        <f>Acciones!D409/Acciones!D408</f>
        <v>0.98879867927297249</v>
      </c>
      <c r="E409" s="4">
        <f>Acciones!E409/Acciones!E408</f>
        <v>0.83928570858374008</v>
      </c>
      <c r="F409" s="15">
        <f t="shared" si="18"/>
        <v>27509.258220049534</v>
      </c>
      <c r="G409" s="15">
        <f t="shared" si="20"/>
        <v>-990.74177995046557</v>
      </c>
      <c r="H409" s="4">
        <f t="shared" si="19"/>
        <v>-3.4762869471946178E-2</v>
      </c>
      <c r="I409" s="4"/>
    </row>
    <row r="410" spans="1:9" x14ac:dyDescent="0.2">
      <c r="A410" s="1">
        <f>Acciones!A410</f>
        <v>45590</v>
      </c>
      <c r="B410" s="4">
        <f>Acciones!B410/Acciones!B409</f>
        <v>0.97770396671222015</v>
      </c>
      <c r="C410" s="4">
        <f>Acciones!C410/Acciones!C409</f>
        <v>0.94849676212015099</v>
      </c>
      <c r="D410" s="4">
        <f>Acciones!D410/Acciones!D409</f>
        <v>1.0005152581440191</v>
      </c>
      <c r="E410" s="4">
        <f>Acciones!E410/Acciones!E409</f>
        <v>1.042553214424603</v>
      </c>
      <c r="F410" s="15">
        <f t="shared" si="18"/>
        <v>28171.878384409712</v>
      </c>
      <c r="G410" s="15">
        <f t="shared" si="20"/>
        <v>-328.12161559028755</v>
      </c>
      <c r="H410" s="4">
        <f t="shared" si="19"/>
        <v>-1.1513039143518866E-2</v>
      </c>
      <c r="I410" s="4"/>
    </row>
    <row r="411" spans="1:9" x14ac:dyDescent="0.2">
      <c r="A411" s="1">
        <f>Acciones!A411</f>
        <v>45593</v>
      </c>
      <c r="B411" s="4">
        <f>Acciones!B411/Acciones!B410</f>
        <v>0.99902959039878159</v>
      </c>
      <c r="C411" s="4">
        <f>Acciones!C411/Acciones!C410</f>
        <v>1.1152373016388586</v>
      </c>
      <c r="D411" s="4">
        <f>Acciones!D411/Acciones!D410</f>
        <v>1.0095359187256758</v>
      </c>
      <c r="E411" s="4">
        <f>Acciones!E411/Acciones!E410</f>
        <v>1.0204081434053689</v>
      </c>
      <c r="F411" s="15">
        <f t="shared" si="18"/>
        <v>29798.961907951176</v>
      </c>
      <c r="G411" s="15">
        <f t="shared" si="20"/>
        <v>1298.9619079511758</v>
      </c>
      <c r="H411" s="4">
        <f t="shared" si="19"/>
        <v>4.5577610805304314E-2</v>
      </c>
      <c r="I411" s="4"/>
    </row>
    <row r="412" spans="1:9" x14ac:dyDescent="0.2">
      <c r="A412" s="1">
        <f>Acciones!A412</f>
        <v>45594</v>
      </c>
      <c r="B412" s="4">
        <f>Acciones!B412/Acciones!B411</f>
        <v>0.9791160704413826</v>
      </c>
      <c r="C412" s="4">
        <f>Acciones!C412/Acciones!C411</f>
        <v>0.99819086929090717</v>
      </c>
      <c r="D412" s="4">
        <f>Acciones!D412/Acciones!D411</f>
        <v>0.993570643597946</v>
      </c>
      <c r="E412" s="4">
        <f>Acciones!E412/Acciones!E411</f>
        <v>1</v>
      </c>
      <c r="F412" s="15">
        <f t="shared" si="18"/>
        <v>28345.425940787918</v>
      </c>
      <c r="G412" s="15">
        <f t="shared" si="20"/>
        <v>-154.57405921208192</v>
      </c>
      <c r="H412" s="4">
        <f t="shared" si="19"/>
        <v>-5.4236512004238735E-3</v>
      </c>
      <c r="I412" s="4"/>
    </row>
    <row r="413" spans="1:9" x14ac:dyDescent="0.2">
      <c r="A413" s="1">
        <f>Acciones!A413</f>
        <v>45595</v>
      </c>
      <c r="B413" s="4">
        <f>Acciones!B413/Acciones!B412</f>
        <v>1.0119047491568485</v>
      </c>
      <c r="C413" s="4">
        <f>Acciones!C413/Acciones!C412</f>
        <v>0.97777838342843637</v>
      </c>
      <c r="D413" s="4">
        <f>Acciones!D413/Acciones!D412</f>
        <v>0.97826064208887265</v>
      </c>
      <c r="E413" s="4">
        <f>Acciones!E413/Acciones!E412</f>
        <v>1.039999961853024</v>
      </c>
      <c r="F413" s="15">
        <f t="shared" si="18"/>
        <v>28333.167475699473</v>
      </c>
      <c r="G413" s="15">
        <f t="shared" si="20"/>
        <v>-166.83252430052744</v>
      </c>
      <c r="H413" s="4">
        <f t="shared" si="19"/>
        <v>-5.8537727824746755E-3</v>
      </c>
      <c r="I413" s="4"/>
    </row>
    <row r="414" spans="1:9" x14ac:dyDescent="0.2">
      <c r="A414" s="1">
        <f>Acciones!A414</f>
        <v>45596</v>
      </c>
      <c r="B414" s="4">
        <f>Acciones!B414/Acciones!B413</f>
        <v>1.0014705506031569</v>
      </c>
      <c r="C414" s="4">
        <f>Acciones!C414/Acciones!C413</f>
        <v>0.90879781811408467</v>
      </c>
      <c r="D414" s="4">
        <f>Acciones!D414/Acciones!D413</f>
        <v>0.99644299606648279</v>
      </c>
      <c r="E414" s="4">
        <f>Acciones!E414/Acciones!E413</f>
        <v>1</v>
      </c>
      <c r="F414" s="15">
        <f t="shared" si="18"/>
        <v>27603.156159859682</v>
      </c>
      <c r="G414" s="15">
        <f t="shared" si="20"/>
        <v>-896.84384014031821</v>
      </c>
      <c r="H414" s="4">
        <f t="shared" si="19"/>
        <v>-3.1468204917204146E-2</v>
      </c>
      <c r="I414" s="4"/>
    </row>
    <row r="415" spans="1:9" x14ac:dyDescent="0.2">
      <c r="A415" s="1">
        <f>Acciones!A415</f>
        <v>45597</v>
      </c>
      <c r="B415" s="4">
        <f>Acciones!B415/Acciones!B414</f>
        <v>1.001468487320692</v>
      </c>
      <c r="C415" s="4">
        <f>Acciones!C415/Acciones!C414</f>
        <v>0.97061778657973508</v>
      </c>
      <c r="D415" s="4">
        <f>Acciones!D415/Acciones!D414</f>
        <v>1.0270612037637661</v>
      </c>
      <c r="E415" s="4">
        <f>Acciones!E415/Acciones!E414</f>
        <v>1</v>
      </c>
      <c r="F415" s="15">
        <f t="shared" si="18"/>
        <v>28496.620715767567</v>
      </c>
      <c r="G415" s="15">
        <f t="shared" si="20"/>
        <v>-3.3792842324328376</v>
      </c>
      <c r="H415" s="4">
        <f t="shared" si="19"/>
        <v>-1.1857137657655947E-4</v>
      </c>
      <c r="I415" s="4"/>
    </row>
    <row r="416" spans="1:9" x14ac:dyDescent="0.2">
      <c r="A416" s="1">
        <f>Acciones!A416</f>
        <v>45600</v>
      </c>
      <c r="B416" s="4">
        <f>Acciones!B416/Acciones!B415</f>
        <v>0.99608990381973306</v>
      </c>
      <c r="C416" s="4">
        <f>Acciones!C416/Acciones!C415</f>
        <v>0.95306988113051561</v>
      </c>
      <c r="D416" s="4">
        <f>Acciones!D416/Acciones!D415</f>
        <v>0.98271738350337678</v>
      </c>
      <c r="E416" s="4">
        <f>Acciones!E416/Acciones!E415</f>
        <v>1.0192307515962604</v>
      </c>
      <c r="F416" s="15">
        <f t="shared" si="18"/>
        <v>27973.42150292216</v>
      </c>
      <c r="G416" s="15">
        <f t="shared" si="20"/>
        <v>-526.57849707784044</v>
      </c>
      <c r="H416" s="4">
        <f t="shared" si="19"/>
        <v>-1.8476438493959302E-2</v>
      </c>
      <c r="I416" s="4"/>
    </row>
    <row r="417" spans="1:9" x14ac:dyDescent="0.2">
      <c r="A417" s="1">
        <f>Acciones!A417</f>
        <v>45601</v>
      </c>
      <c r="B417" s="4">
        <f>Acciones!B417/Acciones!B416</f>
        <v>0.97742888356795021</v>
      </c>
      <c r="C417" s="4">
        <f>Acciones!C417/Acciones!C416</f>
        <v>1.0387601019079349</v>
      </c>
      <c r="D417" s="4">
        <f>Acciones!D417/Acciones!D416</f>
        <v>1.0055917266678716</v>
      </c>
      <c r="E417" s="4">
        <f>Acciones!E417/Acciones!E416</f>
        <v>1.0188680200145668</v>
      </c>
      <c r="F417" s="15">
        <f t="shared" si="18"/>
        <v>28948.913437372041</v>
      </c>
      <c r="G417" s="15">
        <f t="shared" si="20"/>
        <v>448.91343737204079</v>
      </c>
      <c r="H417" s="4">
        <f t="shared" si="19"/>
        <v>1.5751348679720723E-2</v>
      </c>
      <c r="I417" s="4"/>
    </row>
    <row r="418" spans="1:9" x14ac:dyDescent="0.2">
      <c r="A418" s="1">
        <f>Acciones!A418</f>
        <v>45602</v>
      </c>
      <c r="B418" s="4">
        <f>Acciones!B418/Acciones!B417</f>
        <v>1.0251003826145055</v>
      </c>
      <c r="C418" s="4">
        <f>Acciones!C418/Acciones!C417</f>
        <v>1.1908145728482358</v>
      </c>
      <c r="D418" s="4">
        <f>Acciones!D418/Acciones!D417</f>
        <v>0.97185768251407334</v>
      </c>
      <c r="E418" s="4">
        <f>Acciones!E418/Acciones!E417</f>
        <v>1</v>
      </c>
      <c r="F418" s="15">
        <f t="shared" si="18"/>
        <v>30119.166606349743</v>
      </c>
      <c r="G418" s="15">
        <f t="shared" si="20"/>
        <v>1619.1666063497432</v>
      </c>
      <c r="H418" s="4">
        <f t="shared" si="19"/>
        <v>5.6812863380692802E-2</v>
      </c>
      <c r="I418" s="4"/>
    </row>
    <row r="419" spans="1:9" x14ac:dyDescent="0.2">
      <c r="A419" s="1">
        <f>Acciones!A419</f>
        <v>45603</v>
      </c>
      <c r="B419" s="4">
        <f>Acciones!B419/Acciones!B418</f>
        <v>1.0759059857834843</v>
      </c>
      <c r="C419" s="4">
        <f>Acciones!C419/Acciones!C418</f>
        <v>0.98630883213163389</v>
      </c>
      <c r="D419" s="4">
        <f>Acciones!D419/Acciones!D418</f>
        <v>0.99740289786843173</v>
      </c>
      <c r="E419" s="4">
        <f>Acciones!E419/Acciones!E418</f>
        <v>1.0074074221245999</v>
      </c>
      <c r="F419" s="15">
        <f t="shared" si="18"/>
        <v>28650.374655862332</v>
      </c>
      <c r="G419" s="15">
        <f t="shared" si="20"/>
        <v>150.37465586233157</v>
      </c>
      <c r="H419" s="4">
        <f t="shared" si="19"/>
        <v>5.276303714467856E-3</v>
      </c>
      <c r="I419" s="4"/>
    </row>
    <row r="420" spans="1:9" x14ac:dyDescent="0.2">
      <c r="A420" s="1">
        <f>Acciones!A420</f>
        <v>45604</v>
      </c>
      <c r="B420" s="4">
        <f>Acciones!B420/Acciones!B419</f>
        <v>0.92853890052233512</v>
      </c>
      <c r="C420" s="4">
        <f>Acciones!C420/Acciones!C419</f>
        <v>1.0122573864113231</v>
      </c>
      <c r="D420" s="4">
        <f>Acciones!D420/Acciones!D419</f>
        <v>1.0130986910522752</v>
      </c>
      <c r="E420" s="4">
        <f>Acciones!E420/Acciones!E419</f>
        <v>1</v>
      </c>
      <c r="F420" s="15">
        <f t="shared" si="18"/>
        <v>28497.318233258495</v>
      </c>
      <c r="G420" s="15">
        <f t="shared" si="20"/>
        <v>-2.6817667415052711</v>
      </c>
      <c r="H420" s="4">
        <f t="shared" si="19"/>
        <v>-9.4097078649268973E-5</v>
      </c>
      <c r="I420" s="4"/>
    </row>
    <row r="421" spans="1:9" x14ac:dyDescent="0.2">
      <c r="A421" s="1">
        <f>Acciones!A421</f>
        <v>45607</v>
      </c>
      <c r="B421" s="4">
        <f>Acciones!B421/Acciones!B420</f>
        <v>0.98578435682795595</v>
      </c>
      <c r="C421" s="4">
        <f>Acciones!C421/Acciones!C420</f>
        <v>1.3190509474354444</v>
      </c>
      <c r="D421" s="4">
        <f>Acciones!D421/Acciones!D420</f>
        <v>1.0146907457061676</v>
      </c>
      <c r="E421" s="4">
        <f>Acciones!E421/Acciones!E420</f>
        <v>1</v>
      </c>
      <c r="F421" s="15">
        <f t="shared" si="18"/>
        <v>31628.13670659624</v>
      </c>
      <c r="G421" s="15">
        <f t="shared" si="20"/>
        <v>3128.1367065962404</v>
      </c>
      <c r="H421" s="4">
        <f t="shared" si="19"/>
        <v>0.10975918268758744</v>
      </c>
      <c r="I421" s="4"/>
    </row>
    <row r="422" spans="1:9" x14ac:dyDescent="0.2">
      <c r="A422" s="1">
        <f>Acciones!A422</f>
        <v>45608</v>
      </c>
      <c r="B422" s="4">
        <f>Acciones!B422/Acciones!B421</f>
        <v>0.98955740902342126</v>
      </c>
      <c r="C422" s="4">
        <f>Acciones!C422/Acciones!C421</f>
        <v>1.0198117631677852</v>
      </c>
      <c r="D422" s="4">
        <f>Acciones!D422/Acciones!D421</f>
        <v>1.0133013852687511</v>
      </c>
      <c r="E422" s="4">
        <f>Acciones!E422/Acciones!E421</f>
        <v>1</v>
      </c>
      <c r="F422" s="15">
        <f t="shared" si="18"/>
        <v>28784.676534363447</v>
      </c>
      <c r="G422" s="15">
        <f t="shared" si="20"/>
        <v>284.67653436344699</v>
      </c>
      <c r="H422" s="4">
        <f t="shared" si="19"/>
        <v>9.9886503285420147E-3</v>
      </c>
      <c r="I422" s="4"/>
    </row>
    <row r="423" spans="1:9" x14ac:dyDescent="0.2">
      <c r="A423" s="1">
        <f>Acciones!A423</f>
        <v>45609</v>
      </c>
      <c r="B423" s="4">
        <f>Acciones!B423/Acciones!B422</f>
        <v>0.98994977600038914</v>
      </c>
      <c r="C423" s="4">
        <f>Acciones!C423/Acciones!C422</f>
        <v>0.85695321765260046</v>
      </c>
      <c r="D423" s="4">
        <f>Acciones!D423/Acciones!D422</f>
        <v>0.99653581163977056</v>
      </c>
      <c r="E423" s="4">
        <f>Acciones!E423/Acciones!E422</f>
        <v>1</v>
      </c>
      <c r="F423" s="15">
        <f t="shared" si="18"/>
        <v>27071.237900098771</v>
      </c>
      <c r="G423" s="15">
        <f t="shared" si="20"/>
        <v>-1428.7620999012288</v>
      </c>
      <c r="H423" s="4">
        <f t="shared" si="19"/>
        <v>-5.0132003505306222E-2</v>
      </c>
      <c r="I423" s="4"/>
    </row>
    <row r="424" spans="1:9" x14ac:dyDescent="0.2">
      <c r="A424" s="1">
        <f>Acciones!A424</f>
        <v>45610</v>
      </c>
      <c r="B424" s="4">
        <f>Acciones!B424/Acciones!B423</f>
        <v>1</v>
      </c>
      <c r="C424" s="4">
        <f>Acciones!C424/Acciones!C423</f>
        <v>0.94940855025098603</v>
      </c>
      <c r="D424" s="4">
        <f>Acciones!D424/Acciones!D423</f>
        <v>0.98737510130603712</v>
      </c>
      <c r="E424" s="4">
        <f>Acciones!E424/Acciones!E423</f>
        <v>0.99264704432197071</v>
      </c>
      <c r="F424" s="15">
        <f t="shared" si="18"/>
        <v>27852.690984215576</v>
      </c>
      <c r="G424" s="15">
        <f t="shared" si="20"/>
        <v>-647.30901578442354</v>
      </c>
      <c r="H424" s="4">
        <f t="shared" si="19"/>
        <v>-2.2712597045067451E-2</v>
      </c>
      <c r="I424" s="4"/>
    </row>
    <row r="425" spans="1:9" x14ac:dyDescent="0.2">
      <c r="A425" s="1">
        <f>Acciones!A425</f>
        <v>45611</v>
      </c>
      <c r="B425" s="4">
        <f>Acciones!B425/Acciones!B424</f>
        <v>0.98883240832096775</v>
      </c>
      <c r="C425" s="4">
        <f>Acciones!C425/Acciones!C424</f>
        <v>1.013948378331111</v>
      </c>
      <c r="D425" s="4">
        <f>Acciones!D425/Acciones!D424</f>
        <v>1.0136246417084114</v>
      </c>
      <c r="E425" s="4">
        <f>Acciones!E425/Acciones!E424</f>
        <v>1</v>
      </c>
      <c r="F425" s="15">
        <f t="shared" si="18"/>
        <v>28729.669440353056</v>
      </c>
      <c r="G425" s="15">
        <f t="shared" si="20"/>
        <v>229.66944035305642</v>
      </c>
      <c r="H425" s="4">
        <f t="shared" si="19"/>
        <v>8.0585768544931824E-3</v>
      </c>
      <c r="I425" s="4"/>
    </row>
    <row r="426" spans="1:9" x14ac:dyDescent="0.2">
      <c r="A426" s="1">
        <f>Acciones!A426</f>
        <v>45615</v>
      </c>
      <c r="B426" s="4">
        <f>Acciones!B426/Acciones!B425</f>
        <v>0.9907597882442235</v>
      </c>
      <c r="C426" s="4">
        <f>Acciones!C426/Acciones!C425</f>
        <v>0.93068150348359635</v>
      </c>
      <c r="D426" s="4">
        <f>Acciones!D426/Acciones!D425</f>
        <v>0.94497461518234593</v>
      </c>
      <c r="E426" s="4">
        <f>Acciones!E426/Acciones!E425</f>
        <v>0.97037031150158548</v>
      </c>
      <c r="F426" s="15">
        <f t="shared" si="18"/>
        <v>27095.916407031127</v>
      </c>
      <c r="G426" s="15">
        <f t="shared" si="20"/>
        <v>-1404.0835929688728</v>
      </c>
      <c r="H426" s="4">
        <f t="shared" si="19"/>
        <v>-4.9266090981363919E-2</v>
      </c>
      <c r="I426" s="4"/>
    </row>
    <row r="427" spans="1:9" x14ac:dyDescent="0.2">
      <c r="A427" s="1">
        <f>Acciones!A427</f>
        <v>45616</v>
      </c>
      <c r="B427" s="4">
        <f>Acciones!B427/Acciones!B426</f>
        <v>0.9497409307984499</v>
      </c>
      <c r="C427" s="4">
        <f>Acciones!C427/Acciones!C426</f>
        <v>1.1587834560109473</v>
      </c>
      <c r="D427" s="4">
        <f>Acciones!D427/Acciones!D426</f>
        <v>0.99493761173691653</v>
      </c>
      <c r="E427" s="4">
        <f>Acciones!E427/Acciones!E426</f>
        <v>1</v>
      </c>
      <c r="F427" s="15">
        <f t="shared" si="18"/>
        <v>29781.912207267742</v>
      </c>
      <c r="G427" s="15">
        <f t="shared" si="20"/>
        <v>1281.9122072677419</v>
      </c>
      <c r="H427" s="4">
        <f t="shared" si="19"/>
        <v>4.4979375693604995E-2</v>
      </c>
      <c r="I427" s="4"/>
    </row>
    <row r="428" spans="1:9" x14ac:dyDescent="0.2">
      <c r="A428" s="1">
        <f>Acciones!A428</f>
        <v>45617</v>
      </c>
      <c r="B428" s="4">
        <f>Acciones!B428/Acciones!B427</f>
        <v>0.97708679403660526</v>
      </c>
      <c r="C428" s="4">
        <f>Acciones!C428/Acciones!C427</f>
        <v>1.0598866718072537</v>
      </c>
      <c r="D428" s="4">
        <f>Acciones!D428/Acciones!D427</f>
        <v>1.041962727746927</v>
      </c>
      <c r="E428" s="4">
        <f>Acciones!E428/Acciones!E427</f>
        <v>0.99236639658406167</v>
      </c>
      <c r="F428" s="15">
        <f t="shared" si="18"/>
        <v>29366.369619978639</v>
      </c>
      <c r="G428" s="15">
        <f t="shared" si="20"/>
        <v>866.36961997863909</v>
      </c>
      <c r="H428" s="4">
        <f t="shared" si="19"/>
        <v>3.0398934034338243E-2</v>
      </c>
      <c r="I428" s="4"/>
    </row>
    <row r="429" spans="1:9" x14ac:dyDescent="0.2">
      <c r="A429" s="1">
        <f>Acciones!A429</f>
        <v>45618</v>
      </c>
      <c r="B429" s="4">
        <f>Acciones!B429/Acciones!B428</f>
        <v>1.0290340452352755</v>
      </c>
      <c r="C429" s="4">
        <f>Acciones!C429/Acciones!C428</f>
        <v>1.0893032599726198</v>
      </c>
      <c r="D429" s="4">
        <f>Acciones!D429/Acciones!D428</f>
        <v>1.0284480147592889</v>
      </c>
      <c r="E429" s="4">
        <f>Acciones!E429/Acciones!E428</f>
        <v>0.96538460127700698</v>
      </c>
      <c r="F429" s="15">
        <f t="shared" si="18"/>
        <v>29544.09558267978</v>
      </c>
      <c r="G429" s="15">
        <f t="shared" si="20"/>
        <v>1044.0955826797799</v>
      </c>
      <c r="H429" s="4">
        <f t="shared" si="19"/>
        <v>3.6634932725606362E-2</v>
      </c>
      <c r="I429" s="4"/>
    </row>
    <row r="430" spans="1:9" x14ac:dyDescent="0.2">
      <c r="A430" s="1">
        <f>Acciones!A430</f>
        <v>45621</v>
      </c>
      <c r="B430" s="4">
        <f>Acciones!B430/Acciones!B429</f>
        <v>0.96635917171230956</v>
      </c>
      <c r="C430" s="4">
        <f>Acciones!C430/Acciones!C429</f>
        <v>0.99677908753347511</v>
      </c>
      <c r="D430" s="4">
        <f>Acciones!D430/Acciones!D429</f>
        <v>1.0196930530984845</v>
      </c>
      <c r="E430" s="4">
        <f>Acciones!E430/Acciones!E429</f>
        <v>0.9960159873438702</v>
      </c>
      <c r="F430" s="15">
        <f t="shared" si="18"/>
        <v>28526.676893937227</v>
      </c>
      <c r="G430" s="15">
        <f t="shared" si="20"/>
        <v>26.676893937226851</v>
      </c>
      <c r="H430" s="4">
        <f t="shared" si="19"/>
        <v>9.3603136621855931E-4</v>
      </c>
      <c r="I430" s="4"/>
    </row>
    <row r="431" spans="1:9" x14ac:dyDescent="0.2">
      <c r="A431" s="1">
        <f>Acciones!A431</f>
        <v>45622</v>
      </c>
      <c r="B431" s="4">
        <f>Acciones!B431/Acciones!B430</f>
        <v>0.99775405478400447</v>
      </c>
      <c r="C431" s="4">
        <f>Acciones!C431/Acciones!C430</f>
        <v>0.96212666991010354</v>
      </c>
      <c r="D431" s="4">
        <f>Acciones!D431/Acciones!D430</f>
        <v>0.99566552383098628</v>
      </c>
      <c r="E431" s="4">
        <f>Acciones!E431/Acciones!E430</f>
        <v>0.959999978542324</v>
      </c>
      <c r="F431" s="15">
        <f t="shared" si="18"/>
        <v>27868.997676182644</v>
      </c>
      <c r="G431" s="15">
        <f t="shared" si="20"/>
        <v>-631.00232381735623</v>
      </c>
      <c r="H431" s="4">
        <f t="shared" si="19"/>
        <v>-2.2140432414644029E-2</v>
      </c>
      <c r="I431" s="4"/>
    </row>
    <row r="432" spans="1:9" x14ac:dyDescent="0.2">
      <c r="A432" s="1">
        <f>Acciones!A432</f>
        <v>45623</v>
      </c>
      <c r="B432" s="4">
        <f>Acciones!B432/Acciones!B431</f>
        <v>1.0022510008405647</v>
      </c>
      <c r="C432" s="4">
        <f>Acciones!C432/Acciones!C431</f>
        <v>1.0792556032712584</v>
      </c>
      <c r="D432" s="4">
        <f>Acciones!D432/Acciones!D431</f>
        <v>1.0049752412973381</v>
      </c>
      <c r="E432" s="4">
        <f>Acciones!E432/Acciones!E431</f>
        <v>1</v>
      </c>
      <c r="F432" s="15">
        <f t="shared" si="18"/>
        <v>29310.559146992309</v>
      </c>
      <c r="G432" s="15">
        <f t="shared" si="20"/>
        <v>810.55914699230925</v>
      </c>
      <c r="H432" s="4">
        <f t="shared" si="19"/>
        <v>2.8440671824291552E-2</v>
      </c>
      <c r="I432" s="4"/>
    </row>
    <row r="433" spans="1:9" x14ac:dyDescent="0.2">
      <c r="A433" s="1">
        <f>Acciones!A433</f>
        <v>45624</v>
      </c>
      <c r="B433" s="4">
        <f>Acciones!B433/Acciones!B432</f>
        <v>0.99157776053631308</v>
      </c>
      <c r="C433" s="4">
        <f>Acciones!C433/Acciones!C432</f>
        <v>1.0063322058214244</v>
      </c>
      <c r="D433" s="4">
        <f>Acciones!D433/Acciones!D432</f>
        <v>0.99009885404980125</v>
      </c>
      <c r="E433" s="4">
        <f>Acciones!E433/Acciones!E432</f>
        <v>1.0416666899497358</v>
      </c>
      <c r="F433" s="15">
        <f t="shared" si="18"/>
        <v>28660.833452402185</v>
      </c>
      <c r="G433" s="15">
        <f t="shared" si="20"/>
        <v>160.83345240218478</v>
      </c>
      <c r="H433" s="4">
        <f t="shared" si="19"/>
        <v>5.6432790316556236E-3</v>
      </c>
      <c r="I433" s="4"/>
    </row>
    <row r="434" spans="1:9" x14ac:dyDescent="0.2">
      <c r="A434" s="1">
        <f>Acciones!A434</f>
        <v>45625</v>
      </c>
      <c r="B434" s="4">
        <f>Acciones!B434/Acciones!B433</f>
        <v>1.0220837955817295</v>
      </c>
      <c r="C434" s="4">
        <f>Acciones!C434/Acciones!C433</f>
        <v>1.0067778071366684</v>
      </c>
      <c r="D434" s="4">
        <f>Acciones!D434/Acciones!D433</f>
        <v>1</v>
      </c>
      <c r="E434" s="4">
        <f>Acciones!E434/Acciones!E433</f>
        <v>1</v>
      </c>
      <c r="F434" s="15">
        <f t="shared" si="18"/>
        <v>28641.682452334404</v>
      </c>
      <c r="G434" s="15">
        <f t="shared" si="20"/>
        <v>141.68245233440393</v>
      </c>
      <c r="H434" s="4">
        <f t="shared" si="19"/>
        <v>4.9713141169966946E-3</v>
      </c>
      <c r="I434" s="4"/>
    </row>
    <row r="435" spans="1:9" x14ac:dyDescent="0.2">
      <c r="A435" s="1">
        <f>Acciones!A435</f>
        <v>45628</v>
      </c>
      <c r="B435" s="4">
        <f>Acciones!B435/Acciones!B434</f>
        <v>1.0443213190984446</v>
      </c>
      <c r="C435" s="4">
        <f>Acciones!C435/Acciones!C434</f>
        <v>0.92144644601004466</v>
      </c>
      <c r="D435" s="4">
        <f>Acciones!D435/Acciones!D434</f>
        <v>1.0078895722815371</v>
      </c>
      <c r="E435" s="4">
        <f>Acciones!E435/Acciones!E434</f>
        <v>1.0199999809265119</v>
      </c>
      <c r="F435" s="15">
        <f t="shared" si="18"/>
        <v>28097.761471851165</v>
      </c>
      <c r="G435" s="15">
        <f t="shared" si="20"/>
        <v>-402.23852814883503</v>
      </c>
      <c r="H435" s="4">
        <f t="shared" si="19"/>
        <v>-1.4113632566625789E-2</v>
      </c>
      <c r="I435" s="4"/>
    </row>
    <row r="436" spans="1:9" x14ac:dyDescent="0.2">
      <c r="A436" s="1">
        <f>Acciones!A436</f>
        <v>45629</v>
      </c>
      <c r="B436" s="4">
        <f>Acciones!B436/Acciones!B435</f>
        <v>0.966047711445427</v>
      </c>
      <c r="C436" s="4">
        <f>Acciones!C436/Acciones!C435</f>
        <v>0.98610489468800877</v>
      </c>
      <c r="D436" s="4">
        <f>Acciones!D436/Acciones!D435</f>
        <v>0.99596210069956925</v>
      </c>
      <c r="E436" s="4">
        <f>Acciones!E436/Acciones!E435</f>
        <v>1</v>
      </c>
      <c r="F436" s="15">
        <f t="shared" si="18"/>
        <v>28208.784496590772</v>
      </c>
      <c r="G436" s="15">
        <f t="shared" si="20"/>
        <v>-291.2155034092284</v>
      </c>
      <c r="H436" s="4">
        <f t="shared" si="19"/>
        <v>-1.0218087838920309E-2</v>
      </c>
      <c r="I436" s="4"/>
    </row>
    <row r="437" spans="1:9" x14ac:dyDescent="0.2">
      <c r="A437" s="1">
        <f>Acciones!A437</f>
        <v>45630</v>
      </c>
      <c r="B437" s="4">
        <f>Acciones!B437/Acciones!B436</f>
        <v>0.96924776903662091</v>
      </c>
      <c r="C437" s="4">
        <f>Acciones!C437/Acciones!C436</f>
        <v>1.0355514434165638</v>
      </c>
      <c r="D437" s="4">
        <f>Acciones!D437/Acciones!D436</f>
        <v>0.98926945244397368</v>
      </c>
      <c r="E437" s="4">
        <f>Acciones!E437/Acciones!E436</f>
        <v>1.0196078248044134</v>
      </c>
      <c r="F437" s="15">
        <f t="shared" si="18"/>
        <v>28730.643464949542</v>
      </c>
      <c r="G437" s="15">
        <f t="shared" si="20"/>
        <v>230.64346494954225</v>
      </c>
      <c r="H437" s="4">
        <f t="shared" si="19"/>
        <v>8.0927531561243438E-3</v>
      </c>
      <c r="I437" s="4"/>
    </row>
    <row r="438" spans="1:9" x14ac:dyDescent="0.2">
      <c r="A438" s="1">
        <f>Acciones!A438</f>
        <v>45631</v>
      </c>
      <c r="B438" s="4">
        <f>Acciones!B438/Acciones!B437</f>
        <v>0.98923510706739826</v>
      </c>
      <c r="C438" s="4">
        <f>Acciones!C438/Acciones!C437</f>
        <v>0.9514926120853382</v>
      </c>
      <c r="D438" s="4">
        <f>Acciones!D438/Acciones!D437</f>
        <v>0.99843882556086438</v>
      </c>
      <c r="E438" s="4">
        <f>Acciones!E438/Acciones!E437</f>
        <v>1.1500000229248648</v>
      </c>
      <c r="F438" s="15">
        <f t="shared" si="18"/>
        <v>28810.891071242011</v>
      </c>
      <c r="G438" s="15">
        <f t="shared" si="20"/>
        <v>310.89107124201109</v>
      </c>
      <c r="H438" s="4">
        <f t="shared" si="19"/>
        <v>1.0908458640070506E-2</v>
      </c>
      <c r="I438" s="4"/>
    </row>
    <row r="439" spans="1:9" x14ac:dyDescent="0.2">
      <c r="A439" s="1">
        <f>Acciones!A439</f>
        <v>45632</v>
      </c>
      <c r="B439" s="4">
        <f>Acciones!B439/Acciones!B438</f>
        <v>0.98969076104794151</v>
      </c>
      <c r="C439" s="4">
        <f>Acciones!C439/Acciones!C438</f>
        <v>1.0551289764398</v>
      </c>
      <c r="D439" s="4">
        <f>Acciones!D439/Acciones!D438</f>
        <v>1.0057187639797827</v>
      </c>
      <c r="E439" s="4">
        <f>Acciones!E439/Acciones!E438</f>
        <v>1.0367893229938878</v>
      </c>
      <c r="F439" s="15">
        <f t="shared" si="18"/>
        <v>29247.171856110101</v>
      </c>
      <c r="G439" s="15">
        <f t="shared" si="20"/>
        <v>747.17185611010063</v>
      </c>
      <c r="H439" s="4">
        <f t="shared" si="19"/>
        <v>2.6216556354740295E-2</v>
      </c>
      <c r="I439" s="4"/>
    </row>
    <row r="440" spans="1:9" x14ac:dyDescent="0.2">
      <c r="A440" s="1">
        <f>Acciones!A440</f>
        <v>45635</v>
      </c>
      <c r="B440" s="4">
        <f>Acciones!B440/Acciones!B439</f>
        <v>1.0005787645647979</v>
      </c>
      <c r="C440" s="4">
        <f>Acciones!C440/Acciones!C439</f>
        <v>0.91550252096962004</v>
      </c>
      <c r="D440" s="4">
        <f>Acciones!D440/Acciones!D439</f>
        <v>0.98695359098184721</v>
      </c>
      <c r="E440" s="4">
        <f>Acciones!E440/Acciones!E439</f>
        <v>1</v>
      </c>
      <c r="F440" s="15">
        <f t="shared" si="18"/>
        <v>27568.835535006656</v>
      </c>
      <c r="G440" s="15">
        <f t="shared" si="20"/>
        <v>-931.16446499334415</v>
      </c>
      <c r="H440" s="4">
        <f t="shared" si="19"/>
        <v>-3.2672437368187479E-2</v>
      </c>
      <c r="I440" s="4"/>
    </row>
    <row r="441" spans="1:9" x14ac:dyDescent="0.2">
      <c r="A441" s="1">
        <f>Acciones!A441</f>
        <v>45636</v>
      </c>
      <c r="B441" s="4">
        <f>Acciones!B441/Acciones!B440</f>
        <v>1.0161942180176324</v>
      </c>
      <c r="C441" s="4">
        <f>Acciones!C441/Acciones!C440</f>
        <v>0.94986682310567105</v>
      </c>
      <c r="D441" s="4">
        <f>Acciones!D441/Acciones!D440</f>
        <v>0.98455774296010867</v>
      </c>
      <c r="E441" s="4">
        <f>Acciones!E441/Acciones!E440</f>
        <v>1</v>
      </c>
      <c r="F441" s="15">
        <f t="shared" si="18"/>
        <v>27925.992012166673</v>
      </c>
      <c r="G441" s="15">
        <f t="shared" si="20"/>
        <v>-574.00798783332721</v>
      </c>
      <c r="H441" s="4">
        <f t="shared" si="19"/>
        <v>-2.0140631152046562E-2</v>
      </c>
      <c r="I441" s="4"/>
    </row>
    <row r="442" spans="1:9" x14ac:dyDescent="0.2">
      <c r="A442" s="1">
        <f>Acciones!A442</f>
        <v>45637</v>
      </c>
      <c r="B442" s="4">
        <f>Acciones!B442/Acciones!B441</f>
        <v>0.98406385538266117</v>
      </c>
      <c r="C442" s="4">
        <f>Acciones!C442/Acciones!C441</f>
        <v>1.0264765182881594</v>
      </c>
      <c r="D442" s="4">
        <f>Acciones!D442/Acciones!D441</f>
        <v>1.0200328847363471</v>
      </c>
      <c r="E442" s="4">
        <f>Acciones!E442/Acciones!E441</f>
        <v>1</v>
      </c>
      <c r="F442" s="15">
        <f t="shared" si="18"/>
        <v>28896.079264940301</v>
      </c>
      <c r="G442" s="15">
        <f t="shared" si="20"/>
        <v>396.07926494030107</v>
      </c>
      <c r="H442" s="4">
        <f t="shared" si="19"/>
        <v>1.3897518068080705E-2</v>
      </c>
      <c r="I442" s="4"/>
    </row>
    <row r="443" spans="1:9" x14ac:dyDescent="0.2">
      <c r="A443" s="1">
        <f>Acciones!A443</f>
        <v>45639</v>
      </c>
      <c r="B443" s="4">
        <f>Acciones!B443/Acciones!B442</f>
        <v>0.99305952355818494</v>
      </c>
      <c r="C443" s="4">
        <f>Acciones!C443/Acciones!C442</f>
        <v>0.96673092111696135</v>
      </c>
      <c r="D443" s="4">
        <f>Acciones!D443/Acciones!D442</f>
        <v>0.98355482109105097</v>
      </c>
      <c r="E443" s="4">
        <f>Acciones!E443/Acciones!E442</f>
        <v>1</v>
      </c>
      <c r="F443" s="15">
        <f t="shared" si="18"/>
        <v>27995.200293975293</v>
      </c>
      <c r="G443" s="15">
        <f t="shared" si="20"/>
        <v>-504.79970602470712</v>
      </c>
      <c r="H443" s="4">
        <f t="shared" si="19"/>
        <v>-1.7712270386831874E-2</v>
      </c>
      <c r="I443" s="4"/>
    </row>
    <row r="444" spans="1:9" x14ac:dyDescent="0.2">
      <c r="A444" s="1">
        <f>Acciones!A444</f>
        <v>45642</v>
      </c>
      <c r="B444" s="4">
        <f>Acciones!B444/Acciones!B443</f>
        <v>0.98136282545761366</v>
      </c>
      <c r="C444" s="4">
        <f>Acciones!C444/Acciones!C443</f>
        <v>1.0843373493975903</v>
      </c>
      <c r="D444" s="4">
        <f>Acciones!D444/Acciones!D443</f>
        <v>1.0034662621475494</v>
      </c>
      <c r="E444" s="4">
        <f>Acciones!E444/Acciones!E443</f>
        <v>1</v>
      </c>
      <c r="F444" s="15">
        <f t="shared" si="18"/>
        <v>29270.637329854249</v>
      </c>
      <c r="G444" s="15">
        <f t="shared" si="20"/>
        <v>770.6373298542494</v>
      </c>
      <c r="H444" s="4">
        <f t="shared" si="19"/>
        <v>2.7039906310675432E-2</v>
      </c>
      <c r="I444" s="4"/>
    </row>
    <row r="445" spans="1:9" x14ac:dyDescent="0.2">
      <c r="A445" s="1">
        <f>Acciones!A445</f>
        <v>45643</v>
      </c>
      <c r="B445" s="4">
        <f>Acciones!B445/Acciones!B444</f>
        <v>1.0094954994009331</v>
      </c>
      <c r="C445" s="4">
        <f>Acciones!C445/Acciones!C444</f>
        <v>1.009090909090909</v>
      </c>
      <c r="D445" s="4">
        <f>Acciones!D445/Acciones!D444</f>
        <v>1.0087926279673456</v>
      </c>
      <c r="E445" s="4">
        <f>Acciones!E445/Acciones!E444</f>
        <v>1</v>
      </c>
      <c r="F445" s="15">
        <f t="shared" si="18"/>
        <v>28707.524163940361</v>
      </c>
      <c r="G445" s="15">
        <f t="shared" si="20"/>
        <v>207.52416394036118</v>
      </c>
      <c r="H445" s="4">
        <f t="shared" si="19"/>
        <v>7.2815496119424949E-3</v>
      </c>
      <c r="I445" s="4"/>
    </row>
    <row r="446" spans="1:9" x14ac:dyDescent="0.2">
      <c r="A446" s="1">
        <f>Acciones!A446</f>
        <v>45644</v>
      </c>
      <c r="B446" s="4">
        <f>Acciones!B446/Acciones!B445</f>
        <v>0.94179899032972236</v>
      </c>
      <c r="C446" s="4">
        <f>Acciones!C446/Acciones!C445</f>
        <v>0.89861858929241645</v>
      </c>
      <c r="D446" s="4">
        <f>Acciones!D446/Acciones!D445</f>
        <v>1.0024902499966843</v>
      </c>
      <c r="E446" s="4">
        <f>Acciones!E446/Acciones!E445</f>
        <v>1</v>
      </c>
      <c r="F446" s="15">
        <f t="shared" si="18"/>
        <v>27358.07556439883</v>
      </c>
      <c r="G446" s="15">
        <f t="shared" si="20"/>
        <v>-1141.9244356011695</v>
      </c>
      <c r="H446" s="4">
        <f t="shared" si="19"/>
        <v>-4.0067524056181414E-2</v>
      </c>
      <c r="I446" s="4"/>
    </row>
    <row r="447" spans="1:9" x14ac:dyDescent="0.2">
      <c r="A447" s="1">
        <f>Acciones!A447</f>
        <v>45645</v>
      </c>
      <c r="B447" s="4">
        <f>Acciones!B447/Acciones!B446</f>
        <v>0.97440693348782059</v>
      </c>
      <c r="C447" s="4">
        <f>Acciones!C447/Acciones!C446</f>
        <v>0.92431944969093516</v>
      </c>
      <c r="D447" s="4">
        <f>Acciones!D447/Acciones!D446</f>
        <v>0.99361229602797685</v>
      </c>
      <c r="E447" s="4">
        <f>Acciones!E447/Acciones!E446</f>
        <v>1.0032257648958265</v>
      </c>
      <c r="F447" s="15">
        <f t="shared" si="18"/>
        <v>27645.32370647807</v>
      </c>
      <c r="G447" s="15">
        <f t="shared" si="20"/>
        <v>-854.67629352193035</v>
      </c>
      <c r="H447" s="4">
        <f t="shared" si="19"/>
        <v>-2.9988641877962463E-2</v>
      </c>
      <c r="I447" s="4"/>
    </row>
    <row r="448" spans="1:9" x14ac:dyDescent="0.2">
      <c r="A448" s="1">
        <f>Acciones!A448</f>
        <v>45646</v>
      </c>
      <c r="B448" s="4">
        <f>Acciones!B448/Acciones!B447</f>
        <v>0.97501602648925012</v>
      </c>
      <c r="C448" s="4">
        <f>Acciones!C448/Acciones!C447</f>
        <v>0.96582221144711178</v>
      </c>
      <c r="D448" s="4">
        <f>Acciones!D448/Acciones!D447</f>
        <v>0.98133868175144257</v>
      </c>
      <c r="E448" s="4">
        <f>Acciones!E448/Acciones!E447</f>
        <v>1</v>
      </c>
      <c r="F448" s="15">
        <f t="shared" si="18"/>
        <v>27901.253918974362</v>
      </c>
      <c r="G448" s="15">
        <f t="shared" si="20"/>
        <v>-598.74608102563798</v>
      </c>
      <c r="H448" s="4">
        <f t="shared" si="19"/>
        <v>-2.1008634421952221E-2</v>
      </c>
      <c r="I448" s="4"/>
    </row>
    <row r="449" spans="1:9" x14ac:dyDescent="0.2">
      <c r="A449" s="1">
        <f>Acciones!A449</f>
        <v>45649</v>
      </c>
      <c r="B449" s="4">
        <f>Acciones!B449/Acciones!B448</f>
        <v>0.97897501268810649</v>
      </c>
      <c r="C449" s="4">
        <f>Acciones!C449/Acciones!C448</f>
        <v>0.97397121884106741</v>
      </c>
      <c r="D449" s="4">
        <f>Acciones!D449/Acciones!D448</f>
        <v>1.0028075685239302</v>
      </c>
      <c r="E449" s="4">
        <f>Acciones!E449/Acciones!E448</f>
        <v>0.96463029594952732</v>
      </c>
      <c r="F449" s="15">
        <f t="shared" si="18"/>
        <v>28012.681436360217</v>
      </c>
      <c r="G449" s="15">
        <f t="shared" si="20"/>
        <v>-487.31856363978295</v>
      </c>
      <c r="H449" s="4">
        <f t="shared" si="19"/>
        <v>-1.7098896969816924E-2</v>
      </c>
      <c r="I449" s="4"/>
    </row>
    <row r="450" spans="1:9" x14ac:dyDescent="0.2">
      <c r="A450" s="1">
        <f>Acciones!A450</f>
        <v>45650</v>
      </c>
      <c r="B450" s="4">
        <f>Acciones!B450/Acciones!B449</f>
        <v>1.025503339527815</v>
      </c>
      <c r="C450" s="4">
        <f>Acciones!C450/Acciones!C449</f>
        <v>1.0325919884710699</v>
      </c>
      <c r="D450" s="4">
        <f>Acciones!D450/Acciones!D449</f>
        <v>1.0014128886889935</v>
      </c>
      <c r="E450" s="4">
        <f>Acciones!E450/Acciones!E449</f>
        <v>1</v>
      </c>
      <c r="F450" s="15">
        <f t="shared" si="18"/>
        <v>28913.014465712455</v>
      </c>
      <c r="G450" s="15">
        <f t="shared" si="20"/>
        <v>413.01446571245469</v>
      </c>
      <c r="H450" s="4">
        <f t="shared" si="19"/>
        <v>1.4491735639033498E-2</v>
      </c>
      <c r="I450" s="4"/>
    </row>
    <row r="451" spans="1:9" x14ac:dyDescent="0.2">
      <c r="A451" s="1">
        <f>Acciones!A451</f>
        <v>45652</v>
      </c>
      <c r="B451" s="4">
        <f>Acciones!B451/Acciones!B450</f>
        <v>1.0143979441728308</v>
      </c>
      <c r="C451" s="4">
        <f>Acciones!C451/Acciones!C450</f>
        <v>0.97238212187887585</v>
      </c>
      <c r="D451" s="4">
        <f>Acciones!D451/Acciones!D450</f>
        <v>1.0078113953272205</v>
      </c>
      <c r="E451" s="4">
        <f>Acciones!E451/Acciones!E450</f>
        <v>0.99333332008786002</v>
      </c>
      <c r="F451" s="15">
        <f t="shared" ref="F451:F514" si="21">$J$2*B451+$J$3*C451+$J$4*D451+$J$5*E451</f>
        <v>28329.470176209667</v>
      </c>
      <c r="G451" s="15">
        <f t="shared" si="20"/>
        <v>-170.52982379033347</v>
      </c>
      <c r="H451" s="4">
        <f t="shared" ref="H451:H514" si="22">(F451/$J$6)-1</f>
        <v>-5.9835025891344928E-3</v>
      </c>
      <c r="I451" s="4"/>
    </row>
    <row r="452" spans="1:9" x14ac:dyDescent="0.2">
      <c r="A452" s="1">
        <f>Acciones!A452</f>
        <v>45653</v>
      </c>
      <c r="B452" s="4">
        <f>Acciones!B452/Acciones!B451</f>
        <v>1.0251613421121293</v>
      </c>
      <c r="C452" s="4">
        <f>Acciones!C452/Acciones!C451</f>
        <v>0.95733278528838894</v>
      </c>
      <c r="D452" s="4">
        <f>Acciones!D452/Acciones!D451</f>
        <v>0.99823393575589647</v>
      </c>
      <c r="E452" s="4">
        <f>Acciones!E452/Acciones!E451</f>
        <v>0.95637580167494973</v>
      </c>
      <c r="F452" s="15">
        <f t="shared" si="21"/>
        <v>27925.132424403335</v>
      </c>
      <c r="G452" s="15">
        <f t="shared" si="20"/>
        <v>-574.86757559666512</v>
      </c>
      <c r="H452" s="4">
        <f t="shared" si="22"/>
        <v>-2.0170792126198767E-2</v>
      </c>
      <c r="I452" s="4"/>
    </row>
    <row r="453" spans="1:9" x14ac:dyDescent="0.2">
      <c r="A453" s="1">
        <f>Acciones!A453</f>
        <v>45656</v>
      </c>
      <c r="B453" s="4">
        <f>Acciones!B453/Acciones!B452</f>
        <v>0.98426684723422364</v>
      </c>
      <c r="C453" s="4">
        <f>Acciones!C453/Acciones!C452</f>
        <v>0.96062911034526766</v>
      </c>
      <c r="D453" s="4">
        <f>Acciones!D453/Acciones!D452</f>
        <v>0.99645564498939854</v>
      </c>
      <c r="E453" s="4">
        <f>Acciones!E453/Acciones!E452</f>
        <v>0.98596488366166501</v>
      </c>
      <c r="F453" s="15">
        <f t="shared" si="21"/>
        <v>27958.273823632968</v>
      </c>
      <c r="G453" s="15">
        <f t="shared" ref="G453:G516" si="23">F453-$J$6</f>
        <v>-541.72617636703217</v>
      </c>
      <c r="H453" s="4">
        <f t="shared" si="22"/>
        <v>-1.9007936012878313E-2</v>
      </c>
      <c r="I453" s="4"/>
    </row>
    <row r="454" spans="1:9" x14ac:dyDescent="0.2">
      <c r="A454" s="1">
        <f>Acciones!A454</f>
        <v>45657</v>
      </c>
      <c r="B454" s="4">
        <f>Acciones!B454/Acciones!B453</f>
        <v>1.0089513440693574</v>
      </c>
      <c r="C454" s="4">
        <f>Acciones!C454/Acciones!C453</f>
        <v>0.97377764559911162</v>
      </c>
      <c r="D454" s="4">
        <f>Acciones!D454/Acciones!D453</f>
        <v>1.0231052570012531</v>
      </c>
      <c r="E454" s="4">
        <f>Acciones!E454/Acciones!E453</f>
        <v>1</v>
      </c>
      <c r="F454" s="15">
        <f t="shared" si="21"/>
        <v>28513.26990744684</v>
      </c>
      <c r="G454" s="15">
        <f t="shared" si="23"/>
        <v>13.26990744684008</v>
      </c>
      <c r="H454" s="4">
        <f t="shared" si="22"/>
        <v>4.6561078760842811E-4</v>
      </c>
      <c r="I454" s="4"/>
    </row>
    <row r="455" spans="1:9" x14ac:dyDescent="0.2">
      <c r="A455" s="1">
        <f>Acciones!A455</f>
        <v>45659</v>
      </c>
      <c r="B455" s="4">
        <f>Acciones!B455/Acciones!B454</f>
        <v>1.0139416728166744</v>
      </c>
      <c r="C455" s="4">
        <f>Acciones!C455/Acciones!C454</f>
        <v>1.0065540659349455</v>
      </c>
      <c r="D455" s="4">
        <f>Acciones!D455/Acciones!D454</f>
        <v>0.95722446073758416</v>
      </c>
      <c r="E455" s="4">
        <f>Acciones!E455/Acciones!E454</f>
        <v>1</v>
      </c>
      <c r="F455" s="15">
        <f t="shared" si="21"/>
        <v>28183.304088616183</v>
      </c>
      <c r="G455" s="15">
        <f t="shared" si="23"/>
        <v>-316.69591138381656</v>
      </c>
      <c r="H455" s="4">
        <f t="shared" si="22"/>
        <v>-1.1112137241537479E-2</v>
      </c>
      <c r="I455" s="4"/>
    </row>
    <row r="456" spans="1:9" x14ac:dyDescent="0.2">
      <c r="A456" s="1">
        <f>Acciones!A456</f>
        <v>45660</v>
      </c>
      <c r="B456" s="4">
        <f>Acciones!B456/Acciones!B455</f>
        <v>0.96812501855204258</v>
      </c>
      <c r="C456" s="4">
        <f>Acciones!C456/Acciones!C455</f>
        <v>1.1346713906720718</v>
      </c>
      <c r="D456" s="4">
        <f>Acciones!D456/Acciones!D455</f>
        <v>1.0019775927625747</v>
      </c>
      <c r="E456" s="4">
        <f>Acciones!E456/Acciones!E455</f>
        <v>1.067615745172102</v>
      </c>
      <c r="F456" s="15">
        <f t="shared" si="21"/>
        <v>30059.478302389136</v>
      </c>
      <c r="G456" s="15">
        <f t="shared" si="23"/>
        <v>1559.4783023891359</v>
      </c>
      <c r="H456" s="4">
        <f t="shared" si="22"/>
        <v>5.4718536925934647E-2</v>
      </c>
      <c r="I456" s="4"/>
    </row>
    <row r="457" spans="1:9" x14ac:dyDescent="0.2">
      <c r="A457" s="1">
        <f>Acciones!A457</f>
        <v>45663</v>
      </c>
      <c r="B457" s="4">
        <f>Acciones!B457/Acciones!B456</f>
        <v>1.0012912280932915</v>
      </c>
      <c r="C457" s="4">
        <f>Acciones!C457/Acciones!C456</f>
        <v>1.0373752780503225</v>
      </c>
      <c r="D457" s="4">
        <f>Acciones!D457/Acciones!D456</f>
        <v>0.96397374977537875</v>
      </c>
      <c r="E457" s="4">
        <f>Acciones!E457/Acciones!E456</f>
        <v>1.0333333002196439</v>
      </c>
      <c r="F457" s="15">
        <f t="shared" si="21"/>
        <v>28682.655088766413</v>
      </c>
      <c r="G457" s="15">
        <f t="shared" si="23"/>
        <v>182.65508876641252</v>
      </c>
      <c r="H457" s="4">
        <f t="shared" si="22"/>
        <v>6.4089504830320276E-3</v>
      </c>
      <c r="I457" s="4"/>
    </row>
    <row r="458" spans="1:9" x14ac:dyDescent="0.2">
      <c r="A458" s="1">
        <f>Acciones!A458</f>
        <v>45664</v>
      </c>
      <c r="B458" s="4">
        <f>Acciones!B458/Acciones!B457</f>
        <v>0.99419725131958059</v>
      </c>
      <c r="C458" s="4">
        <f>Acciones!C458/Acciones!C457</f>
        <v>0.93299344501092596</v>
      </c>
      <c r="D458" s="4">
        <f>Acciones!D458/Acciones!D457</f>
        <v>0.99984295945166657</v>
      </c>
      <c r="E458" s="4">
        <f>Acciones!E458/Acciones!E457</f>
        <v>1.516129016752177</v>
      </c>
      <c r="F458" s="15">
        <f t="shared" si="21"/>
        <v>30680.267293875972</v>
      </c>
      <c r="G458" s="15">
        <f t="shared" si="23"/>
        <v>2180.2672938759715</v>
      </c>
      <c r="H458" s="4">
        <f t="shared" si="22"/>
        <v>7.6500606802665683E-2</v>
      </c>
      <c r="I458" s="4"/>
    </row>
    <row r="459" spans="1:9" x14ac:dyDescent="0.2">
      <c r="A459" s="1">
        <f>Acciones!A459</f>
        <v>45665</v>
      </c>
      <c r="B459" s="4">
        <f>Acciones!B459/Acciones!B458</f>
        <v>0.99740594795439563</v>
      </c>
      <c r="C459" s="4">
        <f>Acciones!C459/Acciones!C458</f>
        <v>0.96690032374970269</v>
      </c>
      <c r="D459" s="4">
        <f>Acciones!D459/Acciones!D458</f>
        <v>0.99111947271487966</v>
      </c>
      <c r="E459" s="4">
        <f>Acciones!E459/Acciones!E458</f>
        <v>1</v>
      </c>
      <c r="F459" s="15">
        <f t="shared" si="21"/>
        <v>28087.668620611359</v>
      </c>
      <c r="G459" s="15">
        <f t="shared" si="23"/>
        <v>-412.33137938864093</v>
      </c>
      <c r="H459" s="4">
        <f t="shared" si="22"/>
        <v>-1.4467767697847078E-2</v>
      </c>
      <c r="I459" s="4"/>
    </row>
    <row r="460" spans="1:9" x14ac:dyDescent="0.2">
      <c r="A460" s="1">
        <f>Acciones!A460</f>
        <v>45666</v>
      </c>
      <c r="B460" s="4">
        <f>Acciones!B460/Acciones!B459</f>
        <v>1.0045513976421714</v>
      </c>
      <c r="C460" s="4">
        <f>Acciones!C460/Acciones!C459</f>
        <v>0.98552310741662341</v>
      </c>
      <c r="D460" s="4">
        <f>Acciones!D460/Acciones!D459</f>
        <v>1.0192838843453693</v>
      </c>
      <c r="E460" s="4">
        <f>Acciones!E460/Acciones!E459</f>
        <v>1.1063829409477115</v>
      </c>
      <c r="F460" s="15">
        <f t="shared" si="21"/>
        <v>29156.344430871628</v>
      </c>
      <c r="G460" s="15">
        <f t="shared" si="23"/>
        <v>656.34443087162799</v>
      </c>
      <c r="H460" s="4">
        <f t="shared" si="22"/>
        <v>2.3029629153390463E-2</v>
      </c>
      <c r="I460" s="4"/>
    </row>
    <row r="461" spans="1:9" x14ac:dyDescent="0.2">
      <c r="A461" s="1">
        <f>Acciones!A461</f>
        <v>45667</v>
      </c>
      <c r="B461" s="4">
        <f>Acciones!B461/Acciones!B460</f>
        <v>0.99741092147187971</v>
      </c>
      <c r="C461" s="4">
        <f>Acciones!C461/Acciones!C460</f>
        <v>1.0037332744639473</v>
      </c>
      <c r="D461" s="4">
        <f>Acciones!D461/Acciones!D460</f>
        <v>0.99662153007941912</v>
      </c>
      <c r="E461" s="4">
        <f>Acciones!E461/Acciones!E460</f>
        <v>1.1346153757981299</v>
      </c>
      <c r="F461" s="15">
        <f t="shared" si="21"/>
        <v>29233.004200242987</v>
      </c>
      <c r="G461" s="15">
        <f t="shared" si="23"/>
        <v>733.00420024298728</v>
      </c>
      <c r="H461" s="4">
        <f t="shared" si="22"/>
        <v>2.5719445622560899E-2</v>
      </c>
      <c r="I461" s="4"/>
    </row>
    <row r="462" spans="1:9" x14ac:dyDescent="0.2">
      <c r="A462" s="1">
        <f>Acciones!A462</f>
        <v>45670</v>
      </c>
      <c r="B462" s="4">
        <f>Acciones!B462/Acciones!B461</f>
        <v>1.0914990423910937</v>
      </c>
      <c r="C462" s="4">
        <f>Acciones!C462/Acciones!C461</f>
        <v>0.95628385501423741</v>
      </c>
      <c r="D462" s="4">
        <f>Acciones!D462/Acciones!D461</f>
        <v>1.0169491160139992</v>
      </c>
      <c r="E462" s="4">
        <f>Acciones!E462/Acciones!E461</f>
        <v>1.0847457866838572</v>
      </c>
      <c r="F462" s="15">
        <f t="shared" si="21"/>
        <v>29040.536257905289</v>
      </c>
      <c r="G462" s="15">
        <f t="shared" si="23"/>
        <v>540.53625790528895</v>
      </c>
      <c r="H462" s="4">
        <f t="shared" si="22"/>
        <v>1.8966184487904769E-2</v>
      </c>
      <c r="I462" s="4"/>
    </row>
    <row r="463" spans="1:9" x14ac:dyDescent="0.2">
      <c r="A463" s="1">
        <f>Acciones!A463</f>
        <v>45671</v>
      </c>
      <c r="B463" s="4">
        <f>Acciones!B463/Acciones!B462</f>
        <v>0.9696789128377663</v>
      </c>
      <c r="C463" s="4">
        <f>Acciones!C463/Acciones!C462</f>
        <v>1.0005072931344114</v>
      </c>
      <c r="D463" s="4">
        <f>Acciones!D463/Acciones!D462</f>
        <v>0.97100004189602995</v>
      </c>
      <c r="E463" s="4">
        <f>Acciones!E463/Acciones!E462</f>
        <v>1.2218750355066732</v>
      </c>
      <c r="F463" s="15">
        <f t="shared" si="21"/>
        <v>29329.008593956092</v>
      </c>
      <c r="G463" s="15">
        <f t="shared" si="23"/>
        <v>829.00859395609223</v>
      </c>
      <c r="H463" s="4">
        <f t="shared" si="22"/>
        <v>2.908802084056461E-2</v>
      </c>
      <c r="I463" s="4"/>
    </row>
    <row r="464" spans="1:9" x14ac:dyDescent="0.2">
      <c r="A464" s="1">
        <f>Acciones!A464</f>
        <v>45672</v>
      </c>
      <c r="B464" s="4">
        <f>Acciones!B464/Acciones!B463</f>
        <v>1.040466020856726</v>
      </c>
      <c r="C464" s="4">
        <f>Acciones!C464/Acciones!C463</f>
        <v>1.0552410389267395</v>
      </c>
      <c r="D464" s="4">
        <f>Acciones!D464/Acciones!D463</f>
        <v>0.99860627511136912</v>
      </c>
      <c r="E464" s="4">
        <f>Acciones!E464/Acciones!E463</f>
        <v>1.074168757211915</v>
      </c>
      <c r="F464" s="15">
        <f t="shared" si="21"/>
        <v>29560.411858581789</v>
      </c>
      <c r="G464" s="15">
        <f t="shared" si="23"/>
        <v>1060.4118585817887</v>
      </c>
      <c r="H464" s="4">
        <f t="shared" si="22"/>
        <v>3.7207433634448783E-2</v>
      </c>
      <c r="I464" s="4"/>
    </row>
    <row r="465" spans="1:9" x14ac:dyDescent="0.2">
      <c r="A465" s="1">
        <f>Acciones!A465</f>
        <v>45673</v>
      </c>
      <c r="B465" s="4">
        <f>Acciones!B465/Acciones!B464</f>
        <v>1.067177502676653</v>
      </c>
      <c r="C465" s="4">
        <f>Acciones!C465/Acciones!C464</f>
        <v>1.0170848739781293</v>
      </c>
      <c r="D465" s="4">
        <f>Acciones!D465/Acciones!D464</f>
        <v>1.0141150722111978</v>
      </c>
      <c r="E465" s="4">
        <f>Acciones!E465/Acciones!E464</f>
        <v>0.82142859423647197</v>
      </c>
      <c r="F465" s="15">
        <f t="shared" si="21"/>
        <v>28056.435552573086</v>
      </c>
      <c r="G465" s="15">
        <f t="shared" si="23"/>
        <v>-443.56444742691383</v>
      </c>
      <c r="H465" s="4">
        <f t="shared" si="22"/>
        <v>-1.5563664821997003E-2</v>
      </c>
      <c r="I465" s="4"/>
    </row>
    <row r="466" spans="1:9" x14ac:dyDescent="0.2">
      <c r="A466" s="1">
        <f>Acciones!A466</f>
        <v>45674</v>
      </c>
      <c r="B466" s="4">
        <f>Acciones!B466/Acciones!B465</f>
        <v>0.96079502932740901</v>
      </c>
      <c r="C466" s="4">
        <f>Acciones!C466/Acciones!C465</f>
        <v>1.0879265091863517</v>
      </c>
      <c r="D466" s="4">
        <f>Acciones!D466/Acciones!D465</f>
        <v>1.0013967184328338</v>
      </c>
      <c r="E466" s="4">
        <f>Acciones!E466/Acciones!E465</f>
        <v>0.94202895420886124</v>
      </c>
      <c r="F466" s="15">
        <f t="shared" si="21"/>
        <v>28893.210872393349</v>
      </c>
      <c r="G466" s="15">
        <f t="shared" si="23"/>
        <v>393.21087239334884</v>
      </c>
      <c r="H466" s="4">
        <f t="shared" si="22"/>
        <v>1.3796872715556185E-2</v>
      </c>
      <c r="I466" s="4"/>
    </row>
    <row r="467" spans="1:9" x14ac:dyDescent="0.2">
      <c r="A467" s="1">
        <f>Acciones!A467</f>
        <v>45677</v>
      </c>
      <c r="B467" s="4">
        <f>Acciones!B467/Acciones!B466</f>
        <v>1.0229884435186731</v>
      </c>
      <c r="C467" s="4">
        <f>Acciones!C467/Acciones!C466</f>
        <v>1.0135102680422556</v>
      </c>
      <c r="D467" s="4">
        <f>Acciones!D467/Acciones!D466</f>
        <v>0.99928233479090622</v>
      </c>
      <c r="E467" s="4">
        <f>Acciones!E467/Acciones!E466</f>
        <v>0.86000005501967414</v>
      </c>
      <c r="F467" s="15">
        <f t="shared" si="21"/>
        <v>27931.630749234053</v>
      </c>
      <c r="G467" s="15">
        <f t="shared" si="23"/>
        <v>-568.36925076594707</v>
      </c>
      <c r="H467" s="4">
        <f t="shared" si="22"/>
        <v>-1.9942780728629761E-2</v>
      </c>
      <c r="I467" s="4"/>
    </row>
    <row r="468" spans="1:9" x14ac:dyDescent="0.2">
      <c r="A468" s="1">
        <f>Acciones!A468</f>
        <v>45678</v>
      </c>
      <c r="B468" s="4">
        <f>Acciones!B468/Acciones!B467</f>
        <v>0.98595512090783288</v>
      </c>
      <c r="C468" s="4">
        <f>Acciones!C468/Acciones!C467</f>
        <v>0.95774815581500772</v>
      </c>
      <c r="D468" s="4">
        <f>Acciones!D468/Acciones!D467</f>
        <v>1.0228184290283471</v>
      </c>
      <c r="E468" s="4">
        <f>Acciones!E468/Acciones!E467</f>
        <v>0.98211092989214421</v>
      </c>
      <c r="F468" s="15">
        <f t="shared" si="21"/>
        <v>28179.244808110256</v>
      </c>
      <c r="G468" s="15">
        <f t="shared" si="23"/>
        <v>-320.75519188974431</v>
      </c>
      <c r="H468" s="4">
        <f t="shared" si="22"/>
        <v>-1.125456813648229E-2</v>
      </c>
      <c r="I468" s="4"/>
    </row>
    <row r="469" spans="1:9" x14ac:dyDescent="0.2">
      <c r="A469" s="1">
        <f>Acciones!A469</f>
        <v>45679</v>
      </c>
      <c r="B469" s="4">
        <f>Acciones!B469/Acciones!B468</f>
        <v>1.0039886882237814</v>
      </c>
      <c r="C469" s="4">
        <f>Acciones!C469/Acciones!C468</f>
        <v>1.0025102006529787</v>
      </c>
      <c r="D469" s="4">
        <f>Acciones!D469/Acciones!D468</f>
        <v>1.0047095639328649</v>
      </c>
      <c r="E469" s="4">
        <f>Acciones!E469/Acciones!E468</f>
        <v>0.95628406638719454</v>
      </c>
      <c r="F469" s="15">
        <f t="shared" si="21"/>
        <v>28344.465319444753</v>
      </c>
      <c r="G469" s="15">
        <f t="shared" si="23"/>
        <v>-155.53468055524718</v>
      </c>
      <c r="H469" s="4">
        <f t="shared" si="22"/>
        <v>-5.457357212464764E-3</v>
      </c>
      <c r="I469" s="4"/>
    </row>
    <row r="470" spans="1:9" x14ac:dyDescent="0.2">
      <c r="A470" s="1">
        <f>Acciones!A470</f>
        <v>45680</v>
      </c>
      <c r="B470" s="4">
        <f>Acciones!B470/Acciones!B469</f>
        <v>1.0300792763990334</v>
      </c>
      <c r="C470" s="4">
        <f>Acciones!C470/Acciones!C469</f>
        <v>1.0164369424920383</v>
      </c>
      <c r="D470" s="4">
        <f>Acciones!D470/Acciones!D469</f>
        <v>0.99881982544926906</v>
      </c>
      <c r="E470" s="4">
        <f>Acciones!E470/Acciones!E469</f>
        <v>0.98095239825259584</v>
      </c>
      <c r="F470" s="15">
        <f t="shared" si="21"/>
        <v>28644.86486595295</v>
      </c>
      <c r="G470" s="15">
        <f t="shared" si="23"/>
        <v>144.86486595294991</v>
      </c>
      <c r="H470" s="4">
        <f t="shared" si="22"/>
        <v>5.0829777527350295E-3</v>
      </c>
      <c r="I470" s="4"/>
    </row>
    <row r="471" spans="1:9" x14ac:dyDescent="0.2">
      <c r="A471" s="1">
        <f>Acciones!A471</f>
        <v>45681</v>
      </c>
      <c r="B471" s="4">
        <f>Acciones!B471/Acciones!B470</f>
        <v>0.95867776727010179</v>
      </c>
      <c r="C471" s="4">
        <f>Acciones!C471/Acciones!C470</f>
        <v>0.99126811225264433</v>
      </c>
      <c r="D471" s="4">
        <f>Acciones!D471/Acciones!D470</f>
        <v>0.98085811398796119</v>
      </c>
      <c r="E471" s="4">
        <f>Acciones!E471/Acciones!E470</f>
        <v>0.99417483211743729</v>
      </c>
      <c r="F471" s="15">
        <f t="shared" si="21"/>
        <v>28048.96196837099</v>
      </c>
      <c r="G471" s="15">
        <f t="shared" si="23"/>
        <v>-451.03803162901022</v>
      </c>
      <c r="H471" s="4">
        <f t="shared" si="22"/>
        <v>-1.5825895846631965E-2</v>
      </c>
      <c r="I471" s="4"/>
    </row>
    <row r="472" spans="1:9" x14ac:dyDescent="0.2">
      <c r="A472" s="1">
        <f>Acciones!A472</f>
        <v>45684</v>
      </c>
      <c r="B472" s="4">
        <f>Acciones!B472/Acciones!B471</f>
        <v>1.0057471672742015</v>
      </c>
      <c r="C472" s="4">
        <f>Acciones!C472/Acciones!C471</f>
        <v>0.92271350759312665</v>
      </c>
      <c r="D472" s="4">
        <f>Acciones!D472/Acciones!D471</f>
        <v>1.0508546143927877</v>
      </c>
      <c r="E472" s="4">
        <f>Acciones!E472/Acciones!E471</f>
        <v>1.0937499527062764</v>
      </c>
      <c r="F472" s="15">
        <f t="shared" si="21"/>
        <v>28810.064291406805</v>
      </c>
      <c r="G472" s="15">
        <f t="shared" si="23"/>
        <v>310.06429140680484</v>
      </c>
      <c r="H472" s="4">
        <f t="shared" si="22"/>
        <v>1.0879448821291327E-2</v>
      </c>
      <c r="I472" s="4"/>
    </row>
    <row r="473" spans="1:9" x14ac:dyDescent="0.2">
      <c r="A473" s="1">
        <f>Acciones!A473</f>
        <v>45685</v>
      </c>
      <c r="B473" s="4">
        <f>Acciones!B473/Acciones!B472</f>
        <v>1.0011427530727073</v>
      </c>
      <c r="C473" s="4">
        <f>Acciones!C473/Acciones!C472</f>
        <v>0.99733333333333329</v>
      </c>
      <c r="D473" s="4">
        <f>Acciones!D473/Acciones!D472</f>
        <v>0.97850242631446827</v>
      </c>
      <c r="E473" s="4">
        <f>Acciones!E473/Acciones!E472</f>
        <v>1.0714286094417376</v>
      </c>
      <c r="F473" s="15">
        <f t="shared" si="21"/>
        <v>28656.54791749538</v>
      </c>
      <c r="G473" s="15">
        <f t="shared" si="23"/>
        <v>156.54791749537981</v>
      </c>
      <c r="H473" s="4">
        <f t="shared" si="22"/>
        <v>5.4929093858027134E-3</v>
      </c>
      <c r="I473" s="4"/>
    </row>
    <row r="474" spans="1:9" x14ac:dyDescent="0.2">
      <c r="A474" s="1">
        <f>Acciones!A474</f>
        <v>45686</v>
      </c>
      <c r="B474" s="4">
        <f>Acciones!B474/Acciones!B473</f>
        <v>1.0045663547976467</v>
      </c>
      <c r="C474" s="4">
        <f>Acciones!C474/Acciones!C473</f>
        <v>1.0106951871657754</v>
      </c>
      <c r="D474" s="4">
        <f>Acciones!D474/Acciones!D473</f>
        <v>1.0320679900376684</v>
      </c>
      <c r="E474" s="4">
        <f>Acciones!E474/Acciones!E473</f>
        <v>1.0666666004392875</v>
      </c>
      <c r="F474" s="15">
        <f t="shared" si="21"/>
        <v>29304.932722659396</v>
      </c>
      <c r="G474" s="15">
        <f t="shared" si="23"/>
        <v>804.93272265939595</v>
      </c>
      <c r="H474" s="4">
        <f t="shared" si="22"/>
        <v>2.8243253426645465E-2</v>
      </c>
      <c r="I474" s="4"/>
    </row>
    <row r="475" spans="1:9" x14ac:dyDescent="0.2">
      <c r="A475" s="1">
        <f>Acciones!A475</f>
        <v>45687</v>
      </c>
      <c r="B475" s="4">
        <f>Acciones!B475/Acciones!B474</f>
        <v>1.0124998647973154</v>
      </c>
      <c r="C475" s="4">
        <f>Acciones!C475/Acciones!C474</f>
        <v>1.0441799264736271</v>
      </c>
      <c r="D475" s="4">
        <f>Acciones!D475/Acciones!D474</f>
        <v>1.02091966450945</v>
      </c>
      <c r="E475" s="4">
        <f>Acciones!E475/Acciones!E474</f>
        <v>1.0453125695581555</v>
      </c>
      <c r="F475" s="15">
        <f t="shared" si="21"/>
        <v>29421.874605954417</v>
      </c>
      <c r="G475" s="15">
        <f t="shared" si="23"/>
        <v>921.87460595441735</v>
      </c>
      <c r="H475" s="4">
        <f t="shared" si="22"/>
        <v>3.2346477401909324E-2</v>
      </c>
      <c r="I475" s="4"/>
    </row>
    <row r="476" spans="1:9" x14ac:dyDescent="0.2">
      <c r="A476" s="1">
        <f>Acciones!A476</f>
        <v>45688</v>
      </c>
      <c r="B476" s="4">
        <f>Acciones!B476/Acciones!B475</f>
        <v>0.99943888382042589</v>
      </c>
      <c r="C476" s="4">
        <f>Acciones!C476/Acciones!C475</f>
        <v>0.95008864555925621</v>
      </c>
      <c r="D476" s="4">
        <f>Acciones!D476/Acciones!D475</f>
        <v>0.99876382833207356</v>
      </c>
      <c r="E476" s="4">
        <f>Acciones!E476/Acciones!E475</f>
        <v>1.076233179062146</v>
      </c>
      <c r="F476" s="15">
        <f t="shared" si="21"/>
        <v>28430.798994346962</v>
      </c>
      <c r="G476" s="15">
        <f t="shared" si="23"/>
        <v>-69.20100565303801</v>
      </c>
      <c r="H476" s="4">
        <f t="shared" si="22"/>
        <v>-2.4281054615100661E-3</v>
      </c>
      <c r="I476" s="4"/>
    </row>
    <row r="477" spans="1:9" x14ac:dyDescent="0.2">
      <c r="A477" s="1">
        <f>Acciones!A477</f>
        <v>45692</v>
      </c>
      <c r="B477" s="4">
        <f>Acciones!B477/Acciones!B476</f>
        <v>1.010106643279393</v>
      </c>
      <c r="C477" s="4">
        <f>Acciones!C477/Acciones!C476</f>
        <v>0.96720003255208276</v>
      </c>
      <c r="D477" s="4">
        <f>Acciones!D477/Acciones!D476</f>
        <v>0.97699013883730701</v>
      </c>
      <c r="E477" s="4">
        <f>Acciones!E477/Acciones!E476</f>
        <v>1.11111108351637</v>
      </c>
      <c r="F477" s="15">
        <f t="shared" si="21"/>
        <v>28604.785908435766</v>
      </c>
      <c r="G477" s="15">
        <f t="shared" si="23"/>
        <v>104.78590843576603</v>
      </c>
      <c r="H477" s="4">
        <f t="shared" si="22"/>
        <v>3.676698541605905E-3</v>
      </c>
      <c r="I477" s="4"/>
    </row>
    <row r="478" spans="1:9" x14ac:dyDescent="0.2">
      <c r="A478" s="1">
        <f>Acciones!A478</f>
        <v>45693</v>
      </c>
      <c r="B478" s="4">
        <f>Acciones!B478/Acciones!B477</f>
        <v>1.0005559228859897</v>
      </c>
      <c r="C478" s="4">
        <f>Acciones!C478/Acciones!C477</f>
        <v>0.96746617614169939</v>
      </c>
      <c r="D478" s="4">
        <f>Acciones!D478/Acciones!D477</f>
        <v>0.97517498205137831</v>
      </c>
      <c r="E478" s="4">
        <f>Acciones!E478/Acciones!E477</f>
        <v>1</v>
      </c>
      <c r="F478" s="15">
        <f t="shared" si="21"/>
        <v>27944.624223960891</v>
      </c>
      <c r="G478" s="15">
        <f t="shared" si="23"/>
        <v>-555.37577603910904</v>
      </c>
      <c r="H478" s="4">
        <f t="shared" si="22"/>
        <v>-1.9486869334705559E-2</v>
      </c>
      <c r="I478" s="4"/>
    </row>
    <row r="479" spans="1:9" x14ac:dyDescent="0.2">
      <c r="A479" s="1">
        <f>Acciones!A479</f>
        <v>45694</v>
      </c>
      <c r="B479" s="4">
        <f>Acciones!B479/Acciones!B478</f>
        <v>0.95499995366248946</v>
      </c>
      <c r="C479" s="4">
        <f>Acciones!C479/Acciones!C478</f>
        <v>0.9811057138839141</v>
      </c>
      <c r="D479" s="4">
        <f>Acciones!D479/Acciones!D478</f>
        <v>0.9596932816842243</v>
      </c>
      <c r="E479" s="4">
        <f>Acciones!E479/Acciones!E478</f>
        <v>1.0374999636784197</v>
      </c>
      <c r="F479" s="15">
        <f t="shared" si="21"/>
        <v>27966.186736789448</v>
      </c>
      <c r="G479" s="15">
        <f t="shared" si="23"/>
        <v>-533.81326321055167</v>
      </c>
      <c r="H479" s="4">
        <f t="shared" si="22"/>
        <v>-1.8730289937212374E-2</v>
      </c>
      <c r="I479" s="4"/>
    </row>
    <row r="480" spans="1:9" x14ac:dyDescent="0.2">
      <c r="A480" s="1">
        <f>Acciones!A480</f>
        <v>45695</v>
      </c>
      <c r="B480" s="4">
        <f>Acciones!B480/Acciones!B479</f>
        <v>0.96335080924962224</v>
      </c>
      <c r="C480" s="4">
        <f>Acciones!C480/Acciones!C479</f>
        <v>1.0020333233490306</v>
      </c>
      <c r="D480" s="4">
        <f>Acciones!D480/Acciones!D479</f>
        <v>0.96647507642944774</v>
      </c>
      <c r="E480" s="4">
        <f>Acciones!E480/Acciones!E479</f>
        <v>0.93975902057071214</v>
      </c>
      <c r="F480" s="15">
        <f t="shared" si="21"/>
        <v>27724.469781622858</v>
      </c>
      <c r="G480" s="15">
        <f t="shared" si="23"/>
        <v>-775.53021837714186</v>
      </c>
      <c r="H480" s="4">
        <f t="shared" si="22"/>
        <v>-2.7211586609724225E-2</v>
      </c>
      <c r="I480" s="4"/>
    </row>
    <row r="481" spans="1:9" x14ac:dyDescent="0.2">
      <c r="A481" s="1">
        <f>Acciones!A481</f>
        <v>45698</v>
      </c>
      <c r="B481" s="4">
        <f>Acciones!B481/Acciones!B480</f>
        <v>1.0060386902814975</v>
      </c>
      <c r="C481" s="4">
        <f>Acciones!C481/Acciones!C480</f>
        <v>1.0031306680825678</v>
      </c>
      <c r="D481" s="4">
        <f>Acciones!D481/Acciones!D480</f>
        <v>1.0225480964938791</v>
      </c>
      <c r="E481" s="4">
        <f>Acciones!E481/Acciones!E480</f>
        <v>1.0256410785445591</v>
      </c>
      <c r="F481" s="15">
        <f t="shared" si="21"/>
        <v>28917.383659703501</v>
      </c>
      <c r="G481" s="15">
        <f t="shared" si="23"/>
        <v>417.3836597035006</v>
      </c>
      <c r="H481" s="4">
        <f t="shared" si="22"/>
        <v>1.4645040691350975E-2</v>
      </c>
      <c r="I481" s="4"/>
    </row>
    <row r="482" spans="1:9" x14ac:dyDescent="0.2">
      <c r="A482" s="1">
        <f>Acciones!A482</f>
        <v>45699</v>
      </c>
      <c r="B482" s="4">
        <f>Acciones!B482/Acciones!B481</f>
        <v>0.99039609058405853</v>
      </c>
      <c r="C482" s="4">
        <f>Acciones!C482/Acciones!C481</f>
        <v>0.95408182432774546</v>
      </c>
      <c r="D482" s="4">
        <f>Acciones!D482/Acciones!D481</f>
        <v>1.0089539302872683</v>
      </c>
      <c r="E482" s="4">
        <f>Acciones!E482/Acciones!E481</f>
        <v>1</v>
      </c>
      <c r="F482" s="15">
        <f t="shared" si="21"/>
        <v>28119.702951030471</v>
      </c>
      <c r="G482" s="15">
        <f t="shared" si="23"/>
        <v>-380.29704896952899</v>
      </c>
      <c r="H482" s="4">
        <f t="shared" si="22"/>
        <v>-1.3343756104194027E-2</v>
      </c>
      <c r="I482" s="4"/>
    </row>
    <row r="483" spans="1:9" x14ac:dyDescent="0.2">
      <c r="A483" s="1">
        <f>Acciones!A483</f>
        <v>45700</v>
      </c>
      <c r="B483" s="4">
        <f>Acciones!B483/Acciones!B482</f>
        <v>0.96424246641248834</v>
      </c>
      <c r="C483" s="4">
        <f>Acciones!C483/Acciones!C482</f>
        <v>1.0123273784803575</v>
      </c>
      <c r="D483" s="4">
        <f>Acciones!D483/Acciones!D482</f>
        <v>1.0134241677386262</v>
      </c>
      <c r="E483" s="4">
        <f>Acciones!E483/Acciones!E482</f>
        <v>1</v>
      </c>
      <c r="F483" s="15">
        <f t="shared" si="21"/>
        <v>28626.200405393367</v>
      </c>
      <c r="G483" s="15">
        <f t="shared" si="23"/>
        <v>126.20040539336696</v>
      </c>
      <c r="H483" s="4">
        <f t="shared" si="22"/>
        <v>4.4280843997672736E-3</v>
      </c>
      <c r="I483" s="4"/>
    </row>
    <row r="484" spans="1:9" x14ac:dyDescent="0.2">
      <c r="A484" s="1">
        <f>Acciones!A484</f>
        <v>45701</v>
      </c>
      <c r="B484" s="4">
        <f>Acciones!B484/Acciones!B483</f>
        <v>0.97548718786246724</v>
      </c>
      <c r="C484" s="4">
        <f>Acciones!C484/Acciones!C483</f>
        <v>1.0295305472062792</v>
      </c>
      <c r="D484" s="4">
        <f>Acciones!D484/Acciones!D483</f>
        <v>1.0090665079143815</v>
      </c>
      <c r="E484" s="4">
        <f>Acciones!E484/Acciones!E483</f>
        <v>0.97499994970858106</v>
      </c>
      <c r="F484" s="15">
        <f t="shared" si="21"/>
        <v>28647.910158519298</v>
      </c>
      <c r="G484" s="15">
        <f t="shared" si="23"/>
        <v>147.91015851929842</v>
      </c>
      <c r="H484" s="4">
        <f t="shared" si="22"/>
        <v>5.1898301234840627E-3</v>
      </c>
      <c r="I484" s="4"/>
    </row>
    <row r="485" spans="1:9" x14ac:dyDescent="0.2">
      <c r="A485" s="1">
        <f>Acciones!A485</f>
        <v>45702</v>
      </c>
      <c r="B485" s="4">
        <f>Acciones!B485/Acciones!B484</f>
        <v>0.96134012454603168</v>
      </c>
      <c r="C485" s="4">
        <f>Acciones!C485/Acciones!C484</f>
        <v>0.99636733514144737</v>
      </c>
      <c r="D485" s="4">
        <f>Acciones!D485/Acciones!D484</f>
        <v>0.99006768857270055</v>
      </c>
      <c r="E485" s="4">
        <f>Acciones!E485/Acciones!E484</f>
        <v>0.91025641613458008</v>
      </c>
      <c r="F485" s="15">
        <f t="shared" si="21"/>
        <v>27737.267294222056</v>
      </c>
      <c r="G485" s="15">
        <f t="shared" si="23"/>
        <v>-762.73270577794392</v>
      </c>
      <c r="H485" s="4">
        <f t="shared" si="22"/>
        <v>-2.6762551079927865E-2</v>
      </c>
      <c r="I485" s="4"/>
    </row>
    <row r="486" spans="1:9" x14ac:dyDescent="0.2">
      <c r="A486" s="1">
        <f>Acciones!A486</f>
        <v>45705</v>
      </c>
      <c r="B486" s="4">
        <f>Acciones!B486/Acciones!B485</f>
        <v>0.99932981972084589</v>
      </c>
      <c r="C486" s="4">
        <f>Acciones!C486/Acciones!C485</f>
        <v>1.013562764514232</v>
      </c>
      <c r="D486" s="4">
        <f>Acciones!D486/Acciones!D485</f>
        <v>1.0038605213870333</v>
      </c>
      <c r="E486" s="4">
        <f>Acciones!E486/Acciones!E485</f>
        <v>1.042253566057858</v>
      </c>
      <c r="F486" s="15">
        <f t="shared" si="21"/>
        <v>28897.500459096715</v>
      </c>
      <c r="G486" s="15">
        <f t="shared" si="23"/>
        <v>397.50045909671462</v>
      </c>
      <c r="H486" s="4">
        <f t="shared" si="22"/>
        <v>1.3947384529709339E-2</v>
      </c>
      <c r="I486" s="4"/>
    </row>
    <row r="487" spans="1:9" x14ac:dyDescent="0.2">
      <c r="A487" s="1">
        <f>Acciones!A487</f>
        <v>45706</v>
      </c>
      <c r="B487" s="4">
        <f>Acciones!B487/Acciones!B486</f>
        <v>1.0060361281854395</v>
      </c>
      <c r="C487" s="4">
        <f>Acciones!C487/Acciones!C486</f>
        <v>0.93818701874437704</v>
      </c>
      <c r="D487" s="4">
        <f>Acciones!D487/Acciones!D486</f>
        <v>1.0529865524457538</v>
      </c>
      <c r="E487" s="4">
        <f>Acciones!E487/Acciones!E486</f>
        <v>1.0810810832580222</v>
      </c>
      <c r="F487" s="15">
        <f t="shared" si="21"/>
        <v>28909.714609097282</v>
      </c>
      <c r="G487" s="15">
        <f t="shared" si="23"/>
        <v>409.71460909728194</v>
      </c>
      <c r="H487" s="4">
        <f t="shared" si="22"/>
        <v>1.4375951196395897E-2</v>
      </c>
      <c r="I487" s="4"/>
    </row>
    <row r="488" spans="1:9" x14ac:dyDescent="0.2">
      <c r="A488" s="1">
        <f>Acciones!A488</f>
        <v>45707</v>
      </c>
      <c r="B488" s="4">
        <f>Acciones!B488/Acciones!B487</f>
        <v>0.93800001583107606</v>
      </c>
      <c r="C488" s="4">
        <f>Acciones!C488/Acciones!C487</f>
        <v>0.99463223097057829</v>
      </c>
      <c r="D488" s="4">
        <f>Acciones!D488/Acciones!D487</f>
        <v>1.0019441403315839</v>
      </c>
      <c r="E488" s="4">
        <f>Acciones!E488/Acciones!E487</f>
        <v>0.98750001210719318</v>
      </c>
      <c r="F488" s="15">
        <f t="shared" si="21"/>
        <v>28182.697719534663</v>
      </c>
      <c r="G488" s="15">
        <f t="shared" si="23"/>
        <v>-317.30228046533739</v>
      </c>
      <c r="H488" s="4">
        <f t="shared" si="22"/>
        <v>-1.1133413349661003E-2</v>
      </c>
      <c r="I488" s="4"/>
    </row>
    <row r="489" spans="1:9" x14ac:dyDescent="0.2">
      <c r="A489" s="1">
        <f>Acciones!A489</f>
        <v>45708</v>
      </c>
      <c r="B489" s="4">
        <f>Acciones!B489/Acciones!B488</f>
        <v>1.0135039353467044</v>
      </c>
      <c r="C489" s="4">
        <f>Acciones!C489/Acciones!C488</f>
        <v>0.99670035204338658</v>
      </c>
      <c r="D489" s="4">
        <f>Acciones!D489/Acciones!D488</f>
        <v>0.99590957860306417</v>
      </c>
      <c r="E489" s="4">
        <f>Acciones!E489/Acciones!E488</f>
        <v>0.94810125636779397</v>
      </c>
      <c r="F489" s="15">
        <f t="shared" si="21"/>
        <v>28189.569814179147</v>
      </c>
      <c r="G489" s="15">
        <f t="shared" si="23"/>
        <v>-310.43018582085278</v>
      </c>
      <c r="H489" s="4">
        <f t="shared" si="22"/>
        <v>-1.0892287221784258E-2</v>
      </c>
      <c r="I489" s="4"/>
    </row>
    <row r="490" spans="1:9" x14ac:dyDescent="0.2">
      <c r="A490" s="1">
        <f>Acciones!A490</f>
        <v>45709</v>
      </c>
      <c r="B490" s="4">
        <f>Acciones!B490/Acciones!B489</f>
        <v>0.99719499984276139</v>
      </c>
      <c r="C490" s="4">
        <f>Acciones!C490/Acciones!C489</f>
        <v>0.93084775600441694</v>
      </c>
      <c r="D490" s="4">
        <f>Acciones!D490/Acciones!D489</f>
        <v>0.99324844981511951</v>
      </c>
      <c r="E490" s="4">
        <f>Acciones!E490/Acciones!E489</f>
        <v>0.98798397438830654</v>
      </c>
      <c r="F490" s="15">
        <f t="shared" si="21"/>
        <v>27699.632538778507</v>
      </c>
      <c r="G490" s="15">
        <f t="shared" si="23"/>
        <v>-800.3674612214927</v>
      </c>
      <c r="H490" s="4">
        <f t="shared" si="22"/>
        <v>-2.8083068814789169E-2</v>
      </c>
      <c r="I490" s="4"/>
    </row>
    <row r="491" spans="1:9" x14ac:dyDescent="0.2">
      <c r="A491" s="1">
        <f>Acciones!A491</f>
        <v>45712</v>
      </c>
      <c r="B491" s="4">
        <f>Acciones!B491/Acciones!B490</f>
        <v>0.96483821550564508</v>
      </c>
      <c r="C491" s="4">
        <f>Acciones!C491/Acciones!C490</f>
        <v>0.94721620554879404</v>
      </c>
      <c r="D491" s="4">
        <f>Acciones!D491/Acciones!D490</f>
        <v>1.0610867276323093</v>
      </c>
      <c r="E491" s="4">
        <f>Acciones!E491/Acciones!E490</f>
        <v>0.94594591764571334</v>
      </c>
      <c r="F491" s="15">
        <f t="shared" si="21"/>
        <v>28189.057530357819</v>
      </c>
      <c r="G491" s="15">
        <f t="shared" si="23"/>
        <v>-310.94246964218109</v>
      </c>
      <c r="H491" s="4">
        <f t="shared" si="22"/>
        <v>-1.0910262092708067E-2</v>
      </c>
      <c r="I491" s="4"/>
    </row>
    <row r="492" spans="1:9" x14ac:dyDescent="0.2">
      <c r="A492" s="1">
        <f>Acciones!A492</f>
        <v>45713</v>
      </c>
      <c r="B492" s="4">
        <f>Acciones!B492/Acciones!B491</f>
        <v>0.97303209358520981</v>
      </c>
      <c r="C492" s="4">
        <f>Acciones!C492/Acciones!C491</f>
        <v>0.8918131673544899</v>
      </c>
      <c r="D492" s="4">
        <f>Acciones!D492/Acciones!D491</f>
        <v>1.0148911122751454</v>
      </c>
      <c r="E492" s="4">
        <f>Acciones!E492/Acciones!E491</f>
        <v>0.97142859818984051</v>
      </c>
      <c r="F492" s="15">
        <f t="shared" si="21"/>
        <v>27369.605830211462</v>
      </c>
      <c r="G492" s="15">
        <f t="shared" si="23"/>
        <v>-1130.3941697885384</v>
      </c>
      <c r="H492" s="4">
        <f t="shared" si="22"/>
        <v>-3.966295332591363E-2</v>
      </c>
      <c r="I492" s="4"/>
    </row>
    <row r="493" spans="1:9" x14ac:dyDescent="0.2">
      <c r="A493" s="1">
        <f>Acciones!A493</f>
        <v>45714</v>
      </c>
      <c r="B493" s="4">
        <f>Acciones!B493/Acciones!B492</f>
        <v>0.99625465521989776</v>
      </c>
      <c r="C493" s="4">
        <f>Acciones!C493/Acciones!C492</f>
        <v>0.99236640258886755</v>
      </c>
      <c r="D493" s="4">
        <f>Acciones!D493/Acciones!D492</f>
        <v>0.9859305398070588</v>
      </c>
      <c r="E493" s="4">
        <f>Acciones!E493/Acciones!E492</f>
        <v>0.88235296695702514</v>
      </c>
      <c r="F493" s="15">
        <f t="shared" si="21"/>
        <v>27626.618834198111</v>
      </c>
      <c r="G493" s="15">
        <f t="shared" si="23"/>
        <v>-873.38116580188944</v>
      </c>
      <c r="H493" s="4">
        <f t="shared" si="22"/>
        <v>-3.0644953186031221E-2</v>
      </c>
      <c r="I493" s="4"/>
    </row>
    <row r="494" spans="1:9" x14ac:dyDescent="0.2">
      <c r="A494" s="1">
        <f>Acciones!A494</f>
        <v>45715</v>
      </c>
      <c r="B494" s="4">
        <f>Acciones!B494/Acciones!B493</f>
        <v>0.98571425831054005</v>
      </c>
      <c r="C494" s="4">
        <f>Acciones!C494/Acciones!C493</f>
        <v>1.0666138114791723</v>
      </c>
      <c r="D494" s="4">
        <f>Acciones!D494/Acciones!D493</f>
        <v>0.98791046049421727</v>
      </c>
      <c r="E494" s="4">
        <f>Acciones!E494/Acciones!E493</f>
        <v>1.0166666501098218</v>
      </c>
      <c r="F494" s="15">
        <f t="shared" si="21"/>
        <v>29053.602293685221</v>
      </c>
      <c r="G494" s="15">
        <f t="shared" si="23"/>
        <v>553.6022936852205</v>
      </c>
      <c r="H494" s="4">
        <f t="shared" si="22"/>
        <v>1.9424641883691862E-2</v>
      </c>
      <c r="I494" s="4"/>
    </row>
    <row r="495" spans="1:9" x14ac:dyDescent="0.2">
      <c r="A495" s="1">
        <f>Acciones!A495</f>
        <v>45716</v>
      </c>
      <c r="B495" s="4">
        <f>Acciones!B495/Acciones!B494</f>
        <v>0.95347067649498274</v>
      </c>
      <c r="C495" s="4">
        <f>Acciones!C495/Acciones!C494</f>
        <v>1.05096651098542</v>
      </c>
      <c r="D495" s="4">
        <f>Acciones!D495/Acciones!D494</f>
        <v>0.99654818829734781</v>
      </c>
      <c r="E495" s="4">
        <f>Acciones!E495/Acciones!E494</f>
        <v>1.0655737064180142</v>
      </c>
      <c r="F495" s="15">
        <f t="shared" si="21"/>
        <v>29147.466490366482</v>
      </c>
      <c r="G495" s="15">
        <f t="shared" si="23"/>
        <v>647.46649036648159</v>
      </c>
      <c r="H495" s="4">
        <f t="shared" si="22"/>
        <v>2.2718122468999402E-2</v>
      </c>
      <c r="I495" s="4"/>
    </row>
    <row r="496" spans="1:9" x14ac:dyDescent="0.2">
      <c r="A496" s="1">
        <f>Acciones!A496</f>
        <v>45719</v>
      </c>
      <c r="B496" s="4">
        <f>Acciones!B496/Acciones!B495</f>
        <v>0.99199994347913822</v>
      </c>
      <c r="C496" s="4">
        <f>Acciones!C496/Acciones!C495</f>
        <v>0.99748862269980709</v>
      </c>
      <c r="D496" s="4">
        <f>Acciones!D496/Acciones!D495</f>
        <v>0.99457229182696694</v>
      </c>
      <c r="E496" s="4">
        <f>Acciones!E496/Acciones!E495</f>
        <v>0.93846159489197245</v>
      </c>
      <c r="F496" s="15">
        <f t="shared" si="21"/>
        <v>28055.403408000671</v>
      </c>
      <c r="G496" s="15">
        <f t="shared" si="23"/>
        <v>-444.59659199932867</v>
      </c>
      <c r="H496" s="4">
        <f t="shared" si="22"/>
        <v>-1.5599880421029111E-2</v>
      </c>
      <c r="I496" s="4"/>
    </row>
    <row r="497" spans="1:9" x14ac:dyDescent="0.2">
      <c r="A497" s="1">
        <f>Acciones!A497</f>
        <v>45720</v>
      </c>
      <c r="B497" s="4">
        <f>Acciones!B497/Acciones!B496</f>
        <v>0.97177422992462559</v>
      </c>
      <c r="C497" s="4">
        <f>Acciones!C497/Acciones!C496</f>
        <v>1.0281205414034789</v>
      </c>
      <c r="D497" s="4">
        <f>Acciones!D497/Acciones!D496</f>
        <v>0.99617003009218852</v>
      </c>
      <c r="E497" s="4">
        <f>Acciones!E497/Acciones!E496</f>
        <v>0.90163934266045143</v>
      </c>
      <c r="F497" s="15">
        <f t="shared" si="21"/>
        <v>28089.071633623607</v>
      </c>
      <c r="G497" s="15">
        <f t="shared" si="23"/>
        <v>-410.92836637639266</v>
      </c>
      <c r="H497" s="4">
        <f t="shared" si="22"/>
        <v>-1.4418539171101474E-2</v>
      </c>
      <c r="I497" s="4"/>
    </row>
    <row r="498" spans="1:9" x14ac:dyDescent="0.2">
      <c r="A498" s="1">
        <f>Acciones!A498</f>
        <v>45721</v>
      </c>
      <c r="B498" s="4">
        <f>Acciones!B498/Acciones!B497</f>
        <v>0.98506221626785895</v>
      </c>
      <c r="C498" s="4">
        <f>Acciones!C498/Acciones!C497</f>
        <v>1.0552202606493646</v>
      </c>
      <c r="D498" s="4">
        <f>Acciones!D498/Acciones!D497</f>
        <v>0.97103723857364854</v>
      </c>
      <c r="E498" s="4">
        <f>Acciones!E498/Acciones!E497</f>
        <v>1.0363636008964092</v>
      </c>
      <c r="F498" s="15">
        <f t="shared" si="21"/>
        <v>28882.682423773207</v>
      </c>
      <c r="G498" s="15">
        <f t="shared" si="23"/>
        <v>382.68242377320712</v>
      </c>
      <c r="H498" s="4">
        <f t="shared" si="22"/>
        <v>1.3427453465726602E-2</v>
      </c>
      <c r="I498" s="4"/>
    </row>
    <row r="499" spans="1:9" x14ac:dyDescent="0.2">
      <c r="A499" s="1">
        <f>Acciones!A499</f>
        <v>45722</v>
      </c>
      <c r="B499" s="4">
        <f>Acciones!B499/Acciones!B498</f>
        <v>1.0160068534784581</v>
      </c>
      <c r="C499" s="4">
        <f>Acciones!C499/Acciones!C498</f>
        <v>0.98591227847224883</v>
      </c>
      <c r="D499" s="4">
        <f>Acciones!D499/Acciones!D498</f>
        <v>1.0087183528023123</v>
      </c>
      <c r="E499" s="4">
        <f>Acciones!E499/Acciones!E498</f>
        <v>0.99824563660009624</v>
      </c>
      <c r="F499" s="15">
        <f t="shared" si="21"/>
        <v>28499.725161984621</v>
      </c>
      <c r="G499" s="15">
        <f t="shared" si="23"/>
        <v>-0.2748380153789185</v>
      </c>
      <c r="H499" s="4">
        <f t="shared" si="22"/>
        <v>-9.64343913611998E-6</v>
      </c>
      <c r="I499" s="4"/>
    </row>
    <row r="500" spans="1:9" x14ac:dyDescent="0.2">
      <c r="A500" s="1">
        <f>Acciones!A500</f>
        <v>45723</v>
      </c>
      <c r="B500" s="4">
        <f>Acciones!B500/Acciones!B499</f>
        <v>1.0033166914288252</v>
      </c>
      <c r="C500" s="4">
        <f>Acciones!C500/Acciones!C499</f>
        <v>1.0798992332108315</v>
      </c>
      <c r="D500" s="4">
        <f>Acciones!D500/Acciones!D499</f>
        <v>1.0025364643884631</v>
      </c>
      <c r="E500" s="4">
        <f>Acciones!E500/Acciones!E499</f>
        <v>0.98418277109428276</v>
      </c>
      <c r="F500" s="15">
        <f t="shared" si="21"/>
        <v>29209.021020406977</v>
      </c>
      <c r="G500" s="15">
        <f t="shared" si="23"/>
        <v>709.02102040697719</v>
      </c>
      <c r="H500" s="4">
        <f t="shared" si="22"/>
        <v>2.4877930540595727E-2</v>
      </c>
      <c r="I500" s="4"/>
    </row>
    <row r="501" spans="1:9" x14ac:dyDescent="0.2">
      <c r="A501" s="1">
        <f>Acciones!A501</f>
        <v>45726</v>
      </c>
      <c r="B501" s="4">
        <f>Acciones!B501/Acciones!B500</f>
        <v>0.97272724250048348</v>
      </c>
      <c r="C501" s="4">
        <f>Acciones!C501/Acciones!C500</f>
        <v>0.83916122898900769</v>
      </c>
      <c r="D501" s="4">
        <f>Acciones!D501/Acciones!D500</f>
        <v>0.9803921356391001</v>
      </c>
      <c r="E501" s="4">
        <f>Acciones!E501/Acciones!E500</f>
        <v>1.0678571204293752</v>
      </c>
      <c r="F501" s="15">
        <f t="shared" si="21"/>
        <v>27053.71254289983</v>
      </c>
      <c r="G501" s="15">
        <f t="shared" si="23"/>
        <v>-1446.2874571001703</v>
      </c>
      <c r="H501" s="4">
        <f t="shared" si="22"/>
        <v>-5.0746928319304274E-2</v>
      </c>
      <c r="I501" s="4"/>
    </row>
    <row r="502" spans="1:9" x14ac:dyDescent="0.2">
      <c r="A502" s="1">
        <f>Acciones!A502</f>
        <v>45727</v>
      </c>
      <c r="B502" s="4">
        <f>Acciones!B502/Acciones!B501</f>
        <v>0.97111304455408909</v>
      </c>
      <c r="C502" s="4">
        <f>Acciones!C502/Acciones!C501</f>
        <v>0.98532959018310651</v>
      </c>
      <c r="D502" s="4">
        <f>Acciones!D502/Acciones!D501</f>
        <v>0.9677483664728368</v>
      </c>
      <c r="E502" s="4">
        <f>Acciones!E502/Acciones!E501</f>
        <v>0.96989965388439425</v>
      </c>
      <c r="F502" s="15">
        <f t="shared" si="21"/>
        <v>27771.458523771362</v>
      </c>
      <c r="G502" s="15">
        <f t="shared" si="23"/>
        <v>-728.5414762286382</v>
      </c>
      <c r="H502" s="4">
        <f t="shared" si="22"/>
        <v>-2.5562858815039946E-2</v>
      </c>
      <c r="I502" s="4"/>
    </row>
    <row r="503" spans="1:9" x14ac:dyDescent="0.2">
      <c r="A503" s="1">
        <f>Acciones!A503</f>
        <v>45728</v>
      </c>
      <c r="B503" s="4">
        <f>Acciones!B503/Acciones!B502</f>
        <v>0.99125103202366649</v>
      </c>
      <c r="C503" s="4">
        <f>Acciones!C503/Acciones!C502</f>
        <v>0.9884157157660205</v>
      </c>
      <c r="D503" s="4">
        <f>Acciones!D503/Acciones!D502</f>
        <v>0.99132678073412939</v>
      </c>
      <c r="E503" s="4">
        <f>Acciones!E503/Acciones!E502</f>
        <v>0.94827590990860522</v>
      </c>
      <c r="F503" s="15">
        <f t="shared" si="21"/>
        <v>27988.113223698649</v>
      </c>
      <c r="G503" s="15">
        <f t="shared" si="23"/>
        <v>-511.88677630135135</v>
      </c>
      <c r="H503" s="4">
        <f t="shared" si="22"/>
        <v>-1.7960939519345631E-2</v>
      </c>
      <c r="I503" s="4"/>
    </row>
    <row r="504" spans="1:9" x14ac:dyDescent="0.2">
      <c r="A504" s="1">
        <f>Acciones!A504</f>
        <v>45729</v>
      </c>
      <c r="B504" s="4">
        <f>Acciones!B504/Acciones!B503</f>
        <v>0.98587827239516412</v>
      </c>
      <c r="C504" s="4">
        <f>Acciones!C504/Acciones!C503</f>
        <v>0.92006311009221475</v>
      </c>
      <c r="D504" s="4">
        <f>Acciones!D504/Acciones!D503</f>
        <v>0.9813718451436737</v>
      </c>
      <c r="E504" s="4">
        <f>Acciones!E504/Acciones!E503</f>
        <v>0.9818181995517945</v>
      </c>
      <c r="F504" s="15">
        <f t="shared" si="21"/>
        <v>27404.892048230722</v>
      </c>
      <c r="G504" s="15">
        <f t="shared" si="23"/>
        <v>-1095.1079517692779</v>
      </c>
      <c r="H504" s="4">
        <f t="shared" si="22"/>
        <v>-3.8424840412957129E-2</v>
      </c>
      <c r="I504" s="4"/>
    </row>
    <row r="505" spans="1:9" x14ac:dyDescent="0.2">
      <c r="A505" s="1">
        <f>Acciones!A505</f>
        <v>45730</v>
      </c>
      <c r="B505" s="4">
        <f>Acciones!B505/Acciones!B504</f>
        <v>1.0358101061848084</v>
      </c>
      <c r="C505" s="4">
        <f>Acciones!C505/Acciones!C504</f>
        <v>1.0712040295713874</v>
      </c>
      <c r="D505" s="4">
        <f>Acciones!D505/Acciones!D504</f>
        <v>0.97650253130203224</v>
      </c>
      <c r="E505" s="4">
        <f>Acciones!E505/Acciones!E504</f>
        <v>0.96481482769236082</v>
      </c>
      <c r="F505" s="15">
        <f t="shared" si="21"/>
        <v>28873.280517903317</v>
      </c>
      <c r="G505" s="15">
        <f t="shared" si="23"/>
        <v>373.28051790331665</v>
      </c>
      <c r="H505" s="4">
        <f t="shared" si="22"/>
        <v>1.309756203169532E-2</v>
      </c>
      <c r="I505" s="4"/>
    </row>
    <row r="506" spans="1:9" x14ac:dyDescent="0.2">
      <c r="A506" s="1">
        <f>Acciones!A506</f>
        <v>45734</v>
      </c>
      <c r="B506" s="4">
        <f>Acciones!B506/Acciones!B505</f>
        <v>1.030250694115622</v>
      </c>
      <c r="C506" s="4">
        <f>Acciones!C506/Acciones!C505</f>
        <v>0.91912184466358238</v>
      </c>
      <c r="D506" s="4">
        <f>Acciones!D506/Acciones!D505</f>
        <v>1.0210735207898118</v>
      </c>
      <c r="E506" s="4">
        <f>Acciones!E506/Acciones!E505</f>
        <v>1.0172743632542527</v>
      </c>
      <c r="F506" s="15">
        <f t="shared" si="21"/>
        <v>28143.279159505219</v>
      </c>
      <c r="G506" s="15">
        <f t="shared" si="23"/>
        <v>-356.72084049478144</v>
      </c>
      <c r="H506" s="4">
        <f t="shared" si="22"/>
        <v>-1.2516520719115132E-2</v>
      </c>
      <c r="I506" s="4"/>
    </row>
    <row r="507" spans="1:9" x14ac:dyDescent="0.2">
      <c r="A507" s="1">
        <f>Acciones!A507</f>
        <v>45735</v>
      </c>
      <c r="B507" s="4">
        <f>Acciones!B507/Acciones!B506</f>
        <v>0.99580533943122351</v>
      </c>
      <c r="C507" s="4">
        <f>Acciones!C507/Acciones!C506</f>
        <v>1.0437902263514713</v>
      </c>
      <c r="D507" s="4">
        <f>Acciones!D507/Acciones!D506</f>
        <v>1.0008934219446626</v>
      </c>
      <c r="E507" s="4">
        <f>Acciones!E507/Acciones!E506</f>
        <v>1.0566038351204978</v>
      </c>
      <c r="F507" s="15">
        <f t="shared" si="21"/>
        <v>29221.581150957623</v>
      </c>
      <c r="G507" s="15">
        <f t="shared" si="23"/>
        <v>721.58115095762332</v>
      </c>
      <c r="H507" s="4">
        <f t="shared" si="22"/>
        <v>2.5318636875706124E-2</v>
      </c>
      <c r="I507" s="4"/>
    </row>
    <row r="508" spans="1:9" x14ac:dyDescent="0.2">
      <c r="A508" s="1">
        <f>Acciones!A508</f>
        <v>45736</v>
      </c>
      <c r="B508" s="4">
        <f>Acciones!B508/Acciones!B507</f>
        <v>0.98315076321663486</v>
      </c>
      <c r="C508" s="4">
        <f>Acciones!C508/Acciones!C507</f>
        <v>0.99725874052281382</v>
      </c>
      <c r="D508" s="4">
        <f>Acciones!D508/Acciones!D507</f>
        <v>0.99170526522528668</v>
      </c>
      <c r="E508" s="4">
        <f>Acciones!E508/Acciones!E507</f>
        <v>0.97678569394867176</v>
      </c>
      <c r="F508" s="15">
        <f t="shared" si="21"/>
        <v>28204.359675195516</v>
      </c>
      <c r="G508" s="15">
        <f t="shared" si="23"/>
        <v>-295.64032480448441</v>
      </c>
      <c r="H508" s="4">
        <f t="shared" si="22"/>
        <v>-1.0373344729981859E-2</v>
      </c>
      <c r="I508" s="4"/>
    </row>
    <row r="509" spans="1:9" x14ac:dyDescent="0.2">
      <c r="A509" s="1">
        <f>Acciones!A509</f>
        <v>45737</v>
      </c>
      <c r="B509" s="4">
        <f>Acciones!B509/Acciones!B508</f>
        <v>1.0102828498424132</v>
      </c>
      <c r="C509" s="4">
        <f>Acciones!C509/Acciones!C508</f>
        <v>1.0022308881725066</v>
      </c>
      <c r="D509" s="4">
        <f>Acciones!D509/Acciones!D508</f>
        <v>0.95059066162277961</v>
      </c>
      <c r="E509" s="4">
        <f>Acciones!E509/Acciones!E508</f>
        <v>1.0219378876004572</v>
      </c>
      <c r="F509" s="15">
        <f t="shared" si="21"/>
        <v>28183.748410117569</v>
      </c>
      <c r="G509" s="15">
        <f t="shared" si="23"/>
        <v>-316.25158988243129</v>
      </c>
      <c r="H509" s="4">
        <f t="shared" si="22"/>
        <v>-1.1096547013418667E-2</v>
      </c>
      <c r="I509" s="4"/>
    </row>
    <row r="510" spans="1:9" x14ac:dyDescent="0.2">
      <c r="A510" s="1">
        <f>Acciones!A510</f>
        <v>45740</v>
      </c>
      <c r="B510" s="4">
        <f>Acciones!B510/Acciones!B509</f>
        <v>1.0084817409820135</v>
      </c>
      <c r="C510" s="4">
        <f>Acciones!C510/Acciones!C509</f>
        <v>1.1529135292229951</v>
      </c>
      <c r="D510" s="4">
        <f>Acciones!D510/Acciones!D509</f>
        <v>0.98949658840116761</v>
      </c>
      <c r="E510" s="4">
        <f>Acciones!E510/Acciones!E509</f>
        <v>0.98389981557747641</v>
      </c>
      <c r="F510" s="15">
        <f t="shared" si="21"/>
        <v>29788.779490743298</v>
      </c>
      <c r="G510" s="15">
        <f t="shared" si="23"/>
        <v>1288.7794907432981</v>
      </c>
      <c r="H510" s="4">
        <f t="shared" si="22"/>
        <v>4.5220333008536784E-2</v>
      </c>
      <c r="I510" s="4"/>
    </row>
    <row r="511" spans="1:9" x14ac:dyDescent="0.2">
      <c r="A511" s="1">
        <f>Acciones!A511</f>
        <v>45741</v>
      </c>
      <c r="B511" s="4">
        <f>Acciones!B511/Acciones!B510</f>
        <v>1.0008410488624551</v>
      </c>
      <c r="C511" s="4">
        <f>Acciones!C511/Acciones!C510</f>
        <v>0.99462162515343211</v>
      </c>
      <c r="D511" s="4">
        <f>Acciones!D511/Acciones!D510</f>
        <v>0.98424711885218019</v>
      </c>
      <c r="E511" s="4">
        <f>Acciones!E511/Acciones!E510</f>
        <v>0.99636357488711014</v>
      </c>
      <c r="F511" s="15">
        <f t="shared" si="21"/>
        <v>28274.319960377106</v>
      </c>
      <c r="G511" s="15">
        <f t="shared" si="23"/>
        <v>-225.68003962289367</v>
      </c>
      <c r="H511" s="4">
        <f t="shared" si="22"/>
        <v>-7.9185978815050628E-3</v>
      </c>
      <c r="I511" s="4"/>
    </row>
    <row r="512" spans="1:9" x14ac:dyDescent="0.2">
      <c r="A512" s="1">
        <f>Acciones!A512</f>
        <v>45742</v>
      </c>
      <c r="B512" s="4">
        <f>Acciones!B512/Acciones!B511</f>
        <v>1.0016806841873864</v>
      </c>
      <c r="C512" s="4">
        <f>Acciones!C512/Acciones!C511</f>
        <v>0.96065729845005343</v>
      </c>
      <c r="D512" s="4">
        <f>Acciones!D512/Acciones!D511</f>
        <v>0.99071109388370038</v>
      </c>
      <c r="E512" s="4">
        <f>Acciones!E512/Acciones!E511</f>
        <v>1.003649696962579</v>
      </c>
      <c r="F512" s="15">
        <f t="shared" si="21"/>
        <v>28059.31100206255</v>
      </c>
      <c r="G512" s="15">
        <f t="shared" si="23"/>
        <v>-440.68899793745004</v>
      </c>
      <c r="H512" s="4">
        <f t="shared" si="22"/>
        <v>-1.5462771857454372E-2</v>
      </c>
      <c r="I512" s="4"/>
    </row>
    <row r="513" spans="1:9" x14ac:dyDescent="0.2">
      <c r="A513" s="1">
        <f>Acciones!A513</f>
        <v>45743</v>
      </c>
      <c r="B513" s="4">
        <f>Acciones!B513/Acciones!B512</f>
        <v>1.0176174920679713</v>
      </c>
      <c r="C513" s="4">
        <f>Acciones!C513/Acciones!C512</f>
        <v>1.0007577088979533</v>
      </c>
      <c r="D513" s="4">
        <f>Acciones!D513/Acciones!D512</f>
        <v>1.0131355153329766</v>
      </c>
      <c r="E513" s="4">
        <f>Acciones!E513/Acciones!E512</f>
        <v>0.96363629073150947</v>
      </c>
      <c r="F513" s="15">
        <f t="shared" si="21"/>
        <v>28500.214209121521</v>
      </c>
      <c r="G513" s="15">
        <f t="shared" si="23"/>
        <v>0.21420912152098026</v>
      </c>
      <c r="H513" s="4">
        <f t="shared" si="22"/>
        <v>7.516109526983783E-6</v>
      </c>
      <c r="I513" s="4"/>
    </row>
    <row r="514" spans="1:9" x14ac:dyDescent="0.2">
      <c r="A514" s="1">
        <f>Acciones!A514</f>
        <v>45744</v>
      </c>
      <c r="B514" s="4">
        <f>Acciones!B514/Acciones!B513</f>
        <v>0.9884582864542687</v>
      </c>
      <c r="C514" s="4">
        <f>Acciones!C514/Acciones!C513</f>
        <v>0.91581032778200078</v>
      </c>
      <c r="D514" s="4">
        <f>Acciones!D514/Acciones!D513</f>
        <v>0.96493445623806873</v>
      </c>
      <c r="E514" s="4">
        <f>Acciones!E514/Acciones!E513</f>
        <v>1</v>
      </c>
      <c r="F514" s="15">
        <f t="shared" si="21"/>
        <v>27309.146678899633</v>
      </c>
      <c r="G514" s="15">
        <f t="shared" si="23"/>
        <v>-1190.8533211003669</v>
      </c>
      <c r="H514" s="4">
        <f t="shared" si="22"/>
        <v>-4.1784327056153203E-2</v>
      </c>
      <c r="I514" s="4"/>
    </row>
    <row r="515" spans="1:9" x14ac:dyDescent="0.2">
      <c r="A515" s="1">
        <f>Acciones!A515</f>
        <v>45747</v>
      </c>
      <c r="B515" s="4">
        <f>Acciones!B515/Acciones!B514</f>
        <v>0.99499595790856543</v>
      </c>
      <c r="C515" s="4">
        <f>Acciones!C515/Acciones!C514</f>
        <v>0.92633855624461414</v>
      </c>
      <c r="D515" s="4">
        <f>Acciones!D515/Acciones!D514</f>
        <v>1.0082547508189206</v>
      </c>
      <c r="E515" s="4">
        <f>Acciones!E515/Acciones!E514</f>
        <v>0.97358490693352862</v>
      </c>
      <c r="F515" s="15">
        <f t="shared" ref="F515:F578" si="24">$J$2*B515+$J$3*C515+$J$4*D515+$J$5*E515</f>
        <v>27719.966633327429</v>
      </c>
      <c r="G515" s="15">
        <f t="shared" si="23"/>
        <v>-780.03336667257099</v>
      </c>
      <c r="H515" s="4">
        <f t="shared" ref="H515:H578" si="25">(F515/$J$6)-1</f>
        <v>-2.7369591813072636E-2</v>
      </c>
      <c r="I515" s="4"/>
    </row>
    <row r="516" spans="1:9" x14ac:dyDescent="0.2">
      <c r="A516" s="1">
        <f>Acciones!A516</f>
        <v>45748</v>
      </c>
      <c r="B516" s="4">
        <f>Acciones!B516/Acciones!B515</f>
        <v>0.98658833875729923</v>
      </c>
      <c r="C516" s="4">
        <f>Acciones!C516/Acciones!C515</f>
        <v>1.0157678049204428</v>
      </c>
      <c r="D516" s="4">
        <f>Acciones!D516/Acciones!D515</f>
        <v>1.0093283571610054</v>
      </c>
      <c r="E516" s="4">
        <f>Acciones!E516/Acciones!E515</f>
        <v>1.0271317816025622</v>
      </c>
      <c r="F516" s="15">
        <f t="shared" si="24"/>
        <v>28845.3617028189</v>
      </c>
      <c r="G516" s="15">
        <f t="shared" si="23"/>
        <v>345.36170281890008</v>
      </c>
      <c r="H516" s="4">
        <f t="shared" si="25"/>
        <v>1.2117954484873739E-2</v>
      </c>
      <c r="I516" s="4"/>
    </row>
    <row r="517" spans="1:9" x14ac:dyDescent="0.2">
      <c r="A517" s="1">
        <f>Acciones!A517</f>
        <v>45749</v>
      </c>
      <c r="B517" s="4">
        <f>Acciones!B517/Acciones!B516</f>
        <v>0.96771454978281291</v>
      </c>
      <c r="C517" s="4">
        <f>Acciones!C517/Acciones!C516</f>
        <v>1.0591631773625441</v>
      </c>
      <c r="D517" s="4">
        <f>Acciones!D517/Acciones!D516</f>
        <v>1.0099631015476331</v>
      </c>
      <c r="E517" s="4">
        <f>Acciones!E517/Acciones!E516</f>
        <v>0.98679250969756349</v>
      </c>
      <c r="F517" s="15">
        <f t="shared" si="24"/>
        <v>28976.040927996943</v>
      </c>
      <c r="G517" s="15">
        <f t="shared" ref="G517:G580" si="26">F517-$J$6</f>
        <v>476.04092799694263</v>
      </c>
      <c r="H517" s="4">
        <f t="shared" si="25"/>
        <v>1.6703190456033079E-2</v>
      </c>
      <c r="I517" s="4"/>
    </row>
    <row r="518" spans="1:9" x14ac:dyDescent="0.2">
      <c r="A518" s="1">
        <f>Acciones!A518</f>
        <v>45750</v>
      </c>
      <c r="B518" s="4">
        <f>Acciones!B518/Acciones!B517</f>
        <v>1.0184371835819055</v>
      </c>
      <c r="C518" s="4">
        <f>Acciones!C518/Acciones!C517</f>
        <v>0.88883621925615452</v>
      </c>
      <c r="D518" s="4">
        <f>Acciones!D518/Acciones!D517</f>
        <v>0.83763344668731066</v>
      </c>
      <c r="E518" s="4">
        <f>Acciones!E518/Acciones!E517</f>
        <v>0.92734228018422493</v>
      </c>
      <c r="F518" s="15">
        <f t="shared" si="24"/>
        <v>25485.19123335648</v>
      </c>
      <c r="G518" s="15">
        <f t="shared" si="26"/>
        <v>-3014.8087666435204</v>
      </c>
      <c r="H518" s="4">
        <f t="shared" si="25"/>
        <v>-0.10578276374187789</v>
      </c>
      <c r="I518" s="4"/>
    </row>
    <row r="519" spans="1:9" x14ac:dyDescent="0.2">
      <c r="A519" s="1">
        <f>Acciones!A519</f>
        <v>45751</v>
      </c>
      <c r="B519" s="4">
        <f>Acciones!B519/Acciones!B518</f>
        <v>0.97844829190534843</v>
      </c>
      <c r="C519" s="4">
        <f>Acciones!C519/Acciones!C518</f>
        <v>1.0222666422525999</v>
      </c>
      <c r="D519" s="4">
        <f>Acciones!D519/Acciones!D518</f>
        <v>1.0593778732068944</v>
      </c>
      <c r="E519" s="4">
        <f>Acciones!E519/Acciones!E518</f>
        <v>0.92783499960058868</v>
      </c>
      <c r="F519" s="15">
        <f t="shared" si="24"/>
        <v>28832.9733529406</v>
      </c>
      <c r="G519" s="15">
        <f t="shared" si="26"/>
        <v>332.97335294060031</v>
      </c>
      <c r="H519" s="4">
        <f t="shared" si="25"/>
        <v>1.1683275541775506E-2</v>
      </c>
      <c r="I519" s="4"/>
    </row>
    <row r="520" spans="1:9" x14ac:dyDescent="0.2">
      <c r="A520" s="1">
        <f>Acciones!A520</f>
        <v>45754</v>
      </c>
      <c r="B520" s="4">
        <f>Acciones!B520/Acciones!B519</f>
        <v>0.9444933443868998</v>
      </c>
      <c r="C520" s="4">
        <f>Acciones!C520/Acciones!C519</f>
        <v>1.0153037013891864</v>
      </c>
      <c r="D520" s="4">
        <f>Acciones!D520/Acciones!D519</f>
        <v>0.97367696056688102</v>
      </c>
      <c r="E520" s="4">
        <f>Acciones!E520/Acciones!E519</f>
        <v>0.94444449595463065</v>
      </c>
      <c r="F520" s="15">
        <f t="shared" si="24"/>
        <v>27882.3262019707</v>
      </c>
      <c r="G520" s="15">
        <f t="shared" si="26"/>
        <v>-617.67379802930009</v>
      </c>
      <c r="H520" s="4">
        <f t="shared" si="25"/>
        <v>-2.1672764843133296E-2</v>
      </c>
      <c r="I520" s="4"/>
    </row>
    <row r="521" spans="1:9" x14ac:dyDescent="0.2">
      <c r="A521" s="1">
        <f>Acciones!A521</f>
        <v>45755</v>
      </c>
      <c r="B521" s="4">
        <f>Acciones!B521/Acciones!B520</f>
        <v>1.0354478312121698</v>
      </c>
      <c r="C521" s="4">
        <f>Acciones!C521/Acciones!C520</f>
        <v>0.91859720547165369</v>
      </c>
      <c r="D521" s="4">
        <f>Acciones!D521/Acciones!D520</f>
        <v>0.95252175243990411</v>
      </c>
      <c r="E521" s="4">
        <f>Acciones!E521/Acciones!E520</f>
        <v>0.96470584687889893</v>
      </c>
      <c r="F521" s="15">
        <f t="shared" si="24"/>
        <v>27181.840543456292</v>
      </c>
      <c r="G521" s="15">
        <f t="shared" si="26"/>
        <v>-1318.1594565437081</v>
      </c>
      <c r="H521" s="4">
        <f t="shared" si="25"/>
        <v>-4.6251209001533566E-2</v>
      </c>
      <c r="I521" s="4"/>
    </row>
    <row r="522" spans="1:9" x14ac:dyDescent="0.2">
      <c r="A522" s="1">
        <f>Acciones!A522</f>
        <v>45756</v>
      </c>
      <c r="B522" s="4">
        <f>Acciones!B522/Acciones!B521</f>
        <v>1.0090089843200898</v>
      </c>
      <c r="C522" s="4">
        <f>Acciones!C522/Acciones!C521</f>
        <v>1.1655323223923446</v>
      </c>
      <c r="D522" s="4">
        <f>Acciones!D522/Acciones!D521</f>
        <v>1.0890998986995177</v>
      </c>
      <c r="E522" s="4">
        <f>Acciones!E522/Acciones!E521</f>
        <v>1</v>
      </c>
      <c r="F522" s="15">
        <f t="shared" si="24"/>
        <v>30995.087494842766</v>
      </c>
      <c r="G522" s="15">
        <f t="shared" si="26"/>
        <v>2495.0874948427663</v>
      </c>
      <c r="H522" s="4">
        <f t="shared" si="25"/>
        <v>8.7546929643605775E-2</v>
      </c>
      <c r="I522" s="4"/>
    </row>
    <row r="523" spans="1:9" x14ac:dyDescent="0.2">
      <c r="A523" s="1">
        <f>Acciones!A523</f>
        <v>45757</v>
      </c>
      <c r="B523" s="4">
        <f>Acciones!B523/Acciones!B522</f>
        <v>1</v>
      </c>
      <c r="C523" s="4">
        <f>Acciones!C523/Acciones!C522</f>
        <v>0.94592647146954856</v>
      </c>
      <c r="D523" s="4">
        <f>Acciones!D523/Acciones!D522</f>
        <v>0.93042752488928826</v>
      </c>
      <c r="E523" s="4">
        <f>Acciones!E523/Acciones!E522</f>
        <v>0.92926833044553614</v>
      </c>
      <c r="F523" s="15">
        <f t="shared" si="24"/>
        <v>26901.552545304043</v>
      </c>
      <c r="G523" s="15">
        <f t="shared" si="26"/>
        <v>-1598.4474546959573</v>
      </c>
      <c r="H523" s="4">
        <f t="shared" si="25"/>
        <v>-5.6085875603366975E-2</v>
      </c>
      <c r="I523" s="4"/>
    </row>
    <row r="524" spans="1:9" x14ac:dyDescent="0.2">
      <c r="A524" s="1">
        <f>Acciones!A524</f>
        <v>45758</v>
      </c>
      <c r="B524" s="4">
        <f>Acciones!B524/Acciones!B523</f>
        <v>0.96071435736916044</v>
      </c>
      <c r="C524" s="4">
        <f>Acciones!C524/Acciones!C523</f>
        <v>1.0675235786716086</v>
      </c>
      <c r="D524" s="4">
        <f>Acciones!D524/Acciones!D523</f>
        <v>0.99346837940420452</v>
      </c>
      <c r="E524" s="4">
        <f>Acciones!E524/Acciones!E523</f>
        <v>1</v>
      </c>
      <c r="F524" s="15">
        <f t="shared" si="24"/>
        <v>28938.658042214389</v>
      </c>
      <c r="G524" s="15">
        <f t="shared" si="26"/>
        <v>438.65804221438884</v>
      </c>
      <c r="H524" s="4">
        <f t="shared" si="25"/>
        <v>1.5391510253136342E-2</v>
      </c>
      <c r="I524" s="4"/>
    </row>
    <row r="525" spans="1:9" x14ac:dyDescent="0.2">
      <c r="A525" s="1">
        <f>Acciones!A525</f>
        <v>45761</v>
      </c>
      <c r="B525" s="4">
        <f>Acciones!B525/Acciones!B524</f>
        <v>1.0139404359460658</v>
      </c>
      <c r="C525" s="4">
        <f>Acciones!C525/Acciones!C524</f>
        <v>1.0318045555052666</v>
      </c>
      <c r="D525" s="4">
        <f>Acciones!D525/Acciones!D524</f>
        <v>1.0135841938248498</v>
      </c>
      <c r="E525" s="4">
        <f>Acciones!E525/Acciones!E524</f>
        <v>0.91863512564181571</v>
      </c>
      <c r="F525" s="15">
        <f t="shared" si="24"/>
        <v>28539.269932389747</v>
      </c>
      <c r="G525" s="15">
        <f t="shared" si="26"/>
        <v>39.269932389746828</v>
      </c>
      <c r="H525" s="4">
        <f t="shared" si="25"/>
        <v>1.3778923645524355E-3</v>
      </c>
      <c r="I525" s="4"/>
    </row>
    <row r="526" spans="1:9" x14ac:dyDescent="0.2">
      <c r="A526" s="1">
        <f>Acciones!A526</f>
        <v>45762</v>
      </c>
      <c r="B526" s="4">
        <f>Acciones!B526/Acciones!B525</f>
        <v>0.98900092837917508</v>
      </c>
      <c r="C526" s="4">
        <f>Acciones!C526/Acciones!C525</f>
        <v>0.96003990913256787</v>
      </c>
      <c r="D526" s="4">
        <f>Acciones!D526/Acciones!D525</f>
        <v>0.98403906589784118</v>
      </c>
      <c r="E526" s="4">
        <f>Acciones!E526/Acciones!E525</f>
        <v>1.1428571793497833</v>
      </c>
      <c r="F526" s="15">
        <f t="shared" si="24"/>
        <v>28707.987531488725</v>
      </c>
      <c r="G526" s="15">
        <f t="shared" si="26"/>
        <v>207.98753148872493</v>
      </c>
      <c r="H526" s="4">
        <f t="shared" si="25"/>
        <v>7.29780812241132E-3</v>
      </c>
      <c r="I526" s="4"/>
    </row>
    <row r="527" spans="1:9" x14ac:dyDescent="0.2">
      <c r="A527" s="1">
        <f>Acciones!A527</f>
        <v>45763</v>
      </c>
      <c r="B527" s="4">
        <f>Acciones!B527/Acciones!B526</f>
        <v>1.0055607438006309</v>
      </c>
      <c r="C527" s="4">
        <f>Acciones!C527/Acciones!C526</f>
        <v>0.99152334936330011</v>
      </c>
      <c r="D527" s="4">
        <f>Acciones!D527/Acciones!D526</f>
        <v>0.97163351740738735</v>
      </c>
      <c r="E527" s="4">
        <f>Acciones!E527/Acciones!E526</f>
        <v>1</v>
      </c>
      <c r="F527" s="15">
        <f t="shared" si="24"/>
        <v>28155.269596327431</v>
      </c>
      <c r="G527" s="15">
        <f t="shared" si="26"/>
        <v>-344.73040367256908</v>
      </c>
      <c r="H527" s="4">
        <f t="shared" si="25"/>
        <v>-1.2095803637633962E-2</v>
      </c>
      <c r="I527" s="4"/>
    </row>
    <row r="528" spans="1:9" x14ac:dyDescent="0.2">
      <c r="A528" s="1">
        <f>Acciones!A528</f>
        <v>45768</v>
      </c>
      <c r="B528" s="4">
        <f>Acciones!B528/Acciones!B527</f>
        <v>0.95023042541586589</v>
      </c>
      <c r="C528" s="4">
        <f>Acciones!C528/Acciones!C527</f>
        <v>0.98096620170164861</v>
      </c>
      <c r="D528" s="4">
        <f>Acciones!D528/Acciones!D527</f>
        <v>1.0330404761874832</v>
      </c>
      <c r="E528" s="4">
        <f>Acciones!E528/Acciones!E527</f>
        <v>0.84999999627470912</v>
      </c>
      <c r="F528" s="15">
        <f t="shared" si="24"/>
        <v>27650.390146506925</v>
      </c>
      <c r="G528" s="15">
        <f t="shared" si="26"/>
        <v>-849.60985349307521</v>
      </c>
      <c r="H528" s="4">
        <f t="shared" si="25"/>
        <v>-2.9810872052388637E-2</v>
      </c>
      <c r="I528" s="4"/>
    </row>
    <row r="529" spans="1:9" x14ac:dyDescent="0.2">
      <c r="A529" s="1">
        <f>Acciones!A529</f>
        <v>45769</v>
      </c>
      <c r="B529" s="4">
        <f>Acciones!B529/Acciones!B528</f>
        <v>1.0029097216320015</v>
      </c>
      <c r="C529" s="4">
        <f>Acciones!C529/Acciones!C528</f>
        <v>1.1280934786834564</v>
      </c>
      <c r="D529" s="4">
        <f>Acciones!D529/Acciones!D528</f>
        <v>1.0144927696695261</v>
      </c>
      <c r="E529" s="4">
        <f>Acciones!E529/Acciones!E528</f>
        <v>0.93823530107839626</v>
      </c>
      <c r="F529" s="15">
        <f t="shared" si="24"/>
        <v>29532.293925831284</v>
      </c>
      <c r="G529" s="15">
        <f t="shared" si="26"/>
        <v>1032.2939258312836</v>
      </c>
      <c r="H529" s="4">
        <f t="shared" si="25"/>
        <v>3.6220839502852042E-2</v>
      </c>
      <c r="I529" s="4"/>
    </row>
    <row r="530" spans="1:9" x14ac:dyDescent="0.2">
      <c r="A530" s="1">
        <f>Acciones!A530</f>
        <v>45770</v>
      </c>
      <c r="B530" s="4">
        <f>Acciones!B530/Acciones!B529</f>
        <v>1.0348163055867829</v>
      </c>
      <c r="C530" s="4">
        <f>Acciones!C530/Acciones!C529</f>
        <v>1.0132642808568975</v>
      </c>
      <c r="D530" s="4">
        <f>Acciones!D530/Acciones!D529</f>
        <v>1.0066785918139984</v>
      </c>
      <c r="E530" s="4">
        <f>Acciones!E530/Acciones!E529</f>
        <v>0.94043889197396346</v>
      </c>
      <c r="F530" s="15">
        <f t="shared" si="24"/>
        <v>28487.067561691048</v>
      </c>
      <c r="G530" s="15">
        <f t="shared" si="26"/>
        <v>-12.932438308951532</v>
      </c>
      <c r="H530" s="4">
        <f t="shared" si="25"/>
        <v>-4.5376976522637502E-4</v>
      </c>
      <c r="I530" s="4"/>
    </row>
    <row r="531" spans="1:9" x14ac:dyDescent="0.2">
      <c r="A531" s="1">
        <f>Acciones!A531</f>
        <v>45771</v>
      </c>
      <c r="B531" s="4">
        <f>Acciones!B531/Acciones!B530</f>
        <v>1.0514018653020405</v>
      </c>
      <c r="C531" s="4">
        <f>Acciones!C531/Acciones!C530</f>
        <v>0.98759256190274536</v>
      </c>
      <c r="D531" s="4">
        <f>Acciones!D531/Acciones!D530</f>
        <v>1.0128782780046279</v>
      </c>
      <c r="E531" s="4">
        <f>Acciones!E531/Acciones!E530</f>
        <v>0.99666661037339366</v>
      </c>
      <c r="F531" s="15">
        <f t="shared" si="24"/>
        <v>28672.485003733167</v>
      </c>
      <c r="G531" s="15">
        <f t="shared" si="26"/>
        <v>172.4850037331671</v>
      </c>
      <c r="H531" s="4">
        <f t="shared" si="25"/>
        <v>6.0521053941462455E-3</v>
      </c>
      <c r="I531" s="4"/>
    </row>
    <row r="532" spans="1:9" x14ac:dyDescent="0.2">
      <c r="A532" s="1">
        <f>Acciones!A532</f>
        <v>45772</v>
      </c>
      <c r="B532" s="4">
        <f>Acciones!B532/Acciones!B531</f>
        <v>1.0017777903379692</v>
      </c>
      <c r="C532" s="4">
        <f>Acciones!C532/Acciones!C531</f>
        <v>1.0098321705366045</v>
      </c>
      <c r="D532" s="4">
        <f>Acciones!D532/Acciones!D531</f>
        <v>0.98513148030567632</v>
      </c>
      <c r="E532" s="4">
        <f>Acciones!E532/Acciones!E531</f>
        <v>0.93645486916630705</v>
      </c>
      <c r="F532" s="15">
        <f t="shared" si="24"/>
        <v>28101.444469752085</v>
      </c>
      <c r="G532" s="15">
        <f t="shared" si="26"/>
        <v>-398.55553024791516</v>
      </c>
      <c r="H532" s="4">
        <f t="shared" si="25"/>
        <v>-1.3984404570102305E-2</v>
      </c>
      <c r="I532" s="4"/>
    </row>
    <row r="533" spans="1:9" x14ac:dyDescent="0.2">
      <c r="A533" s="1">
        <f>Acciones!A533</f>
        <v>45775</v>
      </c>
      <c r="B533" s="4">
        <f>Acciones!B533/Acciones!B532</f>
        <v>1.0026619531124306</v>
      </c>
      <c r="C533" s="4">
        <f>Acciones!C533/Acciones!C532</f>
        <v>0.99332874357288858</v>
      </c>
      <c r="D533" s="4">
        <f>Acciones!D533/Acciones!D532</f>
        <v>0.99804439045696225</v>
      </c>
      <c r="E533" s="4">
        <f>Acciones!E533/Acciones!E532</f>
        <v>1.0678571204293752</v>
      </c>
      <c r="F533" s="15">
        <f t="shared" si="24"/>
        <v>28799.597966767134</v>
      </c>
      <c r="G533" s="15">
        <f t="shared" si="26"/>
        <v>299.59796676713449</v>
      </c>
      <c r="H533" s="4">
        <f t="shared" si="25"/>
        <v>1.0512209360250324E-2</v>
      </c>
      <c r="I533" s="4"/>
    </row>
    <row r="534" spans="1:9" x14ac:dyDescent="0.2">
      <c r="A534" s="1">
        <f>Acciones!A534</f>
        <v>45776</v>
      </c>
      <c r="B534" s="4">
        <f>Acciones!B534/Acciones!B533</f>
        <v>1.0610618553773594</v>
      </c>
      <c r="C534" s="4">
        <f>Acciones!C534/Acciones!C533</f>
        <v>1.023742135873799</v>
      </c>
      <c r="D534" s="4">
        <f>Acciones!D534/Acciones!D533</f>
        <v>1.0047023764228671</v>
      </c>
      <c r="E534" s="4">
        <f>Acciones!E534/Acciones!E533</f>
        <v>0.99331102312172137</v>
      </c>
      <c r="F534" s="15">
        <f t="shared" si="24"/>
        <v>28949.501176019989</v>
      </c>
      <c r="G534" s="15">
        <f t="shared" si="26"/>
        <v>449.50117601998863</v>
      </c>
      <c r="H534" s="4">
        <f t="shared" si="25"/>
        <v>1.5771971088420544E-2</v>
      </c>
      <c r="I534" s="4"/>
    </row>
    <row r="535" spans="1:9" x14ac:dyDescent="0.2">
      <c r="A535" s="1">
        <f>Acciones!A535</f>
        <v>45777</v>
      </c>
      <c r="B535" s="4">
        <f>Acciones!B535/Acciones!B534</f>
        <v>1.0108424458393346</v>
      </c>
      <c r="C535" s="4">
        <f>Acciones!C535/Acciones!C534</f>
        <v>0.93290775380235813</v>
      </c>
      <c r="D535" s="4">
        <f>Acciones!D535/Acciones!D534</f>
        <v>0.97929271893219572</v>
      </c>
      <c r="E535" s="4">
        <f>Acciones!E535/Acciones!E534</f>
        <v>0.99326597941371852</v>
      </c>
      <c r="F535" s="15">
        <f t="shared" si="24"/>
        <v>27656.462297657483</v>
      </c>
      <c r="G535" s="15">
        <f t="shared" si="26"/>
        <v>-843.53770234251715</v>
      </c>
      <c r="H535" s="4">
        <f t="shared" si="25"/>
        <v>-2.9597814117281351E-2</v>
      </c>
      <c r="I535" s="4"/>
    </row>
    <row r="536" spans="1:9" x14ac:dyDescent="0.2">
      <c r="A536" s="1">
        <f>Acciones!A536</f>
        <v>45779</v>
      </c>
      <c r="B536" s="4">
        <f>Acciones!B536/Acciones!B535</f>
        <v>1.0321782015892123</v>
      </c>
      <c r="C536" s="4">
        <f>Acciones!C536/Acciones!C535</f>
        <v>1.0779230692045398</v>
      </c>
      <c r="D536" s="4">
        <f>Acciones!D536/Acciones!D535</f>
        <v>1.0408149310418198</v>
      </c>
      <c r="E536" s="4">
        <f>Acciones!E536/Acciones!E535</f>
        <v>0.81355934001288999</v>
      </c>
      <c r="F536" s="15">
        <f t="shared" si="24"/>
        <v>28735.618543494464</v>
      </c>
      <c r="G536" s="15">
        <f t="shared" si="26"/>
        <v>235.61854349446367</v>
      </c>
      <c r="H536" s="4">
        <f t="shared" si="25"/>
        <v>8.2673173155951574E-3</v>
      </c>
      <c r="I536" s="4"/>
    </row>
    <row r="537" spans="1:9" x14ac:dyDescent="0.2">
      <c r="A537" s="1">
        <f>Acciones!A537</f>
        <v>45782</v>
      </c>
      <c r="B537" s="4">
        <f>Acciones!B537/Acciones!B536</f>
        <v>0.99440443691748936</v>
      </c>
      <c r="C537" s="4">
        <f>Acciones!C537/Acciones!C536</f>
        <v>0.9126878467435946</v>
      </c>
      <c r="D537" s="4">
        <f>Acciones!D537/Acciones!D536</f>
        <v>0.98357136987496951</v>
      </c>
      <c r="E537" s="4">
        <f>Acciones!E537/Acciones!E536</f>
        <v>0.93333338300387214</v>
      </c>
      <c r="F537" s="15">
        <f t="shared" si="24"/>
        <v>27119.997378546355</v>
      </c>
      <c r="G537" s="15">
        <f t="shared" si="26"/>
        <v>-1380.0026214536447</v>
      </c>
      <c r="H537" s="4">
        <f t="shared" si="25"/>
        <v>-4.842114461240854E-2</v>
      </c>
      <c r="I537" s="4"/>
    </row>
    <row r="538" spans="1:9" x14ac:dyDescent="0.2">
      <c r="A538" s="1">
        <f>Acciones!A538</f>
        <v>45783</v>
      </c>
      <c r="B538" s="4">
        <f>Acciones!B538/Acciones!B537</f>
        <v>1.0168809910207961</v>
      </c>
      <c r="C538" s="4">
        <f>Acciones!C538/Acciones!C537</f>
        <v>1.0006954357108742</v>
      </c>
      <c r="D538" s="4">
        <f>Acciones!D538/Acciones!D537</f>
        <v>0.99475681969570506</v>
      </c>
      <c r="E538" s="4">
        <f>Acciones!E538/Acciones!E537</f>
        <v>1.0267857012186918</v>
      </c>
      <c r="F538" s="15">
        <f t="shared" si="24"/>
        <v>28660.57966148595</v>
      </c>
      <c r="G538" s="15">
        <f t="shared" si="26"/>
        <v>160.57966148595006</v>
      </c>
      <c r="H538" s="4">
        <f t="shared" si="25"/>
        <v>5.6343740872262238E-3</v>
      </c>
      <c r="I538" s="4"/>
    </row>
    <row r="539" spans="1:9" x14ac:dyDescent="0.2">
      <c r="A539" s="1">
        <f>Acciones!A539</f>
        <v>45784</v>
      </c>
      <c r="B539" s="4">
        <f>Acciones!B539/Acciones!B538</f>
        <v>0.99604755776334963</v>
      </c>
      <c r="C539" s="4">
        <f>Acciones!C539/Acciones!C538</f>
        <v>1.004787607082529</v>
      </c>
      <c r="D539" s="4">
        <f>Acciones!D539/Acciones!D538</f>
        <v>1.0204353728251383</v>
      </c>
      <c r="E539" s="4">
        <f>Acciones!E539/Acciones!E538</f>
        <v>1.2608695060634421</v>
      </c>
      <c r="F539" s="15">
        <f t="shared" si="24"/>
        <v>30170.784731056061</v>
      </c>
      <c r="G539" s="15">
        <f t="shared" si="26"/>
        <v>1670.784731056061</v>
      </c>
      <c r="H539" s="4">
        <f t="shared" si="25"/>
        <v>5.8624025651089928E-2</v>
      </c>
      <c r="I539" s="4"/>
    </row>
    <row r="540" spans="1:9" x14ac:dyDescent="0.2">
      <c r="A540" s="1">
        <f>Acciones!A540</f>
        <v>45785</v>
      </c>
      <c r="B540" s="4">
        <f>Acciones!B540/Acciones!B539</f>
        <v>1</v>
      </c>
      <c r="C540" s="4">
        <f>Acciones!C540/Acciones!C539</f>
        <v>1.0683215472121834</v>
      </c>
      <c r="D540" s="4">
        <f>Acciones!D540/Acciones!D539</f>
        <v>1.0113326772276097</v>
      </c>
      <c r="E540" s="4">
        <f>Acciones!E540/Acciones!E539</f>
        <v>1.3103448488482703</v>
      </c>
      <c r="F540" s="15">
        <f t="shared" si="24"/>
        <v>30969.278139457325</v>
      </c>
      <c r="G540" s="15">
        <f t="shared" si="26"/>
        <v>2469.2781394573249</v>
      </c>
      <c r="H540" s="4">
        <f t="shared" si="25"/>
        <v>8.6641338226572717E-2</v>
      </c>
      <c r="I540" s="4"/>
    </row>
    <row r="541" spans="1:9" x14ac:dyDescent="0.2">
      <c r="A541" s="1">
        <f>Acciones!A541</f>
        <v>45786</v>
      </c>
      <c r="B541" s="4">
        <f>Acciones!B541/Acciones!B540</f>
        <v>0.99603164033995351</v>
      </c>
      <c r="C541" s="4">
        <f>Acciones!C541/Acciones!C540</f>
        <v>1.0898136904086999</v>
      </c>
      <c r="D541" s="4">
        <f>Acciones!D541/Acciones!D540</f>
        <v>0.98138691983428661</v>
      </c>
      <c r="E541" s="4">
        <f>Acciones!E541/Acciones!E540</f>
        <v>0.78947372548798012</v>
      </c>
      <c r="F541" s="15">
        <f t="shared" si="24"/>
        <v>27995.315488599244</v>
      </c>
      <c r="G541" s="15">
        <f t="shared" si="26"/>
        <v>-504.68451140075558</v>
      </c>
      <c r="H541" s="4">
        <f t="shared" si="25"/>
        <v>-1.7708228470201925E-2</v>
      </c>
      <c r="I541" s="4"/>
    </row>
    <row r="542" spans="1:9" x14ac:dyDescent="0.2">
      <c r="A542" s="1">
        <f>Acciones!A542</f>
        <v>45789</v>
      </c>
      <c r="B542" s="4">
        <f>Acciones!B542/Acciones!B541</f>
        <v>0.99601598609621544</v>
      </c>
      <c r="C542" s="4">
        <f>Acciones!C542/Acciones!C541</f>
        <v>1.0297369882043146</v>
      </c>
      <c r="D542" s="4">
        <f>Acciones!D542/Acciones!D541</f>
        <v>1.0740653089196095</v>
      </c>
      <c r="E542" s="4">
        <f>Acciones!E542/Acciones!E541</f>
        <v>1.0499999503294672</v>
      </c>
      <c r="F542" s="15">
        <f t="shared" si="24"/>
        <v>29784.210155285909</v>
      </c>
      <c r="G542" s="15">
        <f t="shared" si="26"/>
        <v>1284.2101552859094</v>
      </c>
      <c r="H542" s="4">
        <f t="shared" si="25"/>
        <v>4.5060005448628315E-2</v>
      </c>
      <c r="I542" s="4"/>
    </row>
    <row r="543" spans="1:9" x14ac:dyDescent="0.2">
      <c r="A543" s="1">
        <f>Acciones!A543</f>
        <v>45790</v>
      </c>
      <c r="B543" s="4">
        <f>Acciones!B543/Acciones!B542</f>
        <v>1</v>
      </c>
      <c r="C543" s="4">
        <f>Acciones!C543/Acciones!C542</f>
        <v>1.0148076766576506</v>
      </c>
      <c r="D543" s="4">
        <f>Acciones!D543/Acciones!D542</f>
        <v>0.99265398005716243</v>
      </c>
      <c r="E543" s="4">
        <f>Acciones!E543/Acciones!E542</f>
        <v>1.0761904419504673</v>
      </c>
      <c r="F543" s="15">
        <f t="shared" si="24"/>
        <v>28986.260159546877</v>
      </c>
      <c r="G543" s="15">
        <f t="shared" si="26"/>
        <v>486.26015954687682</v>
      </c>
      <c r="H543" s="4">
        <f t="shared" si="25"/>
        <v>1.7061759984100977E-2</v>
      </c>
      <c r="I543" s="4"/>
    </row>
    <row r="544" spans="1:9" x14ac:dyDescent="0.2">
      <c r="A544" s="1">
        <f>Acciones!A544</f>
        <v>45791</v>
      </c>
      <c r="B544" s="4">
        <f>Acciones!B544/Acciones!B543</f>
        <v>1.0199999057985647</v>
      </c>
      <c r="C544" s="4">
        <f>Acciones!C544/Acciones!C543</f>
        <v>0.97277495025544247</v>
      </c>
      <c r="D544" s="4">
        <f>Acciones!D544/Acciones!D543</f>
        <v>0.98680434188287303</v>
      </c>
      <c r="E544" s="4">
        <f>Acciones!E544/Acciones!E543</f>
        <v>0.94395281843826651</v>
      </c>
      <c r="F544" s="15">
        <f t="shared" si="24"/>
        <v>27871.145617960879</v>
      </c>
      <c r="G544" s="15">
        <f t="shared" si="26"/>
        <v>-628.85438203912054</v>
      </c>
      <c r="H544" s="4">
        <f t="shared" si="25"/>
        <v>-2.2065066036460412E-2</v>
      </c>
      <c r="I544" s="4"/>
    </row>
    <row r="545" spans="1:9" x14ac:dyDescent="0.2">
      <c r="A545" s="1">
        <f>Acciones!A545</f>
        <v>45792</v>
      </c>
      <c r="B545" s="4">
        <f>Acciones!B545/Acciones!B544</f>
        <v>1.0156863867837291</v>
      </c>
      <c r="C545" s="4">
        <f>Acciones!C545/Acciones!C544</f>
        <v>0.98558440765776956</v>
      </c>
      <c r="D545" s="4">
        <f>Acciones!D545/Acciones!D544</f>
        <v>1.0159748109716558</v>
      </c>
      <c r="E545" s="4">
        <f>Acciones!E545/Acciones!E544</f>
        <v>1</v>
      </c>
      <c r="F545" s="15">
        <f t="shared" si="24"/>
        <v>28577.702336208422</v>
      </c>
      <c r="G545" s="15">
        <f t="shared" si="26"/>
        <v>77.702336208421912</v>
      </c>
      <c r="H545" s="4">
        <f t="shared" si="25"/>
        <v>2.7263977616989177E-3</v>
      </c>
      <c r="I545" s="4"/>
    </row>
    <row r="546" spans="1:9" x14ac:dyDescent="0.2">
      <c r="A546" s="1">
        <f>Acciones!A546</f>
        <v>45793</v>
      </c>
      <c r="B546" s="4">
        <f>Acciones!B546/Acciones!B545</f>
        <v>1.008494192578876</v>
      </c>
      <c r="C546" s="4">
        <f>Acciones!C546/Acciones!C545</f>
        <v>1.0408157028201535</v>
      </c>
      <c r="D546" s="4">
        <f>Acciones!D546/Acciones!D545</f>
        <v>1.0099184105974071</v>
      </c>
      <c r="E546" s="4">
        <f>Acciones!E546/Acciones!E545</f>
        <v>1.0343750238651417</v>
      </c>
      <c r="F546" s="15">
        <f t="shared" si="24"/>
        <v>29205.725588049874</v>
      </c>
      <c r="G546" s="15">
        <f t="shared" si="26"/>
        <v>705.7255880498742</v>
      </c>
      <c r="H546" s="4">
        <f t="shared" si="25"/>
        <v>2.4762301335083281E-2</v>
      </c>
      <c r="I546" s="4"/>
    </row>
    <row r="547" spans="1:9" x14ac:dyDescent="0.2">
      <c r="A547" s="1">
        <f>Acciones!A547</f>
        <v>45796</v>
      </c>
      <c r="B547" s="4">
        <f>Acciones!B547/Acciones!B546</f>
        <v>1.0390504361143942</v>
      </c>
      <c r="C547" s="4">
        <f>Acciones!C547/Acciones!C546</f>
        <v>0.99382809896600588</v>
      </c>
      <c r="D547" s="4">
        <f>Acciones!D547/Acciones!D546</f>
        <v>0.97429267668785435</v>
      </c>
      <c r="E547" s="4">
        <f>Acciones!E547/Acciones!E546</f>
        <v>1.0241691432156454</v>
      </c>
      <c r="F547" s="15">
        <f t="shared" si="24"/>
        <v>28453.90052114203</v>
      </c>
      <c r="G547" s="15">
        <f t="shared" si="26"/>
        <v>-46.099478857970098</v>
      </c>
      <c r="H547" s="4">
        <f t="shared" si="25"/>
        <v>-1.617525573963885E-3</v>
      </c>
      <c r="I547" s="4"/>
    </row>
    <row r="548" spans="1:9" x14ac:dyDescent="0.2">
      <c r="A548" s="1">
        <f>Acciones!A548</f>
        <v>45797</v>
      </c>
      <c r="B548" s="4">
        <f>Acciones!B548/Acciones!B547</f>
        <v>1.0095799520546886</v>
      </c>
      <c r="C548" s="4">
        <f>Acciones!C548/Acciones!C547</f>
        <v>0.99105096318919117</v>
      </c>
      <c r="D548" s="4">
        <f>Acciones!D548/Acciones!D547</f>
        <v>1.0055241078685091</v>
      </c>
      <c r="E548" s="4">
        <f>Acciones!E548/Acciones!E547</f>
        <v>0.98230093630285242</v>
      </c>
      <c r="F548" s="15">
        <f t="shared" si="24"/>
        <v>28406.410210839509</v>
      </c>
      <c r="G548" s="15">
        <f t="shared" si="26"/>
        <v>-93.589789160490909</v>
      </c>
      <c r="H548" s="4">
        <f t="shared" si="25"/>
        <v>-3.2838522512452784E-3</v>
      </c>
      <c r="I548" s="4"/>
    </row>
    <row r="549" spans="1:9" x14ac:dyDescent="0.2">
      <c r="A549" s="1">
        <f>Acciones!A549</f>
        <v>45798</v>
      </c>
      <c r="B549" s="4">
        <f>Acciones!B549/Acciones!B548</f>
        <v>0.99854027877953244</v>
      </c>
      <c r="C549" s="4">
        <f>Acciones!C549/Acciones!C548</f>
        <v>0.99190208877566199</v>
      </c>
      <c r="D549" s="4">
        <f>Acciones!D549/Acciones!D548</f>
        <v>0.96658928186321202</v>
      </c>
      <c r="E549" s="4">
        <f>Acciones!E549/Acciones!E548</f>
        <v>0.93093092609328321</v>
      </c>
      <c r="F549" s="15">
        <f t="shared" si="24"/>
        <v>27703.973731242331</v>
      </c>
      <c r="G549" s="15">
        <f t="shared" si="26"/>
        <v>-796.02626875766873</v>
      </c>
      <c r="H549" s="4">
        <f t="shared" si="25"/>
        <v>-2.7930746272198936E-2</v>
      </c>
      <c r="I549" s="4"/>
    </row>
    <row r="550" spans="1:9" x14ac:dyDescent="0.2">
      <c r="A550" s="1">
        <f>Acciones!A550</f>
        <v>45799</v>
      </c>
      <c r="B550" s="4">
        <f>Acciones!B550/Acciones!B549</f>
        <v>0.97953209159332677</v>
      </c>
      <c r="C550" s="4">
        <f>Acciones!C550/Acciones!C549</f>
        <v>0.97842354821529098</v>
      </c>
      <c r="D550" s="4">
        <f>Acciones!D550/Acciones!D549</f>
        <v>1.0178838140830506</v>
      </c>
      <c r="E550" s="4">
        <f>Acciones!E550/Acciones!E549</f>
        <v>1.0483870502565236</v>
      </c>
      <c r="F550" s="15">
        <f t="shared" si="24"/>
        <v>28668.352945863291</v>
      </c>
      <c r="G550" s="15">
        <f t="shared" si="26"/>
        <v>168.3529458632911</v>
      </c>
      <c r="H550" s="4">
        <f t="shared" si="25"/>
        <v>5.9071209074839093E-3</v>
      </c>
      <c r="I550" s="4"/>
    </row>
    <row r="551" spans="1:9" x14ac:dyDescent="0.2">
      <c r="A551" s="1">
        <f>Acciones!A551</f>
        <v>45800</v>
      </c>
      <c r="B551" s="4">
        <f>Acciones!B551/Acciones!B550</f>
        <v>0.97313435721251407</v>
      </c>
      <c r="C551" s="4">
        <f>Acciones!C551/Acciones!C550</f>
        <v>0.94536604924848411</v>
      </c>
      <c r="D551" s="4">
        <f>Acciones!D551/Acciones!D550</f>
        <v>0.97510912825449014</v>
      </c>
      <c r="E551" s="4">
        <f>Acciones!E551/Acciones!E550</f>
        <v>0.99076925757368617</v>
      </c>
      <c r="F551" s="15">
        <f t="shared" si="24"/>
        <v>27587.269917304573</v>
      </c>
      <c r="G551" s="15">
        <f t="shared" si="26"/>
        <v>-912.73008269542697</v>
      </c>
      <c r="H551" s="4">
        <f t="shared" si="25"/>
        <v>-3.20256169366816E-2</v>
      </c>
      <c r="I551" s="4"/>
    </row>
    <row r="552" spans="1:9" x14ac:dyDescent="0.2">
      <c r="A552" s="1">
        <f>Acciones!A552</f>
        <v>45803</v>
      </c>
      <c r="B552" s="4">
        <f>Acciones!B552/Acciones!B551</f>
        <v>1.0084355672411076</v>
      </c>
      <c r="C552" s="4">
        <f>Acciones!C552/Acciones!C551</f>
        <v>0.99821368866876625</v>
      </c>
      <c r="D552" s="4">
        <f>Acciones!D552/Acciones!D551</f>
        <v>1.0017299099000392</v>
      </c>
      <c r="E552" s="4">
        <f>Acciones!E552/Acciones!E551</f>
        <v>1.0093167428800922</v>
      </c>
      <c r="F552" s="15">
        <f t="shared" si="24"/>
        <v>28581.095712538059</v>
      </c>
      <c r="G552" s="15">
        <f t="shared" si="26"/>
        <v>81.095712538059161</v>
      </c>
      <c r="H552" s="4">
        <f t="shared" si="25"/>
        <v>2.8454635978265586E-3</v>
      </c>
      <c r="I552" s="4"/>
    </row>
    <row r="553" spans="1:9" x14ac:dyDescent="0.2">
      <c r="A553" s="1">
        <f>Acciones!A553</f>
        <v>45804</v>
      </c>
      <c r="B553" s="4">
        <f>Acciones!B553/Acciones!B552</f>
        <v>0.98479091594924795</v>
      </c>
      <c r="C553" s="4">
        <f>Acciones!C553/Acciones!C552</f>
        <v>1.1010175738418282</v>
      </c>
      <c r="D553" s="4">
        <f>Acciones!D553/Acciones!D552</f>
        <v>1.0382621888628987</v>
      </c>
      <c r="E553" s="4">
        <f>Acciones!E553/Acciones!E552</f>
        <v>0.98153851514737223</v>
      </c>
      <c r="F553" s="15">
        <f t="shared" si="24"/>
        <v>29687.518879259267</v>
      </c>
      <c r="G553" s="15">
        <f t="shared" si="26"/>
        <v>1187.5188792592671</v>
      </c>
      <c r="H553" s="4">
        <f t="shared" si="25"/>
        <v>4.1667329096816363E-2</v>
      </c>
      <c r="I553" s="4"/>
    </row>
    <row r="554" spans="1:9" x14ac:dyDescent="0.2">
      <c r="A554" s="1">
        <f>Acciones!A554</f>
        <v>45805</v>
      </c>
      <c r="B554" s="4">
        <f>Acciones!B554/Acciones!B553</f>
        <v>1.008494192578876</v>
      </c>
      <c r="C554" s="4">
        <f>Acciones!C554/Acciones!C553</f>
        <v>0.91953217338854398</v>
      </c>
      <c r="D554" s="4">
        <f>Acciones!D554/Acciones!D553</f>
        <v>0.99678973724399289</v>
      </c>
      <c r="E554" s="4">
        <f>Acciones!E554/Acciones!E553</f>
        <v>0.99059563910752402</v>
      </c>
      <c r="F554" s="15">
        <f t="shared" si="24"/>
        <v>27681.458708748545</v>
      </c>
      <c r="G554" s="15">
        <f t="shared" si="26"/>
        <v>-818.54129125145482</v>
      </c>
      <c r="H554" s="4">
        <f t="shared" si="25"/>
        <v>-2.8720747061454555E-2</v>
      </c>
      <c r="I554" s="4"/>
    </row>
    <row r="555" spans="1:9" x14ac:dyDescent="0.2">
      <c r="A555" s="1">
        <f>Acciones!A555</f>
        <v>45806</v>
      </c>
      <c r="B555" s="4">
        <f>Acciones!B555/Acciones!B554</f>
        <v>1.0206738089127136</v>
      </c>
      <c r="C555" s="4">
        <f>Acciones!C555/Acciones!C554</f>
        <v>0.97587848559458101</v>
      </c>
      <c r="D555" s="4">
        <f>Acciones!D555/Acciones!D554</f>
        <v>0.98885283018867509</v>
      </c>
      <c r="E555" s="4">
        <f>Acciones!E555/Acciones!E554</f>
        <v>0.98101262062277084</v>
      </c>
      <c r="F555" s="15">
        <f t="shared" si="24"/>
        <v>28127.301659655008</v>
      </c>
      <c r="G555" s="15">
        <f t="shared" si="26"/>
        <v>-372.69834034499218</v>
      </c>
      <c r="H555" s="4">
        <f t="shared" si="25"/>
        <v>-1.3077134748947117E-2</v>
      </c>
      <c r="I555" s="4"/>
    </row>
    <row r="556" spans="1:9" x14ac:dyDescent="0.2">
      <c r="A556" s="1">
        <f>Acciones!A556</f>
        <v>45807</v>
      </c>
      <c r="B556" s="4">
        <f>Acciones!B556/Acciones!B555</f>
        <v>0.99024756658448698</v>
      </c>
      <c r="C556" s="4">
        <f>Acciones!C556/Acciones!C555</f>
        <v>0.97776838004628419</v>
      </c>
      <c r="D556" s="4">
        <f>Acciones!D556/Acciones!D555</f>
        <v>0.9973505786378335</v>
      </c>
      <c r="E556" s="4">
        <f>Acciones!E556/Acciones!E555</f>
        <v>1</v>
      </c>
      <c r="F556" s="15">
        <f t="shared" si="24"/>
        <v>28228.171879863738</v>
      </c>
      <c r="G556" s="15">
        <f t="shared" si="26"/>
        <v>-271.82812013626244</v>
      </c>
      <c r="H556" s="4">
        <f t="shared" si="25"/>
        <v>-9.5378287767109438E-3</v>
      </c>
      <c r="I556" s="4"/>
    </row>
    <row r="557" spans="1:9" x14ac:dyDescent="0.2">
      <c r="A557" s="1">
        <f>Acciones!A557</f>
        <v>45810</v>
      </c>
      <c r="B557" s="4">
        <f>Acciones!B557/Acciones!B556</f>
        <v>1.0143939667076141</v>
      </c>
      <c r="C557" s="4">
        <f>Acciones!C557/Acciones!C556</f>
        <v>0.99912821173337263</v>
      </c>
      <c r="D557" s="4">
        <f>Acciones!D557/Acciones!D556</f>
        <v>0.99779958953524173</v>
      </c>
      <c r="E557" s="4">
        <f>Acciones!E557/Acciones!E556</f>
        <v>1.0064516259281746</v>
      </c>
      <c r="F557" s="15">
        <f t="shared" si="24"/>
        <v>28555.576732901063</v>
      </c>
      <c r="G557" s="15">
        <f t="shared" si="26"/>
        <v>55.576732901063224</v>
      </c>
      <c r="H557" s="4">
        <f t="shared" si="25"/>
        <v>1.9500608035460942E-3</v>
      </c>
      <c r="I557" s="4"/>
    </row>
    <row r="558" spans="1:9" x14ac:dyDescent="0.2">
      <c r="A558" s="1">
        <f>Acciones!A558</f>
        <v>45811</v>
      </c>
      <c r="B558" s="4">
        <f>Acciones!B558/Acciones!B557</f>
        <v>1.029872956611166</v>
      </c>
      <c r="C558" s="4">
        <f>Acciones!C558/Acciones!C557</f>
        <v>1.0759416012365919</v>
      </c>
      <c r="D558" s="4">
        <f>Acciones!D558/Acciones!D557</f>
        <v>1.0162424383877784</v>
      </c>
      <c r="E558" s="4">
        <f>Acciones!E558/Acciones!E557</f>
        <v>1.0224358946805043</v>
      </c>
      <c r="F558" s="15">
        <f t="shared" si="24"/>
        <v>29611.822364507261</v>
      </c>
      <c r="G558" s="15">
        <f t="shared" si="26"/>
        <v>1111.8223645072612</v>
      </c>
      <c r="H558" s="4">
        <f t="shared" si="25"/>
        <v>3.90113110353425E-2</v>
      </c>
      <c r="I558" s="4"/>
    </row>
    <row r="559" spans="1:9" x14ac:dyDescent="0.2">
      <c r="A559" s="1">
        <f>Acciones!A559</f>
        <v>45812</v>
      </c>
      <c r="B559" s="4">
        <f>Acciones!B559/Acciones!B558</f>
        <v>0.96301670021871988</v>
      </c>
      <c r="C559" s="4">
        <f>Acciones!C559/Acciones!C558</f>
        <v>1.0161164611075399</v>
      </c>
      <c r="D559" s="4">
        <f>Acciones!D559/Acciones!D558</f>
        <v>1.0042565082395525</v>
      </c>
      <c r="E559" s="4">
        <f>Acciones!E559/Acciones!E558</f>
        <v>0.97178682389836069</v>
      </c>
      <c r="F559" s="15">
        <f t="shared" si="24"/>
        <v>28411.057445123657</v>
      </c>
      <c r="G559" s="15">
        <f t="shared" si="26"/>
        <v>-88.942554876342911</v>
      </c>
      <c r="H559" s="4">
        <f t="shared" si="25"/>
        <v>-3.1207913991698755E-3</v>
      </c>
      <c r="I559" s="4"/>
    </row>
    <row r="560" spans="1:9" x14ac:dyDescent="0.2">
      <c r="A560" s="1">
        <f>Acciones!A560</f>
        <v>45813</v>
      </c>
      <c r="B560" s="4">
        <f>Acciones!B560/Acciones!B559</f>
        <v>1</v>
      </c>
      <c r="C560" s="4">
        <f>Acciones!C560/Acciones!C559</f>
        <v>0.9479949968786282</v>
      </c>
      <c r="D560" s="4">
        <f>Acciones!D560/Acciones!D559</f>
        <v>0.99645970140522888</v>
      </c>
      <c r="E560" s="4">
        <f>Acciones!E560/Acciones!E559</f>
        <v>0.9580644795351323</v>
      </c>
      <c r="F560" s="15">
        <f t="shared" si="24"/>
        <v>27739.904121842483</v>
      </c>
      <c r="G560" s="15">
        <f t="shared" si="26"/>
        <v>-760.09587815751729</v>
      </c>
      <c r="H560" s="4">
        <f t="shared" si="25"/>
        <v>-2.6670030812544487E-2</v>
      </c>
      <c r="I560" s="4"/>
    </row>
    <row r="561" spans="1:9" x14ac:dyDescent="0.2">
      <c r="A561" s="1">
        <f>Acciones!A561</f>
        <v>45814</v>
      </c>
      <c r="B561" s="4">
        <f>Acciones!B561/Acciones!B560</f>
        <v>1.0075301000062624</v>
      </c>
      <c r="C561" s="4">
        <f>Acciones!C561/Acciones!C560</f>
        <v>1.0550333290266898</v>
      </c>
      <c r="D561" s="4">
        <f>Acciones!D561/Acciones!D560</f>
        <v>1.0008339507537987</v>
      </c>
      <c r="E561" s="4">
        <f>Acciones!E561/Acciones!E560</f>
        <v>0.99326597941371852</v>
      </c>
      <c r="F561" s="15">
        <f t="shared" si="24"/>
        <v>29020.474370088908</v>
      </c>
      <c r="G561" s="15">
        <f t="shared" si="26"/>
        <v>520.47437008890847</v>
      </c>
      <c r="H561" s="4">
        <f t="shared" si="25"/>
        <v>1.8262258599610837E-2</v>
      </c>
      <c r="I561" s="4"/>
    </row>
    <row r="562" spans="1:9" x14ac:dyDescent="0.2">
      <c r="A562" s="1">
        <f>Acciones!A562</f>
        <v>45817</v>
      </c>
      <c r="B562" s="4">
        <f>Acciones!B562/Acciones!B561</f>
        <v>1.0328849167622587</v>
      </c>
      <c r="C562" s="4">
        <f>Acciones!C562/Acciones!C561</f>
        <v>1.0294225401512773</v>
      </c>
      <c r="D562" s="4">
        <f>Acciones!D562/Acciones!D561</f>
        <v>0.98521665823363802</v>
      </c>
      <c r="E562" s="4">
        <f>Acciones!E562/Acciones!E561</f>
        <v>1.0033898880412566</v>
      </c>
      <c r="F562" s="15">
        <f t="shared" si="24"/>
        <v>28765.42230666833</v>
      </c>
      <c r="G562" s="15">
        <f t="shared" si="26"/>
        <v>265.42230666832984</v>
      </c>
      <c r="H562" s="4">
        <f t="shared" si="25"/>
        <v>9.3130633918712125E-3</v>
      </c>
      <c r="I562" s="4"/>
    </row>
    <row r="563" spans="1:9" x14ac:dyDescent="0.2">
      <c r="A563" s="1">
        <f>Acciones!A563</f>
        <v>45818</v>
      </c>
      <c r="B563" s="4">
        <f>Acciones!B563/Acciones!B562</f>
        <v>1.0057886821100668</v>
      </c>
      <c r="C563" s="4">
        <f>Acciones!C563/Acciones!C562</f>
        <v>1.0227037800242931</v>
      </c>
      <c r="D563" s="4">
        <f>Acciones!D563/Acciones!D562</f>
        <v>1.0310760363493454</v>
      </c>
      <c r="E563" s="4">
        <f>Acciones!E563/Acciones!E562</f>
        <v>1.0135135407252736</v>
      </c>
      <c r="F563" s="15">
        <f t="shared" si="24"/>
        <v>29121.031135098474</v>
      </c>
      <c r="G563" s="15">
        <f t="shared" si="26"/>
        <v>621.0311350984739</v>
      </c>
      <c r="H563" s="4">
        <f t="shared" si="25"/>
        <v>2.1790566143806034E-2</v>
      </c>
      <c r="I563" s="4"/>
    </row>
    <row r="564" spans="1:9" x14ac:dyDescent="0.2">
      <c r="A564" s="1">
        <f>Acciones!A564</f>
        <v>45819</v>
      </c>
      <c r="B564" s="4">
        <f>Acciones!B564/Acciones!B563</f>
        <v>1.0187050987445465</v>
      </c>
      <c r="C564" s="4">
        <f>Acciones!C564/Acciones!C563</f>
        <v>0.96826343548679428</v>
      </c>
      <c r="D564" s="4">
        <f>Acciones!D564/Acciones!D563</f>
        <v>0.97867101897713338</v>
      </c>
      <c r="E564" s="4">
        <f>Acciones!E564/Acciones!E563</f>
        <v>1</v>
      </c>
      <c r="F564" s="15">
        <f t="shared" si="24"/>
        <v>28050.680672501796</v>
      </c>
      <c r="G564" s="15">
        <f t="shared" si="26"/>
        <v>-449.31932749820407</v>
      </c>
      <c r="H564" s="4">
        <f t="shared" si="25"/>
        <v>-1.5765590438533428E-2</v>
      </c>
      <c r="I564" s="4"/>
    </row>
    <row r="565" spans="1:9" x14ac:dyDescent="0.2">
      <c r="A565" s="1">
        <f>Acciones!A565</f>
        <v>45820</v>
      </c>
      <c r="B565" s="4">
        <f>Acciones!B565/Acciones!B564</f>
        <v>1.0162429140684994</v>
      </c>
      <c r="C565" s="4">
        <f>Acciones!C565/Acciones!C564</f>
        <v>0.98509553389539273</v>
      </c>
      <c r="D565" s="4">
        <f>Acciones!D565/Acciones!D564</f>
        <v>0.99397330349620094</v>
      </c>
      <c r="E565" s="4">
        <f>Acciones!E565/Acciones!E564</f>
        <v>0.98333325054911036</v>
      </c>
      <c r="F565" s="15">
        <f t="shared" si="24"/>
        <v>28263.323684228097</v>
      </c>
      <c r="G565" s="15">
        <f t="shared" si="26"/>
        <v>-236.67631577190332</v>
      </c>
      <c r="H565" s="4">
        <f t="shared" si="25"/>
        <v>-8.304432132347439E-3</v>
      </c>
      <c r="I565" s="4"/>
    </row>
    <row r="566" spans="1:9" x14ac:dyDescent="0.2">
      <c r="A566" s="1">
        <f>Acciones!A566</f>
        <v>45821</v>
      </c>
      <c r="B566" s="4">
        <f>Acciones!B566/Acciones!B565</f>
        <v>0.98540656520109859</v>
      </c>
      <c r="C566" s="4">
        <f>Acciones!C566/Acciones!C565</f>
        <v>0.94040721493974166</v>
      </c>
      <c r="D566" s="4">
        <f>Acciones!D566/Acciones!D565</f>
        <v>0.96305474658571677</v>
      </c>
      <c r="E566" s="4">
        <f>Acciones!E566/Acciones!E565</f>
        <v>1.0135593501153732</v>
      </c>
      <c r="F566" s="15">
        <f t="shared" si="24"/>
        <v>27587.915411623111</v>
      </c>
      <c r="G566" s="15">
        <f t="shared" si="26"/>
        <v>-912.08458837688886</v>
      </c>
      <c r="H566" s="4">
        <f t="shared" si="25"/>
        <v>-3.200296801322422E-2</v>
      </c>
      <c r="I566" s="4"/>
    </row>
    <row r="567" spans="1:9" x14ac:dyDescent="0.2">
      <c r="A567" s="1">
        <f>Acciones!A567</f>
        <v>45824</v>
      </c>
      <c r="B567" s="4">
        <f>Acciones!B567/Acciones!B566</f>
        <v>0.99435828043637731</v>
      </c>
      <c r="C567" s="4">
        <f>Acciones!C567/Acciones!C566</f>
        <v>1.0207358384142267</v>
      </c>
      <c r="D567" s="4">
        <f>Acciones!D567/Acciones!D566</f>
        <v>1.0253589425472642</v>
      </c>
      <c r="E567" s="4">
        <f>Acciones!E567/Acciones!E566</f>
        <v>1.0066889768782821</v>
      </c>
      <c r="F567" s="15">
        <f t="shared" si="24"/>
        <v>28967.623244765666</v>
      </c>
      <c r="G567" s="15">
        <f t="shared" si="26"/>
        <v>467.62324476566573</v>
      </c>
      <c r="H567" s="4">
        <f t="shared" si="25"/>
        <v>1.6407833149672424E-2</v>
      </c>
      <c r="I567" s="4"/>
    </row>
    <row r="568" spans="1:9" x14ac:dyDescent="0.2">
      <c r="A568" s="1">
        <f>Acciones!A568</f>
        <v>45825</v>
      </c>
      <c r="B568" s="4">
        <f>Acciones!B568/Acciones!B567</f>
        <v>1.0134751328343827</v>
      </c>
      <c r="C568" s="4">
        <f>Acciones!C568/Acciones!C567</f>
        <v>0.95985371266322472</v>
      </c>
      <c r="D568" s="4">
        <f>Acciones!D568/Acciones!D567</f>
        <v>0.97303924842447165</v>
      </c>
      <c r="E568" s="4">
        <f>Acciones!E568/Acciones!E567</f>
        <v>1</v>
      </c>
      <c r="F568" s="15">
        <f t="shared" si="24"/>
        <v>27896.165719465691</v>
      </c>
      <c r="G568" s="15">
        <f t="shared" si="26"/>
        <v>-603.83428053430907</v>
      </c>
      <c r="H568" s="4">
        <f t="shared" si="25"/>
        <v>-2.1187167738045964E-2</v>
      </c>
      <c r="I568" s="4"/>
    </row>
    <row r="569" spans="1:9" x14ac:dyDescent="0.2">
      <c r="A569" s="1">
        <f>Acciones!A569</f>
        <v>45826</v>
      </c>
      <c r="B569" s="4">
        <f>Acciones!B569/Acciones!B568</f>
        <v>0.99230232353093439</v>
      </c>
      <c r="C569" s="4">
        <f>Acciones!C569/Acciones!C568</f>
        <v>0.9997485561993914</v>
      </c>
      <c r="D569" s="4">
        <f>Acciones!D569/Acciones!D568</f>
        <v>0.99263649130596565</v>
      </c>
      <c r="E569" s="4">
        <f>Acciones!E569/Acciones!E568</f>
        <v>0.99667778362602888</v>
      </c>
      <c r="F569" s="15">
        <f t="shared" si="24"/>
        <v>28378.762139255305</v>
      </c>
      <c r="G569" s="15">
        <f t="shared" si="26"/>
        <v>-121.23786074469535</v>
      </c>
      <c r="H569" s="4">
        <f t="shared" si="25"/>
        <v>-4.2539600261296551E-3</v>
      </c>
      <c r="I569" s="4"/>
    </row>
    <row r="570" spans="1:9" x14ac:dyDescent="0.2">
      <c r="A570" s="1">
        <f>Acciones!A570</f>
        <v>45827</v>
      </c>
      <c r="B570" s="4">
        <f>Acciones!B570/Acciones!B569</f>
        <v>0.99929470720384161</v>
      </c>
      <c r="C570" s="4">
        <f>Acciones!C570/Acciones!C569</f>
        <v>1.0095963152957184</v>
      </c>
      <c r="D570" s="4">
        <f>Acciones!D570/Acciones!D569</f>
        <v>1</v>
      </c>
      <c r="E570" s="4">
        <f>Acciones!E570/Acciones!E569</f>
        <v>1</v>
      </c>
      <c r="F570" s="15">
        <f t="shared" si="24"/>
        <v>28588.696470522769</v>
      </c>
      <c r="G570" s="15">
        <f t="shared" si="26"/>
        <v>88.696470522769232</v>
      </c>
      <c r="H570" s="4">
        <f t="shared" si="25"/>
        <v>3.1121568604479677E-3</v>
      </c>
      <c r="I570" s="4"/>
    </row>
    <row r="571" spans="1:9" x14ac:dyDescent="0.2">
      <c r="A571" s="1">
        <f>Acciones!A571</f>
        <v>45828</v>
      </c>
      <c r="B571" s="4">
        <f>Acciones!B571/Acciones!B570</f>
        <v>0.98800287579193691</v>
      </c>
      <c r="C571" s="4">
        <f>Acciones!C571/Acciones!C570</f>
        <v>0.97824853868165418</v>
      </c>
      <c r="D571" s="4">
        <f>Acciones!D571/Acciones!D570</f>
        <v>1.0167460868464173</v>
      </c>
      <c r="E571" s="4">
        <f>Acciones!E571/Acciones!E570</f>
        <v>0.98999993046125367</v>
      </c>
      <c r="F571" s="15">
        <f t="shared" si="24"/>
        <v>28363.831668748564</v>
      </c>
      <c r="G571" s="15">
        <f t="shared" si="26"/>
        <v>-136.16833125143603</v>
      </c>
      <c r="H571" s="4">
        <f t="shared" si="25"/>
        <v>-4.7778361842608641E-3</v>
      </c>
      <c r="I571" s="4"/>
    </row>
    <row r="572" spans="1:9" x14ac:dyDescent="0.2">
      <c r="A572" s="1">
        <f>Acciones!A572</f>
        <v>45831</v>
      </c>
      <c r="B572" s="4">
        <f>Acciones!B572/Acciones!B571</f>
        <v>0.91857141285116528</v>
      </c>
      <c r="C572" s="4">
        <f>Acciones!C572/Acciones!C571</f>
        <v>0.98293241276769594</v>
      </c>
      <c r="D572" s="4">
        <f>Acciones!D572/Acciones!D571</f>
        <v>1.0144791645967981</v>
      </c>
      <c r="E572" s="4">
        <f>Acciones!E572/Acciones!E571</f>
        <v>0.99326597941371852</v>
      </c>
      <c r="F572" s="15">
        <f t="shared" si="24"/>
        <v>28160.612399015619</v>
      </c>
      <c r="G572" s="15">
        <f t="shared" si="26"/>
        <v>-339.3876009843807</v>
      </c>
      <c r="H572" s="4">
        <f t="shared" si="25"/>
        <v>-1.1908336876644943E-2</v>
      </c>
      <c r="I572" s="4"/>
    </row>
    <row r="573" spans="1:9" x14ac:dyDescent="0.2">
      <c r="A573" s="1">
        <f>Acciones!A573</f>
        <v>45832</v>
      </c>
      <c r="B573" s="4">
        <f>Acciones!B573/Acciones!B572</f>
        <v>1.0334369460593504</v>
      </c>
      <c r="C573" s="4">
        <f>Acciones!C573/Acciones!C572</f>
        <v>1.0442428042184984</v>
      </c>
      <c r="D573" s="4">
        <f>Acciones!D573/Acciones!D572</f>
        <v>0.99808842355590521</v>
      </c>
      <c r="E573" s="4">
        <f>Acciones!E573/Acciones!E572</f>
        <v>1</v>
      </c>
      <c r="F573" s="15">
        <f t="shared" si="24"/>
        <v>29018.220186842511</v>
      </c>
      <c r="G573" s="15">
        <f t="shared" si="26"/>
        <v>518.22018684251088</v>
      </c>
      <c r="H573" s="4">
        <f t="shared" si="25"/>
        <v>1.818316445061452E-2</v>
      </c>
      <c r="I573" s="4"/>
    </row>
    <row r="574" spans="1:9" x14ac:dyDescent="0.2">
      <c r="A574" s="1">
        <f>Acciones!A574</f>
        <v>45833</v>
      </c>
      <c r="B574" s="4">
        <f>Acciones!B574/Acciones!B573</f>
        <v>1.0443943778610063</v>
      </c>
      <c r="C574" s="4">
        <f>Acciones!C574/Acciones!C573</f>
        <v>1.0062045739256849</v>
      </c>
      <c r="D574" s="4">
        <f>Acciones!D574/Acciones!D573</f>
        <v>0.98996016725638492</v>
      </c>
      <c r="E574" s="4">
        <f>Acciones!E574/Acciones!E573</f>
        <v>1.0101695630989449</v>
      </c>
      <c r="F574" s="15">
        <f t="shared" si="24"/>
        <v>28669.858044415574</v>
      </c>
      <c r="G574" s="15">
        <f t="shared" si="26"/>
        <v>169.85804441557411</v>
      </c>
      <c r="H574" s="4">
        <f t="shared" si="25"/>
        <v>5.959931383002548E-3</v>
      </c>
      <c r="I574" s="4"/>
    </row>
    <row r="575" spans="1:9" x14ac:dyDescent="0.2">
      <c r="A575" s="1">
        <f>Acciones!A575</f>
        <v>45834</v>
      </c>
      <c r="B575" s="4">
        <f>Acciones!B575/Acciones!B574</f>
        <v>1</v>
      </c>
      <c r="C575" s="4">
        <f>Acciones!C575/Acciones!C574</f>
        <v>1.0152220137774299</v>
      </c>
      <c r="D575" s="4">
        <f>Acciones!D575/Acciones!D574</f>
        <v>1.0222005822853257</v>
      </c>
      <c r="E575" s="4">
        <f>Acciones!E575/Acciones!E574</f>
        <v>1.0033556614060211</v>
      </c>
      <c r="F575" s="15">
        <f t="shared" si="24"/>
        <v>28885.071091471957</v>
      </c>
      <c r="G575" s="15">
        <f t="shared" si="26"/>
        <v>385.07109147195661</v>
      </c>
      <c r="H575" s="4">
        <f t="shared" si="25"/>
        <v>1.3511266367437047E-2</v>
      </c>
      <c r="I575" s="4"/>
    </row>
    <row r="576" spans="1:9" x14ac:dyDescent="0.2">
      <c r="A576" s="1">
        <f>Acciones!A576</f>
        <v>45835</v>
      </c>
      <c r="B576" s="4">
        <f>Acciones!B576/Acciones!B575</f>
        <v>0.98487028073791127</v>
      </c>
      <c r="C576" s="4">
        <f>Acciones!C576/Acciones!C575</f>
        <v>0.97879360872168253</v>
      </c>
      <c r="D576" s="4">
        <f>Acciones!D576/Acciones!D575</f>
        <v>1.1562643179773799</v>
      </c>
      <c r="E576" s="4">
        <f>Acciones!E576/Acciones!E575</f>
        <v>1.0033445382758006</v>
      </c>
      <c r="F576" s="15">
        <f t="shared" si="24"/>
        <v>29826.623405729377</v>
      </c>
      <c r="G576" s="15">
        <f t="shared" si="26"/>
        <v>1326.6234057293768</v>
      </c>
      <c r="H576" s="4">
        <f t="shared" si="25"/>
        <v>4.6548189674715079E-2</v>
      </c>
      <c r="I576" s="4"/>
    </row>
    <row r="577" spans="1:9" x14ac:dyDescent="0.2">
      <c r="A577" s="1">
        <f>Acciones!A577</f>
        <v>45838</v>
      </c>
      <c r="B577" s="4">
        <f>Acciones!B577/Acciones!B576</f>
        <v>1.0219458792543039</v>
      </c>
      <c r="C577" s="4">
        <f>Acciones!C577/Acciones!C576</f>
        <v>1.0458139160411137</v>
      </c>
      <c r="D577" s="4">
        <f>Acciones!D577/Acciones!D576</f>
        <v>0.97623287440247308</v>
      </c>
      <c r="E577" s="4">
        <f>Acciones!E577/Acciones!E576</f>
        <v>0.9866666401757167</v>
      </c>
      <c r="F577" s="15">
        <f t="shared" si="24"/>
        <v>28701.03804477182</v>
      </c>
      <c r="G577" s="15">
        <f t="shared" si="26"/>
        <v>201.03804477181984</v>
      </c>
      <c r="H577" s="4">
        <f t="shared" si="25"/>
        <v>7.053966483221652E-3</v>
      </c>
      <c r="I577" s="4"/>
    </row>
    <row r="578" spans="1:9" x14ac:dyDescent="0.2">
      <c r="A578" s="1">
        <f>Acciones!A578</f>
        <v>45839</v>
      </c>
      <c r="B578" s="4">
        <f>Acciones!B578/Acciones!B577</f>
        <v>1.0035791234585831</v>
      </c>
      <c r="C578" s="4">
        <f>Acciones!C578/Acciones!C577</f>
        <v>1.0012545184497181</v>
      </c>
      <c r="D578" s="4">
        <f>Acciones!D578/Acciones!D577</f>
        <v>1.0341803771874363</v>
      </c>
      <c r="E578" s="4">
        <f>Acciones!E578/Acciones!E577</f>
        <v>1.0033783348395597</v>
      </c>
      <c r="F578" s="15">
        <f t="shared" si="24"/>
        <v>28884.829470869307</v>
      </c>
      <c r="G578" s="15">
        <f t="shared" si="26"/>
        <v>384.82947086930653</v>
      </c>
      <c r="H578" s="4">
        <f t="shared" si="25"/>
        <v>1.3502788451554615E-2</v>
      </c>
      <c r="I578" s="4"/>
    </row>
    <row r="579" spans="1:9" x14ac:dyDescent="0.2">
      <c r="A579" s="1">
        <f>Acciones!A579</f>
        <v>45840</v>
      </c>
      <c r="B579" s="4">
        <f>Acciones!B579/Acciones!B578</f>
        <v>1.0342368366147061</v>
      </c>
      <c r="C579" s="4">
        <f>Acciones!C579/Acciones!C578</f>
        <v>1.1285134228777496</v>
      </c>
      <c r="D579" s="4">
        <f>Acciones!D579/Acciones!D578</f>
        <v>1.0447414261494472</v>
      </c>
      <c r="E579" s="4">
        <f>Acciones!E579/Acciones!E578</f>
        <v>1.0101010810516797</v>
      </c>
      <c r="F579" s="15">
        <f t="shared" ref="F579:F642" si="27">$J$2*B579+$J$3*C579+$J$4*D579+$J$5*E579</f>
        <v>30343.676652768801</v>
      </c>
      <c r="G579" s="15">
        <f t="shared" si="26"/>
        <v>1843.6766527688014</v>
      </c>
      <c r="H579" s="4">
        <f t="shared" ref="H579:H642" si="28">(F579/$J$6)-1</f>
        <v>6.4690408869080729E-2</v>
      </c>
      <c r="I579" s="4"/>
    </row>
    <row r="580" spans="1:9" x14ac:dyDescent="0.2">
      <c r="A580" s="1">
        <f>Acciones!A580</f>
        <v>45841</v>
      </c>
      <c r="B580" s="4">
        <f>Acciones!B580/Acciones!B579</f>
        <v>0.98551720712254842</v>
      </c>
      <c r="C580" s="4">
        <f>Acciones!C580/Acciones!C579</f>
        <v>0.98424606151537886</v>
      </c>
      <c r="D580" s="4">
        <f>Acciones!D580/Acciones!D579</f>
        <v>0.99234511033739681</v>
      </c>
      <c r="E580" s="4">
        <f>Acciones!E580/Acciones!E579</f>
        <v>0.99333332008786002</v>
      </c>
      <c r="F580" s="15">
        <f t="shared" si="27"/>
        <v>28186.43217318222</v>
      </c>
      <c r="G580" s="15">
        <f t="shared" si="26"/>
        <v>-313.56782681777986</v>
      </c>
      <c r="H580" s="4">
        <f t="shared" si="28"/>
        <v>-1.1002379888343183E-2</v>
      </c>
      <c r="I580" s="4"/>
    </row>
    <row r="581" spans="1:9" x14ac:dyDescent="0.2">
      <c r="A581" s="1">
        <f>Acciones!A581</f>
        <v>45842</v>
      </c>
      <c r="B581" s="4">
        <f>Acciones!B581/Acciones!B580</f>
        <v>0.99510150358075555</v>
      </c>
      <c r="C581" s="4">
        <f>Acciones!C581/Acciones!C580</f>
        <v>1.0045426531535824</v>
      </c>
      <c r="D581" s="4">
        <f>Acciones!D581/Acciones!D580</f>
        <v>1.0021038482891622</v>
      </c>
      <c r="E581" s="4">
        <f>Acciones!E581/Acciones!E580</f>
        <v>1</v>
      </c>
      <c r="F581" s="15">
        <f t="shared" si="27"/>
        <v>28547.048950383298</v>
      </c>
      <c r="G581" s="15">
        <f t="shared" ref="G581:G644" si="29">F581-$J$6</f>
        <v>47.048950383297779</v>
      </c>
      <c r="H581" s="4">
        <f t="shared" si="28"/>
        <v>1.6508403643262781E-3</v>
      </c>
      <c r="I581" s="4"/>
    </row>
    <row r="582" spans="1:9" x14ac:dyDescent="0.2">
      <c r="A582" s="1">
        <f>Acciones!A582</f>
        <v>45845</v>
      </c>
      <c r="B582" s="4">
        <f>Acciones!B582/Acciones!B581</f>
        <v>0.98030935375909811</v>
      </c>
      <c r="C582" s="4">
        <f>Acciones!C582/Acciones!C581</f>
        <v>0.94051420022806753</v>
      </c>
      <c r="D582" s="4">
        <f>Acciones!D582/Acciones!D581</f>
        <v>0.99888726373166581</v>
      </c>
      <c r="E582" s="4">
        <f>Acciones!E582/Acciones!E581</f>
        <v>0.98993281576634806</v>
      </c>
      <c r="F582" s="15">
        <f t="shared" si="27"/>
        <v>27799.470764355057</v>
      </c>
      <c r="G582" s="15">
        <f t="shared" si="29"/>
        <v>-700.52923564494267</v>
      </c>
      <c r="H582" s="4">
        <f t="shared" si="28"/>
        <v>-2.4579973180524295E-2</v>
      </c>
      <c r="I582" s="4"/>
    </row>
    <row r="583" spans="1:9" x14ac:dyDescent="0.2">
      <c r="A583" s="1">
        <f>Acciones!A583</f>
        <v>45846</v>
      </c>
      <c r="B583" s="4">
        <f>Acciones!B583/Acciones!B582</f>
        <v>0.98278330523401325</v>
      </c>
      <c r="C583" s="4">
        <f>Acciones!C583/Acciones!C582</f>
        <v>1.0360772924176485</v>
      </c>
      <c r="D583" s="4">
        <f>Acciones!D583/Acciones!D582</f>
        <v>0.96314309140662435</v>
      </c>
      <c r="E583" s="4">
        <f>Acciones!E583/Acciones!E582</f>
        <v>0.96271193871995531</v>
      </c>
      <c r="F583" s="15">
        <f t="shared" si="27"/>
        <v>28208.822423312704</v>
      </c>
      <c r="G583" s="15">
        <f t="shared" si="29"/>
        <v>-291.1775766872961</v>
      </c>
      <c r="H583" s="4">
        <f t="shared" si="28"/>
        <v>-1.0216757076747185E-2</v>
      </c>
      <c r="I583" s="4"/>
    </row>
    <row r="584" spans="1:9" x14ac:dyDescent="0.2">
      <c r="A584" s="1">
        <f>Acciones!A584</f>
        <v>45847</v>
      </c>
      <c r="B584" s="4">
        <f>Acciones!B584/Acciones!B583</f>
        <v>0.98905123134432527</v>
      </c>
      <c r="C584" s="4">
        <f>Acciones!C584/Acciones!C583</f>
        <v>1.0651259949080045</v>
      </c>
      <c r="D584" s="4">
        <f>Acciones!D584/Acciones!D583</f>
        <v>0.99647214678471796</v>
      </c>
      <c r="E584" s="4">
        <f>Acciones!E584/Acciones!E583</f>
        <v>1.010563348874266</v>
      </c>
      <c r="F584" s="15">
        <f t="shared" si="27"/>
        <v>29103.196147986822</v>
      </c>
      <c r="G584" s="15">
        <f t="shared" si="29"/>
        <v>603.19614798682233</v>
      </c>
      <c r="H584" s="4">
        <f t="shared" si="28"/>
        <v>2.1164777122344658E-2</v>
      </c>
      <c r="I584" s="4"/>
    </row>
    <row r="585" spans="1:9" x14ac:dyDescent="0.2">
      <c r="A585" s="1">
        <f>Acciones!A585</f>
        <v>45848</v>
      </c>
      <c r="B585" s="4">
        <f>Acciones!B585/Acciones!B584</f>
        <v>0.97785969549069796</v>
      </c>
      <c r="C585" s="4">
        <f>Acciones!C585/Acciones!C584</f>
        <v>1.0257617324860113</v>
      </c>
      <c r="D585" s="4">
        <f>Acciones!D585/Acciones!D584</f>
        <v>1.0151465350761333</v>
      </c>
      <c r="E585" s="4">
        <f>Acciones!E585/Acciones!E584</f>
        <v>0.96864110340450549</v>
      </c>
      <c r="F585" s="15">
        <f t="shared" si="27"/>
        <v>28646.236812320662</v>
      </c>
      <c r="G585" s="15">
        <f t="shared" si="29"/>
        <v>146.23681232066156</v>
      </c>
      <c r="H585" s="4">
        <f t="shared" si="28"/>
        <v>5.1311162217775319E-3</v>
      </c>
      <c r="I585" s="4"/>
    </row>
    <row r="586" spans="1:9" x14ac:dyDescent="0.2">
      <c r="A586" s="1">
        <f>Acciones!A586</f>
        <v>45849</v>
      </c>
      <c r="B586" s="4">
        <f>Acciones!B586/Acciones!B585</f>
        <v>1.0030188153295678</v>
      </c>
      <c r="C586" s="4">
        <f>Acciones!C586/Acciones!C585</f>
        <v>1.0126855998775808</v>
      </c>
      <c r="D586" s="4">
        <f>Acciones!D586/Acciones!D585</f>
        <v>0.97432949693335191</v>
      </c>
      <c r="E586" s="4">
        <f>Acciones!E586/Acciones!E585</f>
        <v>0.97122307017096243</v>
      </c>
      <c r="F586" s="15">
        <f t="shared" si="27"/>
        <v>28216.100907764321</v>
      </c>
      <c r="G586" s="15">
        <f t="shared" si="29"/>
        <v>-283.89909223567884</v>
      </c>
      <c r="H586" s="4">
        <f t="shared" si="28"/>
        <v>-9.9613716573921929E-3</v>
      </c>
      <c r="I586" s="4"/>
    </row>
    <row r="587" spans="1:9" x14ac:dyDescent="0.2">
      <c r="A587" s="1">
        <f>Acciones!A587</f>
        <v>45852</v>
      </c>
      <c r="B587" s="4">
        <f>Acciones!B587/Acciones!B586</f>
        <v>0.99322809013933733</v>
      </c>
      <c r="C587" s="4">
        <f>Acciones!C587/Acciones!C586</f>
        <v>1.0070938509191698</v>
      </c>
      <c r="D587" s="4">
        <f>Acciones!D587/Acciones!D586</f>
        <v>0.99630994546304996</v>
      </c>
      <c r="E587" s="4">
        <f>Acciones!E587/Acciones!E586</f>
        <v>0.97407407775337029</v>
      </c>
      <c r="F587" s="15">
        <f t="shared" si="27"/>
        <v>28364.196781493825</v>
      </c>
      <c r="G587" s="15">
        <f t="shared" si="29"/>
        <v>-135.80321850617474</v>
      </c>
      <c r="H587" s="4">
        <f t="shared" si="28"/>
        <v>-4.7650252107429569E-3</v>
      </c>
      <c r="I587" s="4"/>
    </row>
    <row r="588" spans="1:9" x14ac:dyDescent="0.2">
      <c r="A588" s="1">
        <f>Acciones!A588</f>
        <v>45853</v>
      </c>
      <c r="B588" s="4">
        <f>Acciones!B588/Acciones!B587</f>
        <v>1.0181817235695032</v>
      </c>
      <c r="C588" s="4">
        <f>Acciones!C588/Acciones!C587</f>
        <v>0.9883441041091573</v>
      </c>
      <c r="D588" s="4">
        <f>Acciones!D588/Acciones!D587</f>
        <v>1.0051851557515357</v>
      </c>
      <c r="E588" s="4">
        <f>Acciones!E588/Acciones!E587</f>
        <v>1.0456273535901497</v>
      </c>
      <c r="F588" s="15">
        <f t="shared" si="27"/>
        <v>28755.707023791438</v>
      </c>
      <c r="G588" s="15">
        <f t="shared" si="29"/>
        <v>255.70702379143768</v>
      </c>
      <c r="H588" s="4">
        <f t="shared" si="28"/>
        <v>8.9721762733838695E-3</v>
      </c>
      <c r="I588" s="4"/>
    </row>
    <row r="589" spans="1:9" x14ac:dyDescent="0.2">
      <c r="A589" s="1">
        <f>Acciones!A589</f>
        <v>45854</v>
      </c>
      <c r="B589" s="4">
        <f>Acciones!B589/Acciones!B588</f>
        <v>1.0081846553810505</v>
      </c>
      <c r="C589" s="4">
        <f>Acciones!C589/Acciones!C588</f>
        <v>1.0318448199390373</v>
      </c>
      <c r="D589" s="4">
        <f>Acciones!D589/Acciones!D588</f>
        <v>0.99631547388410813</v>
      </c>
      <c r="E589" s="4">
        <f>Acciones!E589/Acciones!E588</f>
        <v>1</v>
      </c>
      <c r="F589" s="15">
        <f t="shared" si="27"/>
        <v>28794.326822095616</v>
      </c>
      <c r="G589" s="15">
        <f t="shared" si="29"/>
        <v>294.32682209561608</v>
      </c>
      <c r="H589" s="4">
        <f t="shared" si="28"/>
        <v>1.032725691563563E-2</v>
      </c>
      <c r="I589" s="4"/>
    </row>
    <row r="590" spans="1:9" x14ac:dyDescent="0.2">
      <c r="A590" s="1">
        <f>Acciones!A590</f>
        <v>45855</v>
      </c>
      <c r="B590" s="4">
        <f>Acciones!B590/Acciones!B589</f>
        <v>0.96826560457357769</v>
      </c>
      <c r="C590" s="4">
        <f>Acciones!C590/Acciones!C589</f>
        <v>1.0245305784287522</v>
      </c>
      <c r="D590" s="4">
        <f>Acciones!D590/Acciones!D589</f>
        <v>1.0140533031706516</v>
      </c>
      <c r="E590" s="4">
        <f>Acciones!E590/Acciones!E589</f>
        <v>1.0036363167408104</v>
      </c>
      <c r="F590" s="15">
        <f t="shared" si="27"/>
        <v>28782.502884861642</v>
      </c>
      <c r="G590" s="15">
        <f t="shared" si="29"/>
        <v>282.50288486164209</v>
      </c>
      <c r="H590" s="4">
        <f t="shared" si="28"/>
        <v>9.9123819249697931E-3</v>
      </c>
      <c r="I590" s="4"/>
    </row>
    <row r="591" spans="1:9" x14ac:dyDescent="0.2">
      <c r="A591" s="1">
        <f>Acciones!A591</f>
        <v>45856</v>
      </c>
      <c r="B591" s="4">
        <f>Acciones!B591/Acciones!B590</f>
        <v>1.0015244758665285</v>
      </c>
      <c r="C591" s="4">
        <f>Acciones!C591/Acciones!C590</f>
        <v>0.97696633057053306</v>
      </c>
      <c r="D591" s="4">
        <f>Acciones!D591/Acciones!D590</f>
        <v>0.98833692203440882</v>
      </c>
      <c r="E591" s="4">
        <f>Acciones!E591/Acciones!E590</f>
        <v>0.98188407479389495</v>
      </c>
      <c r="F591" s="15">
        <f t="shared" si="27"/>
        <v>28070.247437663424</v>
      </c>
      <c r="G591" s="15">
        <f t="shared" si="29"/>
        <v>-429.75256233657637</v>
      </c>
      <c r="H591" s="4">
        <f t="shared" si="28"/>
        <v>-1.5079037274967622E-2</v>
      </c>
      <c r="I591" s="4"/>
    </row>
    <row r="592" spans="1:9" x14ac:dyDescent="0.2">
      <c r="A592" s="1">
        <f>Acciones!A592</f>
        <v>45859</v>
      </c>
      <c r="B592" s="4">
        <f>Acciones!B592/Acciones!B591</f>
        <v>0.98858439475224469</v>
      </c>
      <c r="C592" s="4">
        <f>Acciones!C592/Acciones!C591</f>
        <v>0.95950051084080523</v>
      </c>
      <c r="D592" s="4">
        <f>Acciones!D592/Acciones!D591</f>
        <v>1.0221252839956561</v>
      </c>
      <c r="E592" s="4">
        <f>Acciones!E592/Acciones!E591</f>
        <v>1.1623616240220382</v>
      </c>
      <c r="F592" s="15">
        <f t="shared" si="27"/>
        <v>29189.542006698277</v>
      </c>
      <c r="G592" s="15">
        <f t="shared" si="29"/>
        <v>689.54200669827696</v>
      </c>
      <c r="H592" s="4">
        <f t="shared" si="28"/>
        <v>2.4194456375378204E-2</v>
      </c>
      <c r="I592" s="4"/>
    </row>
    <row r="593" spans="1:9" x14ac:dyDescent="0.2">
      <c r="A593" s="1">
        <f>Acciones!A593</f>
        <v>45860</v>
      </c>
      <c r="B593" s="4">
        <f>Acciones!B593/Acciones!B592</f>
        <v>1.023094625591531</v>
      </c>
      <c r="C593" s="4">
        <f>Acciones!C593/Acciones!C592</f>
        <v>1.0546518100172724</v>
      </c>
      <c r="D593" s="4">
        <f>Acciones!D593/Acciones!D592</f>
        <v>1.0173287101324153</v>
      </c>
      <c r="E593" s="4">
        <f>Acciones!E593/Acciones!E592</f>
        <v>0.92380955804952969</v>
      </c>
      <c r="F593" s="15">
        <f t="shared" si="27"/>
        <v>28854.263055331012</v>
      </c>
      <c r="G593" s="15">
        <f t="shared" si="29"/>
        <v>354.26305533101186</v>
      </c>
      <c r="H593" s="4">
        <f t="shared" si="28"/>
        <v>1.2430282643193458E-2</v>
      </c>
      <c r="I593" s="4"/>
    </row>
    <row r="594" spans="1:9" x14ac:dyDescent="0.2">
      <c r="A594" s="1">
        <f>Acciones!A594</f>
        <v>45861</v>
      </c>
      <c r="B594" s="4">
        <f>Acciones!B594/Acciones!B593</f>
        <v>1.0082769592037371</v>
      </c>
      <c r="C594" s="4">
        <f>Acciones!C594/Acciones!C593</f>
        <v>0.87625495337759507</v>
      </c>
      <c r="D594" s="4">
        <f>Acciones!D594/Acciones!D593</f>
        <v>1.0098367525413192</v>
      </c>
      <c r="E594" s="4">
        <f>Acciones!E594/Acciones!E593</f>
        <v>1.0274913614233017</v>
      </c>
      <c r="F594" s="15">
        <f t="shared" si="27"/>
        <v>27602.961427541584</v>
      </c>
      <c r="G594" s="15">
        <f t="shared" si="29"/>
        <v>-897.03857245841573</v>
      </c>
      <c r="H594" s="4">
        <f t="shared" si="28"/>
        <v>-3.1475037630119829E-2</v>
      </c>
      <c r="I594" s="4"/>
    </row>
    <row r="595" spans="1:9" x14ac:dyDescent="0.2">
      <c r="A595" s="1">
        <f>Acciones!A595</f>
        <v>45862</v>
      </c>
      <c r="B595" s="4">
        <f>Acciones!B595/Acciones!B594</f>
        <v>1.0074626663472961</v>
      </c>
      <c r="C595" s="4">
        <f>Acciones!C595/Acciones!C594</f>
        <v>0.99274286316360283</v>
      </c>
      <c r="D595" s="4">
        <f>Acciones!D595/Acciones!D594</f>
        <v>0.98321680099317565</v>
      </c>
      <c r="E595" s="4">
        <f>Acciones!E595/Acciones!E594</f>
        <v>1</v>
      </c>
      <c r="F595" s="15">
        <f t="shared" si="27"/>
        <v>28289.344542201521</v>
      </c>
      <c r="G595" s="15">
        <f t="shared" si="29"/>
        <v>-210.65545779847889</v>
      </c>
      <c r="H595" s="4">
        <f t="shared" si="28"/>
        <v>-7.3914195718765008E-3</v>
      </c>
      <c r="I595" s="4"/>
    </row>
    <row r="596" spans="1:9" x14ac:dyDescent="0.2">
      <c r="A596" s="1">
        <f>Acciones!A596</f>
        <v>45863</v>
      </c>
      <c r="B596" s="4">
        <f>Acciones!B596/Acciones!B595</f>
        <v>1.0007407460172277</v>
      </c>
      <c r="C596" s="4">
        <f>Acciones!C596/Acciones!C595</f>
        <v>0.99160104458649534</v>
      </c>
      <c r="D596" s="4">
        <f>Acciones!D596/Acciones!D595</f>
        <v>1.0128880350805951</v>
      </c>
      <c r="E596" s="4">
        <f>Acciones!E596/Acciones!E595</f>
        <v>1</v>
      </c>
      <c r="F596" s="15">
        <f t="shared" si="27"/>
        <v>28551.682885437956</v>
      </c>
      <c r="G596" s="15">
        <f t="shared" si="29"/>
        <v>51.682885437956429</v>
      </c>
      <c r="H596" s="4">
        <f t="shared" si="28"/>
        <v>1.8134345767704119E-3</v>
      </c>
      <c r="I596" s="4"/>
    </row>
    <row r="597" spans="1:9" x14ac:dyDescent="0.2">
      <c r="A597" s="1">
        <f>Acciones!A597</f>
        <v>45866</v>
      </c>
      <c r="B597" s="4">
        <f>Acciones!B597/Acciones!B596</f>
        <v>1.0103626954295184</v>
      </c>
      <c r="C597" s="4">
        <f>Acciones!C597/Acciones!C596</f>
        <v>1.0052703304930251</v>
      </c>
      <c r="D597" s="4">
        <f>Acciones!D597/Acciones!D596</f>
        <v>1.0497390178960002</v>
      </c>
      <c r="E597" s="4">
        <f>Acciones!E597/Acciones!E596</f>
        <v>0.94648828464707035</v>
      </c>
      <c r="F597" s="15">
        <f t="shared" si="27"/>
        <v>28789.413318205941</v>
      </c>
      <c r="G597" s="15">
        <f t="shared" si="29"/>
        <v>289.41331820594132</v>
      </c>
      <c r="H597" s="4">
        <f t="shared" si="28"/>
        <v>1.0154853270383901E-2</v>
      </c>
      <c r="I597" s="4"/>
    </row>
    <row r="598" spans="1:9" x14ac:dyDescent="0.2">
      <c r="A598" s="1">
        <f>Acciones!A598</f>
        <v>45867</v>
      </c>
      <c r="B598" s="4">
        <f>Acciones!B598/Acciones!B597</f>
        <v>0.98754577079836137</v>
      </c>
      <c r="C598" s="4">
        <f>Acciones!C598/Acciones!C597</f>
        <v>0.97547194392346304</v>
      </c>
      <c r="D598" s="4">
        <f>Acciones!D598/Acciones!D597</f>
        <v>0.98220473496576488</v>
      </c>
      <c r="E598" s="4">
        <f>Acciones!E598/Acciones!E597</f>
        <v>1.0318021327932545</v>
      </c>
      <c r="F598" s="15">
        <f t="shared" si="27"/>
        <v>28220.352745087712</v>
      </c>
      <c r="G598" s="15">
        <f t="shared" si="29"/>
        <v>-279.64725491228819</v>
      </c>
      <c r="H598" s="4">
        <f t="shared" si="28"/>
        <v>-9.8121843828873345E-3</v>
      </c>
      <c r="I598" s="4"/>
    </row>
    <row r="599" spans="1:9" x14ac:dyDescent="0.2">
      <c r="A599" s="1">
        <f>Acciones!A599</f>
        <v>45868</v>
      </c>
      <c r="B599" s="4">
        <f>Acciones!B599/Acciones!B598</f>
        <v>1.0148369010953318</v>
      </c>
      <c r="C599" s="4">
        <f>Acciones!C599/Acciones!C598</f>
        <v>0.99942418926424481</v>
      </c>
      <c r="D599" s="4">
        <f>Acciones!D599/Acciones!D598</f>
        <v>0.98780292687936666</v>
      </c>
      <c r="E599" s="4">
        <f>Acciones!E599/Acciones!E598</f>
        <v>0.97945211491367468</v>
      </c>
      <c r="F599" s="15">
        <f t="shared" si="27"/>
        <v>28311.474852662865</v>
      </c>
      <c r="G599" s="15">
        <f t="shared" si="29"/>
        <v>-188.52514733713542</v>
      </c>
      <c r="H599" s="4">
        <f t="shared" si="28"/>
        <v>-6.6149174504257502E-3</v>
      </c>
      <c r="I599" s="4"/>
    </row>
    <row r="600" spans="1:9" x14ac:dyDescent="0.2">
      <c r="A600" s="1">
        <f>Acciones!A600</f>
        <v>45869</v>
      </c>
      <c r="B600" s="4">
        <f>Acciones!B600/Acciones!B599</f>
        <v>1.0021929261418883</v>
      </c>
      <c r="C600" s="4">
        <f>Acciones!C600/Acciones!C599</f>
        <v>0.97701740471938736</v>
      </c>
      <c r="D600" s="4">
        <f>Acciones!D600/Acciones!D599</f>
        <v>0.97561656264536922</v>
      </c>
      <c r="E600" s="4">
        <f>Acciones!E600/Acciones!E599</f>
        <v>1.0069929166343619</v>
      </c>
      <c r="F600" s="15">
        <f t="shared" si="27"/>
        <v>28083.96725427347</v>
      </c>
      <c r="G600" s="15">
        <f t="shared" si="29"/>
        <v>-416.03274572653027</v>
      </c>
      <c r="H600" s="4">
        <f t="shared" si="28"/>
        <v>-1.4597640200930906E-2</v>
      </c>
      <c r="I600" s="4"/>
    </row>
    <row r="601" spans="1:9" x14ac:dyDescent="0.2">
      <c r="A601" s="1">
        <f>Acciones!A601</f>
        <v>45870</v>
      </c>
      <c r="B601" s="4">
        <f>Acciones!B601/Acciones!B600</f>
        <v>1.0182349226962222</v>
      </c>
      <c r="C601" s="4">
        <f>Acciones!C601/Acciones!C600</f>
        <v>0.96307696122399045</v>
      </c>
      <c r="D601" s="4">
        <f>Acciones!D601/Acciones!D600</f>
        <v>0.9903550684490211</v>
      </c>
      <c r="E601" s="4">
        <f>Acciones!E601/Acciones!E600</f>
        <v>1.0069444588167076</v>
      </c>
      <c r="F601" s="15">
        <f t="shared" si="27"/>
        <v>28154.79856904679</v>
      </c>
      <c r="G601" s="15">
        <f t="shared" si="29"/>
        <v>-345.20143095320964</v>
      </c>
      <c r="H601" s="4">
        <f t="shared" si="28"/>
        <v>-1.2112330910638902E-2</v>
      </c>
      <c r="I601" s="4"/>
    </row>
    <row r="602" spans="1:9" x14ac:dyDescent="0.2">
      <c r="A602" s="1">
        <f>Acciones!A602</f>
        <v>45873</v>
      </c>
      <c r="B602" s="4">
        <f>Acciones!B602/Acciones!B601</f>
        <v>0.98065896012915421</v>
      </c>
      <c r="C602" s="4">
        <f>Acciones!C602/Acciones!C601</f>
        <v>1.0363995527216707</v>
      </c>
      <c r="D602" s="4">
        <f>Acciones!D602/Acciones!D601</f>
        <v>1.0169102492200901</v>
      </c>
      <c r="E602" s="4">
        <f>Acciones!E602/Acciones!E601</f>
        <v>1.0034483343327385</v>
      </c>
      <c r="F602" s="15">
        <f t="shared" si="27"/>
        <v>28966.170442338873</v>
      </c>
      <c r="G602" s="15">
        <f t="shared" si="29"/>
        <v>466.17044233887282</v>
      </c>
      <c r="H602" s="4">
        <f t="shared" si="28"/>
        <v>1.6356857625925425E-2</v>
      </c>
      <c r="I602" s="4"/>
    </row>
    <row r="603" spans="1:9" x14ac:dyDescent="0.2">
      <c r="A603" s="1">
        <f>Acciones!A603</f>
        <v>45874</v>
      </c>
      <c r="B603" s="4">
        <f>Acciones!B603/Acciones!B602</f>
        <v>1</v>
      </c>
      <c r="C603" s="4">
        <f>Acciones!C603/Acciones!C602</f>
        <v>0.95526158760921676</v>
      </c>
      <c r="D603" s="4">
        <f>Acciones!D603/Acciones!D602</f>
        <v>0.98307477578019964</v>
      </c>
      <c r="E603" s="4">
        <f>Acciones!E603/Acciones!E602</f>
        <v>0.9965635158136652</v>
      </c>
      <c r="F603" s="15">
        <f t="shared" si="27"/>
        <v>27886.832177064716</v>
      </c>
      <c r="G603" s="15">
        <f t="shared" si="29"/>
        <v>-613.16782293528377</v>
      </c>
      <c r="H603" s="4">
        <f t="shared" si="28"/>
        <v>-2.1514660453869627E-2</v>
      </c>
      <c r="I603" s="4"/>
    </row>
    <row r="604" spans="1:9" x14ac:dyDescent="0.2">
      <c r="A604" s="1">
        <f>Acciones!A604</f>
        <v>45875</v>
      </c>
      <c r="B604" s="4">
        <f>Acciones!B604/Acciones!B603</f>
        <v>0.99269541794431393</v>
      </c>
      <c r="C604" s="4">
        <f>Acciones!C604/Acciones!C603</f>
        <v>1.0255299890284388</v>
      </c>
      <c r="D604" s="4">
        <f>Acciones!D604/Acciones!D603</f>
        <v>1.0093257783921952</v>
      </c>
      <c r="E604" s="4">
        <f>Acciones!E604/Acciones!E603</f>
        <v>1</v>
      </c>
      <c r="F604" s="15">
        <f t="shared" si="27"/>
        <v>28810.226642497219</v>
      </c>
      <c r="G604" s="15">
        <f t="shared" si="29"/>
        <v>310.22664249721856</v>
      </c>
      <c r="H604" s="4">
        <f t="shared" si="28"/>
        <v>1.0885145350779668E-2</v>
      </c>
      <c r="I604" s="4"/>
    </row>
    <row r="605" spans="1:9" x14ac:dyDescent="0.2">
      <c r="A605" s="1">
        <f>Acciones!A605</f>
        <v>45876</v>
      </c>
      <c r="B605" s="4">
        <f>Acciones!B605/Acciones!B604</f>
        <v>0.99116998764790643</v>
      </c>
      <c r="C605" s="4">
        <f>Acciones!C605/Acciones!C604</f>
        <v>0.99473974116602049</v>
      </c>
      <c r="D605" s="4">
        <f>Acciones!D605/Acciones!D604</f>
        <v>0.98436378728727025</v>
      </c>
      <c r="E605" s="4">
        <f>Acciones!E605/Acciones!E604</f>
        <v>0.98965520253504913</v>
      </c>
      <c r="F605" s="15">
        <f t="shared" si="27"/>
        <v>28205.86398466034</v>
      </c>
      <c r="G605" s="15">
        <f t="shared" si="29"/>
        <v>-294.13601533965993</v>
      </c>
      <c r="H605" s="4">
        <f t="shared" si="28"/>
        <v>-1.0320561941742468E-2</v>
      </c>
      <c r="I605" s="4"/>
    </row>
    <row r="606" spans="1:9" x14ac:dyDescent="0.2">
      <c r="A606" s="1">
        <f>Acciones!A606</f>
        <v>45877</v>
      </c>
      <c r="B606" s="4">
        <f>Acciones!B606/Acciones!B605</f>
        <v>1.0059391659466863</v>
      </c>
      <c r="C606" s="4">
        <f>Acciones!C606/Acciones!C605</f>
        <v>0.96816998975792024</v>
      </c>
      <c r="D606" s="4">
        <f>Acciones!D606/Acciones!D605</f>
        <v>0.99277983722100538</v>
      </c>
      <c r="E606" s="4">
        <f>Acciones!E606/Acciones!E605</f>
        <v>0.99303134477424004</v>
      </c>
      <c r="F606" s="15">
        <f t="shared" si="27"/>
        <v>28107.87275198202</v>
      </c>
      <c r="G606" s="15">
        <f t="shared" si="29"/>
        <v>-392.12724801797958</v>
      </c>
      <c r="H606" s="4">
        <f t="shared" si="28"/>
        <v>-1.3758850807648382E-2</v>
      </c>
      <c r="I606" s="4"/>
    </row>
    <row r="607" spans="1:9" x14ac:dyDescent="0.2">
      <c r="A607" s="1">
        <f>Acciones!A607</f>
        <v>45880</v>
      </c>
      <c r="B607" s="4">
        <f>Acciones!B607/Acciones!B606</f>
        <v>1.0029519778389064</v>
      </c>
      <c r="C607" s="4">
        <f>Acciones!C607/Acciones!C606</f>
        <v>1.0153770625960699</v>
      </c>
      <c r="D607" s="4">
        <f>Acciones!D607/Acciones!D606</f>
        <v>1.0043634969543216</v>
      </c>
      <c r="E607" s="4">
        <f>Acciones!E607/Acciones!E606</f>
        <v>1.0175438431381394</v>
      </c>
      <c r="F607" s="15">
        <f t="shared" si="27"/>
        <v>28796.540123901821</v>
      </c>
      <c r="G607" s="15">
        <f t="shared" si="29"/>
        <v>296.54012390182106</v>
      </c>
      <c r="H607" s="4">
        <f t="shared" si="28"/>
        <v>1.0404916628134142E-2</v>
      </c>
      <c r="I607" s="4"/>
    </row>
    <row r="608" spans="1:9" x14ac:dyDescent="0.2">
      <c r="A608" s="1">
        <f>Acciones!A608</f>
        <v>45881</v>
      </c>
      <c r="B608" s="4">
        <f>Acciones!B608/Acciones!B607</f>
        <v>0.99190575582273566</v>
      </c>
      <c r="C608" s="4">
        <f>Acciones!C608/Acciones!C607</f>
        <v>1.0076749841169723</v>
      </c>
      <c r="D608" s="4">
        <f>Acciones!D608/Acciones!D607</f>
        <v>1.0108544915917193</v>
      </c>
      <c r="E608" s="4">
        <f>Acciones!E608/Acciones!E607</f>
        <v>1.0103449002315847</v>
      </c>
      <c r="F608" s="15">
        <f t="shared" si="27"/>
        <v>28710.024361681724</v>
      </c>
      <c r="G608" s="15">
        <f t="shared" si="29"/>
        <v>210.02436168172426</v>
      </c>
      <c r="H608" s="4">
        <f t="shared" si="28"/>
        <v>7.3692758484815712E-3</v>
      </c>
      <c r="I608" s="4"/>
    </row>
    <row r="609" spans="1:9" x14ac:dyDescent="0.2">
      <c r="A609" s="1">
        <f>Acciones!A609</f>
        <v>45882</v>
      </c>
      <c r="B609" s="4">
        <f>Acciones!B609/Acciones!B608</f>
        <v>1.0014836901095339</v>
      </c>
      <c r="C609" s="4">
        <f>Acciones!C609/Acciones!C608</f>
        <v>1.0090105196922448</v>
      </c>
      <c r="D609" s="4">
        <f>Acciones!D609/Acciones!D608</f>
        <v>1.0350719789700087</v>
      </c>
      <c r="E609" s="4">
        <f>Acciones!E609/Acciones!E608</f>
        <v>0.89761092184885405</v>
      </c>
      <c r="F609" s="15">
        <f t="shared" si="27"/>
        <v>28378.372712328477</v>
      </c>
      <c r="G609" s="15">
        <f t="shared" si="29"/>
        <v>-121.62728767152294</v>
      </c>
      <c r="H609" s="4">
        <f t="shared" si="28"/>
        <v>-4.2676241288254202E-3</v>
      </c>
      <c r="I609" s="4"/>
    </row>
    <row r="610" spans="1:9" x14ac:dyDescent="0.2">
      <c r="A610" s="1">
        <f>Acciones!A610</f>
        <v>45883</v>
      </c>
      <c r="B610" s="4">
        <f>Acciones!B610/Acciones!B609</f>
        <v>1.0288889492992741</v>
      </c>
      <c r="C610" s="4">
        <f>Acciones!C610/Acciones!C609</f>
        <v>0.9938668666412166</v>
      </c>
      <c r="D610" s="4">
        <f>Acciones!D610/Acciones!D609</f>
        <v>0.99588207347642466</v>
      </c>
      <c r="E610" s="4">
        <f>Acciones!E610/Acciones!E609</f>
        <v>1.095056939430805</v>
      </c>
      <c r="F610" s="15">
        <f t="shared" si="27"/>
        <v>29024.480457272693</v>
      </c>
      <c r="G610" s="15">
        <f t="shared" si="29"/>
        <v>524.48045727269346</v>
      </c>
      <c r="H610" s="4">
        <f t="shared" si="28"/>
        <v>1.8402823062199758E-2</v>
      </c>
      <c r="I610" s="4"/>
    </row>
    <row r="611" spans="1:9" x14ac:dyDescent="0.2">
      <c r="A611" s="1">
        <f>Acciones!A611</f>
        <v>45884</v>
      </c>
      <c r="B611" s="4">
        <f>Acciones!B611/Acciones!B610</f>
        <v>0.99496036756530037</v>
      </c>
      <c r="C611" s="4">
        <f>Acciones!C611/Acciones!C610</f>
        <v>1.002916000035593</v>
      </c>
      <c r="D611" s="4">
        <f>Acciones!D611/Acciones!D610</f>
        <v>1.0042878016268275</v>
      </c>
      <c r="E611" s="4">
        <f>Acciones!E611/Acciones!E610</f>
        <v>0.84027780939675523</v>
      </c>
      <c r="F611" s="15">
        <f t="shared" si="27"/>
        <v>27674.469254767115</v>
      </c>
      <c r="G611" s="15">
        <f t="shared" si="29"/>
        <v>-825.53074523288524</v>
      </c>
      <c r="H611" s="4">
        <f t="shared" si="28"/>
        <v>-2.8965991060802998E-2</v>
      </c>
      <c r="I611" s="4"/>
    </row>
    <row r="612" spans="1:9" x14ac:dyDescent="0.2">
      <c r="A612" s="1">
        <f>Acciones!A612</f>
        <v>45887</v>
      </c>
      <c r="B612" s="4">
        <f>Acciones!B612/Acciones!B611</f>
        <v>1.0050651589741526</v>
      </c>
      <c r="C612" s="4">
        <f>Acciones!C612/Acciones!C611</f>
        <v>1.0176476590483321</v>
      </c>
      <c r="D612" s="4">
        <f>Acciones!D612/Acciones!D611</f>
        <v>1.0058954456973841</v>
      </c>
      <c r="E612" s="4">
        <f>Acciones!E612/Acciones!E611</f>
        <v>1.0743801317028674</v>
      </c>
      <c r="F612" s="15">
        <f t="shared" si="27"/>
        <v>29153.425998708302</v>
      </c>
      <c r="G612" s="15">
        <f t="shared" si="29"/>
        <v>653.42599870830236</v>
      </c>
      <c r="H612" s="4">
        <f t="shared" si="28"/>
        <v>2.2927228024852697E-2</v>
      </c>
      <c r="I612" s="4"/>
    </row>
    <row r="613" spans="1:9" x14ac:dyDescent="0.2">
      <c r="A613" s="1">
        <f>Acciones!A613</f>
        <v>45888</v>
      </c>
      <c r="B613" s="4">
        <f>Acciones!B613/Acciones!B612</f>
        <v>0.99496036756530037</v>
      </c>
      <c r="C613" s="4">
        <f>Acciones!C613/Acciones!C612</f>
        <v>0.95069932608073116</v>
      </c>
      <c r="D613" s="4">
        <f>Acciones!D613/Acciones!D612</f>
        <v>0.99402907591388878</v>
      </c>
      <c r="E613" s="4">
        <f>Acciones!E613/Acciones!E612</f>
        <v>1.0115385426572121</v>
      </c>
      <c r="F613" s="15">
        <f t="shared" si="27"/>
        <v>28017.757627999054</v>
      </c>
      <c r="G613" s="15">
        <f t="shared" si="29"/>
        <v>-482.24237200094649</v>
      </c>
      <c r="H613" s="4">
        <f t="shared" si="28"/>
        <v>-1.692078498248939E-2</v>
      </c>
      <c r="I613" s="4"/>
    </row>
    <row r="614" spans="1:9" x14ac:dyDescent="0.2">
      <c r="A614" s="1">
        <f>Acciones!A614</f>
        <v>45889</v>
      </c>
      <c r="B614" s="4">
        <f>Acciones!B614/Acciones!B613</f>
        <v>1.0110537862413005</v>
      </c>
      <c r="C614" s="4">
        <f>Acciones!C614/Acciones!C613</f>
        <v>1.0052765110850035</v>
      </c>
      <c r="D614" s="4">
        <f>Acciones!D614/Acciones!D613</f>
        <v>0.989626334084723</v>
      </c>
      <c r="E614" s="4">
        <f>Acciones!E614/Acciones!E613</f>
        <v>1</v>
      </c>
      <c r="F614" s="15">
        <f t="shared" si="27"/>
        <v>28485.078447999316</v>
      </c>
      <c r="G614" s="15">
        <f t="shared" si="29"/>
        <v>-14.921552000683732</v>
      </c>
      <c r="H614" s="4">
        <f t="shared" si="28"/>
        <v>-5.2356322809421485E-4</v>
      </c>
      <c r="I614" s="4"/>
    </row>
    <row r="615" spans="1:9" x14ac:dyDescent="0.2">
      <c r="A615" s="1">
        <f>Acciones!A615</f>
        <v>45890</v>
      </c>
      <c r="B615" s="4">
        <f>Acciones!B615/Acciones!B614</f>
        <v>0.99416912425975457</v>
      </c>
      <c r="C615" s="4">
        <f>Acciones!C615/Acciones!C614</f>
        <v>1.0014600022192275</v>
      </c>
      <c r="D615" s="4">
        <f>Acciones!D615/Acciones!D614</f>
        <v>0.99544764043092748</v>
      </c>
      <c r="E615" s="4">
        <f>Acciones!E615/Acciones!E614</f>
        <v>1.0152090423188453</v>
      </c>
      <c r="F615" s="15">
        <f t="shared" si="27"/>
        <v>28531.588093054728</v>
      </c>
      <c r="G615" s="15">
        <f t="shared" si="29"/>
        <v>31.588093054728233</v>
      </c>
      <c r="H615" s="4">
        <f t="shared" si="28"/>
        <v>1.1083541422711729E-3</v>
      </c>
      <c r="I615" s="4"/>
    </row>
    <row r="616" spans="1:9" x14ac:dyDescent="0.2">
      <c r="A616" s="1">
        <f>Acciones!A616</f>
        <v>45891</v>
      </c>
      <c r="B616" s="4">
        <f>Acciones!B616/Acciones!B615</f>
        <v>1.0109970583857819</v>
      </c>
      <c r="C616" s="4">
        <f>Acciones!C616/Acciones!C615</f>
        <v>1.0523082506246262</v>
      </c>
      <c r="D616" s="4">
        <f>Acciones!D616/Acciones!D615</f>
        <v>1.02703871510136</v>
      </c>
      <c r="E616" s="4">
        <f>Acciones!E616/Acciones!E615</f>
        <v>0.99250934782805178</v>
      </c>
      <c r="F616" s="15">
        <f t="shared" si="27"/>
        <v>29264.60664935207</v>
      </c>
      <c r="G616" s="15">
        <f t="shared" si="29"/>
        <v>764.60664935207024</v>
      </c>
      <c r="H616" s="4">
        <f t="shared" si="28"/>
        <v>2.6828303486037486E-2</v>
      </c>
      <c r="I616" s="4"/>
    </row>
    <row r="617" spans="1:9" x14ac:dyDescent="0.2">
      <c r="A617" s="1">
        <f>Acciones!A617</f>
        <v>45894</v>
      </c>
      <c r="B617" s="4">
        <f>Acciones!B617/Acciones!B616</f>
        <v>1</v>
      </c>
      <c r="C617" s="4">
        <f>Acciones!C617/Acciones!C616</f>
        <v>0.95157824803521263</v>
      </c>
      <c r="D617" s="4">
        <f>Acciones!D617/Acciones!D616</f>
        <v>1.0136799564183114</v>
      </c>
      <c r="E617" s="4">
        <f>Acciones!E617/Acciones!E616</f>
        <v>1</v>
      </c>
      <c r="F617" s="15">
        <f t="shared" si="27"/>
        <v>28176.792920517633</v>
      </c>
      <c r="G617" s="15">
        <f t="shared" si="29"/>
        <v>-323.20707948236668</v>
      </c>
      <c r="H617" s="4">
        <f t="shared" si="28"/>
        <v>-1.1340599280083019E-2</v>
      </c>
      <c r="I617" s="4"/>
    </row>
    <row r="618" spans="1:9" x14ac:dyDescent="0.2">
      <c r="A618" s="1">
        <f>Acciones!A618</f>
        <v>45895</v>
      </c>
      <c r="B618" s="4">
        <f>Acciones!B618/Acciones!B617</f>
        <v>0.98912256144113775</v>
      </c>
      <c r="C618" s="4">
        <f>Acciones!C618/Acciones!C617</f>
        <v>1.0290825156242709</v>
      </c>
      <c r="D618" s="4">
        <f>Acciones!D618/Acciones!D617</f>
        <v>0.98887308017737463</v>
      </c>
      <c r="E618" s="4">
        <f>Acciones!E618/Acciones!E617</f>
        <v>0.99622646347404598</v>
      </c>
      <c r="F618" s="15">
        <f t="shared" si="27"/>
        <v>28606.189214355556</v>
      </c>
      <c r="G618" s="15">
        <f t="shared" si="29"/>
        <v>106.18921435555603</v>
      </c>
      <c r="H618" s="4">
        <f t="shared" si="28"/>
        <v>3.7259373458089495E-3</v>
      </c>
      <c r="I618" s="4"/>
    </row>
    <row r="619" spans="1:9" x14ac:dyDescent="0.2">
      <c r="A619" s="1">
        <f>Acciones!A619</f>
        <v>45896</v>
      </c>
      <c r="B619" s="4">
        <f>Acciones!B619/Acciones!B618</f>
        <v>1</v>
      </c>
      <c r="C619" s="4">
        <f>Acciones!C619/Acciones!C618</f>
        <v>0.9944085029816534</v>
      </c>
      <c r="D619" s="4">
        <f>Acciones!D619/Acciones!D618</f>
        <v>0.99215292299095426</v>
      </c>
      <c r="E619" s="4">
        <f>Acciones!E619/Acciones!E618</f>
        <v>1.0265151489495237</v>
      </c>
      <c r="F619" s="15">
        <f t="shared" si="27"/>
        <v>28514.243327457629</v>
      </c>
      <c r="G619" s="15">
        <f t="shared" si="29"/>
        <v>14.243327457628766</v>
      </c>
      <c r="H619" s="4">
        <f t="shared" si="28"/>
        <v>4.9976587570621511E-4</v>
      </c>
      <c r="I619" s="4"/>
    </row>
    <row r="620" spans="1:9" x14ac:dyDescent="0.2">
      <c r="A620" s="1">
        <f>Acciones!A620</f>
        <v>45897</v>
      </c>
      <c r="B620" s="4">
        <f>Acciones!B620/Acciones!B619</f>
        <v>0.99780051768398348</v>
      </c>
      <c r="C620" s="4">
        <f>Acciones!C620/Acciones!C619</f>
        <v>1.0104667580960409</v>
      </c>
      <c r="D620" s="4">
        <f>Acciones!D620/Acciones!D619</f>
        <v>0.99887900686344455</v>
      </c>
      <c r="E620" s="4">
        <f>Acciones!E620/Acciones!E619</f>
        <v>0.98154983294753573</v>
      </c>
      <c r="F620" s="15">
        <f t="shared" si="27"/>
        <v>28479.05016365222</v>
      </c>
      <c r="G620" s="15">
        <f t="shared" si="29"/>
        <v>-20.949836347779637</v>
      </c>
      <c r="H620" s="4">
        <f t="shared" si="28"/>
        <v>-7.3508197711502632E-4</v>
      </c>
      <c r="I620" s="4"/>
    </row>
    <row r="621" spans="1:9" x14ac:dyDescent="0.2">
      <c r="A621" s="1">
        <f>Acciones!A621</f>
        <v>45898</v>
      </c>
      <c r="B621" s="4">
        <f>Acciones!B621/Acciones!B620</f>
        <v>1</v>
      </c>
      <c r="C621" s="4">
        <f>Acciones!C621/Acciones!C620</f>
        <v>0.99621197783493654</v>
      </c>
      <c r="D621" s="4">
        <f>Acciones!D621/Acciones!D620</f>
        <v>0.99193735854599863</v>
      </c>
      <c r="E621" s="4">
        <f>Acciones!E621/Acciones!E620</f>
        <v>0.99624053790278411</v>
      </c>
      <c r="F621" s="15">
        <f t="shared" si="27"/>
        <v>28362.710333357198</v>
      </c>
      <c r="G621" s="15">
        <f t="shared" si="29"/>
        <v>-137.28966664280233</v>
      </c>
      <c r="H621" s="4">
        <f t="shared" si="28"/>
        <v>-4.8171812857124019E-3</v>
      </c>
      <c r="I621" s="4"/>
    </row>
    <row r="622" spans="1:9" x14ac:dyDescent="0.2">
      <c r="A622" s="1">
        <f>Acciones!A622</f>
        <v>45901</v>
      </c>
      <c r="B622" s="4">
        <f>Acciones!B622/Acciones!B621</f>
        <v>0.99926529389376695</v>
      </c>
      <c r="C622" s="4">
        <f>Acciones!C622/Acciones!C621</f>
        <v>0.98593447480045759</v>
      </c>
      <c r="D622" s="4">
        <f>Acciones!D622/Acciones!D621</f>
        <v>1.0064691568747641</v>
      </c>
      <c r="E622" s="4">
        <f>Acciones!E622/Acciones!E621</f>
        <v>1.0037736489875528</v>
      </c>
      <c r="F622" s="15">
        <f t="shared" si="27"/>
        <v>28449.25267741171</v>
      </c>
      <c r="G622" s="15">
        <f t="shared" si="29"/>
        <v>-50.747322588289535</v>
      </c>
      <c r="H622" s="4">
        <f t="shared" si="28"/>
        <v>-1.7806078101154643E-3</v>
      </c>
      <c r="I622" s="4"/>
    </row>
    <row r="623" spans="1:9" x14ac:dyDescent="0.2">
      <c r="A623" s="1">
        <f>Acciones!A623</f>
        <v>45902</v>
      </c>
      <c r="B623" s="4">
        <f>Acciones!B623/Acciones!B622</f>
        <v>1.0183823617970065</v>
      </c>
      <c r="C623" s="4">
        <f>Acciones!C623/Acciones!C622</f>
        <v>1.0263481270331161</v>
      </c>
      <c r="D623" s="4">
        <f>Acciones!D623/Acciones!D622</f>
        <v>0.95788468100314728</v>
      </c>
      <c r="E623" s="4">
        <f>Acciones!E623/Acciones!E622</f>
        <v>1.0075188121556284</v>
      </c>
      <c r="F623" s="15">
        <f t="shared" si="27"/>
        <v>28434.84574999156</v>
      </c>
      <c r="G623" s="15">
        <f t="shared" si="29"/>
        <v>-65.154250008439703</v>
      </c>
      <c r="H623" s="4">
        <f t="shared" si="28"/>
        <v>-2.2861140353838127E-3</v>
      </c>
      <c r="I623" s="4"/>
    </row>
    <row r="624" spans="1:9" x14ac:dyDescent="0.2">
      <c r="A624" s="1">
        <f>Acciones!A624</f>
        <v>45903</v>
      </c>
      <c r="B624" s="4">
        <f>Acciones!B624/Acciones!B623</f>
        <v>0.99566787355216713</v>
      </c>
      <c r="C624" s="4">
        <f>Acciones!C624/Acciones!C623</f>
        <v>0.98280788305816524</v>
      </c>
      <c r="D624" s="4">
        <f>Acciones!D624/Acciones!D623</f>
        <v>1.0082532046699937</v>
      </c>
      <c r="E624" s="4">
        <f>Acciones!E624/Acciones!E623</f>
        <v>0.98507459699032029</v>
      </c>
      <c r="F624" s="15">
        <f t="shared" si="27"/>
        <v>28321.954776631857</v>
      </c>
      <c r="G624" s="15">
        <f t="shared" si="29"/>
        <v>-178.04522336814262</v>
      </c>
      <c r="H624" s="4">
        <f t="shared" si="28"/>
        <v>-6.247200819934795E-3</v>
      </c>
      <c r="I624" s="4"/>
    </row>
    <row r="625" spans="1:9" x14ac:dyDescent="0.2">
      <c r="A625" s="1">
        <f>Acciones!A625</f>
        <v>45904</v>
      </c>
      <c r="B625" s="4">
        <f>Acciones!B625/Acciones!B624</f>
        <v>1.0043509754235391</v>
      </c>
      <c r="C625" s="4">
        <f>Acciones!C625/Acciones!C624</f>
        <v>0.95922859654655446</v>
      </c>
      <c r="D625" s="4">
        <f>Acciones!D625/Acciones!D624</f>
        <v>1.0107143486638299</v>
      </c>
      <c r="E625" s="4">
        <f>Acciones!E625/Acciones!E624</f>
        <v>1.0037878300409677</v>
      </c>
      <c r="F625" s="15">
        <f t="shared" si="27"/>
        <v>28255.876633038279</v>
      </c>
      <c r="G625" s="15">
        <f t="shared" si="29"/>
        <v>-244.12336696172133</v>
      </c>
      <c r="H625" s="4">
        <f t="shared" si="28"/>
        <v>-8.5657321740955084E-3</v>
      </c>
      <c r="I625" s="4"/>
    </row>
    <row r="626" spans="1:9" x14ac:dyDescent="0.2">
      <c r="A626" s="1">
        <f>Acciones!A626</f>
        <v>45905</v>
      </c>
      <c r="B626" s="4">
        <f>Acciones!B626/Acciones!B625</f>
        <v>0.99133567753652163</v>
      </c>
      <c r="C626" s="4">
        <f>Acciones!C626/Acciones!C625</f>
        <v>1.002857134245478</v>
      </c>
      <c r="D626" s="4">
        <f>Acciones!D626/Acciones!D625</f>
        <v>0.97526498899226177</v>
      </c>
      <c r="E626" s="4">
        <f>Acciones!E626/Acciones!E625</f>
        <v>0.98867927796053889</v>
      </c>
      <c r="F626" s="15">
        <f t="shared" si="27"/>
        <v>28187.203565415446</v>
      </c>
      <c r="G626" s="15">
        <f t="shared" si="29"/>
        <v>-312.79643458455394</v>
      </c>
      <c r="H626" s="4">
        <f t="shared" si="28"/>
        <v>-1.0975313494194894E-2</v>
      </c>
      <c r="I626" s="4"/>
    </row>
    <row r="627" spans="1:9" x14ac:dyDescent="0.2">
      <c r="A627" s="1">
        <f>Acciones!A627</f>
        <v>45908</v>
      </c>
      <c r="B627" s="4">
        <f>Acciones!B627/Acciones!B626</f>
        <v>0.99781507545305581</v>
      </c>
      <c r="C627" s="4">
        <f>Acciones!C627/Acciones!C626</f>
        <v>0.99634199094702025</v>
      </c>
      <c r="D627" s="4">
        <f>Acciones!D627/Acciones!D626</f>
        <v>1.000731894766492</v>
      </c>
      <c r="E627" s="4">
        <f>Acciones!E627/Acciones!E626</f>
        <v>0.99236639658406167</v>
      </c>
      <c r="F627" s="15">
        <f t="shared" si="27"/>
        <v>28422.935806959649</v>
      </c>
      <c r="G627" s="15">
        <f t="shared" si="29"/>
        <v>-77.064193040350801</v>
      </c>
      <c r="H627" s="4">
        <f t="shared" si="28"/>
        <v>-2.7040067733455908E-3</v>
      </c>
      <c r="I627" s="4"/>
    </row>
    <row r="628" spans="1:9" x14ac:dyDescent="0.2">
      <c r="A628" s="1">
        <f>Acciones!A628</f>
        <v>45909</v>
      </c>
      <c r="B628" s="4">
        <f>Acciones!B628/Acciones!B627</f>
        <v>0.99562044154967866</v>
      </c>
      <c r="C628" s="4">
        <f>Acciones!C628/Acciones!C627</f>
        <v>1.049528715795657</v>
      </c>
      <c r="D628" s="4">
        <f>Acciones!D628/Acciones!D627</f>
        <v>0.9913035624849752</v>
      </c>
      <c r="E628" s="4">
        <f>Acciones!E628/Acciones!E627</f>
        <v>0.96153849680748649</v>
      </c>
      <c r="F628" s="15">
        <f t="shared" si="27"/>
        <v>28656.69170277354</v>
      </c>
      <c r="G628" s="15">
        <f t="shared" si="29"/>
        <v>156.69170277353987</v>
      </c>
      <c r="H628" s="4">
        <f t="shared" si="28"/>
        <v>5.4979544832820526E-3</v>
      </c>
      <c r="I628" s="4"/>
    </row>
    <row r="629" spans="1:9" x14ac:dyDescent="0.2">
      <c r="A629" s="1">
        <f>Acciones!A629</f>
        <v>45910</v>
      </c>
      <c r="B629" s="4">
        <f>Acciones!B629/Acciones!B628</f>
        <v>1.0036656625823062</v>
      </c>
      <c r="C629" s="4">
        <f>Acciones!C629/Acciones!C628</f>
        <v>0.99249922448600003</v>
      </c>
      <c r="D629" s="4">
        <f>Acciones!D629/Acciones!D628</f>
        <v>1.0080276364208769</v>
      </c>
      <c r="E629" s="4">
        <f>Acciones!E629/Acciones!E628</f>
        <v>1.00800001621246</v>
      </c>
      <c r="F629" s="15">
        <f t="shared" si="27"/>
        <v>28565.848905032373</v>
      </c>
      <c r="G629" s="15">
        <f t="shared" si="29"/>
        <v>65.848905032373295</v>
      </c>
      <c r="H629" s="4">
        <f t="shared" si="28"/>
        <v>2.3104878958728481E-3</v>
      </c>
      <c r="I629" s="4"/>
    </row>
    <row r="630" spans="1:9" x14ac:dyDescent="0.2">
      <c r="A630" s="1">
        <f>Acciones!A630</f>
        <v>45911</v>
      </c>
      <c r="B630" s="4">
        <f>Acciones!B630/Acciones!B629</f>
        <v>1.0036522745760525</v>
      </c>
      <c r="C630" s="4">
        <f>Acciones!C630/Acciones!C629</f>
        <v>0.99027351121446416</v>
      </c>
      <c r="D630" s="4">
        <f>Acciones!D630/Acciones!D629</f>
        <v>0.99638405243902961</v>
      </c>
      <c r="E630" s="4">
        <f>Acciones!E630/Acciones!E629</f>
        <v>1</v>
      </c>
      <c r="F630" s="15">
        <f t="shared" si="27"/>
        <v>28384.22184194389</v>
      </c>
      <c r="G630" s="15">
        <f t="shared" si="29"/>
        <v>-115.77815805610953</v>
      </c>
      <c r="H630" s="4">
        <f t="shared" si="28"/>
        <v>-4.062391510740726E-3</v>
      </c>
      <c r="I630" s="4"/>
    </row>
    <row r="631" spans="1:9" x14ac:dyDescent="0.2">
      <c r="A631" s="1">
        <f>Acciones!A631</f>
        <v>45912</v>
      </c>
      <c r="B631" s="4">
        <f>Acciones!B631/Acciones!B630</f>
        <v>0.99636101599271998</v>
      </c>
      <c r="C631" s="4">
        <f>Acciones!C631/Acciones!C630</f>
        <v>1.0347706116361568</v>
      </c>
      <c r="D631" s="4">
        <f>Acciones!D631/Acciones!D630</f>
        <v>0.98109086392621336</v>
      </c>
      <c r="E631" s="4">
        <f>Acciones!E631/Acciones!E630</f>
        <v>0.99603167892208355</v>
      </c>
      <c r="F631" s="15">
        <f t="shared" si="27"/>
        <v>28606.667239851602</v>
      </c>
      <c r="G631" s="15">
        <f t="shared" si="29"/>
        <v>106.66723985160206</v>
      </c>
      <c r="H631" s="4">
        <f t="shared" si="28"/>
        <v>3.7427101702316445E-3</v>
      </c>
      <c r="I631" s="4"/>
    </row>
    <row r="632" spans="1:9" x14ac:dyDescent="0.2">
      <c r="A632" s="1">
        <f>Acciones!A632</f>
        <v>45915</v>
      </c>
      <c r="B632" s="4">
        <f>Acciones!B632/Acciones!B631</f>
        <v>0.99488675928883441</v>
      </c>
      <c r="C632" s="4">
        <f>Acciones!C632/Acciones!C631</f>
        <v>0.98316577396320248</v>
      </c>
      <c r="D632" s="4">
        <f>Acciones!D632/Acciones!D631</f>
        <v>0.99501862683476017</v>
      </c>
      <c r="E632" s="4">
        <f>Acciones!E632/Acciones!E631</f>
        <v>1.0039841313904905</v>
      </c>
      <c r="F632" s="15">
        <f t="shared" si="27"/>
        <v>28294.277501156641</v>
      </c>
      <c r="G632" s="15">
        <f t="shared" si="29"/>
        <v>-205.72249884335906</v>
      </c>
      <c r="H632" s="4">
        <f t="shared" si="28"/>
        <v>-7.218333292749457E-3</v>
      </c>
      <c r="I632" s="4"/>
    </row>
    <row r="633" spans="1:9" x14ac:dyDescent="0.2">
      <c r="A633" s="1">
        <f>Acciones!A633</f>
        <v>45917</v>
      </c>
      <c r="B633" s="4">
        <f>Acciones!B633/Acciones!B632</f>
        <v>1.0088105658311142</v>
      </c>
      <c r="C633" s="4">
        <f>Acciones!C633/Acciones!C632</f>
        <v>1.0724594117838495</v>
      </c>
      <c r="D633" s="4">
        <f>Acciones!D633/Acciones!D632</f>
        <v>0.99085141605379723</v>
      </c>
      <c r="E633" s="4">
        <f>Acciones!E633/Acciones!E632</f>
        <v>1.0079365238926523</v>
      </c>
      <c r="F633" s="15">
        <f t="shared" si="27"/>
        <v>29171.366434303029</v>
      </c>
      <c r="G633" s="15">
        <f t="shared" si="29"/>
        <v>671.36643430302865</v>
      </c>
      <c r="H633" s="4">
        <f t="shared" si="28"/>
        <v>2.3556716993088811E-2</v>
      </c>
      <c r="I633" s="4"/>
    </row>
    <row r="634" spans="1:9" x14ac:dyDescent="0.2">
      <c r="A634" s="1">
        <f>Acciones!A634</f>
        <v>45918</v>
      </c>
      <c r="B634" s="4">
        <f>Acciones!B634/Acciones!B633</f>
        <v>1.0007278248513598</v>
      </c>
      <c r="C634" s="4">
        <f>Acciones!C634/Acciones!C633</f>
        <v>1.0717355016854038</v>
      </c>
      <c r="D634" s="4">
        <f>Acciones!D634/Acciones!D633</f>
        <v>0.99623307884357393</v>
      </c>
      <c r="E634" s="4">
        <f>Acciones!E634/Acciones!E633</f>
        <v>1</v>
      </c>
      <c r="F634" s="15">
        <f t="shared" si="27"/>
        <v>29146.365441426835</v>
      </c>
      <c r="G634" s="15">
        <f t="shared" si="29"/>
        <v>646.36544142683488</v>
      </c>
      <c r="H634" s="4">
        <f t="shared" si="28"/>
        <v>2.2679489172871437E-2</v>
      </c>
      <c r="I634" s="4"/>
    </row>
    <row r="635" spans="1:9" x14ac:dyDescent="0.2">
      <c r="A635" s="1">
        <f>Acciones!A635</f>
        <v>45919</v>
      </c>
      <c r="B635" s="4">
        <f>Acciones!B635/Acciones!B634</f>
        <v>0.958545487467377</v>
      </c>
      <c r="C635" s="4">
        <f>Acciones!C635/Acciones!C634</f>
        <v>0.98636149683329022</v>
      </c>
      <c r="D635" s="4">
        <f>Acciones!D635/Acciones!D634</f>
        <v>0.98642249212042077</v>
      </c>
      <c r="E635" s="4">
        <f>Acciones!E635/Acciones!E634</f>
        <v>1.0118109885148439</v>
      </c>
      <c r="F635" s="15">
        <f t="shared" si="27"/>
        <v>28154.528784087925</v>
      </c>
      <c r="G635" s="15">
        <f t="shared" si="29"/>
        <v>-345.47121591207542</v>
      </c>
      <c r="H635" s="4">
        <f t="shared" si="28"/>
        <v>-1.2121797049546523E-2</v>
      </c>
      <c r="I635" s="4"/>
    </row>
    <row r="636" spans="1:9" x14ac:dyDescent="0.2">
      <c r="A636" s="1">
        <f>Acciones!A636</f>
        <v>45922</v>
      </c>
      <c r="B636" s="4">
        <f>Acciones!B636/Acciones!B635</f>
        <v>1.0386949603533666</v>
      </c>
      <c r="C636" s="4">
        <f>Acciones!C636/Acciones!C635</f>
        <v>0.99029734401439795</v>
      </c>
      <c r="D636" s="4">
        <f>Acciones!D636/Acciones!D635</f>
        <v>1.0017674339224163</v>
      </c>
      <c r="E636" s="4">
        <f>Acciones!E636/Acciones!E635</f>
        <v>1.0077821169598531</v>
      </c>
      <c r="F636" s="15">
        <f t="shared" si="27"/>
        <v>28603.733111876918</v>
      </c>
      <c r="G636" s="15">
        <f t="shared" si="29"/>
        <v>103.73311187691797</v>
      </c>
      <c r="H636" s="4">
        <f t="shared" si="28"/>
        <v>3.6397583114708976E-3</v>
      </c>
      <c r="I636" s="4"/>
    </row>
    <row r="637" spans="1:9" x14ac:dyDescent="0.2">
      <c r="A637" s="1">
        <f>Acciones!A637</f>
        <v>45923</v>
      </c>
      <c r="B637" s="4">
        <f>Acciones!B637/Acciones!B636</f>
        <v>0.98612124400161638</v>
      </c>
      <c r="C637" s="4">
        <f>Acciones!C637/Acciones!C636</f>
        <v>0.97573031879096328</v>
      </c>
      <c r="D637" s="4">
        <f>Acciones!D637/Acciones!D636</f>
        <v>0.99289702022860704</v>
      </c>
      <c r="E637" s="4">
        <f>Acciones!E637/Acciones!E636</f>
        <v>0.99227797672841322</v>
      </c>
      <c r="F637" s="15">
        <f t="shared" si="27"/>
        <v>28107.361456812156</v>
      </c>
      <c r="G637" s="15">
        <f t="shared" si="29"/>
        <v>-392.63854318784433</v>
      </c>
      <c r="H637" s="4">
        <f t="shared" si="28"/>
        <v>-1.3776790989047161E-2</v>
      </c>
      <c r="I637" s="4"/>
    </row>
    <row r="638" spans="1:9" x14ac:dyDescent="0.2">
      <c r="A638" s="1">
        <f>Acciones!A638</f>
        <v>45924</v>
      </c>
      <c r="B638" s="4">
        <f>Acciones!B638/Acciones!B637</f>
        <v>1.0096296458600202</v>
      </c>
      <c r="C638" s="4">
        <f>Acciones!C638/Acciones!C637</f>
        <v>1.0007370513018627</v>
      </c>
      <c r="D638" s="4">
        <f>Acciones!D638/Acciones!D637</f>
        <v>1.0076845249634339</v>
      </c>
      <c r="E638" s="4">
        <f>Acciones!E638/Acciones!E637</f>
        <v>1.0038910004987551</v>
      </c>
      <c r="F638" s="15">
        <f t="shared" si="27"/>
        <v>28638.951500255254</v>
      </c>
      <c r="G638" s="15">
        <f t="shared" si="29"/>
        <v>138.95150025525436</v>
      </c>
      <c r="H638" s="4">
        <f t="shared" si="28"/>
        <v>4.8754912370265746E-3</v>
      </c>
      <c r="I638" s="4"/>
    </row>
    <row r="639" spans="1:9" x14ac:dyDescent="0.2">
      <c r="A639" s="1">
        <f>Acciones!A639</f>
        <v>45925</v>
      </c>
      <c r="B639" s="4">
        <f>Acciones!B639/Acciones!B638</f>
        <v>1.0124725242953241</v>
      </c>
      <c r="C639" s="4">
        <f>Acciones!C639/Acciones!C638</f>
        <v>0.91012302547373414</v>
      </c>
      <c r="D639" s="4">
        <f>Acciones!D639/Acciones!D638</f>
        <v>0.97761842127962728</v>
      </c>
      <c r="E639" s="4">
        <f>Acciones!E639/Acciones!E638</f>
        <v>0.98837212660258067</v>
      </c>
      <c r="F639" s="15">
        <f t="shared" si="27"/>
        <v>27402.053486144578</v>
      </c>
      <c r="G639" s="15">
        <f t="shared" si="29"/>
        <v>-1097.9465138554224</v>
      </c>
      <c r="H639" s="4">
        <f t="shared" si="28"/>
        <v>-3.8524439082646356E-2</v>
      </c>
      <c r="I639" s="4"/>
    </row>
    <row r="640" spans="1:9" x14ac:dyDescent="0.2">
      <c r="A640" s="1">
        <f>Acciones!A640</f>
        <v>45926</v>
      </c>
      <c r="B640" s="4">
        <f>Acciones!B640/Acciones!B639</f>
        <v>0.98913037406968829</v>
      </c>
      <c r="C640" s="4">
        <f>Acciones!C640/Acciones!C639</f>
        <v>0.99463925723138702</v>
      </c>
      <c r="D640" s="4">
        <f>Acciones!D640/Acciones!D639</f>
        <v>0.98776430624689326</v>
      </c>
      <c r="E640" s="4">
        <f>Acciones!E640/Acciones!E639</f>
        <v>1.0196078248044134</v>
      </c>
      <c r="F640" s="15">
        <f t="shared" si="27"/>
        <v>28396.515351835293</v>
      </c>
      <c r="G640" s="15">
        <f t="shared" si="29"/>
        <v>-103.48464816470732</v>
      </c>
      <c r="H640" s="4">
        <f t="shared" si="28"/>
        <v>-3.6310402864809799E-3</v>
      </c>
      <c r="I640" s="4"/>
    </row>
    <row r="641" spans="1:9" x14ac:dyDescent="0.2">
      <c r="A641" s="1">
        <f>Acciones!A641</f>
        <v>45929</v>
      </c>
      <c r="B641" s="4">
        <f>Acciones!B641/Acciones!B640</f>
        <v>0.98974362123630699</v>
      </c>
      <c r="C641" s="4">
        <f>Acciones!C641/Acciones!C640</f>
        <v>1.1588759484955224</v>
      </c>
      <c r="D641" s="4">
        <f>Acciones!D641/Acciones!D640</f>
        <v>1.0110591607448713</v>
      </c>
      <c r="E641" s="4">
        <f>Acciones!E641/Acciones!E640</f>
        <v>0.97307692484037511</v>
      </c>
      <c r="F641" s="15">
        <f t="shared" si="27"/>
        <v>29935.938879105317</v>
      </c>
      <c r="G641" s="15">
        <f t="shared" si="29"/>
        <v>1435.938879105317</v>
      </c>
      <c r="H641" s="4">
        <f t="shared" si="28"/>
        <v>5.0383820319484851E-2</v>
      </c>
      <c r="I641" s="4"/>
    </row>
    <row r="642" spans="1:9" x14ac:dyDescent="0.2">
      <c r="A642" s="1">
        <f>Acciones!A642</f>
        <v>45930</v>
      </c>
      <c r="B642" s="4">
        <f>Acciones!B642/Acciones!B641</f>
        <v>1.0177646044421496</v>
      </c>
      <c r="C642" s="4">
        <f>Acciones!C642/Acciones!C641</f>
        <v>0.97855967887810069</v>
      </c>
      <c r="D642" s="4">
        <f>Acciones!D642/Acciones!D641</f>
        <v>1.0007896909231102</v>
      </c>
      <c r="E642" s="4">
        <f>Acciones!E642/Acciones!E641</f>
        <v>0.9960474815799838</v>
      </c>
      <c r="F642" s="15">
        <f t="shared" si="27"/>
        <v>28344.651122810494</v>
      </c>
      <c r="G642" s="15">
        <f t="shared" si="29"/>
        <v>-155.34887718950631</v>
      </c>
      <c r="H642" s="4">
        <f t="shared" si="28"/>
        <v>-5.450837796122987E-3</v>
      </c>
      <c r="I642" s="4"/>
    </row>
    <row r="643" spans="1:9" x14ac:dyDescent="0.2">
      <c r="A643" s="1">
        <f>Acciones!A643</f>
        <v>45931</v>
      </c>
      <c r="B643" s="4">
        <f>Acciones!B643/Acciones!B642</f>
        <v>1.0021818164490834</v>
      </c>
      <c r="C643" s="4">
        <f>Acciones!C643/Acciones!C642</f>
        <v>1.0207742115098595</v>
      </c>
      <c r="D643" s="4">
        <f>Acciones!D643/Acciones!D642</f>
        <v>1.0611557132927734</v>
      </c>
      <c r="E643" s="4">
        <f>Acciones!E643/Acciones!E642</f>
        <v>0.99603167892208355</v>
      </c>
      <c r="F643" s="15">
        <f t="shared" ref="F643:F706" si="30">$J$2*B643+$J$3*C643+$J$4*D643+$J$5*E643</f>
        <v>29294.722733914648</v>
      </c>
      <c r="G643" s="15">
        <f t="shared" si="29"/>
        <v>794.72273391464842</v>
      </c>
      <c r="H643" s="4">
        <f t="shared" ref="H643:H706" si="31">(F643/$J$6)-1</f>
        <v>2.7885008207531481E-2</v>
      </c>
      <c r="I643" s="4"/>
    </row>
    <row r="644" spans="1:9" x14ac:dyDescent="0.2">
      <c r="A644" s="1">
        <f>Acciones!A644</f>
        <v>45932</v>
      </c>
      <c r="B644" s="4">
        <f>Acciones!B644/Acciones!B643</f>
        <v>0.98403489235700692</v>
      </c>
      <c r="C644" s="4">
        <f>Acciones!C644/Acciones!C643</f>
        <v>1.01859445418306</v>
      </c>
      <c r="D644" s="4">
        <f>Acciones!D644/Acciones!D643</f>
        <v>1.0094751428817046</v>
      </c>
      <c r="E644" s="4">
        <f>Acciones!E644/Acciones!E643</f>
        <v>1.0278884447960066</v>
      </c>
      <c r="F644" s="15">
        <f t="shared" si="30"/>
        <v>28868.907313183678</v>
      </c>
      <c r="G644" s="15">
        <f t="shared" si="29"/>
        <v>368.90731318367762</v>
      </c>
      <c r="H644" s="4">
        <f t="shared" si="31"/>
        <v>1.2944116252058935E-2</v>
      </c>
      <c r="I644" s="4"/>
    </row>
    <row r="645" spans="1:9" x14ac:dyDescent="0.2">
      <c r="A645" s="1">
        <f>Acciones!A645</f>
        <v>45933</v>
      </c>
      <c r="B645" s="4">
        <f>Acciones!B645/Acciones!B644</f>
        <v>1.0036872177493541</v>
      </c>
      <c r="C645" s="4">
        <f>Acciones!C645/Acciones!C644</f>
        <v>0.99548653932249243</v>
      </c>
      <c r="D645" s="4">
        <f>Acciones!D645/Acciones!D644</f>
        <v>0.96998167019501003</v>
      </c>
      <c r="E645" s="4">
        <f>Acciones!E645/Acciones!E644</f>
        <v>0.99612408070515424</v>
      </c>
      <c r="F645" s="15">
        <f t="shared" si="30"/>
        <v>28148.526531514868</v>
      </c>
      <c r="G645" s="15">
        <f t="shared" ref="G645:G708" si="32">F645-$J$6</f>
        <v>-351.47346848513189</v>
      </c>
      <c r="H645" s="4">
        <f t="shared" si="31"/>
        <v>-1.2332402402987053E-2</v>
      </c>
      <c r="I645" s="4"/>
    </row>
    <row r="646" spans="1:9" x14ac:dyDescent="0.2">
      <c r="A646" s="1">
        <f>Acciones!A646</f>
        <v>45936</v>
      </c>
      <c r="B646" s="4">
        <f>Acciones!B646/Acciones!B645</f>
        <v>0.99191773726943766</v>
      </c>
      <c r="C646" s="4">
        <f>Acciones!C646/Acciones!C645</f>
        <v>1.0872415142704603</v>
      </c>
      <c r="D646" s="4">
        <f>Acciones!D646/Acciones!D645</f>
        <v>0.98345859426938054</v>
      </c>
      <c r="E646" s="4">
        <f>Acciones!E646/Acciones!E645</f>
        <v>1.0038910004987551</v>
      </c>
      <c r="F646" s="15">
        <f t="shared" si="30"/>
        <v>29156.492911449364</v>
      </c>
      <c r="G646" s="15">
        <f t="shared" si="32"/>
        <v>656.49291144936433</v>
      </c>
      <c r="H646" s="4">
        <f t="shared" si="31"/>
        <v>2.3034838998223339E-2</v>
      </c>
      <c r="I646" s="4"/>
    </row>
    <row r="647" spans="1:9" x14ac:dyDescent="0.2">
      <c r="A647" s="1">
        <f>Acciones!A647</f>
        <v>45937</v>
      </c>
      <c r="B647" s="4">
        <f>Acciones!B647/Acciones!B646</f>
        <v>1.0148148507648618</v>
      </c>
      <c r="C647" s="4">
        <f>Acciones!C647/Acciones!C646</f>
        <v>0.98926936138506905</v>
      </c>
      <c r="D647" s="4">
        <f>Acciones!D647/Acciones!D646</f>
        <v>0.97094798667042048</v>
      </c>
      <c r="E647" s="4">
        <f>Acciones!E647/Acciones!E646</f>
        <v>0.96899229910259199</v>
      </c>
      <c r="F647" s="15">
        <f t="shared" si="30"/>
        <v>27988.848422603634</v>
      </c>
      <c r="G647" s="15">
        <f t="shared" si="32"/>
        <v>-511.15157739636561</v>
      </c>
      <c r="H647" s="4">
        <f t="shared" si="31"/>
        <v>-1.7935143066539094E-2</v>
      </c>
      <c r="I647" s="4"/>
    </row>
    <row r="648" spans="1:9" x14ac:dyDescent="0.2">
      <c r="A648" s="1">
        <f>Acciones!A648</f>
        <v>45938</v>
      </c>
      <c r="B648" s="4">
        <f>Acciones!B648/Acciones!B647</f>
        <v>0.99416054184657909</v>
      </c>
      <c r="C648" s="4">
        <f>Acciones!C648/Acciones!C647</f>
        <v>0.99846957361917821</v>
      </c>
      <c r="D648" s="4">
        <f>Acciones!D648/Acciones!D647</f>
        <v>0.99483467298381989</v>
      </c>
      <c r="E648" s="4">
        <f>Acciones!E648/Acciones!E647</f>
        <v>1.031999945640564</v>
      </c>
      <c r="F648" s="15">
        <f t="shared" si="30"/>
        <v>28589.369276706522</v>
      </c>
      <c r="G648" s="15">
        <f t="shared" si="32"/>
        <v>89.369276706522214</v>
      </c>
      <c r="H648" s="4">
        <f t="shared" si="31"/>
        <v>3.1357640949656318E-3</v>
      </c>
      <c r="I648" s="4"/>
    </row>
    <row r="649" spans="1:9" x14ac:dyDescent="0.2">
      <c r="A649" s="1">
        <f>Acciones!A649</f>
        <v>45939</v>
      </c>
      <c r="B649" s="4">
        <f>Acciones!B649/Acciones!B648</f>
        <v>0.99339207562666254</v>
      </c>
      <c r="C649" s="4">
        <f>Acciones!C649/Acciones!C648</f>
        <v>1.0035226351010909</v>
      </c>
      <c r="D649" s="4">
        <f>Acciones!D649/Acciones!D648</f>
        <v>0.99004306870727354</v>
      </c>
      <c r="E649" s="4">
        <f>Acciones!E649/Acciones!E648</f>
        <v>0.98837212660258067</v>
      </c>
      <c r="F649" s="15">
        <f t="shared" si="30"/>
        <v>28346.814681540614</v>
      </c>
      <c r="G649" s="15">
        <f t="shared" si="32"/>
        <v>-153.1853184593856</v>
      </c>
      <c r="H649" s="4">
        <f t="shared" si="31"/>
        <v>-5.3749234547152414E-3</v>
      </c>
      <c r="I649" s="4"/>
    </row>
    <row r="650" spans="1:9" x14ac:dyDescent="0.2">
      <c r="A650" s="1">
        <f>Acciones!A650</f>
        <v>45940</v>
      </c>
      <c r="B650" s="4">
        <f>Acciones!B650/Acciones!B649</f>
        <v>0.99704358537785776</v>
      </c>
      <c r="C650" s="4">
        <f>Acciones!C650/Acciones!C649</f>
        <v>0.91773624157616285</v>
      </c>
      <c r="D650" s="4">
        <f>Acciones!D650/Acciones!D649</f>
        <v>0.96734245715930678</v>
      </c>
      <c r="E650" s="4">
        <f>Acciones!E650/Acciones!E649</f>
        <v>1.0039216350839955</v>
      </c>
      <c r="F650" s="15">
        <f t="shared" si="30"/>
        <v>27403.140408351093</v>
      </c>
      <c r="G650" s="15">
        <f t="shared" si="32"/>
        <v>-1096.8595916489066</v>
      </c>
      <c r="H650" s="4">
        <f t="shared" si="31"/>
        <v>-3.8486301461365113E-2</v>
      </c>
      <c r="I650" s="4"/>
    </row>
    <row r="651" spans="1:9" x14ac:dyDescent="0.2">
      <c r="A651" s="1">
        <f>Acciones!A651</f>
        <v>45943</v>
      </c>
      <c r="B651" s="4">
        <f>Acciones!B651/Acciones!B650</f>
        <v>1.004447807101752</v>
      </c>
      <c r="C651" s="4">
        <f>Acciones!C651/Acciones!C650</f>
        <v>1.0944553330781348</v>
      </c>
      <c r="D651" s="4">
        <f>Acciones!D651/Acciones!D650</f>
        <v>1.0295037992804765</v>
      </c>
      <c r="E651" s="4">
        <f>Acciones!E651/Acciones!E650</f>
        <v>0.98437496907718047</v>
      </c>
      <c r="F651" s="15">
        <f t="shared" si="30"/>
        <v>29621.993311827668</v>
      </c>
      <c r="G651" s="15">
        <f t="shared" si="32"/>
        <v>1121.9933118276676</v>
      </c>
      <c r="H651" s="4">
        <f t="shared" si="31"/>
        <v>3.9368186379918235E-2</v>
      </c>
      <c r="I651" s="4"/>
    </row>
    <row r="652" spans="1:9" x14ac:dyDescent="0.2">
      <c r="A652" s="1">
        <f>Acciones!A652</f>
        <v>45944</v>
      </c>
      <c r="B652" s="4">
        <f>Acciones!B652/Acciones!B651</f>
        <v>1.0110701015174084</v>
      </c>
      <c r="C652" s="4">
        <f>Acciones!C652/Acciones!C651</f>
        <v>1.0969480223373316</v>
      </c>
      <c r="D652" s="4">
        <f>Acciones!D652/Acciones!D651</f>
        <v>1.0082604348851518</v>
      </c>
      <c r="E652" s="4">
        <f>Acciones!E652/Acciones!E651</f>
        <v>1.0039682028147359</v>
      </c>
      <c r="F652" s="15">
        <f t="shared" si="30"/>
        <v>29564.181031848144</v>
      </c>
      <c r="G652" s="15">
        <f t="shared" si="32"/>
        <v>1064.1810318481439</v>
      </c>
      <c r="H652" s="4">
        <f t="shared" si="31"/>
        <v>3.7339685328005023E-2</v>
      </c>
      <c r="I652" s="4"/>
    </row>
    <row r="653" spans="1:9" x14ac:dyDescent="0.2">
      <c r="A653" s="1">
        <f>Acciones!A653</f>
        <v>45945</v>
      </c>
      <c r="B653" s="4">
        <f>Acciones!B653/Acciones!B652</f>
        <v>0.99635032107173604</v>
      </c>
      <c r="C653" s="4">
        <f>Acciones!C653/Acciones!C652</f>
        <v>1.027968286893443</v>
      </c>
      <c r="D653" s="4">
        <f>Acciones!D653/Acciones!D652</f>
        <v>1.0087579413400936</v>
      </c>
      <c r="E653" s="4">
        <f>Acciones!E653/Acciones!E652</f>
        <v>1</v>
      </c>
      <c r="F653" s="15">
        <f t="shared" si="30"/>
        <v>28840.504262639719</v>
      </c>
      <c r="G653" s="15">
        <f t="shared" si="32"/>
        <v>340.50426263971895</v>
      </c>
      <c r="H653" s="4">
        <f t="shared" si="31"/>
        <v>1.1947517987358491E-2</v>
      </c>
      <c r="I653" s="4"/>
    </row>
    <row r="654" spans="1:9" x14ac:dyDescent="0.2">
      <c r="A654" s="1">
        <f>Acciones!A654</f>
        <v>45946</v>
      </c>
      <c r="B654" s="4">
        <f>Acciones!B654/Acciones!B653</f>
        <v>1.0036630478769135</v>
      </c>
      <c r="C654" s="4">
        <f>Acciones!C654/Acciones!C653</f>
        <v>0.88407305562346383</v>
      </c>
      <c r="D654" s="4">
        <f>Acciones!D654/Acciones!D653</f>
        <v>0.97316501868645067</v>
      </c>
      <c r="E654" s="4">
        <f>Acciones!E654/Acciones!E653</f>
        <v>1.0158103092715511</v>
      </c>
      <c r="F654" s="15">
        <f t="shared" si="30"/>
        <v>27230.121583850141</v>
      </c>
      <c r="G654" s="15">
        <f t="shared" si="32"/>
        <v>-1269.8784161498588</v>
      </c>
      <c r="H654" s="4">
        <f t="shared" si="31"/>
        <v>-4.4557137408766989E-2</v>
      </c>
      <c r="I654" s="4"/>
    </row>
    <row r="655" spans="1:9" x14ac:dyDescent="0.2">
      <c r="A655" s="1">
        <f>Acciones!A655</f>
        <v>45947</v>
      </c>
      <c r="B655" s="4">
        <f>Acciones!B655/Acciones!B654</f>
        <v>0.98540142494594374</v>
      </c>
      <c r="C655" s="4">
        <f>Acciones!C655/Acciones!C654</f>
        <v>0.95801219559801465</v>
      </c>
      <c r="D655" s="4">
        <f>Acciones!D655/Acciones!D654</f>
        <v>1.00531220419916</v>
      </c>
      <c r="E655" s="4">
        <f>Acciones!E655/Acciones!E654</f>
        <v>0.98443576608029426</v>
      </c>
      <c r="F655" s="15">
        <f t="shared" si="30"/>
        <v>28017.539600925164</v>
      </c>
      <c r="G655" s="15">
        <f t="shared" si="32"/>
        <v>-482.46039907483646</v>
      </c>
      <c r="H655" s="4">
        <f t="shared" si="31"/>
        <v>-1.6928435055257429E-2</v>
      </c>
      <c r="I655" s="4"/>
    </row>
    <row r="656" spans="1:9" x14ac:dyDescent="0.2">
      <c r="A656" s="1">
        <f>Acciones!A656</f>
        <v>45950</v>
      </c>
      <c r="B656" s="4">
        <f>Acciones!B656/Acciones!B655</f>
        <v>1.0029629844272558</v>
      </c>
      <c r="C656" s="4">
        <f>Acciones!C656/Acciones!C655</f>
        <v>1.068940539865936</v>
      </c>
      <c r="D656" s="4">
        <f>Acciones!D656/Acciones!D655</f>
        <v>1.0132628624477391</v>
      </c>
      <c r="E656" s="4">
        <f>Acciones!E656/Acciones!E655</f>
        <v>1</v>
      </c>
      <c r="F656" s="15">
        <f t="shared" si="30"/>
        <v>29297.934198699179</v>
      </c>
      <c r="G656" s="15">
        <f t="shared" si="32"/>
        <v>797.93419869917852</v>
      </c>
      <c r="H656" s="4">
        <f t="shared" si="31"/>
        <v>2.7997691182427342E-2</v>
      </c>
      <c r="I656" s="4"/>
    </row>
    <row r="657" spans="1:9" x14ac:dyDescent="0.2">
      <c r="A657" s="1">
        <f>Acciones!A657</f>
        <v>45951</v>
      </c>
      <c r="B657" s="4">
        <f>Acciones!B657/Acciones!B656</f>
        <v>1.0125553575868507</v>
      </c>
      <c r="C657" s="4">
        <f>Acciones!C657/Acciones!C656</f>
        <v>0.95920763236890294</v>
      </c>
      <c r="D657" s="4">
        <f>Acciones!D657/Acciones!D656</f>
        <v>1.0031927067862711</v>
      </c>
      <c r="E657" s="4">
        <f>Acciones!E657/Acciones!E656</f>
        <v>0.9960474815799838</v>
      </c>
      <c r="F657" s="15">
        <f t="shared" si="30"/>
        <v>28166.604475611177</v>
      </c>
      <c r="G657" s="15">
        <f t="shared" si="32"/>
        <v>-333.39552438882311</v>
      </c>
      <c r="H657" s="4">
        <f t="shared" si="31"/>
        <v>-1.1698088575046395E-2</v>
      </c>
      <c r="I657" s="4"/>
    </row>
    <row r="658" spans="1:9" x14ac:dyDescent="0.2">
      <c r="A658" s="1">
        <f>Acciones!A658</f>
        <v>45952</v>
      </c>
      <c r="B658" s="4">
        <f>Acciones!B658/Acciones!B657</f>
        <v>0.99854123534883554</v>
      </c>
      <c r="C658" s="4">
        <f>Acciones!C658/Acciones!C657</f>
        <v>0.96027900978248759</v>
      </c>
      <c r="D658" s="4">
        <f>Acciones!D658/Acciones!D657</f>
        <v>1.0106429041230129</v>
      </c>
      <c r="E658" s="4">
        <f>Acciones!E658/Acciones!E657</f>
        <v>1.0039682028147359</v>
      </c>
      <c r="F658" s="15">
        <f t="shared" si="30"/>
        <v>28245.799073365732</v>
      </c>
      <c r="G658" s="15">
        <f t="shared" si="32"/>
        <v>-254.2009266342684</v>
      </c>
      <c r="H658" s="4">
        <f t="shared" si="31"/>
        <v>-8.9193307590971216E-3</v>
      </c>
      <c r="I658" s="4"/>
    </row>
    <row r="659" spans="1:9" x14ac:dyDescent="0.2">
      <c r="A659" s="1">
        <f>Acciones!A659</f>
        <v>45953</v>
      </c>
      <c r="B659" s="4">
        <f>Acciones!B659/Acciones!B658</f>
        <v>0.99488675928883441</v>
      </c>
      <c r="C659" s="4">
        <f>Acciones!C659/Acciones!C658</f>
        <v>1.0094473061406997</v>
      </c>
      <c r="D659" s="4">
        <f>Acciones!D659/Acciones!D658</f>
        <v>1.0051829600833986</v>
      </c>
      <c r="E659" s="4">
        <f>Acciones!E659/Acciones!E658</f>
        <v>0.99209484536422432</v>
      </c>
      <c r="F659" s="15">
        <f t="shared" si="30"/>
        <v>28580.204316184787</v>
      </c>
      <c r="G659" s="15">
        <f t="shared" si="32"/>
        <v>80.204316184786876</v>
      </c>
      <c r="H659" s="4">
        <f t="shared" si="31"/>
        <v>2.814186532799523E-3</v>
      </c>
      <c r="I659" s="4"/>
    </row>
    <row r="660" spans="1:9" x14ac:dyDescent="0.2">
      <c r="A660" s="1">
        <f>Acciones!A660</f>
        <v>45954</v>
      </c>
      <c r="B660" s="4">
        <f>Acciones!B660/Acciones!B659</f>
        <v>1.0051395203156794</v>
      </c>
      <c r="C660" s="4">
        <f>Acciones!C660/Acciones!C659</f>
        <v>1.0045529780734204</v>
      </c>
      <c r="D660" s="4">
        <f>Acciones!D660/Acciones!D659</f>
        <v>0.99692962150799558</v>
      </c>
      <c r="E660" s="4">
        <f>Acciones!E660/Acciones!E659</f>
        <v>1.0039841313904905</v>
      </c>
      <c r="F660" s="15">
        <f t="shared" si="30"/>
        <v>28552.450550530026</v>
      </c>
      <c r="G660" s="15">
        <f t="shared" si="32"/>
        <v>52.450550530025794</v>
      </c>
      <c r="H660" s="4">
        <f t="shared" si="31"/>
        <v>1.840370194035934E-3</v>
      </c>
      <c r="I660" s="4"/>
    </row>
    <row r="661" spans="1:9" x14ac:dyDescent="0.2">
      <c r="A661" s="1">
        <f>Acciones!A661</f>
        <v>45957</v>
      </c>
      <c r="B661" s="4">
        <f>Acciones!B661/Acciones!B660</f>
        <v>0.98977358895853951</v>
      </c>
      <c r="C661" s="4">
        <f>Acciones!C661/Acciones!C660</f>
        <v>1.0111350783870512</v>
      </c>
      <c r="D661" s="4">
        <f>Acciones!D661/Acciones!D660</f>
        <v>0.98739892676777319</v>
      </c>
      <c r="E661" s="4">
        <f>Acciones!E661/Acciones!E660</f>
        <v>1.0079365238926523</v>
      </c>
      <c r="F661" s="15">
        <f t="shared" si="30"/>
        <v>28487.630955119195</v>
      </c>
      <c r="G661" s="15">
        <f t="shared" si="32"/>
        <v>-12.369044880804722</v>
      </c>
      <c r="H661" s="4">
        <f t="shared" si="31"/>
        <v>-4.3400157476503054E-4</v>
      </c>
      <c r="I661" s="4"/>
    </row>
    <row r="662" spans="1:9" x14ac:dyDescent="0.2">
      <c r="A662" s="1">
        <f>Acciones!A662</f>
        <v>45958</v>
      </c>
      <c r="B662" s="4">
        <f>Acciones!B662/Acciones!B661</f>
        <v>1.0036900101364477</v>
      </c>
      <c r="C662" s="4">
        <f>Acciones!C662/Acciones!C661</f>
        <v>0.95832988183505308</v>
      </c>
      <c r="D662" s="4">
        <f>Acciones!D662/Acciones!D661</f>
        <v>0.98576201933145013</v>
      </c>
      <c r="E662" s="4">
        <f>Acciones!E662/Acciones!E661</f>
        <v>1.0236219770296842</v>
      </c>
      <c r="F662" s="15">
        <f t="shared" si="30"/>
        <v>28104.589979888333</v>
      </c>
      <c r="G662" s="15">
        <f t="shared" si="32"/>
        <v>-395.41002011166711</v>
      </c>
      <c r="H662" s="4">
        <f t="shared" si="31"/>
        <v>-1.3874035793391859E-2</v>
      </c>
      <c r="I662" s="4"/>
    </row>
    <row r="663" spans="1:9" x14ac:dyDescent="0.2">
      <c r="A663" s="1">
        <f>Acciones!A663</f>
        <v>45959</v>
      </c>
      <c r="B663" s="4">
        <f>Acciones!B663/Acciones!B662</f>
        <v>0.99338235825467902</v>
      </c>
      <c r="C663" s="4">
        <f>Acciones!C663/Acciones!C662</f>
        <v>1.0062075757430258</v>
      </c>
      <c r="D663" s="4">
        <f>Acciones!D663/Acciones!D662</f>
        <v>0.98359168521591478</v>
      </c>
      <c r="E663" s="4">
        <f>Acciones!E663/Acciones!E662</f>
        <v>0.99615389553047951</v>
      </c>
      <c r="F663" s="15">
        <f t="shared" si="30"/>
        <v>28350.573501026905</v>
      </c>
      <c r="G663" s="15">
        <f t="shared" si="32"/>
        <v>-149.42649897309457</v>
      </c>
      <c r="H663" s="4">
        <f t="shared" si="31"/>
        <v>-5.2430350516875501E-3</v>
      </c>
      <c r="I663" s="4"/>
    </row>
    <row r="664" spans="1:9" x14ac:dyDescent="0.2">
      <c r="A664" s="1">
        <f>Acciones!A664</f>
        <v>45960</v>
      </c>
      <c r="B664" s="4">
        <f>Acciones!B664/Acciones!B663</f>
        <v>1.0022205755552669</v>
      </c>
      <c r="C664" s="4">
        <f>Acciones!C664/Acciones!C663</f>
        <v>0.95454807363589378</v>
      </c>
      <c r="D664" s="4">
        <f>Acciones!D664/Acciones!D663</f>
        <v>0.98505344028055652</v>
      </c>
      <c r="E664" s="4">
        <f>Acciones!E664/Acciones!E663</f>
        <v>0.96525095281130291</v>
      </c>
      <c r="F664" s="15">
        <f t="shared" si="30"/>
        <v>27735.393357252156</v>
      </c>
      <c r="G664" s="15">
        <f t="shared" si="32"/>
        <v>-764.60664274784358</v>
      </c>
      <c r="H664" s="4">
        <f t="shared" si="31"/>
        <v>-2.6828303254310293E-2</v>
      </c>
      <c r="I664" s="4"/>
    </row>
    <row r="665" spans="1:9" x14ac:dyDescent="0.2">
      <c r="A665" s="1">
        <f>Acciones!A665</f>
        <v>45961</v>
      </c>
      <c r="B665" s="4">
        <f>Acciones!B665/Acciones!B664</f>
        <v>0.99039880233913191</v>
      </c>
      <c r="C665" s="4">
        <f>Acciones!C665/Acciones!C664</f>
        <v>1.0148800025099525</v>
      </c>
      <c r="D665" s="4">
        <f>Acciones!D665/Acciones!D664</f>
        <v>0.99549609083950397</v>
      </c>
      <c r="E665" s="4">
        <f>Acciones!E665/Acciones!E664</f>
        <v>1</v>
      </c>
      <c r="F665" s="15">
        <f t="shared" si="30"/>
        <v>28562.716740426549</v>
      </c>
      <c r="G665" s="15">
        <f t="shared" si="32"/>
        <v>62.716740426549222</v>
      </c>
      <c r="H665" s="4">
        <f t="shared" si="31"/>
        <v>2.2005873833876866E-3</v>
      </c>
      <c r="I665" s="4"/>
    </row>
    <row r="666" spans="1:9" x14ac:dyDescent="0.2">
      <c r="A666" s="1">
        <f>Acciones!A666</f>
        <v>45964</v>
      </c>
      <c r="B666" s="4">
        <f>Acciones!B666/Acciones!B665</f>
        <v>1.0089485387887729</v>
      </c>
      <c r="C666" s="4">
        <f>Acciones!C666/Acciones!C665</f>
        <v>0.97852551667732701</v>
      </c>
      <c r="D666" s="4">
        <f>Acciones!D666/Acciones!D665</f>
        <v>0.96973279190231798</v>
      </c>
      <c r="E666" s="4">
        <f>Acciones!E666/Acciones!E665</f>
        <v>0.99599999189376798</v>
      </c>
      <c r="F666" s="15">
        <f t="shared" si="30"/>
        <v>28002.640168634214</v>
      </c>
      <c r="G666" s="15">
        <f t="shared" si="32"/>
        <v>-497.35983136578579</v>
      </c>
      <c r="H666" s="4">
        <f t="shared" si="31"/>
        <v>-1.7451222153185508E-2</v>
      </c>
      <c r="I666" s="4"/>
    </row>
    <row r="667" spans="1:9" x14ac:dyDescent="0.2">
      <c r="A667" s="1">
        <f>Acciones!A667</f>
        <v>45965</v>
      </c>
      <c r="B667" s="4">
        <f>Acciones!B667/Acciones!B666</f>
        <v>0.99260907026439671</v>
      </c>
      <c r="C667" s="4">
        <f>Acciones!C667/Acciones!C666</f>
        <v>0.9445756194137469</v>
      </c>
      <c r="D667" s="4">
        <f>Acciones!D667/Acciones!D666</f>
        <v>0.98559067930946764</v>
      </c>
      <c r="E667" s="4">
        <f>Acciones!E667/Acciones!E666</f>
        <v>1</v>
      </c>
      <c r="F667" s="15">
        <f t="shared" si="30"/>
        <v>27803.506923450659</v>
      </c>
      <c r="G667" s="15">
        <f t="shared" si="32"/>
        <v>-696.49307654934091</v>
      </c>
      <c r="H667" s="4">
        <f t="shared" si="31"/>
        <v>-2.4438353563134729E-2</v>
      </c>
      <c r="I667" s="4"/>
    </row>
    <row r="668" spans="1:9" x14ac:dyDescent="0.2">
      <c r="A668" s="1">
        <f>Acciones!A668</f>
        <v>45966</v>
      </c>
      <c r="B668" s="4">
        <f>Acciones!B668/Acciones!B667</f>
        <v>1.0007445531859374</v>
      </c>
      <c r="C668" s="4">
        <f>Acciones!C668/Acciones!C667</f>
        <v>1.0255407836323671</v>
      </c>
      <c r="D668" s="4">
        <f>Acciones!D668/Acciones!D667</f>
        <v>1.0123668088055511</v>
      </c>
      <c r="E668" s="4">
        <f>Acciones!E668/Acciones!E667</f>
        <v>0.99196785514299768</v>
      </c>
      <c r="F668" s="15">
        <f t="shared" si="30"/>
        <v>28824.734672000264</v>
      </c>
      <c r="G668" s="15">
        <f t="shared" si="32"/>
        <v>324.73467200026425</v>
      </c>
      <c r="H668" s="4">
        <f t="shared" si="31"/>
        <v>1.139419901755323E-2</v>
      </c>
      <c r="I668" s="4"/>
    </row>
    <row r="669" spans="1:9" x14ac:dyDescent="0.2">
      <c r="A669" s="1">
        <f>Acciones!A669</f>
        <v>45967</v>
      </c>
      <c r="B669" s="4">
        <f>Acciones!B669/Acciones!B668</f>
        <v>1.0029761403358357</v>
      </c>
      <c r="C669" s="4">
        <f>Acciones!C669/Acciones!C668</f>
        <v>0.93597278002062656</v>
      </c>
      <c r="D669" s="4">
        <f>Acciones!D669/Acciones!D668</f>
        <v>0.9929604108208091</v>
      </c>
      <c r="E669" s="4">
        <f>Acciones!E669/Acciones!E668</f>
        <v>1.0121457739008759</v>
      </c>
      <c r="F669" s="15">
        <f t="shared" si="30"/>
        <v>27898.563766034287</v>
      </c>
      <c r="G669" s="15">
        <f t="shared" si="32"/>
        <v>-601.43623396571274</v>
      </c>
      <c r="H669" s="4">
        <f t="shared" si="31"/>
        <v>-2.1103025753182902E-2</v>
      </c>
      <c r="I669" s="4"/>
    </row>
    <row r="670" spans="1:9" x14ac:dyDescent="0.2">
      <c r="A670" s="1">
        <f>Acciones!A670</f>
        <v>45968</v>
      </c>
      <c r="B670" s="4">
        <f>Acciones!B670/Acciones!B669</f>
        <v>0.99258165550465305</v>
      </c>
      <c r="C670" s="4">
        <f>Acciones!C670/Acciones!C669</f>
        <v>0.96978603869445357</v>
      </c>
      <c r="D670" s="4">
        <f>Acciones!D670/Acciones!D669</f>
        <v>0.97938316988087581</v>
      </c>
      <c r="E670" s="4">
        <f>Acciones!E670/Acciones!E669</f>
        <v>0.99199998378753595</v>
      </c>
      <c r="F670" s="15">
        <f t="shared" si="30"/>
        <v>27936.8347715038</v>
      </c>
      <c r="G670" s="15">
        <f t="shared" si="32"/>
        <v>-563.16522849620014</v>
      </c>
      <c r="H670" s="4">
        <f t="shared" si="31"/>
        <v>-1.9760183456007052E-2</v>
      </c>
      <c r="I670" s="4"/>
    </row>
    <row r="671" spans="1:9" x14ac:dyDescent="0.2">
      <c r="A671" s="1">
        <f>Acciones!A671</f>
        <v>45971</v>
      </c>
      <c r="B671" s="4">
        <f>Acciones!B671/Acciones!B670</f>
        <v>1.0014947431230226</v>
      </c>
      <c r="C671" s="4">
        <f>Acciones!C671/Acciones!C670</f>
        <v>0.98839842499549946</v>
      </c>
      <c r="D671" s="4">
        <f>Acciones!D671/Acciones!D670</f>
        <v>0.9936394745733993</v>
      </c>
      <c r="E671" s="4">
        <f>Acciones!E671/Acciones!E670</f>
        <v>1.0040322663020211</v>
      </c>
      <c r="F671" s="15">
        <f t="shared" si="30"/>
        <v>28353.588848782932</v>
      </c>
      <c r="G671" s="15">
        <f t="shared" si="32"/>
        <v>-146.41115121706753</v>
      </c>
      <c r="H671" s="4">
        <f t="shared" si="31"/>
        <v>-5.1372333760374422E-3</v>
      </c>
      <c r="I671" s="4"/>
    </row>
    <row r="672" spans="1:9" x14ac:dyDescent="0.2">
      <c r="A672" s="1">
        <f>Acciones!A672</f>
        <v>45972</v>
      </c>
      <c r="B672" s="4">
        <f>Acciones!B672/Acciones!B671</f>
        <v>1.0037313883577588</v>
      </c>
      <c r="C672" s="4">
        <f>Acciones!C672/Acciones!C671</f>
        <v>0.93079308930040705</v>
      </c>
      <c r="D672" s="4">
        <f>Acciones!D672/Acciones!D671</f>
        <v>1.0329434757382356</v>
      </c>
      <c r="E672" s="4">
        <f>Acciones!E672/Acciones!E671</f>
        <v>1</v>
      </c>
      <c r="F672" s="15">
        <f t="shared" si="30"/>
        <v>28185.028964988378</v>
      </c>
      <c r="G672" s="15">
        <f t="shared" si="32"/>
        <v>-314.97103501162201</v>
      </c>
      <c r="H672" s="4">
        <f t="shared" si="31"/>
        <v>-1.1051615263565684E-2</v>
      </c>
      <c r="I672" s="4"/>
    </row>
    <row r="673" spans="1:9" x14ac:dyDescent="0.2">
      <c r="A673" s="1">
        <f>Acciones!A673</f>
        <v>45973</v>
      </c>
      <c r="B673" s="4">
        <f>Acciones!B673/Acciones!B672</f>
        <v>0.9821561483161283</v>
      </c>
      <c r="C673" s="4">
        <f>Acciones!C673/Acciones!C672</f>
        <v>0.98495738227595964</v>
      </c>
      <c r="D673" s="4">
        <f>Acciones!D673/Acciones!D672</f>
        <v>1.0166811596895964</v>
      </c>
      <c r="E673" s="4">
        <f>Acciones!E673/Acciones!E672</f>
        <v>1</v>
      </c>
      <c r="F673" s="15">
        <f t="shared" si="30"/>
        <v>28461.453247624027</v>
      </c>
      <c r="G673" s="15">
        <f t="shared" si="32"/>
        <v>-38.546752375972574</v>
      </c>
      <c r="H673" s="4">
        <f t="shared" si="31"/>
        <v>-1.3525176272271011E-3</v>
      </c>
      <c r="I673" s="4"/>
    </row>
    <row r="674" spans="1:9" x14ac:dyDescent="0.2">
      <c r="A674" s="1">
        <f>Acciones!A674</f>
        <v>45974</v>
      </c>
      <c r="B674" s="4">
        <f>Acciones!B674/Acciones!B673</f>
        <v>1.0083269937849313</v>
      </c>
      <c r="C674" s="4">
        <f>Acciones!C674/Acciones!C673</f>
        <v>0.89058581065954034</v>
      </c>
      <c r="D674" s="4">
        <f>Acciones!D674/Acciones!D673</f>
        <v>1.0308849682970047</v>
      </c>
      <c r="E674" s="4">
        <f>Acciones!E674/Acciones!E673</f>
        <v>0.98795184255851698</v>
      </c>
      <c r="F674" s="15">
        <f t="shared" si="30"/>
        <v>27732.294496554787</v>
      </c>
      <c r="G674" s="15">
        <f t="shared" si="32"/>
        <v>-767.70550344521325</v>
      </c>
      <c r="H674" s="4">
        <f t="shared" si="31"/>
        <v>-2.6937035208604021E-2</v>
      </c>
      <c r="I674" s="4"/>
    </row>
    <row r="675" spans="1:9" x14ac:dyDescent="0.2">
      <c r="A675" s="1">
        <f>Acciones!A675</f>
        <v>45975</v>
      </c>
      <c r="B675" s="4">
        <f>Acciones!B675/Acciones!B674</f>
        <v>0.99174177242476214</v>
      </c>
      <c r="C675" s="4">
        <f>Acciones!C675/Acciones!C674</f>
        <v>0.94258172698483911</v>
      </c>
      <c r="D675" s="4">
        <f>Acciones!D675/Acciones!D674</f>
        <v>0.96583457016003127</v>
      </c>
      <c r="E675" s="4">
        <f>Acciones!E675/Acciones!E674</f>
        <v>1.0162601345308315</v>
      </c>
      <c r="F675" s="15">
        <f t="shared" si="30"/>
        <v>27673.399051362525</v>
      </c>
      <c r="G675" s="15">
        <f t="shared" si="32"/>
        <v>-826.60094863747508</v>
      </c>
      <c r="H675" s="4">
        <f t="shared" si="31"/>
        <v>-2.9003542057455256E-2</v>
      </c>
      <c r="I675" s="4"/>
    </row>
    <row r="676" spans="1:9" x14ac:dyDescent="0.2">
      <c r="A676" s="1">
        <f>Acciones!A676</f>
        <v>45979</v>
      </c>
      <c r="B676" s="4">
        <f>Acciones!B676/Acciones!B675</f>
        <v>0.99772899506427137</v>
      </c>
      <c r="C676" s="4">
        <f>Acciones!C676/Acciones!C675</f>
        <v>0.99420703295079293</v>
      </c>
      <c r="D676" s="4">
        <f>Acciones!D676/Acciones!D675</f>
        <v>0.97506828185883521</v>
      </c>
      <c r="E676" s="4">
        <f>Acciones!E676/Acciones!E675</f>
        <v>0.980000019073484</v>
      </c>
      <c r="F676" s="15">
        <f t="shared" si="30"/>
        <v>28077.701219249997</v>
      </c>
      <c r="G676" s="15">
        <f t="shared" si="32"/>
        <v>-422.29878075000306</v>
      </c>
      <c r="H676" s="4">
        <f t="shared" si="31"/>
        <v>-1.4817501078947526E-2</v>
      </c>
      <c r="I676" s="4"/>
    </row>
    <row r="677" spans="1:9" x14ac:dyDescent="0.2">
      <c r="A677" s="1">
        <f>Acciones!A677</f>
        <v>45980</v>
      </c>
      <c r="B677" s="4">
        <f>Acciones!B677/Acciones!B676</f>
        <v>1.0007586759766427</v>
      </c>
      <c r="C677" s="4">
        <f>Acciones!C677/Acciones!C676</f>
        <v>0.93180992249190608</v>
      </c>
      <c r="D677" s="4">
        <f>Acciones!D677/Acciones!D676</f>
        <v>1.0094832995558445</v>
      </c>
      <c r="E677" s="4">
        <f>Acciones!E677/Acciones!E676</f>
        <v>1.0204081434053689</v>
      </c>
      <c r="F677" s="15">
        <f t="shared" si="30"/>
        <v>28061.927413879333</v>
      </c>
      <c r="G677" s="15">
        <f t="shared" si="32"/>
        <v>-438.07258612066653</v>
      </c>
      <c r="H677" s="4">
        <f t="shared" si="31"/>
        <v>-1.5370967934058455E-2</v>
      </c>
      <c r="I677" s="4"/>
    </row>
    <row r="678" spans="1:9" x14ac:dyDescent="0.2">
      <c r="A678" s="1">
        <f>Acciones!A678</f>
        <v>45981</v>
      </c>
      <c r="B678" s="4">
        <f>Acciones!B678/Acciones!B677</f>
        <v>1.0045488971378844</v>
      </c>
      <c r="C678" s="4">
        <f>Acciones!C678/Acciones!C677</f>
        <v>0.93336590330727842</v>
      </c>
      <c r="D678" s="4">
        <f>Acciones!D678/Acciones!D677</f>
        <v>0.98887082540715732</v>
      </c>
      <c r="E678" s="4">
        <f>Acciones!E678/Acciones!E677</f>
        <v>0.99599999189376798</v>
      </c>
      <c r="F678" s="15">
        <f t="shared" si="30"/>
        <v>27749.605430889038</v>
      </c>
      <c r="G678" s="15">
        <f t="shared" si="32"/>
        <v>-750.39456911096204</v>
      </c>
      <c r="H678" s="4">
        <f t="shared" si="31"/>
        <v>-2.6329634003893432E-2</v>
      </c>
      <c r="I678" s="4"/>
    </row>
    <row r="679" spans="1:9" x14ac:dyDescent="0.2">
      <c r="A679" s="1">
        <f>Acciones!A679</f>
        <v>45982</v>
      </c>
      <c r="B679" s="4">
        <f>Acciones!B679/Acciones!B678</f>
        <v>0.97207554183672717</v>
      </c>
      <c r="C679" s="4">
        <f>Acciones!C679/Acciones!C678</f>
        <v>0.97534810261036675</v>
      </c>
      <c r="D679" s="4">
        <f>Acciones!D679/Acciones!D678</f>
        <v>1.0263070505004221</v>
      </c>
      <c r="E679" s="4">
        <f>Acciones!E679/Acciones!E678</f>
        <v>1.0080320850129778</v>
      </c>
      <c r="F679" s="15">
        <f t="shared" si="30"/>
        <v>28475.318343802632</v>
      </c>
      <c r="G679" s="15">
        <f t="shared" si="32"/>
        <v>-24.681656197368284</v>
      </c>
      <c r="H679" s="4">
        <f t="shared" si="31"/>
        <v>-8.6602302446903145E-4</v>
      </c>
      <c r="I679" s="4"/>
    </row>
    <row r="680" spans="1:9" x14ac:dyDescent="0.2">
      <c r="A680" s="1">
        <f>Acciones!A680</f>
        <v>45985</v>
      </c>
      <c r="B680" s="4">
        <f>Acciones!B680/Acciones!B679</f>
        <v>1.0263975180834723</v>
      </c>
      <c r="C680" s="4">
        <f>Acciones!C680/Acciones!C679</f>
        <v>1.1118325498004795</v>
      </c>
      <c r="D680" s="4">
        <f>Acciones!D680/Acciones!D679</f>
        <v>0.98248708439310006</v>
      </c>
      <c r="E680" s="4">
        <f>Acciones!E680/Acciones!E679</f>
        <v>0.9960159873438702</v>
      </c>
      <c r="F680" s="15">
        <f t="shared" si="30"/>
        <v>29457.759310718997</v>
      </c>
      <c r="G680" s="15">
        <f t="shared" si="32"/>
        <v>957.75931071899686</v>
      </c>
      <c r="H680" s="4">
        <f t="shared" si="31"/>
        <v>3.3605589849789341E-2</v>
      </c>
      <c r="I680" s="4"/>
    </row>
    <row r="681" spans="1:9" x14ac:dyDescent="0.2">
      <c r="A681" s="1">
        <f>Acciones!A681</f>
        <v>45986</v>
      </c>
      <c r="B681" s="4">
        <f>Acciones!B681/Acciones!B680</f>
        <v>0.98184563090457688</v>
      </c>
      <c r="C681" s="4">
        <f>Acciones!C681/Acciones!C680</f>
        <v>0.98692018590697494</v>
      </c>
      <c r="D681" s="4">
        <f>Acciones!D681/Acciones!D680</f>
        <v>1.0213223853483417</v>
      </c>
      <c r="E681" s="4">
        <f>Acciones!E681/Acciones!E680</f>
        <v>1.03600001335144</v>
      </c>
      <c r="F681" s="15">
        <f t="shared" si="30"/>
        <v>28723.425401198616</v>
      </c>
      <c r="G681" s="15">
        <f t="shared" si="32"/>
        <v>223.42540119861587</v>
      </c>
      <c r="H681" s="4">
        <f t="shared" si="31"/>
        <v>7.8394877613550129E-3</v>
      </c>
      <c r="I681" s="4"/>
    </row>
    <row r="682" spans="1:9" x14ac:dyDescent="0.2">
      <c r="A682" s="1">
        <f>Acciones!A682</f>
        <v>45987</v>
      </c>
      <c r="B682" s="4">
        <f>Acciones!B682/Acciones!B681</f>
        <v>0.99383662719574417</v>
      </c>
      <c r="C682" s="4">
        <f>Acciones!C682/Acciones!C681</f>
        <v>1.0028364722377383</v>
      </c>
      <c r="D682" s="4">
        <f>Acciones!D682/Acciones!D681</f>
        <v>1.0093524051739806</v>
      </c>
      <c r="E682" s="4">
        <f>Acciones!E682/Acciones!E681</f>
        <v>0.9768339301852399</v>
      </c>
      <c r="F682" s="15">
        <f t="shared" si="30"/>
        <v>28471.485349202245</v>
      </c>
      <c r="G682" s="15">
        <f t="shared" si="32"/>
        <v>-28.514650797755166</v>
      </c>
      <c r="H682" s="4">
        <f t="shared" si="31"/>
        <v>-1.0005140630791054E-3</v>
      </c>
      <c r="I682" s="4"/>
    </row>
    <row r="683" spans="1:9" x14ac:dyDescent="0.2">
      <c r="A683" s="1">
        <f>Acciones!A683</f>
        <v>45988</v>
      </c>
      <c r="B683" s="4">
        <f>Acciones!B683/Acciones!B682</f>
        <v>1.0069768136660675</v>
      </c>
      <c r="C683" s="4">
        <f>Acciones!C683/Acciones!C682</f>
        <v>1.0335511799703749</v>
      </c>
      <c r="D683" s="4">
        <f>Acciones!D683/Acciones!D682</f>
        <v>0.99434597720701223</v>
      </c>
      <c r="E683" s="4">
        <f>Acciones!E683/Acciones!E682</f>
        <v>0.99209484536422432</v>
      </c>
      <c r="F683" s="15">
        <f t="shared" si="30"/>
        <v>28743.13647912315</v>
      </c>
      <c r="G683" s="15">
        <f t="shared" si="32"/>
        <v>243.13647912314991</v>
      </c>
      <c r="H683" s="4">
        <f t="shared" si="31"/>
        <v>8.5311045306368793E-3</v>
      </c>
      <c r="I683" s="4"/>
    </row>
    <row r="684" spans="1:9" x14ac:dyDescent="0.2">
      <c r="A684" s="1">
        <f>Acciones!A684</f>
        <v>45989</v>
      </c>
      <c r="B684" s="4">
        <f>Acciones!B684/Acciones!B683</f>
        <v>0.99307152501290741</v>
      </c>
      <c r="C684" s="4">
        <f>Acciones!C684/Acciones!C683</f>
        <v>1.0194394407366587</v>
      </c>
      <c r="D684" s="4">
        <f>Acciones!D684/Acciones!D683</f>
        <v>1.0014682488338567</v>
      </c>
      <c r="E684" s="4">
        <f>Acciones!E684/Acciones!E683</f>
        <v>0.97609568659448775</v>
      </c>
      <c r="F684" s="15">
        <f t="shared" si="30"/>
        <v>28543.633789151685</v>
      </c>
      <c r="G684" s="15">
        <f t="shared" si="32"/>
        <v>43.63378915168505</v>
      </c>
      <c r="H684" s="4">
        <f t="shared" si="31"/>
        <v>1.5310101456731395E-3</v>
      </c>
      <c r="I684" s="4"/>
    </row>
    <row r="685" spans="1:9" x14ac:dyDescent="0.2">
      <c r="A685" s="1">
        <f>Acciones!A685</f>
        <v>45992</v>
      </c>
      <c r="B685" s="4">
        <f>Acciones!B685/Acciones!B684</f>
        <v>1.0007752181164504</v>
      </c>
      <c r="C685" s="4">
        <f>Acciones!C685/Acciones!C684</f>
        <v>0.97051747112299425</v>
      </c>
      <c r="D685" s="4">
        <f>Acciones!D685/Acciones!D684</f>
        <v>1.0172853802605619</v>
      </c>
      <c r="E685" s="4">
        <f>Acciones!E685/Acciones!E684</f>
        <v>1.0163265025600823</v>
      </c>
      <c r="F685" s="15">
        <f t="shared" si="30"/>
        <v>28485.278805762093</v>
      </c>
      <c r="G685" s="15">
        <f t="shared" si="32"/>
        <v>-14.721194237907184</v>
      </c>
      <c r="H685" s="4">
        <f t="shared" si="31"/>
        <v>-5.165331311546284E-4</v>
      </c>
      <c r="I685" s="4"/>
    </row>
    <row r="686" spans="1:9" x14ac:dyDescent="0.2">
      <c r="A686" s="1">
        <f>Acciones!A686</f>
        <v>45993</v>
      </c>
      <c r="B686" s="4">
        <f>Acciones!B686/Acciones!B685</f>
        <v>1.0023237782233767</v>
      </c>
      <c r="C686" s="4">
        <f>Acciones!C686/Acciones!C685</f>
        <v>1.0454956992467908</v>
      </c>
      <c r="D686" s="4">
        <f>Acciones!D686/Acciones!D685</f>
        <v>0.97250839732860372</v>
      </c>
      <c r="E686" s="4">
        <f>Acciones!E686/Acciones!E685</f>
        <v>0.99598392757149878</v>
      </c>
      <c r="F686" s="15">
        <f t="shared" si="30"/>
        <v>28643.337941555612</v>
      </c>
      <c r="G686" s="15">
        <f t="shared" si="32"/>
        <v>143.33794155561191</v>
      </c>
      <c r="H686" s="4">
        <f t="shared" si="31"/>
        <v>5.0294014580916091E-3</v>
      </c>
      <c r="I686" s="4"/>
    </row>
    <row r="687" spans="1:9" x14ac:dyDescent="0.2">
      <c r="A687" s="1">
        <f>Acciones!A687</f>
        <v>45994</v>
      </c>
      <c r="B687" s="4">
        <f>Acciones!B687/Acciones!B686</f>
        <v>0.9899536895183555</v>
      </c>
      <c r="C687" s="4">
        <f>Acciones!C687/Acciones!C686</f>
        <v>1.0415545353641888</v>
      </c>
      <c r="D687" s="4">
        <f>Acciones!D687/Acciones!D686</f>
        <v>1.0282687560816064</v>
      </c>
      <c r="E687" s="4">
        <f>Acciones!E687/Acciones!E686</f>
        <v>1.024193597812123</v>
      </c>
      <c r="F687" s="15">
        <f t="shared" si="30"/>
        <v>29275.35834805678</v>
      </c>
      <c r="G687" s="15">
        <f t="shared" si="32"/>
        <v>775.3583480567795</v>
      </c>
      <c r="H687" s="4">
        <f t="shared" si="31"/>
        <v>2.7205556072167791E-2</v>
      </c>
      <c r="I687" s="4"/>
    </row>
    <row r="688" spans="1:9" x14ac:dyDescent="0.2">
      <c r="A688" s="1">
        <f>Acciones!A688</f>
        <v>45995</v>
      </c>
      <c r="B688" s="4">
        <f>Acciones!B688/Acciones!B687</f>
        <v>1.0140515106223897</v>
      </c>
      <c r="C688" s="4">
        <f>Acciones!C688/Acciones!C687</f>
        <v>1.0003941330442951</v>
      </c>
      <c r="D688" s="4">
        <f>Acciones!D688/Acciones!D687</f>
        <v>0.9983333056873841</v>
      </c>
      <c r="E688" s="4">
        <f>Acciones!E688/Acciones!E687</f>
        <v>0.99212596854611301</v>
      </c>
      <c r="F688" s="15">
        <f t="shared" si="30"/>
        <v>28492.950434976628</v>
      </c>
      <c r="G688" s="15">
        <f t="shared" si="32"/>
        <v>-7.0495650233715423</v>
      </c>
      <c r="H688" s="4">
        <f t="shared" si="31"/>
        <v>-2.4735315871482477E-4</v>
      </c>
      <c r="I688" s="4"/>
    </row>
    <row r="689" spans="1:9" x14ac:dyDescent="0.2">
      <c r="A689" s="1">
        <f>Acciones!A689</f>
        <v>45996</v>
      </c>
      <c r="B689" s="4">
        <f>Acciones!B689/Acciones!B688</f>
        <v>0.99769053306213917</v>
      </c>
      <c r="C689" s="4">
        <f>Acciones!C689/Acciones!C688</f>
        <v>0.93402796240150743</v>
      </c>
      <c r="D689" s="4">
        <f>Acciones!D689/Acciones!D688</f>
        <v>0.99833062511397719</v>
      </c>
      <c r="E689" s="4">
        <f>Acciones!E689/Acciones!E688</f>
        <v>1.0039682028147359</v>
      </c>
      <c r="F689" s="15">
        <f t="shared" si="30"/>
        <v>27870.313875152624</v>
      </c>
      <c r="G689" s="15">
        <f t="shared" si="32"/>
        <v>-629.68612484737605</v>
      </c>
      <c r="H689" s="4">
        <f t="shared" si="31"/>
        <v>-2.2094249994644821E-2</v>
      </c>
      <c r="I689" s="4"/>
    </row>
    <row r="690" spans="1:9" x14ac:dyDescent="0.2">
      <c r="A690" s="1">
        <f>Acciones!A690</f>
        <v>45999</v>
      </c>
      <c r="B690" s="4">
        <f>Acciones!B690/Acciones!B689</f>
        <v>0.96759254475006851</v>
      </c>
      <c r="C690" s="4">
        <f>Acciones!C690/Acciones!C689</f>
        <v>1.025075019161096</v>
      </c>
      <c r="D690" s="4">
        <f>Acciones!D690/Acciones!D689</f>
        <v>0.96989967818684952</v>
      </c>
      <c r="E690" s="4">
        <f>Acciones!E690/Acciones!E689</f>
        <v>1.0039526362157594</v>
      </c>
      <c r="F690" s="15">
        <f t="shared" si="30"/>
        <v>28345.522869710825</v>
      </c>
      <c r="G690" s="15">
        <f t="shared" si="32"/>
        <v>-154.47713028917497</v>
      </c>
      <c r="H690" s="4">
        <f t="shared" si="31"/>
        <v>-5.4202501855851182E-3</v>
      </c>
      <c r="I690" s="4"/>
    </row>
    <row r="691" spans="1:9" x14ac:dyDescent="0.2">
      <c r="A691" s="1">
        <f>Acciones!A691</f>
        <v>46000</v>
      </c>
      <c r="B691" s="4">
        <f>Acciones!B691/Acciones!B690</f>
        <v>0.97607657340556064</v>
      </c>
      <c r="C691" s="4">
        <f>Acciones!C691/Acciones!C690</f>
        <v>1.0178318036521588</v>
      </c>
      <c r="D691" s="4">
        <f>Acciones!D691/Acciones!D690</f>
        <v>0.99396541750399081</v>
      </c>
      <c r="E691" s="4">
        <f>Acciones!E691/Acciones!E690</f>
        <v>1.0157479455758012</v>
      </c>
      <c r="F691" s="15">
        <f t="shared" si="30"/>
        <v>28611.938017321787</v>
      </c>
      <c r="G691" s="15">
        <f t="shared" si="32"/>
        <v>111.9380173217869</v>
      </c>
      <c r="H691" s="4">
        <f t="shared" si="31"/>
        <v>3.9276497305891223E-3</v>
      </c>
      <c r="I691" s="4"/>
    </row>
    <row r="692" spans="1:9" x14ac:dyDescent="0.2">
      <c r="A692" s="1">
        <f>Acciones!A692</f>
        <v>46001</v>
      </c>
      <c r="B692" s="4">
        <f>Acciones!B692/Acciones!B691</f>
        <v>1.0253268036882417</v>
      </c>
      <c r="C692" s="4">
        <f>Acciones!C692/Acciones!C691</f>
        <v>0.97794347222206202</v>
      </c>
      <c r="D692" s="4">
        <f>Acciones!D692/Acciones!D691</f>
        <v>1.0408153776414546</v>
      </c>
      <c r="E692" s="4">
        <f>Acciones!E692/Acciones!E691</f>
        <v>0.96899229910259199</v>
      </c>
      <c r="F692" s="15">
        <f t="shared" si="30"/>
        <v>28616.718220497238</v>
      </c>
      <c r="G692" s="15">
        <f t="shared" si="32"/>
        <v>116.71822049723778</v>
      </c>
      <c r="H692" s="4">
        <f t="shared" si="31"/>
        <v>4.0953761577977588E-3</v>
      </c>
      <c r="I692" s="4"/>
    </row>
    <row r="693" spans="1:9" x14ac:dyDescent="0.2">
      <c r="A693" s="1">
        <f>Acciones!A693</f>
        <v>46002</v>
      </c>
      <c r="B693" s="4">
        <f>Acciones!B693/Acciones!B692</f>
        <v>0.98007967148698194</v>
      </c>
      <c r="C693" s="4">
        <f>Acciones!C693/Acciones!C692</f>
        <v>0.97450618681874634</v>
      </c>
      <c r="D693" s="4">
        <f>Acciones!D693/Acciones!D692</f>
        <v>1.0174490433574199</v>
      </c>
      <c r="E693" s="4">
        <f>Acciones!E693/Acciones!E692</f>
        <v>0.95200002193450795</v>
      </c>
      <c r="F693" s="15">
        <f t="shared" si="30"/>
        <v>28098.57817919652</v>
      </c>
      <c r="G693" s="15">
        <f t="shared" si="32"/>
        <v>-401.42182080347993</v>
      </c>
      <c r="H693" s="4">
        <f t="shared" si="31"/>
        <v>-1.4084976168543206E-2</v>
      </c>
      <c r="I693" s="4"/>
    </row>
    <row r="694" spans="1:9" x14ac:dyDescent="0.2">
      <c r="A694" s="1">
        <f>Acciones!A694</f>
        <v>46006</v>
      </c>
      <c r="B694" s="4">
        <f>Acciones!B694/Acciones!B693</f>
        <v>1.0040650896890682</v>
      </c>
      <c r="C694" s="4">
        <f>Acciones!C694/Acciones!C693</f>
        <v>0.90704689234954616</v>
      </c>
      <c r="D694" s="4">
        <f>Acciones!D694/Acciones!D693</f>
        <v>1.00081901441632</v>
      </c>
      <c r="E694" s="4">
        <f>Acciones!E694/Acciones!E693</f>
        <v>0.99159662181918073</v>
      </c>
      <c r="F694" s="15">
        <f t="shared" si="30"/>
        <v>27593.144855401122</v>
      </c>
      <c r="G694" s="15">
        <f t="shared" si="32"/>
        <v>-906.85514459887781</v>
      </c>
      <c r="H694" s="4">
        <f t="shared" si="31"/>
        <v>-3.1819478757855402E-2</v>
      </c>
      <c r="I694" s="4"/>
    </row>
    <row r="695" spans="1:9" x14ac:dyDescent="0.2">
      <c r="A695" s="1">
        <f>Acciones!A695</f>
        <v>46007</v>
      </c>
      <c r="B695" s="4">
        <f>Acciones!B695/Acciones!B694</f>
        <v>1.0048582955521339</v>
      </c>
      <c r="C695" s="4">
        <f>Acciones!C695/Acciones!C694</f>
        <v>0.99771352076410302</v>
      </c>
      <c r="D695" s="4">
        <f>Acciones!D695/Acciones!D694</f>
        <v>0.98772503715475835</v>
      </c>
      <c r="E695" s="4">
        <f>Acciones!E695/Acciones!E694</f>
        <v>0.9110169587841449</v>
      </c>
      <c r="F695" s="15">
        <f t="shared" si="30"/>
        <v>27883.126126551826</v>
      </c>
      <c r="G695" s="15">
        <f t="shared" si="32"/>
        <v>-616.87387344817398</v>
      </c>
      <c r="H695" s="4">
        <f t="shared" si="31"/>
        <v>-2.1644697313971006E-2</v>
      </c>
      <c r="I695" s="4"/>
    </row>
    <row r="696" spans="1:9" x14ac:dyDescent="0.2">
      <c r="A696" s="1">
        <f>Acciones!A696</f>
        <v>46008</v>
      </c>
      <c r="B696" s="4">
        <f>Acciones!B696/Acciones!B695</f>
        <v>0.96776792990275762</v>
      </c>
      <c r="C696" s="4">
        <f>Acciones!C696/Acciones!C695</f>
        <v>0.93879889752689039</v>
      </c>
      <c r="D696" s="4">
        <f>Acciones!D696/Acciones!D695</f>
        <v>0.98154929618789799</v>
      </c>
      <c r="E696" s="4">
        <f>Acciones!E696/Acciones!E695</f>
        <v>0.86046511305545381</v>
      </c>
      <c r="F696" s="15">
        <f t="shared" si="30"/>
        <v>26853.828364849087</v>
      </c>
      <c r="G696" s="15">
        <f t="shared" si="32"/>
        <v>-1646.1716351509131</v>
      </c>
      <c r="H696" s="4">
        <f t="shared" si="31"/>
        <v>-5.7760408250909223E-2</v>
      </c>
      <c r="I696" s="4"/>
    </row>
    <row r="697" spans="1:9" x14ac:dyDescent="0.2">
      <c r="A697" s="1">
        <f>Acciones!A697</f>
        <v>46009</v>
      </c>
      <c r="B697" s="4">
        <f>Acciones!B697/Acciones!B696</f>
        <v>1.0191506651255773</v>
      </c>
      <c r="C697" s="4">
        <f>Acciones!C697/Acciones!C696</f>
        <v>0.97364625024836593</v>
      </c>
      <c r="D697" s="4">
        <f>Acciones!D697/Acciones!D696</f>
        <v>1.0060182899859869</v>
      </c>
      <c r="E697" s="4">
        <f>Acciones!E697/Acciones!E696</f>
        <v>0.89189191583824146</v>
      </c>
      <c r="F697" s="15">
        <f t="shared" si="30"/>
        <v>27782.255142269194</v>
      </c>
      <c r="G697" s="15">
        <f t="shared" si="32"/>
        <v>-717.74485773080596</v>
      </c>
      <c r="H697" s="4">
        <f t="shared" si="31"/>
        <v>-2.5184030095817711E-2</v>
      </c>
      <c r="I697" s="4"/>
    </row>
    <row r="698" spans="1:9" x14ac:dyDescent="0.2">
      <c r="A698" s="1">
        <f>Acciones!A698</f>
        <v>46010</v>
      </c>
      <c r="B698" s="4">
        <f>Acciones!B698/Acciones!B697</f>
        <v>1.023524544184601</v>
      </c>
      <c r="C698" s="4">
        <f>Acciones!C698/Acciones!C697</f>
        <v>1.0328793027127448</v>
      </c>
      <c r="D698" s="4">
        <f>Acciones!D698/Acciones!D697</f>
        <v>0.88312383836851494</v>
      </c>
      <c r="E698" s="4">
        <f>Acciones!E698/Acciones!E697</f>
        <v>0.87878781858116894</v>
      </c>
      <c r="F698" s="15">
        <f t="shared" si="30"/>
        <v>27059.26066629876</v>
      </c>
      <c r="G698" s="15">
        <f t="shared" si="32"/>
        <v>-1440.73933370124</v>
      </c>
      <c r="H698" s="4">
        <f t="shared" si="31"/>
        <v>-5.0552257322850513E-2</v>
      </c>
      <c r="I698" s="4"/>
    </row>
    <row r="699" spans="1:9" x14ac:dyDescent="0.2">
      <c r="A699" s="1">
        <f>Acciones!A699</f>
        <v>46013</v>
      </c>
      <c r="B699" s="4">
        <f>Acciones!B699/Acciones!B698</f>
        <v>0.96854843535111113</v>
      </c>
      <c r="C699" s="4">
        <f>Acciones!C699/Acciones!C698</f>
        <v>0.9939314196289214</v>
      </c>
      <c r="D699" s="4">
        <f>Acciones!D699/Acciones!D698</f>
        <v>0.97896562249870311</v>
      </c>
      <c r="E699" s="4">
        <f>Acciones!E699/Acciones!E698</f>
        <v>0.841379344009758</v>
      </c>
      <c r="F699" s="15">
        <f t="shared" si="30"/>
        <v>27249.510627244341</v>
      </c>
      <c r="G699" s="15">
        <f t="shared" si="32"/>
        <v>-1250.4893727556591</v>
      </c>
      <c r="H699" s="4">
        <f t="shared" si="31"/>
        <v>-4.3876820096689806E-2</v>
      </c>
      <c r="I699" s="4"/>
    </row>
    <row r="700" spans="1:9" x14ac:dyDescent="0.2">
      <c r="A700" s="1">
        <f>Acciones!A700</f>
        <v>46014</v>
      </c>
      <c r="B700" s="4">
        <f>Acciones!B700/Acciones!B699</f>
        <v>1.0166527731435122</v>
      </c>
      <c r="C700" s="4">
        <f>Acciones!C700/Acciones!C699</f>
        <v>0.98246001555353202</v>
      </c>
      <c r="D700" s="4">
        <f>Acciones!D700/Acciones!D699</f>
        <v>0.99619564895348289</v>
      </c>
      <c r="E700" s="4">
        <f>Acciones!E700/Acciones!E699</f>
        <v>0.84426228657217017</v>
      </c>
      <c r="F700" s="15">
        <f t="shared" si="30"/>
        <v>27497.053919442613</v>
      </c>
      <c r="G700" s="15">
        <f t="shared" si="32"/>
        <v>-1002.9460805573872</v>
      </c>
      <c r="H700" s="4">
        <f t="shared" si="31"/>
        <v>-3.5191090545873216E-2</v>
      </c>
      <c r="I700" s="4"/>
    </row>
    <row r="701" spans="1:9" x14ac:dyDescent="0.2">
      <c r="A701" s="1">
        <f>Acciones!A701</f>
        <v>46015</v>
      </c>
      <c r="B701" s="4">
        <f>Acciones!B701/Acciones!B700</f>
        <v>0.99754301942035428</v>
      </c>
      <c r="C701" s="4">
        <f>Acciones!C701/Acciones!C700</f>
        <v>1.0056497175141244</v>
      </c>
      <c r="D701" s="4">
        <f>Acciones!D701/Acciones!D700</f>
        <v>1.0498880008717719</v>
      </c>
      <c r="E701" s="4">
        <f>Acciones!E701/Acciones!E700</f>
        <v>0.84466016889236717</v>
      </c>
      <c r="F701" s="15">
        <f t="shared" si="30"/>
        <v>28189.583821981159</v>
      </c>
      <c r="G701" s="15">
        <f t="shared" si="32"/>
        <v>-310.41617801884058</v>
      </c>
      <c r="H701" s="4">
        <f t="shared" si="31"/>
        <v>-1.0891795719959352E-2</v>
      </c>
      <c r="I701" s="4"/>
    </row>
    <row r="702" spans="1:9" x14ac:dyDescent="0.2">
      <c r="A702" s="1">
        <f>Acciones!A702</f>
        <v>46017</v>
      </c>
      <c r="B702" s="4">
        <f>Acciones!B702/Acciones!B701</f>
        <v>0.99096875142895047</v>
      </c>
      <c r="C702" s="4">
        <f>Acciones!C702/Acciones!C701</f>
        <v>0.96589883525719655</v>
      </c>
      <c r="D702" s="4">
        <f>Acciones!D702/Acciones!D701</f>
        <v>1.0067643631813843</v>
      </c>
      <c r="E702" s="4">
        <f>Acciones!E702/Acciones!E701</f>
        <v>0.85057474808044775</v>
      </c>
      <c r="F702" s="15">
        <f t="shared" si="30"/>
        <v>27390.234311200998</v>
      </c>
      <c r="G702" s="15">
        <f t="shared" si="32"/>
        <v>-1109.7656887990015</v>
      </c>
      <c r="H702" s="4">
        <f t="shared" si="31"/>
        <v>-3.8939146975403571E-2</v>
      </c>
      <c r="I702" s="4"/>
    </row>
    <row r="703" spans="1:9" x14ac:dyDescent="0.2">
      <c r="A703" s="1">
        <f>Acciones!A703</f>
        <v>46020</v>
      </c>
      <c r="B703" s="4">
        <f>Acciones!B703/Acciones!B702</f>
        <v>0.9900580042590591</v>
      </c>
      <c r="C703" s="4">
        <f>Acciones!C703/Acciones!C702</f>
        <v>0.989530693481949</v>
      </c>
      <c r="D703" s="4">
        <f>Acciones!D703/Acciones!D702</f>
        <v>1.0138248884232786</v>
      </c>
      <c r="E703" s="4">
        <f>Acciones!E703/Acciones!E702</f>
        <v>0.86486489479780237</v>
      </c>
      <c r="F703" s="15">
        <f t="shared" si="30"/>
        <v>27760.750408605923</v>
      </c>
      <c r="G703" s="15">
        <f t="shared" si="32"/>
        <v>-739.24959139407656</v>
      </c>
      <c r="H703" s="4">
        <f t="shared" si="31"/>
        <v>-2.5938582154178103E-2</v>
      </c>
      <c r="I703" s="4"/>
    </row>
    <row r="704" spans="1:9" x14ac:dyDescent="0.2">
      <c r="A704" s="1">
        <f>Acciones!A704</f>
        <v>46021</v>
      </c>
      <c r="B704" s="4">
        <f>Acciones!B704/Acciones!B703</f>
        <v>0.9991631607496726</v>
      </c>
      <c r="C704" s="4">
        <f>Acciones!C704/Acciones!C703</f>
        <v>0.98730380532465856</v>
      </c>
      <c r="D704" s="4">
        <f>Acciones!D704/Acciones!D703</f>
        <v>1.0008181842504351</v>
      </c>
      <c r="E704" s="4">
        <f>Acciones!E704/Acciones!E703</f>
        <v>0.84374998181010707</v>
      </c>
      <c r="F704" s="15">
        <f t="shared" si="30"/>
        <v>27525.263955668051</v>
      </c>
      <c r="G704" s="15">
        <f t="shared" si="32"/>
        <v>-974.73604433194851</v>
      </c>
      <c r="H704" s="4">
        <f t="shared" si="31"/>
        <v>-3.420126471340168E-2</v>
      </c>
      <c r="I704" s="4"/>
    </row>
    <row r="705" spans="1:9" x14ac:dyDescent="0.2">
      <c r="A705" s="1">
        <f>Acciones!A705</f>
        <v>46022</v>
      </c>
      <c r="B705" s="4">
        <f>Acciones!B705/Acciones!B704</f>
        <v>0.97654943527542304</v>
      </c>
      <c r="C705" s="4">
        <f>Acciones!C705/Acciones!C704</f>
        <v>0.96457702622490871</v>
      </c>
      <c r="D705" s="4">
        <f>Acciones!D705/Acciones!D704</f>
        <v>1.0482149934537763</v>
      </c>
      <c r="E705" s="4">
        <f>Acciones!E705/Acciones!E704</f>
        <v>0.98148144443298546</v>
      </c>
      <c r="F705" s="15">
        <f t="shared" si="30"/>
        <v>28461.702651519798</v>
      </c>
      <c r="G705" s="15">
        <f t="shared" si="32"/>
        <v>-38.297348480202345</v>
      </c>
      <c r="H705" s="4">
        <f t="shared" si="31"/>
        <v>-1.343766613340458E-3</v>
      </c>
      <c r="I705" s="4"/>
    </row>
    <row r="706" spans="1:9" x14ac:dyDescent="0.2">
      <c r="A706" s="1">
        <f>Acciones!A706</f>
        <v>46024</v>
      </c>
      <c r="B706" s="4">
        <f>Acciones!B706/Acciones!B705</f>
        <v>1.0008576525739852</v>
      </c>
      <c r="C706" s="4">
        <f>Acciones!C706/Acciones!C705</f>
        <v>1.0927663151645266</v>
      </c>
      <c r="D706" s="4">
        <f>Acciones!D706/Acciones!D705</f>
        <v>0.98540707539906991</v>
      </c>
      <c r="E706" s="4">
        <f>Acciones!E706/Acciones!E705</f>
        <v>1.7169811174872938</v>
      </c>
      <c r="F706" s="15">
        <f t="shared" si="30"/>
        <v>33181.748678242766</v>
      </c>
      <c r="G706" s="15">
        <f t="shared" si="32"/>
        <v>4681.7486782427659</v>
      </c>
      <c r="H706" s="4">
        <f t="shared" si="31"/>
        <v>0.16427188344711463</v>
      </c>
      <c r="I706" s="4"/>
    </row>
    <row r="707" spans="1:9" x14ac:dyDescent="0.2">
      <c r="A707" s="1">
        <f>Acciones!A707</f>
        <v>46027</v>
      </c>
      <c r="B707" s="4">
        <f>Acciones!B707/Acciones!B706</f>
        <v>0.97943446704805703</v>
      </c>
      <c r="C707" s="4">
        <f>Acciones!C707/Acciones!C706</f>
        <v>1.0714487075879182</v>
      </c>
      <c r="D707" s="4">
        <f>Acciones!D707/Acciones!D706</f>
        <v>1.0157060573664709</v>
      </c>
      <c r="E707" s="4">
        <f>Acciones!E707/Acciones!E706</f>
        <v>2.0439561339280292</v>
      </c>
      <c r="F707" s="15">
        <f t="shared" ref="F707:F751" si="33">$J$2*B707+$J$3*C707+$J$4*D707+$J$5*E707</f>
        <v>35005.602667022293</v>
      </c>
      <c r="G707" s="15">
        <f t="shared" si="32"/>
        <v>6505.6026670222927</v>
      </c>
      <c r="H707" s="4">
        <f t="shared" ref="H707:H751" si="34">(F707/$J$6)-1</f>
        <v>0.22826676024639614</v>
      </c>
      <c r="I707" s="4"/>
    </row>
    <row r="708" spans="1:9" x14ac:dyDescent="0.2">
      <c r="A708" s="1">
        <f>Acciones!A708</f>
        <v>46028</v>
      </c>
      <c r="B708" s="4">
        <f>Acciones!B708/Acciones!B707</f>
        <v>1.0262466517104776</v>
      </c>
      <c r="C708" s="4">
        <f>Acciones!C708/Acciones!C707</f>
        <v>0.98075912517025043</v>
      </c>
      <c r="D708" s="4">
        <f>Acciones!D708/Acciones!D707</f>
        <v>1.0129870171063247</v>
      </c>
      <c r="E708" s="4">
        <f>Acciones!E708/Acciones!E707</f>
        <v>1.0268816941562406</v>
      </c>
      <c r="F708" s="15">
        <f t="shared" si="33"/>
        <v>28686.794459026623</v>
      </c>
      <c r="G708" s="15">
        <f t="shared" si="32"/>
        <v>186.79445902662337</v>
      </c>
      <c r="H708" s="4">
        <f t="shared" si="34"/>
        <v>6.5541915447937527E-3</v>
      </c>
      <c r="I708" s="4"/>
    </row>
    <row r="709" spans="1:9" x14ac:dyDescent="0.2">
      <c r="A709" s="1">
        <f>Acciones!A709</f>
        <v>46029</v>
      </c>
      <c r="B709" s="4">
        <f>Acciones!B709/Acciones!B708</f>
        <v>1</v>
      </c>
      <c r="C709" s="4">
        <f>Acciones!C709/Acciones!C708</f>
        <v>0.96737432289893932</v>
      </c>
      <c r="D709" s="4">
        <f>Acciones!D709/Acciones!D708</f>
        <v>0.97264964062620163</v>
      </c>
      <c r="E709" s="4">
        <f>Acciones!E709/Acciones!E708</f>
        <v>0.73298429768681528</v>
      </c>
      <c r="F709" s="15">
        <f t="shared" si="33"/>
        <v>26447.966111079422</v>
      </c>
      <c r="G709" s="15">
        <f t="shared" ref="G709:G751" si="35">F709-$J$6</f>
        <v>-2052.0338889205777</v>
      </c>
      <c r="H709" s="4">
        <f t="shared" si="34"/>
        <v>-7.2001189084932582E-2</v>
      </c>
      <c r="I709" s="4"/>
    </row>
    <row r="710" spans="1:9" x14ac:dyDescent="0.2">
      <c r="A710" s="1">
        <f>Acciones!A710</f>
        <v>46030</v>
      </c>
      <c r="B710" s="4">
        <f>Acciones!B710/Acciones!B709</f>
        <v>0.99744247790776286</v>
      </c>
      <c r="C710" s="4">
        <f>Acciones!C710/Acciones!C709</f>
        <v>1.0390043584793065</v>
      </c>
      <c r="D710" s="4">
        <f>Acciones!D710/Acciones!D709</f>
        <v>1.0237257976453877</v>
      </c>
      <c r="E710" s="4">
        <f>Acciones!E710/Acciones!E709</f>
        <v>1.1571428556223329</v>
      </c>
      <c r="F710" s="15">
        <f t="shared" si="33"/>
        <v>29963.133760607288</v>
      </c>
      <c r="G710" s="15">
        <f t="shared" si="35"/>
        <v>1463.1337606072884</v>
      </c>
      <c r="H710" s="4">
        <f t="shared" si="34"/>
        <v>5.1338026687975047E-2</v>
      </c>
      <c r="I710" s="4"/>
    </row>
    <row r="711" spans="1:9" x14ac:dyDescent="0.2">
      <c r="A711" s="1">
        <f>Acciones!A711</f>
        <v>46031</v>
      </c>
      <c r="B711" s="4">
        <f>Acciones!B711/Acciones!B710</f>
        <v>1.0085470412905915</v>
      </c>
      <c r="C711" s="4">
        <f>Acciones!C711/Acciones!C710</f>
        <v>0.97919786422647592</v>
      </c>
      <c r="D711" s="4">
        <f>Acciones!D711/Acciones!D710</f>
        <v>1.0144034183551118</v>
      </c>
      <c r="E711" s="4">
        <f>Acciones!E711/Acciones!E710</f>
        <v>1.1358024680002121</v>
      </c>
      <c r="F711" s="15">
        <f t="shared" si="33"/>
        <v>29223.242112220876</v>
      </c>
      <c r="G711" s="15">
        <f t="shared" si="35"/>
        <v>723.24211222087615</v>
      </c>
      <c r="H711" s="4">
        <f t="shared" si="34"/>
        <v>2.5376916218276424E-2</v>
      </c>
      <c r="I711" s="4"/>
    </row>
    <row r="712" spans="1:9" x14ac:dyDescent="0.2">
      <c r="A712" s="1">
        <f>Acciones!A712</f>
        <v>46034</v>
      </c>
      <c r="B712" s="4">
        <f>Acciones!B712/Acciones!B711</f>
        <v>0.99576269576893239</v>
      </c>
      <c r="C712" s="4">
        <f>Acciones!C712/Acciones!C711</f>
        <v>1.0463656024513392</v>
      </c>
      <c r="D712" s="4">
        <f>Acciones!D712/Acciones!D711</f>
        <v>0.9942713131866725</v>
      </c>
      <c r="E712" s="4">
        <f>Acciones!E712/Acciones!E711</f>
        <v>1.0054347936120347</v>
      </c>
      <c r="F712" s="15">
        <f t="shared" si="33"/>
        <v>28898.247155211902</v>
      </c>
      <c r="G712" s="15">
        <f t="shared" si="35"/>
        <v>398.24715521190228</v>
      </c>
      <c r="H712" s="4">
        <f t="shared" si="34"/>
        <v>1.3973584393400129E-2</v>
      </c>
      <c r="I712" s="4"/>
    </row>
    <row r="713" spans="1:9" x14ac:dyDescent="0.2">
      <c r="A713" s="1">
        <f>Acciones!A713</f>
        <v>46035</v>
      </c>
      <c r="B713" s="4">
        <f>Acciones!B713/Acciones!B712</f>
        <v>1</v>
      </c>
      <c r="C713" s="4">
        <f>Acciones!C713/Acciones!C712</f>
        <v>1.0135698891539822</v>
      </c>
      <c r="D713" s="4">
        <f>Acciones!D713/Acciones!D712</f>
        <v>1.0085020812207717</v>
      </c>
      <c r="E713" s="4">
        <f>Acciones!E713/Acciones!E712</f>
        <v>0.96216216651604536</v>
      </c>
      <c r="F713" s="15">
        <f t="shared" si="33"/>
        <v>28505.826675008793</v>
      </c>
      <c r="G713" s="15">
        <f t="shared" si="35"/>
        <v>5.8266750087932451</v>
      </c>
      <c r="H713" s="4">
        <f t="shared" si="34"/>
        <v>2.0444473715053313E-4</v>
      </c>
      <c r="I713" s="4"/>
    </row>
    <row r="714" spans="1:9" x14ac:dyDescent="0.2">
      <c r="A714" s="1">
        <f>Acciones!A714</f>
        <v>46036</v>
      </c>
      <c r="B714" s="4">
        <f>Acciones!B714/Acciones!B713</f>
        <v>0.99744683123649358</v>
      </c>
      <c r="C714" s="4">
        <f>Acciones!C714/Acciones!C713</f>
        <v>1.012924870262969</v>
      </c>
      <c r="D714" s="4">
        <f>Acciones!D714/Acciones!D713</f>
        <v>0.98481018371764095</v>
      </c>
      <c r="E714" s="4">
        <f>Acciones!E714/Acciones!E713</f>
        <v>0.95505617319100422</v>
      </c>
      <c r="F714" s="15">
        <f t="shared" si="33"/>
        <v>28214.760966552865</v>
      </c>
      <c r="G714" s="15">
        <f t="shared" si="35"/>
        <v>-285.23903344713472</v>
      </c>
      <c r="H714" s="4">
        <f t="shared" si="34"/>
        <v>-1.0008387138495944E-2</v>
      </c>
      <c r="I714" s="4"/>
    </row>
    <row r="715" spans="1:9" x14ac:dyDescent="0.2">
      <c r="A715" s="1">
        <f>Acciones!A715</f>
        <v>46037</v>
      </c>
      <c r="B715" s="4">
        <f>Acciones!B715/Acciones!B714</f>
        <v>1.0025597041201098</v>
      </c>
      <c r="C715" s="4">
        <f>Acciones!C715/Acciones!C714</f>
        <v>0.96192361731724774</v>
      </c>
      <c r="D715" s="4">
        <f>Acciones!D715/Acciones!D714</f>
        <v>0.98337607081324208</v>
      </c>
      <c r="E715" s="4">
        <f>Acciones!E715/Acciones!E714</f>
        <v>1.0235293715470366</v>
      </c>
      <c r="F715" s="15">
        <f t="shared" si="33"/>
        <v>28110.40558057536</v>
      </c>
      <c r="G715" s="15">
        <f t="shared" si="35"/>
        <v>-389.59441942464036</v>
      </c>
      <c r="H715" s="4">
        <f t="shared" si="34"/>
        <v>-1.3669979628934792E-2</v>
      </c>
      <c r="I715" s="4"/>
    </row>
    <row r="716" spans="1:9" x14ac:dyDescent="0.2">
      <c r="A716" s="1">
        <f>Acciones!A716</f>
        <v>46038</v>
      </c>
      <c r="B716" s="4">
        <f>Acciones!B716/Acciones!B715</f>
        <v>1.0170212603629871</v>
      </c>
      <c r="C716" s="4">
        <f>Acciones!C716/Acciones!C715</f>
        <v>1.0560722996612586</v>
      </c>
      <c r="D716" s="4">
        <f>Acciones!D716/Acciones!D715</f>
        <v>0.98976125666929637</v>
      </c>
      <c r="E716" s="4">
        <f>Acciones!E716/Acciones!E715</f>
        <v>0.97701153264271012</v>
      </c>
      <c r="F716" s="15">
        <f t="shared" si="33"/>
        <v>28863.437254280278</v>
      </c>
      <c r="G716" s="15">
        <f t="shared" si="35"/>
        <v>363.43725428027756</v>
      </c>
      <c r="H716" s="4">
        <f t="shared" si="34"/>
        <v>1.275218436071146E-2</v>
      </c>
      <c r="I716" s="4"/>
    </row>
    <row r="717" spans="1:9" x14ac:dyDescent="0.2">
      <c r="A717" s="1">
        <f>Acciones!A717</f>
        <v>46041</v>
      </c>
      <c r="B717" s="4">
        <f>Acciones!B717/Acciones!B716</f>
        <v>1.0008368392503275</v>
      </c>
      <c r="C717" s="4">
        <f>Acciones!C717/Acciones!C716</f>
        <v>0.98588796828114345</v>
      </c>
      <c r="D717" s="4">
        <f>Acciones!D717/Acciones!D716</f>
        <v>1.0036536745694509</v>
      </c>
      <c r="E717" s="4">
        <f>Acciones!E717/Acciones!E716</f>
        <v>0.94117643965156883</v>
      </c>
      <c r="F717" s="15">
        <f t="shared" si="33"/>
        <v>28081.871799825145</v>
      </c>
      <c r="G717" s="15">
        <f t="shared" si="35"/>
        <v>-418.12820017485501</v>
      </c>
      <c r="H717" s="4">
        <f t="shared" si="34"/>
        <v>-1.4671164918415913E-2</v>
      </c>
      <c r="I717" s="4"/>
    </row>
    <row r="718" spans="1:9" x14ac:dyDescent="0.2">
      <c r="A718" s="1">
        <f>Acciones!A718</f>
        <v>46042</v>
      </c>
      <c r="B718" s="4">
        <f>Acciones!B718/Acciones!B717</f>
        <v>0.99665552159486459</v>
      </c>
      <c r="C718" s="4">
        <f>Acciones!C718/Acciones!C717</f>
        <v>0.93071420599420185</v>
      </c>
      <c r="D718" s="4">
        <f>Acciones!D718/Acciones!D717</f>
        <v>0.98055264396824515</v>
      </c>
      <c r="E718" s="4">
        <f>Acciones!E718/Acciones!E717</f>
        <v>0.95625000349246125</v>
      </c>
      <c r="F718" s="15">
        <f t="shared" si="33"/>
        <v>27394.98074141793</v>
      </c>
      <c r="G718" s="15">
        <f t="shared" si="35"/>
        <v>-1105.0192585820696</v>
      </c>
      <c r="H718" s="4">
        <f t="shared" si="34"/>
        <v>-3.8772605564283191E-2</v>
      </c>
      <c r="I718" s="4"/>
    </row>
    <row r="719" spans="1:9" x14ac:dyDescent="0.2">
      <c r="A719" s="1">
        <f>Acciones!A719</f>
        <v>46043</v>
      </c>
      <c r="B719" s="4">
        <f>Acciones!B719/Acciones!B718</f>
        <v>0.98993289557122133</v>
      </c>
      <c r="C719" s="4">
        <f>Acciones!C719/Acciones!C718</f>
        <v>1.0110166026709042</v>
      </c>
      <c r="D719" s="4">
        <f>Acciones!D719/Acciones!D718</f>
        <v>1.0153601395186569</v>
      </c>
      <c r="E719" s="4">
        <f>Acciones!E719/Acciones!E718</f>
        <v>1.0130719221602227</v>
      </c>
      <c r="F719" s="15">
        <f t="shared" si="33"/>
        <v>28794.919826940659</v>
      </c>
      <c r="G719" s="15">
        <f t="shared" si="35"/>
        <v>294.91982694065882</v>
      </c>
      <c r="H719" s="4">
        <f t="shared" si="34"/>
        <v>1.0348064103181009E-2</v>
      </c>
      <c r="I719" s="4"/>
    </row>
    <row r="720" spans="1:9" x14ac:dyDescent="0.2">
      <c r="A720" s="1">
        <f>Acciones!A720</f>
        <v>46044</v>
      </c>
      <c r="B720" s="4">
        <f>Acciones!B720/Acciones!B719</f>
        <v>1.0042373042310762</v>
      </c>
      <c r="C720" s="4">
        <f>Acciones!C720/Acciones!C719</f>
        <v>0.96164634575963803</v>
      </c>
      <c r="D720" s="4">
        <f>Acciones!D720/Acciones!D719</f>
        <v>1.0083083710649909</v>
      </c>
      <c r="E720" s="4">
        <f>Acciones!E720/Acciones!E719</f>
        <v>1</v>
      </c>
      <c r="F720" s="15">
        <f t="shared" si="33"/>
        <v>28233.554560175238</v>
      </c>
      <c r="G720" s="15">
        <f t="shared" si="35"/>
        <v>-266.44543982476171</v>
      </c>
      <c r="H720" s="4">
        <f t="shared" si="34"/>
        <v>-9.3489628008688319E-3</v>
      </c>
      <c r="I720" s="4"/>
    </row>
    <row r="721" spans="1:9" x14ac:dyDescent="0.2">
      <c r="A721" s="1">
        <f>Acciones!A721</f>
        <v>46045</v>
      </c>
      <c r="B721" s="4">
        <f>Acciones!B721/Acciones!B720</f>
        <v>0.99915609885569812</v>
      </c>
      <c r="C721" s="4">
        <f>Acciones!C721/Acciones!C720</f>
        <v>1.0227183651466578</v>
      </c>
      <c r="D721" s="4">
        <f>Acciones!D721/Acciones!D720</f>
        <v>0.9812745596207747</v>
      </c>
      <c r="E721" s="4">
        <f>Acciones!E721/Acciones!E720</f>
        <v>0.96774196649565514</v>
      </c>
      <c r="F721" s="15">
        <f t="shared" si="33"/>
        <v>28348.197226822042</v>
      </c>
      <c r="G721" s="15">
        <f t="shared" si="35"/>
        <v>-151.80277317795844</v>
      </c>
      <c r="H721" s="4">
        <f t="shared" si="34"/>
        <v>-5.3264130939634224E-3</v>
      </c>
      <c r="I721" s="4"/>
    </row>
    <row r="722" spans="1:9" x14ac:dyDescent="0.2">
      <c r="A722" s="1">
        <f>Acciones!A722</f>
        <v>46048</v>
      </c>
      <c r="B722" s="4">
        <f>Acciones!B722/Acciones!B721</f>
        <v>1.0025337611980218</v>
      </c>
      <c r="C722" s="4">
        <f>Acciones!C722/Acciones!C721</f>
        <v>0.95162348085839277</v>
      </c>
      <c r="D722" s="4">
        <f>Acciones!D722/Acciones!D721</f>
        <v>1.0062422147661589</v>
      </c>
      <c r="E722" s="4">
        <f>Acciones!E722/Acciones!E721</f>
        <v>0.98666664017571337</v>
      </c>
      <c r="F722" s="15">
        <f t="shared" si="33"/>
        <v>28038.379900975819</v>
      </c>
      <c r="G722" s="15">
        <f t="shared" si="35"/>
        <v>-461.6200990241814</v>
      </c>
      <c r="H722" s="4">
        <f t="shared" si="34"/>
        <v>-1.6197196456988805E-2</v>
      </c>
      <c r="I722" s="4"/>
    </row>
    <row r="723" spans="1:9" x14ac:dyDescent="0.2">
      <c r="A723" s="1">
        <f>Acciones!A723</f>
        <v>46049</v>
      </c>
      <c r="B723" s="4">
        <f>Acciones!B723/Acciones!B722</f>
        <v>0.99915752072635089</v>
      </c>
      <c r="C723" s="4">
        <f>Acciones!C723/Acciones!C722</f>
        <v>1.0314697793306455</v>
      </c>
      <c r="D723" s="4">
        <f>Acciones!D723/Acciones!D722</f>
        <v>0.96459317713224135</v>
      </c>
      <c r="E723" s="4">
        <f>Acciones!E723/Acciones!E722</f>
        <v>1.0810810429846165</v>
      </c>
      <c r="F723" s="15">
        <f t="shared" si="33"/>
        <v>28887.891733921166</v>
      </c>
      <c r="G723" s="15">
        <f t="shared" si="35"/>
        <v>387.89173392116572</v>
      </c>
      <c r="H723" s="4">
        <f t="shared" si="34"/>
        <v>1.3610236277935561E-2</v>
      </c>
      <c r="I723" s="4"/>
    </row>
    <row r="724" spans="1:9" x14ac:dyDescent="0.2">
      <c r="A724" s="1">
        <f>Acciones!A724</f>
        <v>46050</v>
      </c>
      <c r="B724" s="4">
        <f>Acciones!B724/Acciones!B723</f>
        <v>0.99915689076754144</v>
      </c>
      <c r="C724" s="4">
        <f>Acciones!C724/Acciones!C723</f>
        <v>0.99072416405993924</v>
      </c>
      <c r="D724" s="4">
        <f>Acciones!D724/Acciones!D723</f>
        <v>0.98440363518951768</v>
      </c>
      <c r="E724" s="4">
        <f>Acciones!E724/Acciones!E723</f>
        <v>1.0062500128056862</v>
      </c>
      <c r="F724" s="15">
        <f t="shared" si="33"/>
        <v>28287.34009858227</v>
      </c>
      <c r="G724" s="15">
        <f t="shared" si="35"/>
        <v>-212.65990141773</v>
      </c>
      <c r="H724" s="4">
        <f t="shared" si="34"/>
        <v>-7.4617509269379045E-3</v>
      </c>
      <c r="I724" s="4"/>
    </row>
    <row r="725" spans="1:9" x14ac:dyDescent="0.2">
      <c r="A725" s="1">
        <f>Acciones!A725</f>
        <v>46051</v>
      </c>
      <c r="B725" s="4">
        <f>Acciones!B725/Acciones!B724</f>
        <v>0.99156114951472285</v>
      </c>
      <c r="C725" s="4">
        <f>Acciones!C725/Acciones!C724</f>
        <v>0.94404964468021368</v>
      </c>
      <c r="D725" s="4">
        <f>Acciones!D725/Acciones!D724</f>
        <v>1.0058715203323794</v>
      </c>
      <c r="E725" s="4">
        <f>Acciones!E725/Acciones!E724</f>
        <v>0.93167706462300315</v>
      </c>
      <c r="F725" s="15">
        <f t="shared" si="33"/>
        <v>27621.87470651387</v>
      </c>
      <c r="G725" s="15">
        <f t="shared" si="35"/>
        <v>-878.12529348612952</v>
      </c>
      <c r="H725" s="4">
        <f t="shared" si="34"/>
        <v>-3.0811413806530852E-2</v>
      </c>
      <c r="I725" s="4"/>
    </row>
    <row r="726" spans="1:9" x14ac:dyDescent="0.2">
      <c r="A726" s="1">
        <f>Acciones!A726</f>
        <v>46052</v>
      </c>
      <c r="B726" s="4">
        <f>Acciones!B726/Acciones!B725</f>
        <v>1.0034042520725959</v>
      </c>
      <c r="C726" s="4">
        <f>Acciones!C726/Acciones!C725</f>
        <v>0.98584054064500526</v>
      </c>
      <c r="D726" s="4">
        <f>Acciones!D726/Acciones!D725</f>
        <v>0.99602511449674935</v>
      </c>
      <c r="E726" s="4">
        <f>Acciones!E726/Acciones!E725</f>
        <v>0.93333330021964311</v>
      </c>
      <c r="F726" s="15">
        <f t="shared" si="33"/>
        <v>27970.984314557165</v>
      </c>
      <c r="G726" s="15">
        <f t="shared" si="35"/>
        <v>-529.01568544283509</v>
      </c>
      <c r="H726" s="4">
        <f t="shared" si="34"/>
        <v>-1.856195387518722E-2</v>
      </c>
      <c r="I726" s="4"/>
    </row>
    <row r="727" spans="1:9" x14ac:dyDescent="0.2">
      <c r="A727" s="1">
        <f>Acciones!A727</f>
        <v>46056</v>
      </c>
      <c r="B727" s="4">
        <f>Acciones!B727/Acciones!B726</f>
        <v>1.0067854049164413</v>
      </c>
      <c r="C727" s="4">
        <f>Acciones!C727/Acciones!C726</f>
        <v>0.93842804229110399</v>
      </c>
      <c r="D727" s="4">
        <f>Acciones!D727/Acciones!D726</f>
        <v>0.97674435776170943</v>
      </c>
      <c r="E727" s="4">
        <f>Acciones!E727/Acciones!E726</f>
        <v>0.9357142621461233</v>
      </c>
      <c r="F727" s="15">
        <f t="shared" si="33"/>
        <v>27352.687338393804</v>
      </c>
      <c r="G727" s="15">
        <f t="shared" si="35"/>
        <v>-1147.3126616061963</v>
      </c>
      <c r="H727" s="4">
        <f t="shared" si="34"/>
        <v>-4.0256584617761271E-2</v>
      </c>
      <c r="I727" s="4"/>
    </row>
    <row r="728" spans="1:9" x14ac:dyDescent="0.2">
      <c r="A728" s="1">
        <f>Acciones!A728</f>
        <v>46057</v>
      </c>
      <c r="B728" s="4">
        <f>Acciones!B728/Acciones!B727</f>
        <v>0.97135634744179378</v>
      </c>
      <c r="C728" s="4">
        <f>Acciones!C728/Acciones!C727</f>
        <v>0.9233451087625979</v>
      </c>
      <c r="D728" s="4">
        <f>Acciones!D728/Acciones!D727</f>
        <v>1.058085183166291</v>
      </c>
      <c r="E728" s="4">
        <f>Acciones!E728/Acciones!E727</f>
        <v>0.97709930350150787</v>
      </c>
      <c r="F728" s="15">
        <f t="shared" si="33"/>
        <v>28126.423750212161</v>
      </c>
      <c r="G728" s="15">
        <f t="shared" si="35"/>
        <v>-373.57624978783861</v>
      </c>
      <c r="H728" s="4">
        <f t="shared" si="34"/>
        <v>-1.3107938589047019E-2</v>
      </c>
      <c r="I728" s="4"/>
    </row>
    <row r="729" spans="1:9" x14ac:dyDescent="0.2">
      <c r="A729" s="1">
        <f>Acciones!A729</f>
        <v>46058</v>
      </c>
      <c r="B729" s="4">
        <f>Acciones!B729/Acciones!B728</f>
        <v>1</v>
      </c>
      <c r="C729" s="4">
        <f>Acciones!C729/Acciones!C728</f>
        <v>0.81927544334851288</v>
      </c>
      <c r="D729" s="4">
        <f>Acciones!D729/Acciones!D728</f>
        <v>0.98109812583838241</v>
      </c>
      <c r="E729" s="4">
        <f>Acciones!E729/Acciones!E728</f>
        <v>1.0703124063220513</v>
      </c>
      <c r="F729" s="15">
        <f t="shared" si="33"/>
        <v>26980.81620496598</v>
      </c>
      <c r="G729" s="15">
        <f t="shared" si="35"/>
        <v>-1519.1837950340196</v>
      </c>
      <c r="H729" s="4">
        <f t="shared" si="34"/>
        <v>-5.3304694562597232E-2</v>
      </c>
      <c r="I729" s="4"/>
    </row>
    <row r="730" spans="1:9" x14ac:dyDescent="0.2">
      <c r="A730" s="1">
        <f>Acciones!A730</f>
        <v>46059</v>
      </c>
      <c r="B730" s="4">
        <f>Acciones!B730/Acciones!B729</f>
        <v>1.027753742923647</v>
      </c>
      <c r="C730" s="4">
        <f>Acciones!C730/Acciones!C729</f>
        <v>1.2257981653240426</v>
      </c>
      <c r="D730" s="4">
        <f>Acciones!D730/Acciones!D729</f>
        <v>1.010091798416785</v>
      </c>
      <c r="E730" s="4">
        <f>Acciones!E730/Acciones!E729</f>
        <v>1.167883232320863</v>
      </c>
      <c r="F730" s="15">
        <f t="shared" si="33"/>
        <v>31766.496432743763</v>
      </c>
      <c r="G730" s="15">
        <f t="shared" si="35"/>
        <v>3266.4964327437629</v>
      </c>
      <c r="H730" s="4">
        <f t="shared" si="34"/>
        <v>0.11461390992083387</v>
      </c>
      <c r="I730" s="4"/>
    </row>
    <row r="731" spans="1:9" x14ac:dyDescent="0.2">
      <c r="A731" s="1">
        <f>Acciones!A731</f>
        <v>46062</v>
      </c>
      <c r="B731" s="4">
        <f>Acciones!B731/Acciones!B730</f>
        <v>0.98649782312778667</v>
      </c>
      <c r="C731" s="4">
        <f>Acciones!C731/Acciones!C730</f>
        <v>0.95675192134927756</v>
      </c>
      <c r="D731" s="4">
        <f>Acciones!D731/Acciones!D730</f>
        <v>0.97607626048975249</v>
      </c>
      <c r="E731" s="4">
        <f>Acciones!E731/Acciones!E730</f>
        <v>0.9125000069849164</v>
      </c>
      <c r="F731" s="15">
        <f t="shared" si="33"/>
        <v>27321.398277079956</v>
      </c>
      <c r="G731" s="15">
        <f t="shared" si="35"/>
        <v>-1178.6017229200443</v>
      </c>
      <c r="H731" s="4">
        <f t="shared" si="34"/>
        <v>-4.1354446418247148E-2</v>
      </c>
      <c r="I731" s="4"/>
    </row>
    <row r="732" spans="1:9" x14ac:dyDescent="0.2">
      <c r="A732" s="1">
        <f>Acciones!A732</f>
        <v>46063</v>
      </c>
      <c r="B732" s="4">
        <f>Acciones!B732/Acciones!B731</f>
        <v>1.025662977031943</v>
      </c>
      <c r="C732" s="4">
        <f>Acciones!C732/Acciones!C731</f>
        <v>0.96069290316389711</v>
      </c>
      <c r="D732" s="4">
        <f>Acciones!D732/Acciones!D731</f>
        <v>1.0142742616824849</v>
      </c>
      <c r="E732" s="4">
        <f>Acciones!E732/Acciones!E731</f>
        <v>0.95890412776460132</v>
      </c>
      <c r="F732" s="15">
        <f t="shared" si="33"/>
        <v>28133.11831919898</v>
      </c>
      <c r="G732" s="15">
        <f t="shared" si="35"/>
        <v>-366.88168080101968</v>
      </c>
      <c r="H732" s="4">
        <f t="shared" si="34"/>
        <v>-1.2873041431614718E-2</v>
      </c>
      <c r="I732" s="4"/>
    </row>
    <row r="733" spans="1:9" x14ac:dyDescent="0.2">
      <c r="A733" s="1">
        <f>Acciones!A733</f>
        <v>46064</v>
      </c>
      <c r="B733" s="4">
        <f>Acciones!B733/Acciones!B732</f>
        <v>0.99916595253772322</v>
      </c>
      <c r="C733" s="4">
        <f>Acciones!C733/Acciones!C732</f>
        <v>0.97628436334786983</v>
      </c>
      <c r="D733" s="4">
        <f>Acciones!D733/Acciones!D732</f>
        <v>0.98239452951434825</v>
      </c>
      <c r="E733" s="4">
        <f>Acciones!E733/Acciones!E732</f>
        <v>1.0142857431757215</v>
      </c>
      <c r="F733" s="15">
        <f t="shared" si="33"/>
        <v>28174.299168296748</v>
      </c>
      <c r="G733" s="15">
        <f t="shared" si="35"/>
        <v>-325.70083170325233</v>
      </c>
      <c r="H733" s="4">
        <f t="shared" si="34"/>
        <v>-1.1428099358008814E-2</v>
      </c>
      <c r="I733" s="4"/>
    </row>
    <row r="734" spans="1:9" x14ac:dyDescent="0.2">
      <c r="A734" s="1">
        <f>Acciones!A734</f>
        <v>46065</v>
      </c>
      <c r="B734" s="4">
        <f>Acciones!B734/Acciones!B733</f>
        <v>0.98247086039257903</v>
      </c>
      <c r="C734" s="4">
        <f>Acciones!C734/Acciones!C733</f>
        <v>0.96810238226574774</v>
      </c>
      <c r="D734" s="4">
        <f>Acciones!D734/Acciones!D733</f>
        <v>0.98496462082598846</v>
      </c>
      <c r="E734" s="4">
        <f>Acciones!E734/Acciones!E733</f>
        <v>1.0492957679969015</v>
      </c>
      <c r="F734" s="15">
        <f t="shared" si="33"/>
        <v>28256.393575141472</v>
      </c>
      <c r="G734" s="15">
        <f t="shared" si="35"/>
        <v>-243.60642485852804</v>
      </c>
      <c r="H734" s="4">
        <f t="shared" si="34"/>
        <v>-8.547593854685176E-3</v>
      </c>
      <c r="I734" s="4"/>
    </row>
    <row r="735" spans="1:9" x14ac:dyDescent="0.2">
      <c r="A735" s="1">
        <f>Acciones!A735</f>
        <v>46066</v>
      </c>
      <c r="B735" s="4">
        <f>Acciones!B735/Acciones!B734</f>
        <v>1.0152930624044938</v>
      </c>
      <c r="C735" s="4">
        <f>Acciones!C735/Acciones!C734</f>
        <v>1.0843353922015864</v>
      </c>
      <c r="D735" s="4">
        <f>Acciones!D735/Acciones!D734</f>
        <v>1.0270595494181474</v>
      </c>
      <c r="E735" s="4">
        <f>Acciones!E735/Acciones!E734</f>
        <v>1.0067114228198382</v>
      </c>
      <c r="F735" s="15">
        <f t="shared" si="33"/>
        <v>29662.220264021384</v>
      </c>
      <c r="G735" s="15">
        <f t="shared" si="35"/>
        <v>1162.2202640213836</v>
      </c>
      <c r="H735" s="4">
        <f t="shared" si="34"/>
        <v>4.0779658386715267E-2</v>
      </c>
      <c r="I735" s="4"/>
    </row>
    <row r="736" spans="1:9" x14ac:dyDescent="0.2">
      <c r="A736" s="1">
        <f>Acciones!A736</f>
        <v>46069</v>
      </c>
      <c r="B736" s="4">
        <f>Acciones!B736/Acciones!B735</f>
        <v>1.0083682328925367</v>
      </c>
      <c r="C736" s="4">
        <f>Acciones!C736/Acciones!C735</f>
        <v>1.016560739199585</v>
      </c>
      <c r="D736" s="4">
        <f>Acciones!D736/Acciones!D735</f>
        <v>1.0043849409289443</v>
      </c>
      <c r="E736" s="4">
        <f>Acciones!E736/Acciones!E735</f>
        <v>1</v>
      </c>
      <c r="F736" s="15">
        <f t="shared" si="33"/>
        <v>28730.465246809377</v>
      </c>
      <c r="G736" s="15">
        <f t="shared" si="35"/>
        <v>230.46524680937728</v>
      </c>
      <c r="H736" s="4">
        <f t="shared" si="34"/>
        <v>8.0864998880483263E-3</v>
      </c>
      <c r="I736" s="4"/>
    </row>
    <row r="737" spans="1:9" x14ac:dyDescent="0.2">
      <c r="A737" s="1">
        <f>Acciones!A737</f>
        <v>46070</v>
      </c>
      <c r="B737" s="4">
        <f>Acciones!B737/Acciones!B736</f>
        <v>0.99585060664370406</v>
      </c>
      <c r="C737" s="4">
        <f>Acciones!C737/Acciones!C736</f>
        <v>0.94334550337357814</v>
      </c>
      <c r="D737" s="4">
        <f>Acciones!D737/Acciones!D736</f>
        <v>1.0073713584310762</v>
      </c>
      <c r="E737" s="4">
        <f>Acciones!E737/Acciones!E736</f>
        <v>1</v>
      </c>
      <c r="F737" s="15">
        <f t="shared" si="33"/>
        <v>28020.972989612717</v>
      </c>
      <c r="G737" s="15">
        <f t="shared" si="35"/>
        <v>-479.02701038728264</v>
      </c>
      <c r="H737" s="4">
        <f t="shared" si="34"/>
        <v>-1.6807965276746772E-2</v>
      </c>
      <c r="I737" s="4"/>
    </row>
    <row r="738" spans="1:9" x14ac:dyDescent="0.2">
      <c r="A738" s="1">
        <f>Acciones!A738</f>
        <v>46071</v>
      </c>
      <c r="B738" s="4">
        <f>Acciones!B738/Acciones!B737</f>
        <v>1.0141666730244916</v>
      </c>
      <c r="C738" s="4">
        <f>Acciones!C738/Acciones!C737</f>
        <v>1.0011563787581546</v>
      </c>
      <c r="D738" s="4">
        <f>Acciones!D738/Acciones!D737</f>
        <v>1.0300907203983867</v>
      </c>
      <c r="E738" s="4">
        <f>Acciones!E738/Acciones!E737</f>
        <v>0.99333332008785669</v>
      </c>
      <c r="F738" s="15">
        <f t="shared" si="33"/>
        <v>28824.809418255267</v>
      </c>
      <c r="G738" s="15">
        <f t="shared" si="35"/>
        <v>324.80941825526679</v>
      </c>
      <c r="H738" s="4">
        <f t="shared" si="34"/>
        <v>1.1396821693167247E-2</v>
      </c>
      <c r="I738" s="4"/>
    </row>
    <row r="739" spans="1:9" x14ac:dyDescent="0.2">
      <c r="A739" s="1">
        <f>Acciones!A739</f>
        <v>46072</v>
      </c>
      <c r="B739" s="4">
        <f>Acciones!B739/Acciones!B738</f>
        <v>1.0517666483559096</v>
      </c>
      <c r="C739" s="4">
        <f>Acciones!C739/Acciones!C738</f>
        <v>1.0632219827143032</v>
      </c>
      <c r="D739" s="4">
        <f>Acciones!D739/Acciones!D738</f>
        <v>1.0049158333358572</v>
      </c>
      <c r="E739" s="4">
        <f>Acciones!E739/Acciones!E738</f>
        <v>0.97315430872064723</v>
      </c>
      <c r="F739" s="15">
        <f t="shared" si="33"/>
        <v>29183.299136353697</v>
      </c>
      <c r="G739" s="15">
        <f t="shared" si="35"/>
        <v>683.29913635369667</v>
      </c>
      <c r="H739" s="4">
        <f t="shared" si="34"/>
        <v>2.3975408293112066E-2</v>
      </c>
      <c r="I739" s="4"/>
    </row>
    <row r="740" spans="1:9" x14ac:dyDescent="0.2">
      <c r="A740" s="1">
        <f>Acciones!A740</f>
        <v>46073</v>
      </c>
      <c r="B740" s="4">
        <f>Acciones!B740/Acciones!B739</f>
        <v>1.027343704889063</v>
      </c>
      <c r="C740" s="4">
        <f>Acciones!C740/Acciones!C739</f>
        <v>0.98804947441337909</v>
      </c>
      <c r="D740" s="4">
        <f>Acciones!D740/Acciones!D739</f>
        <v>0.98736055374226139</v>
      </c>
      <c r="E740" s="4">
        <f>Acciones!E740/Acciones!E739</f>
        <v>0.96551727327240566</v>
      </c>
      <c r="F740" s="15">
        <f t="shared" si="33"/>
        <v>28166.123514459669</v>
      </c>
      <c r="G740" s="15">
        <f t="shared" si="35"/>
        <v>-333.87648554033149</v>
      </c>
      <c r="H740" s="4">
        <f t="shared" si="34"/>
        <v>-1.1714964404923922E-2</v>
      </c>
      <c r="I740" s="4"/>
    </row>
    <row r="741" spans="1:9" x14ac:dyDescent="0.2">
      <c r="A741" s="1">
        <f>Acciones!A741</f>
        <v>46076</v>
      </c>
      <c r="B741" s="4">
        <f>Acciones!B741/Acciones!B740</f>
        <v>0.94296577781316859</v>
      </c>
      <c r="C741" s="4">
        <f>Acciones!C741/Acciones!C740</f>
        <v>0.99332939690423516</v>
      </c>
      <c r="D741" s="4">
        <f>Acciones!D741/Acciones!D740</f>
        <v>0.96947013418477002</v>
      </c>
      <c r="E741" s="4">
        <f>Acciones!E741/Acciones!E740</f>
        <v>1</v>
      </c>
      <c r="F741" s="15">
        <f t="shared" si="33"/>
        <v>27931.710834784026</v>
      </c>
      <c r="G741" s="15">
        <f t="shared" si="35"/>
        <v>-568.28916521597421</v>
      </c>
      <c r="H741" s="4">
        <f t="shared" si="34"/>
        <v>-1.99399707093324E-2</v>
      </c>
      <c r="I741" s="4"/>
    </row>
    <row r="742" spans="1:9" x14ac:dyDescent="0.2">
      <c r="A742" s="1">
        <f>Acciones!A742</f>
        <v>46077</v>
      </c>
      <c r="B742" s="4">
        <f>Acciones!B742/Acciones!B741</f>
        <v>0.98064517915311455</v>
      </c>
      <c r="C742" s="4">
        <f>Acciones!C742/Acciones!C741</f>
        <v>1.0190391995840931</v>
      </c>
      <c r="D742" s="4">
        <f>Acciones!D742/Acciones!D741</f>
        <v>1.0174767454059506</v>
      </c>
      <c r="E742" s="4">
        <f>Acciones!E742/Acciones!E741</f>
        <v>0.99285712841213913</v>
      </c>
      <c r="F742" s="15">
        <f t="shared" si="33"/>
        <v>28748.612183411056</v>
      </c>
      <c r="G742" s="15">
        <f t="shared" si="35"/>
        <v>248.61218341105632</v>
      </c>
      <c r="H742" s="4">
        <f t="shared" si="34"/>
        <v>8.7232345056511562E-3</v>
      </c>
      <c r="I742" s="4"/>
    </row>
    <row r="743" spans="1:9" x14ac:dyDescent="0.2">
      <c r="A743" s="1">
        <f>Acciones!A743</f>
        <v>46078</v>
      </c>
      <c r="B743" s="4">
        <f>Acciones!B743/Acciones!B742</f>
        <v>0.95888157843140021</v>
      </c>
      <c r="C743" s="4">
        <f>Acciones!C743/Acciones!C742</f>
        <v>1.0640886837440495</v>
      </c>
      <c r="D743" s="4">
        <f>Acciones!D743/Acciones!D742</f>
        <v>0.98417182832329986</v>
      </c>
      <c r="E743" s="4">
        <f>Acciones!E743/Acciones!E742</f>
        <v>1.00719425925791</v>
      </c>
      <c r="F743" s="15">
        <f t="shared" si="33"/>
        <v>28846.214729229872</v>
      </c>
      <c r="G743" s="15">
        <f t="shared" si="35"/>
        <v>346.21472922987232</v>
      </c>
      <c r="H743" s="4">
        <f t="shared" si="34"/>
        <v>1.2147885236135858E-2</v>
      </c>
      <c r="I743" s="4"/>
    </row>
    <row r="744" spans="1:9" x14ac:dyDescent="0.2">
      <c r="A744" s="1">
        <f>Acciones!A744</f>
        <v>46079</v>
      </c>
      <c r="B744" s="4">
        <f>Acciones!B744/Acciones!B743</f>
        <v>0.98885076190889898</v>
      </c>
      <c r="C744" s="4">
        <f>Acciones!C744/Acciones!C743</f>
        <v>0.98999590855941921</v>
      </c>
      <c r="D744" s="4">
        <f>Acciones!D744/Acciones!D743</f>
        <v>1.0216091602950619</v>
      </c>
      <c r="E744" s="4">
        <f>Acciones!E744/Acciones!E743</f>
        <v>0.98571425682427816</v>
      </c>
      <c r="F744" s="15">
        <f t="shared" si="33"/>
        <v>28503.458813479778</v>
      </c>
      <c r="G744" s="15">
        <f t="shared" si="35"/>
        <v>3.4588134797777457</v>
      </c>
      <c r="H744" s="4">
        <f t="shared" si="34"/>
        <v>1.213618764834834E-4</v>
      </c>
      <c r="I744" s="4"/>
    </row>
    <row r="745" spans="1:9" x14ac:dyDescent="0.2">
      <c r="A745" s="1">
        <f>Acciones!A745</f>
        <v>46080</v>
      </c>
      <c r="B745" s="4">
        <f>Acciones!B745/Acciones!B744</f>
        <v>0.98525584733469074</v>
      </c>
      <c r="C745" s="4">
        <f>Acciones!C745/Acciones!C744</f>
        <v>1.0683989610555247</v>
      </c>
      <c r="D745" s="4">
        <f>Acciones!D745/Acciones!D744</f>
        <v>0.96413143884451968</v>
      </c>
      <c r="E745" s="4">
        <f>Acciones!E745/Acciones!E744</f>
        <v>1</v>
      </c>
      <c r="F745" s="15">
        <f t="shared" si="33"/>
        <v>28739.499984144099</v>
      </c>
      <c r="G745" s="15">
        <f t="shared" si="35"/>
        <v>239.49998414409856</v>
      </c>
      <c r="H745" s="4">
        <f t="shared" si="34"/>
        <v>8.4035082155824448E-3</v>
      </c>
      <c r="I745" s="4"/>
    </row>
    <row r="746" spans="1:9" x14ac:dyDescent="0.2">
      <c r="A746" s="1">
        <f>Acciones!A746</f>
        <v>46083</v>
      </c>
      <c r="B746" s="4">
        <f>Acciones!B746/Acciones!B745</f>
        <v>0.98151408059034884</v>
      </c>
      <c r="C746" s="4">
        <f>Acciones!C746/Acciones!C745</f>
        <v>1.0659503289200789</v>
      </c>
      <c r="D746" s="4">
        <f>Acciones!D746/Acciones!D745</f>
        <v>0.98870877530439139</v>
      </c>
      <c r="E746" s="4">
        <f>Acciones!E746/Acciones!E745</f>
        <v>1.0362319583916406</v>
      </c>
      <c r="F746" s="15">
        <f t="shared" si="33"/>
        <v>29148.190931004909</v>
      </c>
      <c r="G746" s="15">
        <f t="shared" si="35"/>
        <v>648.19093100490863</v>
      </c>
      <c r="H746" s="4">
        <f t="shared" si="34"/>
        <v>2.2743541438768666E-2</v>
      </c>
      <c r="I746" s="4"/>
    </row>
    <row r="747" spans="1:9" x14ac:dyDescent="0.2">
      <c r="A747" s="1">
        <f>Acciones!A747</f>
        <v>46084</v>
      </c>
      <c r="B747" s="4">
        <f>Acciones!B747/Acciones!B746</f>
        <v>0.9928251187046635</v>
      </c>
      <c r="C747" s="4">
        <f>Acciones!C747/Acciones!C746</f>
        <v>0.93535346427567223</v>
      </c>
      <c r="D747" s="4">
        <f>Acciones!D747/Acciones!D746</f>
        <v>0.99296266653721232</v>
      </c>
      <c r="E747" s="4">
        <f>Acciones!E747/Acciones!E746</f>
        <v>1.027971979149209</v>
      </c>
      <c r="F747" s="15">
        <f t="shared" si="33"/>
        <v>27944.218376777982</v>
      </c>
      <c r="G747" s="15">
        <f t="shared" si="35"/>
        <v>-555.78162322201752</v>
      </c>
      <c r="H747" s="4">
        <f t="shared" si="34"/>
        <v>-1.9501109586737453E-2</v>
      </c>
      <c r="I747" s="4"/>
    </row>
    <row r="748" spans="1:9" x14ac:dyDescent="0.2">
      <c r="A748" s="1">
        <f>Acciones!A748</f>
        <v>46085</v>
      </c>
      <c r="B748" s="4">
        <f>Acciones!B748/Acciones!B747</f>
        <v>0.99819336001438641</v>
      </c>
      <c r="C748" s="4">
        <f>Acciones!C748/Acciones!C747</f>
        <v>1.0622095958439666</v>
      </c>
      <c r="D748" s="4">
        <f>Acciones!D748/Acciones!D747</f>
        <v>0.98088853999858561</v>
      </c>
      <c r="E748" s="4">
        <f>Acciones!E748/Acciones!E747</f>
        <v>0.98639453023987833</v>
      </c>
      <c r="F748" s="15">
        <f t="shared" si="33"/>
        <v>28818.723236873218</v>
      </c>
      <c r="G748" s="15">
        <f t="shared" si="35"/>
        <v>318.72323687321841</v>
      </c>
      <c r="H748" s="4">
        <f t="shared" si="34"/>
        <v>1.11832714692357E-2</v>
      </c>
      <c r="I748" s="4"/>
    </row>
    <row r="749" spans="1:9" x14ac:dyDescent="0.2">
      <c r="A749" s="1">
        <f>Acciones!A749</f>
        <v>46086</v>
      </c>
      <c r="B749" s="4">
        <f>Acciones!B749/Acciones!B748</f>
        <v>0.9954750959392088</v>
      </c>
      <c r="C749" s="4">
        <f>Acciones!C749/Acciones!C748</f>
        <v>0.93863909034630766</v>
      </c>
      <c r="D749" s="4">
        <f>Acciones!D749/Acciones!D748</f>
        <v>0.99892350441046152</v>
      </c>
      <c r="E749" s="4">
        <f>Acciones!E749/Acciones!E748</f>
        <v>1</v>
      </c>
      <c r="F749" s="15">
        <f t="shared" si="33"/>
        <v>27890.469238181766</v>
      </c>
      <c r="G749" s="15">
        <f t="shared" si="35"/>
        <v>-609.53076181823417</v>
      </c>
      <c r="H749" s="4">
        <f t="shared" si="34"/>
        <v>-2.138704427432403E-2</v>
      </c>
      <c r="I749" s="4"/>
    </row>
    <row r="750" spans="1:9" x14ac:dyDescent="0.2">
      <c r="A750" s="1">
        <f>Acciones!A750</f>
        <v>46087</v>
      </c>
      <c r="B750" s="4">
        <f>Acciones!B750/Acciones!B749</f>
        <v>0.99545452811500901</v>
      </c>
      <c r="C750" s="4">
        <f>Acciones!C750/Acciones!C749</f>
        <v>0.91857603992844661</v>
      </c>
      <c r="D750" s="4">
        <f>Acciones!D750/Acciones!D749</f>
        <v>0.98587379825925248</v>
      </c>
      <c r="E750" s="4">
        <f>Acciones!E750/Acciones!E749</f>
        <v>0.9448275755758665</v>
      </c>
      <c r="F750" s="15">
        <f t="shared" si="33"/>
        <v>27265.852875982568</v>
      </c>
      <c r="G750" s="15">
        <f t="shared" si="35"/>
        <v>-1234.1471240174324</v>
      </c>
      <c r="H750" s="4">
        <f t="shared" si="34"/>
        <v>-4.3303407860260767E-2</v>
      </c>
      <c r="I750" s="4"/>
    </row>
    <row r="751" spans="1:9" x14ac:dyDescent="0.2">
      <c r="A751" s="1">
        <f>Acciones!A751</f>
        <v>46090</v>
      </c>
      <c r="B751" s="4">
        <f>Acciones!B751/Acciones!B750</f>
        <v>0.99634703538358482</v>
      </c>
      <c r="C751" s="4">
        <f>Acciones!C751/Acciones!C750</f>
        <v>1.0720828344104187</v>
      </c>
      <c r="D751" s="4">
        <f>Acciones!D751/Acciones!D750</f>
        <v>0.98316999689790374</v>
      </c>
      <c r="E751" s="4">
        <f>Acciones!E751/Acciones!E750</f>
        <v>0.94890511266474931</v>
      </c>
      <c r="F751" s="15">
        <f t="shared" si="33"/>
        <v>28722.679639376685</v>
      </c>
      <c r="G751" s="15">
        <f t="shared" si="35"/>
        <v>222.67963937668537</v>
      </c>
      <c r="H751" s="4">
        <f t="shared" si="34"/>
        <v>7.8133206798836063E-3</v>
      </c>
      <c r="I75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437A-7B90-3F43-8657-74E697BD036D}">
  <dimension ref="A1:E751"/>
  <sheetViews>
    <sheetView zoomScale="213" workbookViewId="0">
      <selection activeCell="E4" sqref="E4"/>
    </sheetView>
  </sheetViews>
  <sheetFormatPr baseColWidth="10" defaultRowHeight="16" x14ac:dyDescent="0.2"/>
  <cols>
    <col min="4" max="4" width="26.33203125" customWidth="1"/>
    <col min="5" max="5" width="9" bestFit="1" customWidth="1"/>
  </cols>
  <sheetData>
    <row r="1" spans="1:5" ht="35" thickBot="1" x14ac:dyDescent="0.25">
      <c r="A1" t="str">
        <f>Acciones!A1</f>
        <v>Fecha</v>
      </c>
      <c r="B1" s="12" t="s">
        <v>38</v>
      </c>
    </row>
    <row r="2" spans="1:5" x14ac:dyDescent="0.2">
      <c r="A2" s="1">
        <f>Acciones!A518</f>
        <v>45750</v>
      </c>
      <c r="B2" s="15">
        <v>-3014.8087666435204</v>
      </c>
      <c r="D2" s="16" t="s">
        <v>39</v>
      </c>
      <c r="E2" s="17">
        <v>0.97499999999999998</v>
      </c>
    </row>
    <row r="3" spans="1:5" x14ac:dyDescent="0.2">
      <c r="A3" s="1">
        <f>Acciones!A709</f>
        <v>46029</v>
      </c>
      <c r="B3" s="15">
        <v>-2052.0338889205777</v>
      </c>
      <c r="D3" s="18" t="s">
        <v>40</v>
      </c>
      <c r="E3" s="19">
        <f>COUNT(B2:B751)*(1-E2)</f>
        <v>18.750000000000018</v>
      </c>
    </row>
    <row r="4" spans="1:5" ht="17" x14ac:dyDescent="0.25">
      <c r="A4" s="1">
        <f>Acciones!A245</f>
        <v>45351</v>
      </c>
      <c r="B4" s="15">
        <v>-1962.5552375883053</v>
      </c>
      <c r="D4" s="20" t="s">
        <v>76</v>
      </c>
      <c r="E4" s="21">
        <f>ABS(SMALL(B2:B751,E3))</f>
        <v>1380.0026214536447</v>
      </c>
    </row>
    <row r="5" spans="1:5" ht="17" x14ac:dyDescent="0.25">
      <c r="A5" s="1">
        <f>Acciones!A327</f>
        <v>45471</v>
      </c>
      <c r="B5" s="15">
        <v>-1749.4664105657939</v>
      </c>
      <c r="D5" s="18" t="s">
        <v>77</v>
      </c>
      <c r="E5" s="22">
        <f>E4/Portafolio!J6</f>
        <v>4.8421144612408588E-2</v>
      </c>
    </row>
    <row r="6" spans="1:5" ht="17" x14ac:dyDescent="0.25">
      <c r="A6" s="1">
        <f>Acciones!A8</f>
        <v>45007</v>
      </c>
      <c r="B6" s="15">
        <v>-1676.3545886485663</v>
      </c>
      <c r="D6" s="20" t="s">
        <v>78</v>
      </c>
      <c r="E6" s="21">
        <f>ABS(AVERAGE(B2:B18))</f>
        <v>1670.9708433239769</v>
      </c>
    </row>
    <row r="7" spans="1:5" ht="17" x14ac:dyDescent="0.25">
      <c r="A7" s="1">
        <f>Acciones!A248</f>
        <v>45356</v>
      </c>
      <c r="B7" s="15">
        <v>-1670.5109687851109</v>
      </c>
      <c r="D7" s="18" t="s">
        <v>79</v>
      </c>
      <c r="E7" s="22">
        <f>E6/Portafolio!J6</f>
        <v>5.8630555906104449E-2</v>
      </c>
    </row>
    <row r="8" spans="1:5" x14ac:dyDescent="0.2">
      <c r="A8" s="1">
        <f>Acciones!A696</f>
        <v>46008</v>
      </c>
      <c r="B8" s="15">
        <v>-1646.1716351509131</v>
      </c>
      <c r="D8" s="18" t="s">
        <v>41</v>
      </c>
      <c r="E8" s="19">
        <v>10</v>
      </c>
    </row>
    <row r="9" spans="1:5" ht="17" x14ac:dyDescent="0.25">
      <c r="A9" s="1">
        <f>Acciones!A523</f>
        <v>45757</v>
      </c>
      <c r="B9" s="15">
        <v>-1598.4474546959573</v>
      </c>
      <c r="D9" s="20" t="s">
        <v>72</v>
      </c>
      <c r="E9" s="21">
        <f>E4*SQRT(E8)</f>
        <v>4363.9514607966612</v>
      </c>
    </row>
    <row r="10" spans="1:5" ht="18" thickBot="1" x14ac:dyDescent="0.3">
      <c r="A10" s="1">
        <f>Acciones!A729</f>
        <v>46058</v>
      </c>
      <c r="B10" s="15">
        <v>-1519.1837950340196</v>
      </c>
      <c r="D10" s="23" t="s">
        <v>80</v>
      </c>
      <c r="E10" s="24">
        <f>E9/Portafolio!J6</f>
        <v>0.15312110388760214</v>
      </c>
    </row>
    <row r="11" spans="1:5" ht="17" thickBot="1" x14ac:dyDescent="0.25">
      <c r="A11" s="1">
        <f>Acciones!A212</f>
        <v>45303</v>
      </c>
      <c r="B11" s="15">
        <v>-1490.8997986388276</v>
      </c>
    </row>
    <row r="12" spans="1:5" x14ac:dyDescent="0.2">
      <c r="A12" s="1">
        <f>Acciones!A41</f>
        <v>45057</v>
      </c>
      <c r="B12" s="15">
        <v>-1467.6897686489247</v>
      </c>
      <c r="D12" s="25" t="s">
        <v>42</v>
      </c>
      <c r="E12" s="26"/>
    </row>
    <row r="13" spans="1:5" ht="17" x14ac:dyDescent="0.25">
      <c r="A13" s="1">
        <f>Acciones!A501</f>
        <v>45726</v>
      </c>
      <c r="B13" s="15">
        <v>-1446.2874571001703</v>
      </c>
      <c r="D13" s="20" t="s">
        <v>43</v>
      </c>
      <c r="E13" s="21">
        <f>3*E9</f>
        <v>13091.854382389984</v>
      </c>
    </row>
    <row r="14" spans="1:5" ht="18" thickBot="1" x14ac:dyDescent="0.3">
      <c r="A14" s="1">
        <f>Acciones!A698</f>
        <v>46010</v>
      </c>
      <c r="B14" s="15">
        <v>-1440.73933370124</v>
      </c>
      <c r="D14" s="23" t="s">
        <v>44</v>
      </c>
      <c r="E14" s="24">
        <f>E13/Portafolio!J6</f>
        <v>0.45936331166280642</v>
      </c>
    </row>
    <row r="15" spans="1:5" x14ac:dyDescent="0.2">
      <c r="A15" s="1">
        <f>Acciones!A292</f>
        <v>45422</v>
      </c>
      <c r="B15" s="15">
        <v>-1439.9811048503907</v>
      </c>
    </row>
    <row r="16" spans="1:5" x14ac:dyDescent="0.2">
      <c r="A16" s="1">
        <f>Acciones!A423</f>
        <v>45609</v>
      </c>
      <c r="B16" s="15">
        <v>-1428.7620999012288</v>
      </c>
    </row>
    <row r="17" spans="1:2" x14ac:dyDescent="0.2">
      <c r="A17" s="1">
        <f>Acciones!A426</f>
        <v>45615</v>
      </c>
      <c r="B17" s="15">
        <v>-1404.0835929688728</v>
      </c>
    </row>
    <row r="18" spans="1:2" x14ac:dyDescent="0.2">
      <c r="A18" s="1">
        <f>Acciones!A203</f>
        <v>45289</v>
      </c>
      <c r="B18" s="15">
        <v>-1398.5284346651861</v>
      </c>
    </row>
    <row r="19" spans="1:2" x14ac:dyDescent="0.2">
      <c r="A19" s="27">
        <f>Acciones!A537</f>
        <v>45782</v>
      </c>
      <c r="B19" s="28">
        <v>-1380.0026214536447</v>
      </c>
    </row>
    <row r="20" spans="1:2" x14ac:dyDescent="0.2">
      <c r="A20" s="1">
        <f>Acciones!A116</f>
        <v>45162</v>
      </c>
      <c r="B20" s="15">
        <v>-1329.6058534820113</v>
      </c>
    </row>
    <row r="21" spans="1:2" x14ac:dyDescent="0.2">
      <c r="A21" s="1">
        <f>Acciones!A521</f>
        <v>45755</v>
      </c>
      <c r="B21" s="15">
        <v>-1318.1594565437081</v>
      </c>
    </row>
    <row r="22" spans="1:2" x14ac:dyDescent="0.2">
      <c r="A22" s="1">
        <f>Acciones!A393</f>
        <v>45567</v>
      </c>
      <c r="B22" s="15">
        <v>-1306.9811165440442</v>
      </c>
    </row>
    <row r="23" spans="1:2" x14ac:dyDescent="0.2">
      <c r="A23" s="1">
        <f>Acciones!A654</f>
        <v>45946</v>
      </c>
      <c r="B23" s="15">
        <v>-1269.8784161498588</v>
      </c>
    </row>
    <row r="24" spans="1:2" x14ac:dyDescent="0.2">
      <c r="A24" s="1">
        <f>Acciones!A699</f>
        <v>46013</v>
      </c>
      <c r="B24" s="15">
        <v>-1250.4893727556591</v>
      </c>
    </row>
    <row r="25" spans="1:2" x14ac:dyDescent="0.2">
      <c r="A25" s="1">
        <f>Acciones!A750</f>
        <v>46087</v>
      </c>
      <c r="B25" s="15">
        <v>-1234.1471240174324</v>
      </c>
    </row>
    <row r="26" spans="1:2" x14ac:dyDescent="0.2">
      <c r="A26" s="1">
        <f>Acciones!A265</f>
        <v>45384</v>
      </c>
      <c r="B26" s="15">
        <v>-1215.8637062839007</v>
      </c>
    </row>
    <row r="27" spans="1:2" x14ac:dyDescent="0.2">
      <c r="A27" s="1">
        <f>Acciones!A374</f>
        <v>45538</v>
      </c>
      <c r="B27" s="15">
        <v>-1214.4192217593518</v>
      </c>
    </row>
    <row r="28" spans="1:2" x14ac:dyDescent="0.2">
      <c r="A28" s="1">
        <f>Acciones!A514</f>
        <v>45744</v>
      </c>
      <c r="B28" s="15">
        <v>-1190.8533211003669</v>
      </c>
    </row>
    <row r="29" spans="1:2" x14ac:dyDescent="0.2">
      <c r="A29" s="1">
        <f>Acciones!A255</f>
        <v>45365</v>
      </c>
      <c r="B29" s="15">
        <v>-1188.5600503271744</v>
      </c>
    </row>
    <row r="30" spans="1:2" x14ac:dyDescent="0.2">
      <c r="A30" s="1">
        <f>Acciones!A731</f>
        <v>46062</v>
      </c>
      <c r="B30" s="15">
        <v>-1178.6017229200443</v>
      </c>
    </row>
    <row r="31" spans="1:2" x14ac:dyDescent="0.2">
      <c r="A31" s="1">
        <f>Acciones!A144</f>
        <v>45202</v>
      </c>
      <c r="B31" s="15">
        <v>-1147.9693058980629</v>
      </c>
    </row>
    <row r="32" spans="1:2" x14ac:dyDescent="0.2">
      <c r="A32" s="1">
        <f>Acciones!A727</f>
        <v>46056</v>
      </c>
      <c r="B32" s="15">
        <v>-1147.3126616061963</v>
      </c>
    </row>
    <row r="33" spans="1:2" x14ac:dyDescent="0.2">
      <c r="A33" s="1">
        <f>Acciones!A27</f>
        <v>45036</v>
      </c>
      <c r="B33" s="15">
        <v>-1144.0695247337862</v>
      </c>
    </row>
    <row r="34" spans="1:2" x14ac:dyDescent="0.2">
      <c r="A34" s="1">
        <f>Acciones!A285</f>
        <v>45412</v>
      </c>
      <c r="B34" s="15">
        <v>-1142.8146257810222</v>
      </c>
    </row>
    <row r="35" spans="1:2" x14ac:dyDescent="0.2">
      <c r="A35" s="1">
        <f>Acciones!A446</f>
        <v>45644</v>
      </c>
      <c r="B35" s="15">
        <v>-1141.9244356011695</v>
      </c>
    </row>
    <row r="36" spans="1:2" x14ac:dyDescent="0.2">
      <c r="A36" s="1">
        <f>Acciones!A492</f>
        <v>45713</v>
      </c>
      <c r="B36" s="15">
        <v>-1130.3941697885384</v>
      </c>
    </row>
    <row r="37" spans="1:2" x14ac:dyDescent="0.2">
      <c r="A37" s="1">
        <f>Acciones!A260</f>
        <v>45373</v>
      </c>
      <c r="B37" s="15">
        <v>-1116.8013006609544</v>
      </c>
    </row>
    <row r="38" spans="1:2" x14ac:dyDescent="0.2">
      <c r="A38" s="1">
        <f>Acciones!A702</f>
        <v>46017</v>
      </c>
      <c r="B38" s="15">
        <v>-1109.7656887990015</v>
      </c>
    </row>
    <row r="39" spans="1:2" x14ac:dyDescent="0.2">
      <c r="A39" s="1">
        <f>Acciones!A718</f>
        <v>46042</v>
      </c>
      <c r="B39" s="15">
        <v>-1105.0192585820696</v>
      </c>
    </row>
    <row r="40" spans="1:2" x14ac:dyDescent="0.2">
      <c r="A40" s="1">
        <f>Acciones!A128</f>
        <v>45180</v>
      </c>
      <c r="B40" s="15">
        <v>-1101.3047213204336</v>
      </c>
    </row>
    <row r="41" spans="1:2" x14ac:dyDescent="0.2">
      <c r="A41" s="1">
        <f>Acciones!A639</f>
        <v>45925</v>
      </c>
      <c r="B41" s="15">
        <v>-1097.9465138554224</v>
      </c>
    </row>
    <row r="42" spans="1:2" x14ac:dyDescent="0.2">
      <c r="A42" s="1">
        <f>Acciones!A650</f>
        <v>45940</v>
      </c>
      <c r="B42" s="15">
        <v>-1096.8595916489066</v>
      </c>
    </row>
    <row r="43" spans="1:2" x14ac:dyDescent="0.2">
      <c r="A43" s="1">
        <f>Acciones!A504</f>
        <v>45729</v>
      </c>
      <c r="B43" s="15">
        <v>-1095.1079517692779</v>
      </c>
    </row>
    <row r="44" spans="1:2" x14ac:dyDescent="0.2">
      <c r="A44" s="1">
        <f>Acciones!A344</f>
        <v>45496</v>
      </c>
      <c r="B44" s="15">
        <v>-1090.5019668036184</v>
      </c>
    </row>
    <row r="45" spans="1:2" x14ac:dyDescent="0.2">
      <c r="A45" s="1">
        <f>Acciones!A38</f>
        <v>45054</v>
      </c>
      <c r="B45" s="15">
        <v>-1087.0760693793563</v>
      </c>
    </row>
    <row r="46" spans="1:2" x14ac:dyDescent="0.2">
      <c r="A46" s="1">
        <f>Acciones!A355</f>
        <v>45511</v>
      </c>
      <c r="B46" s="15">
        <v>-1057.4633594516272</v>
      </c>
    </row>
    <row r="47" spans="1:2" x14ac:dyDescent="0.2">
      <c r="A47" s="1">
        <f>Acciones!A127</f>
        <v>45177</v>
      </c>
      <c r="B47" s="15">
        <v>-1056.0448805832057</v>
      </c>
    </row>
    <row r="48" spans="1:2" x14ac:dyDescent="0.2">
      <c r="A48" s="1">
        <f>Acciones!A191</f>
        <v>45271</v>
      </c>
      <c r="B48" s="15">
        <v>-1054.8051865094239</v>
      </c>
    </row>
    <row r="49" spans="1:2" x14ac:dyDescent="0.2">
      <c r="A49" s="1">
        <f>Acciones!A211</f>
        <v>45302</v>
      </c>
      <c r="B49" s="15">
        <v>-1052.2284434923204</v>
      </c>
    </row>
    <row r="50" spans="1:2" x14ac:dyDescent="0.2">
      <c r="A50" s="1">
        <f>Acciones!A58</f>
        <v>45082</v>
      </c>
      <c r="B50" s="15">
        <v>-1051.6019850319863</v>
      </c>
    </row>
    <row r="51" spans="1:2" x14ac:dyDescent="0.2">
      <c r="A51" s="1">
        <f>Acciones!A112</f>
        <v>45156</v>
      </c>
      <c r="B51" s="15">
        <v>-1051.1240044456317</v>
      </c>
    </row>
    <row r="52" spans="1:2" x14ac:dyDescent="0.2">
      <c r="A52" s="1">
        <f>Acciones!A161</f>
        <v>45225</v>
      </c>
      <c r="B52" s="15">
        <v>-1047.7595003996248</v>
      </c>
    </row>
    <row r="53" spans="1:2" x14ac:dyDescent="0.2">
      <c r="A53" s="1">
        <f>Acciones!A408</f>
        <v>45588</v>
      </c>
      <c r="B53" s="15">
        <v>-1034.5458574992226</v>
      </c>
    </row>
    <row r="54" spans="1:2" x14ac:dyDescent="0.2">
      <c r="A54" s="1">
        <f>Acciones!A396</f>
        <v>45572</v>
      </c>
      <c r="B54" s="15">
        <v>-1026.0532688332241</v>
      </c>
    </row>
    <row r="55" spans="1:2" x14ac:dyDescent="0.2">
      <c r="A55" s="1">
        <f>Acciones!A26</f>
        <v>45035</v>
      </c>
      <c r="B55" s="15">
        <v>-1023.5101768283967</v>
      </c>
    </row>
    <row r="56" spans="1:2" x14ac:dyDescent="0.2">
      <c r="A56" s="1">
        <f>Acciones!A11</f>
        <v>45012</v>
      </c>
      <c r="B56" s="15">
        <v>-1003.0550915352142</v>
      </c>
    </row>
    <row r="57" spans="1:2" x14ac:dyDescent="0.2">
      <c r="A57" s="1">
        <f>Acciones!A700</f>
        <v>46014</v>
      </c>
      <c r="B57" s="15">
        <v>-1002.9460805573872</v>
      </c>
    </row>
    <row r="58" spans="1:2" x14ac:dyDescent="0.2">
      <c r="A58" s="1">
        <f>Acciones!A409</f>
        <v>45589</v>
      </c>
      <c r="B58" s="15">
        <v>-990.74177995046557</v>
      </c>
    </row>
    <row r="59" spans="1:2" x14ac:dyDescent="0.2">
      <c r="A59" s="1">
        <f>Acciones!A704</f>
        <v>46021</v>
      </c>
      <c r="B59" s="15">
        <v>-974.73604433194851</v>
      </c>
    </row>
    <row r="60" spans="1:2" x14ac:dyDescent="0.2">
      <c r="A60" s="1">
        <f>Acciones!A247</f>
        <v>45355</v>
      </c>
      <c r="B60" s="15">
        <v>-949.54153924392449</v>
      </c>
    </row>
    <row r="61" spans="1:2" x14ac:dyDescent="0.2">
      <c r="A61" s="1">
        <f>Acciones!A440</f>
        <v>45635</v>
      </c>
      <c r="B61" s="15">
        <v>-931.16446499334415</v>
      </c>
    </row>
    <row r="62" spans="1:2" x14ac:dyDescent="0.2">
      <c r="A62" s="1">
        <f>Acciones!A551</f>
        <v>45800</v>
      </c>
      <c r="B62" s="15">
        <v>-912.73008269542697</v>
      </c>
    </row>
    <row r="63" spans="1:2" x14ac:dyDescent="0.2">
      <c r="A63" s="1">
        <f>Acciones!A566</f>
        <v>45821</v>
      </c>
      <c r="B63" s="15">
        <v>-912.08458837688886</v>
      </c>
    </row>
    <row r="64" spans="1:2" x14ac:dyDescent="0.2">
      <c r="A64" s="1">
        <f>Acciones!A694</f>
        <v>46006</v>
      </c>
      <c r="B64" s="15">
        <v>-906.85514459887781</v>
      </c>
    </row>
    <row r="65" spans="1:2" x14ac:dyDescent="0.2">
      <c r="A65" s="1">
        <f>Acciones!A594</f>
        <v>45861</v>
      </c>
      <c r="B65" s="15">
        <v>-897.03857245841573</v>
      </c>
    </row>
    <row r="66" spans="1:2" x14ac:dyDescent="0.2">
      <c r="A66" s="1">
        <f>Acciones!A414</f>
        <v>45596</v>
      </c>
      <c r="B66" s="15">
        <v>-896.84384014031821</v>
      </c>
    </row>
    <row r="67" spans="1:2" x14ac:dyDescent="0.2">
      <c r="A67" s="1">
        <f>Acciones!A351</f>
        <v>45505</v>
      </c>
      <c r="B67" s="15">
        <v>-896.16589971087524</v>
      </c>
    </row>
    <row r="68" spans="1:2" x14ac:dyDescent="0.2">
      <c r="A68" s="1">
        <f>Acciones!A106</f>
        <v>45148</v>
      </c>
      <c r="B68" s="15">
        <v>-879.33060884984661</v>
      </c>
    </row>
    <row r="69" spans="1:2" x14ac:dyDescent="0.2">
      <c r="A69" s="1">
        <f>Acciones!A392</f>
        <v>45565</v>
      </c>
      <c r="B69" s="15">
        <v>-878.61824527388308</v>
      </c>
    </row>
    <row r="70" spans="1:2" x14ac:dyDescent="0.2">
      <c r="A70" s="1">
        <f>Acciones!A725</f>
        <v>46051</v>
      </c>
      <c r="B70" s="15">
        <v>-878.12529348612952</v>
      </c>
    </row>
    <row r="71" spans="1:2" x14ac:dyDescent="0.2">
      <c r="A71" s="1">
        <f>Acciones!A262</f>
        <v>45377</v>
      </c>
      <c r="B71" s="15">
        <v>-877.19072485134893</v>
      </c>
    </row>
    <row r="72" spans="1:2" x14ac:dyDescent="0.2">
      <c r="A72" s="1">
        <f>Acciones!A137</f>
        <v>45191</v>
      </c>
      <c r="B72" s="15">
        <v>-875.44767633870651</v>
      </c>
    </row>
    <row r="73" spans="1:2" x14ac:dyDescent="0.2">
      <c r="A73" s="1">
        <f>Acciones!A493</f>
        <v>45714</v>
      </c>
      <c r="B73" s="15">
        <v>-873.38116580188944</v>
      </c>
    </row>
    <row r="74" spans="1:2" x14ac:dyDescent="0.2">
      <c r="A74" s="1">
        <f>Acciones!A358</f>
        <v>45516</v>
      </c>
      <c r="B74" s="15">
        <v>-871.99556695679348</v>
      </c>
    </row>
    <row r="75" spans="1:2" x14ac:dyDescent="0.2">
      <c r="A75" s="1">
        <f>Acciones!A406</f>
        <v>45586</v>
      </c>
      <c r="B75" s="15">
        <v>-870.66135598276014</v>
      </c>
    </row>
    <row r="76" spans="1:2" x14ac:dyDescent="0.2">
      <c r="A76" s="1">
        <f>Acciones!A447</f>
        <v>45645</v>
      </c>
      <c r="B76" s="15">
        <v>-854.67629352193035</v>
      </c>
    </row>
    <row r="77" spans="1:2" x14ac:dyDescent="0.2">
      <c r="A77" s="1">
        <f>Acciones!A528</f>
        <v>45768</v>
      </c>
      <c r="B77" s="15">
        <v>-849.60985349307521</v>
      </c>
    </row>
    <row r="78" spans="1:2" x14ac:dyDescent="0.2">
      <c r="A78" s="1">
        <f>Acciones!A535</f>
        <v>45777</v>
      </c>
      <c r="B78" s="15">
        <v>-843.53770234251715</v>
      </c>
    </row>
    <row r="79" spans="1:2" x14ac:dyDescent="0.2">
      <c r="A79" s="1">
        <f>Acciones!A202</f>
        <v>45288</v>
      </c>
      <c r="B79" s="15">
        <v>-830.10525536945715</v>
      </c>
    </row>
    <row r="80" spans="1:2" x14ac:dyDescent="0.2">
      <c r="A80" s="1">
        <f>Acciones!A675</f>
        <v>45975</v>
      </c>
      <c r="B80" s="15">
        <v>-826.60094863747508</v>
      </c>
    </row>
    <row r="81" spans="1:2" x14ac:dyDescent="0.2">
      <c r="A81" s="1">
        <f>Acciones!A611</f>
        <v>45884</v>
      </c>
      <c r="B81" s="15">
        <v>-825.53074523288524</v>
      </c>
    </row>
    <row r="82" spans="1:2" x14ac:dyDescent="0.2">
      <c r="A82" s="1">
        <f>Acciones!A554</f>
        <v>45805</v>
      </c>
      <c r="B82" s="15">
        <v>-818.54129125145482</v>
      </c>
    </row>
    <row r="83" spans="1:2" x14ac:dyDescent="0.2">
      <c r="A83" s="1">
        <f>Acciones!A111</f>
        <v>45155</v>
      </c>
      <c r="B83" s="15">
        <v>-813.07281125782174</v>
      </c>
    </row>
    <row r="84" spans="1:2" x14ac:dyDescent="0.2">
      <c r="A84" s="1">
        <f>Acciones!A322</f>
        <v>45464</v>
      </c>
      <c r="B84" s="15">
        <v>-803.42575974336796</v>
      </c>
    </row>
    <row r="85" spans="1:2" x14ac:dyDescent="0.2">
      <c r="A85" s="1">
        <f>Acciones!A490</f>
        <v>45709</v>
      </c>
      <c r="B85" s="15">
        <v>-800.3674612214927</v>
      </c>
    </row>
    <row r="86" spans="1:2" x14ac:dyDescent="0.2">
      <c r="A86" s="1">
        <f>Acciones!A549</f>
        <v>45798</v>
      </c>
      <c r="B86" s="15">
        <v>-796.02626875766873</v>
      </c>
    </row>
    <row r="87" spans="1:2" x14ac:dyDescent="0.2">
      <c r="A87" s="1">
        <f>Acciones!A400</f>
        <v>45576</v>
      </c>
      <c r="B87" s="15">
        <v>-795.87395801320599</v>
      </c>
    </row>
    <row r="88" spans="1:2" x14ac:dyDescent="0.2">
      <c r="A88" s="1">
        <f>Acciones!A238</f>
        <v>45342</v>
      </c>
      <c r="B88" s="15">
        <v>-789.82020323708275</v>
      </c>
    </row>
    <row r="89" spans="1:2" x14ac:dyDescent="0.2">
      <c r="A89" s="1">
        <f>Acciones!A515</f>
        <v>45747</v>
      </c>
      <c r="B89" s="15">
        <v>-780.03336667257099</v>
      </c>
    </row>
    <row r="90" spans="1:2" x14ac:dyDescent="0.2">
      <c r="A90" s="1">
        <f>Acciones!A480</f>
        <v>45695</v>
      </c>
      <c r="B90" s="15">
        <v>-775.53021837714186</v>
      </c>
    </row>
    <row r="91" spans="1:2" x14ac:dyDescent="0.2">
      <c r="A91" s="1">
        <f>Acciones!A674</f>
        <v>45974</v>
      </c>
      <c r="B91" s="15">
        <v>-767.70550344521325</v>
      </c>
    </row>
    <row r="92" spans="1:2" x14ac:dyDescent="0.2">
      <c r="A92" s="1">
        <f>Acciones!A664</f>
        <v>45960</v>
      </c>
      <c r="B92" s="15">
        <v>-764.60664274784358</v>
      </c>
    </row>
    <row r="93" spans="1:2" x14ac:dyDescent="0.2">
      <c r="A93" s="1">
        <f>Acciones!A485</f>
        <v>45702</v>
      </c>
      <c r="B93" s="15">
        <v>-762.73270577794392</v>
      </c>
    </row>
    <row r="94" spans="1:2" x14ac:dyDescent="0.2">
      <c r="A94" s="1">
        <f>Acciones!A560</f>
        <v>45813</v>
      </c>
      <c r="B94" s="15">
        <v>-760.09587815751729</v>
      </c>
    </row>
    <row r="95" spans="1:2" x14ac:dyDescent="0.2">
      <c r="A95" s="1">
        <f>Acciones!A678</f>
        <v>45981</v>
      </c>
      <c r="B95" s="15">
        <v>-750.39456911096204</v>
      </c>
    </row>
    <row r="96" spans="1:2" x14ac:dyDescent="0.2">
      <c r="A96" s="1">
        <f>Acciones!A172</f>
        <v>45243</v>
      </c>
      <c r="B96" s="15">
        <v>-750.13621783937197</v>
      </c>
    </row>
    <row r="97" spans="1:2" x14ac:dyDescent="0.2">
      <c r="A97" s="1">
        <f>Acciones!A87</f>
        <v>45121</v>
      </c>
      <c r="B97" s="15">
        <v>-749.47286312516371</v>
      </c>
    </row>
    <row r="98" spans="1:2" x14ac:dyDescent="0.2">
      <c r="A98" s="1">
        <f>Acciones!A139</f>
        <v>45195</v>
      </c>
      <c r="B98" s="15">
        <v>-740.86170878121629</v>
      </c>
    </row>
    <row r="99" spans="1:2" x14ac:dyDescent="0.2">
      <c r="A99" s="1">
        <f>Acciones!A370</f>
        <v>45532</v>
      </c>
      <c r="B99" s="15">
        <v>-739.27468817708723</v>
      </c>
    </row>
    <row r="100" spans="1:2" x14ac:dyDescent="0.2">
      <c r="A100" s="1">
        <f>Acciones!A703</f>
        <v>46020</v>
      </c>
      <c r="B100" s="15">
        <v>-739.24959139407656</v>
      </c>
    </row>
    <row r="101" spans="1:2" x14ac:dyDescent="0.2">
      <c r="A101" s="1">
        <f>Acciones!A47</f>
        <v>45065</v>
      </c>
      <c r="B101" s="15">
        <v>-736.43612810099148</v>
      </c>
    </row>
    <row r="102" spans="1:2" x14ac:dyDescent="0.2">
      <c r="A102" s="1">
        <f>Acciones!A140</f>
        <v>45196</v>
      </c>
      <c r="B102" s="15">
        <v>-735.62524634741567</v>
      </c>
    </row>
    <row r="103" spans="1:2" x14ac:dyDescent="0.2">
      <c r="A103" s="1">
        <f>Acciones!A225</f>
        <v>45322</v>
      </c>
      <c r="B103" s="15">
        <v>-734.01703332799661</v>
      </c>
    </row>
    <row r="104" spans="1:2" x14ac:dyDescent="0.2">
      <c r="A104" s="1">
        <f>Acciones!A330</f>
        <v>45476</v>
      </c>
      <c r="B104" s="15">
        <v>-732.31793938107148</v>
      </c>
    </row>
    <row r="105" spans="1:2" x14ac:dyDescent="0.2">
      <c r="A105" s="1">
        <f>Acciones!A207</f>
        <v>45296</v>
      </c>
      <c r="B105" s="15">
        <v>-731.38886264109169</v>
      </c>
    </row>
    <row r="106" spans="1:2" x14ac:dyDescent="0.2">
      <c r="A106" s="1">
        <f>Acciones!A502</f>
        <v>45727</v>
      </c>
      <c r="B106" s="15">
        <v>-728.5414762286382</v>
      </c>
    </row>
    <row r="107" spans="1:2" x14ac:dyDescent="0.2">
      <c r="A107" s="1">
        <f>Acciones!A697</f>
        <v>46009</v>
      </c>
      <c r="B107" s="15">
        <v>-717.74485773080596</v>
      </c>
    </row>
    <row r="108" spans="1:2" x14ac:dyDescent="0.2">
      <c r="A108" s="1">
        <f>Acciones!A132</f>
        <v>45184</v>
      </c>
      <c r="B108" s="15">
        <v>-704.12106563544148</v>
      </c>
    </row>
    <row r="109" spans="1:2" x14ac:dyDescent="0.2">
      <c r="A109" s="1">
        <f>Acciones!A274</f>
        <v>45397</v>
      </c>
      <c r="B109" s="15">
        <v>-703.0486472748853</v>
      </c>
    </row>
    <row r="110" spans="1:2" x14ac:dyDescent="0.2">
      <c r="A110" s="1">
        <f>Acciones!A582</f>
        <v>45845</v>
      </c>
      <c r="B110" s="15">
        <v>-700.52923564494267</v>
      </c>
    </row>
    <row r="111" spans="1:2" x14ac:dyDescent="0.2">
      <c r="A111" s="1">
        <f>Acciones!A62</f>
        <v>45086</v>
      </c>
      <c r="B111" s="15">
        <v>-699.57337023576838</v>
      </c>
    </row>
    <row r="112" spans="1:2" x14ac:dyDescent="0.2">
      <c r="A112" s="1">
        <f>Acciones!A667</f>
        <v>45965</v>
      </c>
      <c r="B112" s="15">
        <v>-696.49307654934091</v>
      </c>
    </row>
    <row r="113" spans="1:2" x14ac:dyDescent="0.2">
      <c r="A113" s="1">
        <f>Acciones!A252</f>
        <v>45362</v>
      </c>
      <c r="B113" s="15">
        <v>-696.01077196956612</v>
      </c>
    </row>
    <row r="114" spans="1:2" x14ac:dyDescent="0.2">
      <c r="A114" s="1">
        <f>Acciones!A271</f>
        <v>45392</v>
      </c>
      <c r="B114" s="15">
        <v>-694.05978255824448</v>
      </c>
    </row>
    <row r="115" spans="1:2" x14ac:dyDescent="0.2">
      <c r="A115" s="1">
        <f>Acciones!A377</f>
        <v>45541</v>
      </c>
      <c r="B115" s="15">
        <v>-693.13848738175511</v>
      </c>
    </row>
    <row r="116" spans="1:2" x14ac:dyDescent="0.2">
      <c r="A116" s="1">
        <f>Acciones!A273</f>
        <v>45394</v>
      </c>
      <c r="B116" s="15">
        <v>-691.01647446701827</v>
      </c>
    </row>
    <row r="117" spans="1:2" x14ac:dyDescent="0.2">
      <c r="A117" s="1">
        <f>Acciones!A284</f>
        <v>45411</v>
      </c>
      <c r="B117" s="15">
        <v>-687.32467782289314</v>
      </c>
    </row>
    <row r="118" spans="1:2" x14ac:dyDescent="0.2">
      <c r="A118" s="1">
        <f>Acciones!A236</f>
        <v>45338</v>
      </c>
      <c r="B118" s="15">
        <v>-676.20566905349187</v>
      </c>
    </row>
    <row r="119" spans="1:2" x14ac:dyDescent="0.2">
      <c r="A119" s="1">
        <f>Acciones!A341</f>
        <v>45491</v>
      </c>
      <c r="B119" s="15">
        <v>-655.57329800579464</v>
      </c>
    </row>
    <row r="120" spans="1:2" x14ac:dyDescent="0.2">
      <c r="A120" s="1">
        <f>Acciones!A10</f>
        <v>45009</v>
      </c>
      <c r="B120" s="15">
        <v>-655.34055067711597</v>
      </c>
    </row>
    <row r="121" spans="1:2" x14ac:dyDescent="0.2">
      <c r="A121" s="1">
        <f>Acciones!A424</f>
        <v>45610</v>
      </c>
      <c r="B121" s="15">
        <v>-647.30901578442354</v>
      </c>
    </row>
    <row r="122" spans="1:2" x14ac:dyDescent="0.2">
      <c r="A122" s="1">
        <f>Acciones!A333</f>
        <v>45481</v>
      </c>
      <c r="B122" s="15">
        <v>-645.59560586244697</v>
      </c>
    </row>
    <row r="123" spans="1:2" x14ac:dyDescent="0.2">
      <c r="A123" s="1">
        <f>Acciones!A135</f>
        <v>45189</v>
      </c>
      <c r="B123" s="15">
        <v>-642.99475551040086</v>
      </c>
    </row>
    <row r="124" spans="1:2" x14ac:dyDescent="0.2">
      <c r="A124" s="1">
        <f>Acciones!A267</f>
        <v>45386</v>
      </c>
      <c r="B124" s="15">
        <v>-634.40329441611539</v>
      </c>
    </row>
    <row r="125" spans="1:2" x14ac:dyDescent="0.2">
      <c r="A125" s="1">
        <f>Acciones!A360</f>
        <v>45518</v>
      </c>
      <c r="B125" s="15">
        <v>-633.66961532687128</v>
      </c>
    </row>
    <row r="126" spans="1:2" x14ac:dyDescent="0.2">
      <c r="A126" s="1">
        <f>Acciones!A121</f>
        <v>45169</v>
      </c>
      <c r="B126" s="15">
        <v>-631.97967524418345</v>
      </c>
    </row>
    <row r="127" spans="1:2" x14ac:dyDescent="0.2">
      <c r="A127" s="1">
        <f>Acciones!A431</f>
        <v>45622</v>
      </c>
      <c r="B127" s="15">
        <v>-631.00232381735623</v>
      </c>
    </row>
    <row r="128" spans="1:2" x14ac:dyDescent="0.2">
      <c r="A128" s="1">
        <f>Acciones!A689</f>
        <v>45996</v>
      </c>
      <c r="B128" s="15">
        <v>-629.68612484737605</v>
      </c>
    </row>
    <row r="129" spans="1:2" x14ac:dyDescent="0.2">
      <c r="A129" s="1">
        <f>Acciones!A376</f>
        <v>45540</v>
      </c>
      <c r="B129" s="15">
        <v>-629.42404828980943</v>
      </c>
    </row>
    <row r="130" spans="1:2" x14ac:dyDescent="0.2">
      <c r="A130" s="1">
        <f>Acciones!A544</f>
        <v>45791</v>
      </c>
      <c r="B130" s="15">
        <v>-628.85438203912054</v>
      </c>
    </row>
    <row r="131" spans="1:2" x14ac:dyDescent="0.2">
      <c r="A131" s="1">
        <f>Acciones!A215</f>
        <v>45308</v>
      </c>
      <c r="B131" s="15">
        <v>-627.31911166475038</v>
      </c>
    </row>
    <row r="132" spans="1:2" x14ac:dyDescent="0.2">
      <c r="A132" s="1">
        <f>Acciones!A520</f>
        <v>45754</v>
      </c>
      <c r="B132" s="15">
        <v>-617.67379802930009</v>
      </c>
    </row>
    <row r="133" spans="1:2" x14ac:dyDescent="0.2">
      <c r="A133" s="1">
        <f>Acciones!A695</f>
        <v>46007</v>
      </c>
      <c r="B133" s="15">
        <v>-616.87387344817398</v>
      </c>
    </row>
    <row r="134" spans="1:2" x14ac:dyDescent="0.2">
      <c r="A134" s="1">
        <f>Acciones!A603</f>
        <v>45874</v>
      </c>
      <c r="B134" s="15">
        <v>-613.16782293528377</v>
      </c>
    </row>
    <row r="135" spans="1:2" x14ac:dyDescent="0.2">
      <c r="A135" s="1">
        <f>Acciones!A749</f>
        <v>46086</v>
      </c>
      <c r="B135" s="15">
        <v>-609.53076181823417</v>
      </c>
    </row>
    <row r="136" spans="1:2" x14ac:dyDescent="0.2">
      <c r="A136" s="1">
        <f>Acciones!A233</f>
        <v>45335</v>
      </c>
      <c r="B136" s="15">
        <v>-608.5161656784112</v>
      </c>
    </row>
    <row r="137" spans="1:2" x14ac:dyDescent="0.2">
      <c r="A137" s="1">
        <f>Acciones!A96</f>
        <v>45134</v>
      </c>
      <c r="B137" s="15">
        <v>-606.28098119052811</v>
      </c>
    </row>
    <row r="138" spans="1:2" x14ac:dyDescent="0.2">
      <c r="A138" s="1">
        <f>Acciones!A568</f>
        <v>45825</v>
      </c>
      <c r="B138" s="15">
        <v>-603.83428053430907</v>
      </c>
    </row>
    <row r="139" spans="1:2" x14ac:dyDescent="0.2">
      <c r="A139" s="1">
        <f>Acciones!A669</f>
        <v>45967</v>
      </c>
      <c r="B139" s="15">
        <v>-601.43623396571274</v>
      </c>
    </row>
    <row r="140" spans="1:2" x14ac:dyDescent="0.2">
      <c r="A140" s="1">
        <f>Acciones!A332</f>
        <v>45478</v>
      </c>
      <c r="B140" s="15">
        <v>-599.44516793556977</v>
      </c>
    </row>
    <row r="141" spans="1:2" x14ac:dyDescent="0.2">
      <c r="A141" s="1">
        <f>Acciones!A448</f>
        <v>45646</v>
      </c>
      <c r="B141" s="15">
        <v>-598.74608102563798</v>
      </c>
    </row>
    <row r="142" spans="1:2" x14ac:dyDescent="0.2">
      <c r="A142" s="1">
        <f>Acciones!A372</f>
        <v>45534</v>
      </c>
      <c r="B142" s="15">
        <v>-594.46437821037398</v>
      </c>
    </row>
    <row r="143" spans="1:2" x14ac:dyDescent="0.2">
      <c r="A143" s="1">
        <f>Acciones!A28</f>
        <v>45037</v>
      </c>
      <c r="B143" s="15">
        <v>-590.31402502920901</v>
      </c>
    </row>
    <row r="144" spans="1:2" x14ac:dyDescent="0.2">
      <c r="A144" s="1">
        <f>Acciones!A235</f>
        <v>45337</v>
      </c>
      <c r="B144" s="15">
        <v>-589.95615131428349</v>
      </c>
    </row>
    <row r="145" spans="1:2" x14ac:dyDescent="0.2">
      <c r="A145" s="1">
        <f>Acciones!A155</f>
        <v>45217</v>
      </c>
      <c r="B145" s="15">
        <v>-588.48568216556669</v>
      </c>
    </row>
    <row r="146" spans="1:2" x14ac:dyDescent="0.2">
      <c r="A146" s="1">
        <f>Acciones!A345</f>
        <v>45497</v>
      </c>
      <c r="B146" s="15">
        <v>-587.32152635484817</v>
      </c>
    </row>
    <row r="147" spans="1:2" x14ac:dyDescent="0.2">
      <c r="A147" s="1">
        <f>Acciones!A209</f>
        <v>45300</v>
      </c>
      <c r="B147" s="15">
        <v>-586.959052149934</v>
      </c>
    </row>
    <row r="148" spans="1:2" x14ac:dyDescent="0.2">
      <c r="A148" s="1">
        <f>Acciones!A452</f>
        <v>45653</v>
      </c>
      <c r="B148" s="15">
        <v>-574.86757559666512</v>
      </c>
    </row>
    <row r="149" spans="1:2" x14ac:dyDescent="0.2">
      <c r="A149" s="1">
        <f>Acciones!A441</f>
        <v>45636</v>
      </c>
      <c r="B149" s="15">
        <v>-574.00798783332721</v>
      </c>
    </row>
    <row r="150" spans="1:2" x14ac:dyDescent="0.2">
      <c r="A150" s="1">
        <f>Acciones!A169</f>
        <v>45238</v>
      </c>
      <c r="B150" s="15">
        <v>-573.26109434551108</v>
      </c>
    </row>
    <row r="151" spans="1:2" x14ac:dyDescent="0.2">
      <c r="A151" s="1">
        <f>Acciones!A467</f>
        <v>45677</v>
      </c>
      <c r="B151" s="15">
        <v>-568.36925076594707</v>
      </c>
    </row>
    <row r="152" spans="1:2" x14ac:dyDescent="0.2">
      <c r="A152" s="1">
        <f>Acciones!A741</f>
        <v>46076</v>
      </c>
      <c r="B152" s="15">
        <v>-568.28916521597421</v>
      </c>
    </row>
    <row r="153" spans="1:2" x14ac:dyDescent="0.2">
      <c r="A153" s="1">
        <f>Acciones!A175</f>
        <v>45246</v>
      </c>
      <c r="B153" s="15">
        <v>-565.46381304947863</v>
      </c>
    </row>
    <row r="154" spans="1:2" x14ac:dyDescent="0.2">
      <c r="A154" s="1">
        <f>Acciones!A670</f>
        <v>45968</v>
      </c>
      <c r="B154" s="15">
        <v>-563.16522849620014</v>
      </c>
    </row>
    <row r="155" spans="1:2" x14ac:dyDescent="0.2">
      <c r="A155" s="1">
        <f>Acciones!A214</f>
        <v>45307</v>
      </c>
      <c r="B155" s="15">
        <v>-557.09860459325137</v>
      </c>
    </row>
    <row r="156" spans="1:2" x14ac:dyDescent="0.2">
      <c r="A156" s="1">
        <f>Acciones!A747</f>
        <v>46084</v>
      </c>
      <c r="B156" s="15">
        <v>-555.78162322201752</v>
      </c>
    </row>
    <row r="157" spans="1:2" x14ac:dyDescent="0.2">
      <c r="A157" s="1">
        <f>Acciones!A478</f>
        <v>45693</v>
      </c>
      <c r="B157" s="15">
        <v>-555.37577603910904</v>
      </c>
    </row>
    <row r="158" spans="1:2" x14ac:dyDescent="0.2">
      <c r="A158" s="1">
        <f>Acciones!A18</f>
        <v>45021</v>
      </c>
      <c r="B158" s="15">
        <v>-554.00378697982524</v>
      </c>
    </row>
    <row r="159" spans="1:2" x14ac:dyDescent="0.2">
      <c r="A159" s="1">
        <f>Acciones!A73</f>
        <v>45103</v>
      </c>
      <c r="B159" s="15">
        <v>-542.15889981491637</v>
      </c>
    </row>
    <row r="160" spans="1:2" x14ac:dyDescent="0.2">
      <c r="A160" s="1">
        <f>Acciones!A453</f>
        <v>45656</v>
      </c>
      <c r="B160" s="15">
        <v>-541.72617636703217</v>
      </c>
    </row>
    <row r="161" spans="1:2" x14ac:dyDescent="0.2">
      <c r="A161" s="1">
        <f>Acciones!A334</f>
        <v>45482</v>
      </c>
      <c r="B161" s="15">
        <v>-540.79096537760415</v>
      </c>
    </row>
    <row r="162" spans="1:2" x14ac:dyDescent="0.2">
      <c r="A162" s="1">
        <f>Acciones!A479</f>
        <v>45694</v>
      </c>
      <c r="B162" s="15">
        <v>-533.81326321055167</v>
      </c>
    </row>
    <row r="163" spans="1:2" x14ac:dyDescent="0.2">
      <c r="A163" s="1">
        <f>Acciones!A357</f>
        <v>45513</v>
      </c>
      <c r="B163" s="15">
        <v>-532.00815437325218</v>
      </c>
    </row>
    <row r="164" spans="1:2" x14ac:dyDescent="0.2">
      <c r="A164" s="1">
        <f>Acciones!A726</f>
        <v>46052</v>
      </c>
      <c r="B164" s="15">
        <v>-529.01568544283509</v>
      </c>
    </row>
    <row r="165" spans="1:2" x14ac:dyDescent="0.2">
      <c r="A165" s="1">
        <f>Acciones!A416</f>
        <v>45600</v>
      </c>
      <c r="B165" s="15">
        <v>-526.57849707784044</v>
      </c>
    </row>
    <row r="166" spans="1:2" x14ac:dyDescent="0.2">
      <c r="A166" s="1">
        <f>Acciones!A239</f>
        <v>45343</v>
      </c>
      <c r="B166" s="15">
        <v>-517.05834848391169</v>
      </c>
    </row>
    <row r="167" spans="1:2" x14ac:dyDescent="0.2">
      <c r="A167" s="1">
        <f>Acciones!A34</f>
        <v>45048</v>
      </c>
      <c r="B167" s="15">
        <v>-512.84389737740275</v>
      </c>
    </row>
    <row r="168" spans="1:2" x14ac:dyDescent="0.2">
      <c r="A168" s="1">
        <f>Acciones!A503</f>
        <v>45728</v>
      </c>
      <c r="B168" s="15">
        <v>-511.88677630135135</v>
      </c>
    </row>
    <row r="169" spans="1:2" x14ac:dyDescent="0.2">
      <c r="A169" s="1">
        <f>Acciones!A647</f>
        <v>45937</v>
      </c>
      <c r="B169" s="15">
        <v>-511.15157739636561</v>
      </c>
    </row>
    <row r="170" spans="1:2" x14ac:dyDescent="0.2">
      <c r="A170" s="1">
        <f>Acciones!A91</f>
        <v>45127</v>
      </c>
      <c r="B170" s="15">
        <v>-506.73587315254554</v>
      </c>
    </row>
    <row r="171" spans="1:2" x14ac:dyDescent="0.2">
      <c r="A171" s="1">
        <f>Acciones!A443</f>
        <v>45639</v>
      </c>
      <c r="B171" s="15">
        <v>-504.79970602470712</v>
      </c>
    </row>
    <row r="172" spans="1:2" x14ac:dyDescent="0.2">
      <c r="A172" s="1">
        <f>Acciones!A541</f>
        <v>45786</v>
      </c>
      <c r="B172" s="15">
        <v>-504.68451140075558</v>
      </c>
    </row>
    <row r="173" spans="1:2" x14ac:dyDescent="0.2">
      <c r="A173" s="1">
        <f>Acciones!A14</f>
        <v>45015</v>
      </c>
      <c r="B173" s="15">
        <v>-500.38320582460074</v>
      </c>
    </row>
    <row r="174" spans="1:2" x14ac:dyDescent="0.2">
      <c r="A174" s="1">
        <f>Acciones!A113</f>
        <v>45159</v>
      </c>
      <c r="B174" s="15">
        <v>-497.94210025363645</v>
      </c>
    </row>
    <row r="175" spans="1:2" x14ac:dyDescent="0.2">
      <c r="A175" s="1">
        <f>Acciones!A666</f>
        <v>45964</v>
      </c>
      <c r="B175" s="15">
        <v>-497.35983136578579</v>
      </c>
    </row>
    <row r="176" spans="1:2" x14ac:dyDescent="0.2">
      <c r="A176" s="1">
        <f>Acciones!A227</f>
        <v>45324</v>
      </c>
      <c r="B176" s="15">
        <v>-496.39247276343667</v>
      </c>
    </row>
    <row r="177" spans="1:2" x14ac:dyDescent="0.2">
      <c r="A177" s="1">
        <f>Acciones!A449</f>
        <v>45649</v>
      </c>
      <c r="B177" s="15">
        <v>-487.31856363978295</v>
      </c>
    </row>
    <row r="178" spans="1:2" x14ac:dyDescent="0.2">
      <c r="A178" s="1">
        <f>Acciones!A301</f>
        <v>45435</v>
      </c>
      <c r="B178" s="15">
        <v>-483.01529832449887</v>
      </c>
    </row>
    <row r="179" spans="1:2" x14ac:dyDescent="0.2">
      <c r="A179" s="1">
        <f>Acciones!A655</f>
        <v>45947</v>
      </c>
      <c r="B179" s="15">
        <v>-482.46039907483646</v>
      </c>
    </row>
    <row r="180" spans="1:2" x14ac:dyDescent="0.2">
      <c r="A180" s="1">
        <f>Acciones!A613</f>
        <v>45888</v>
      </c>
      <c r="B180" s="15">
        <v>-482.24237200094649</v>
      </c>
    </row>
    <row r="181" spans="1:2" x14ac:dyDescent="0.2">
      <c r="A181" s="1">
        <f>Acciones!A103</f>
        <v>45145</v>
      </c>
      <c r="B181" s="15">
        <v>-479.16709754307885</v>
      </c>
    </row>
    <row r="182" spans="1:2" x14ac:dyDescent="0.2">
      <c r="A182" s="1">
        <f>Acciones!A737</f>
        <v>46070</v>
      </c>
      <c r="B182" s="15">
        <v>-479.02701038728264</v>
      </c>
    </row>
    <row r="183" spans="1:2" x14ac:dyDescent="0.2">
      <c r="A183" s="1">
        <f>Acciones!A102</f>
        <v>45142</v>
      </c>
      <c r="B183" s="15">
        <v>-478.6045906096042</v>
      </c>
    </row>
    <row r="184" spans="1:2" x14ac:dyDescent="0.2">
      <c r="A184" s="1">
        <f>Acciones!A228</f>
        <v>45328</v>
      </c>
      <c r="B184" s="15">
        <v>-478.56923954540252</v>
      </c>
    </row>
    <row r="185" spans="1:2" x14ac:dyDescent="0.2">
      <c r="A185" s="1">
        <f>Acciones!A722</f>
        <v>46048</v>
      </c>
      <c r="B185" s="15">
        <v>-461.6200990241814</v>
      </c>
    </row>
    <row r="186" spans="1:2" x14ac:dyDescent="0.2">
      <c r="A186" s="1">
        <f>Acciones!A220</f>
        <v>45315</v>
      </c>
      <c r="B186" s="15">
        <v>-455.21815133624114</v>
      </c>
    </row>
    <row r="187" spans="1:2" x14ac:dyDescent="0.2">
      <c r="A187" s="1">
        <f>Acciones!A52</f>
        <v>45072</v>
      </c>
      <c r="B187" s="15">
        <v>-453.72644240596128</v>
      </c>
    </row>
    <row r="188" spans="1:2" x14ac:dyDescent="0.2">
      <c r="A188" s="1">
        <f>Acciones!A471</f>
        <v>45681</v>
      </c>
      <c r="B188" s="15">
        <v>-451.03803162901022</v>
      </c>
    </row>
    <row r="189" spans="1:2" x14ac:dyDescent="0.2">
      <c r="A189" s="1">
        <f>Acciones!A564</f>
        <v>45819</v>
      </c>
      <c r="B189" s="15">
        <v>-449.31932749820407</v>
      </c>
    </row>
    <row r="190" spans="1:2" x14ac:dyDescent="0.2">
      <c r="A190" s="1">
        <f>Acciones!A496</f>
        <v>45719</v>
      </c>
      <c r="B190" s="15">
        <v>-444.59659199932867</v>
      </c>
    </row>
    <row r="191" spans="1:2" x14ac:dyDescent="0.2">
      <c r="A191" s="1">
        <f>Acciones!A465</f>
        <v>45673</v>
      </c>
      <c r="B191" s="15">
        <v>-443.56444742691383</v>
      </c>
    </row>
    <row r="192" spans="1:2" x14ac:dyDescent="0.2">
      <c r="A192" s="1">
        <f>Acciones!A24</f>
        <v>45033</v>
      </c>
      <c r="B192" s="15">
        <v>-442.5261814883379</v>
      </c>
    </row>
    <row r="193" spans="1:2" x14ac:dyDescent="0.2">
      <c r="A193" s="1">
        <f>Acciones!A134</f>
        <v>45188</v>
      </c>
      <c r="B193" s="15">
        <v>-440.83865948039602</v>
      </c>
    </row>
    <row r="194" spans="1:2" x14ac:dyDescent="0.2">
      <c r="A194" s="1">
        <f>Acciones!A512</f>
        <v>45742</v>
      </c>
      <c r="B194" s="15">
        <v>-440.68899793745004</v>
      </c>
    </row>
    <row r="195" spans="1:2" x14ac:dyDescent="0.2">
      <c r="A195" s="1">
        <f>Acciones!A150</f>
        <v>45210</v>
      </c>
      <c r="B195" s="15">
        <v>-439.02798094204627</v>
      </c>
    </row>
    <row r="196" spans="1:2" x14ac:dyDescent="0.2">
      <c r="A196" s="1">
        <f>Acciones!A677</f>
        <v>45980</v>
      </c>
      <c r="B196" s="15">
        <v>-438.07258612066653</v>
      </c>
    </row>
    <row r="197" spans="1:2" x14ac:dyDescent="0.2">
      <c r="A197" s="1">
        <f>Acciones!A109</f>
        <v>45153</v>
      </c>
      <c r="B197" s="15">
        <v>-436.42881049381685</v>
      </c>
    </row>
    <row r="198" spans="1:2" x14ac:dyDescent="0.2">
      <c r="A198" s="1">
        <f>Acciones!A51</f>
        <v>45071</v>
      </c>
      <c r="B198" s="15">
        <v>-435.48658965590585</v>
      </c>
    </row>
    <row r="199" spans="1:2" x14ac:dyDescent="0.2">
      <c r="A199" s="1">
        <f>Acciones!A85</f>
        <v>45119</v>
      </c>
      <c r="B199" s="15">
        <v>-433.15196697484862</v>
      </c>
    </row>
    <row r="200" spans="1:2" x14ac:dyDescent="0.2">
      <c r="A200" s="1">
        <f>Acciones!A340</f>
        <v>45490</v>
      </c>
      <c r="B200" s="15">
        <v>-431.47293352272391</v>
      </c>
    </row>
    <row r="201" spans="1:2" x14ac:dyDescent="0.2">
      <c r="A201" s="1">
        <f>Acciones!A591</f>
        <v>45856</v>
      </c>
      <c r="B201" s="15">
        <v>-429.75256233657637</v>
      </c>
    </row>
    <row r="202" spans="1:2" x14ac:dyDescent="0.2">
      <c r="A202" s="1">
        <f>Acciones!A114</f>
        <v>45160</v>
      </c>
      <c r="B202" s="15">
        <v>-429.33690065483097</v>
      </c>
    </row>
    <row r="203" spans="1:2" x14ac:dyDescent="0.2">
      <c r="A203" s="1">
        <f>Acciones!A21</f>
        <v>45028</v>
      </c>
      <c r="B203" s="15">
        <v>-425.95344736455809</v>
      </c>
    </row>
    <row r="204" spans="1:2" x14ac:dyDescent="0.2">
      <c r="A204" s="1">
        <f>Acciones!A380</f>
        <v>45546</v>
      </c>
      <c r="B204" s="15">
        <v>-425.53731446636812</v>
      </c>
    </row>
    <row r="205" spans="1:2" x14ac:dyDescent="0.2">
      <c r="A205" s="1">
        <f>Acciones!A676</f>
        <v>45979</v>
      </c>
      <c r="B205" s="15">
        <v>-422.29878075000306</v>
      </c>
    </row>
    <row r="206" spans="1:2" x14ac:dyDescent="0.2">
      <c r="A206" s="1">
        <f>Acciones!A717</f>
        <v>46041</v>
      </c>
      <c r="B206" s="15">
        <v>-418.12820017485501</v>
      </c>
    </row>
    <row r="207" spans="1:2" x14ac:dyDescent="0.2">
      <c r="A207" s="1">
        <f>Acciones!A316</f>
        <v>45456</v>
      </c>
      <c r="B207" s="15">
        <v>-416.24956204393311</v>
      </c>
    </row>
    <row r="208" spans="1:2" x14ac:dyDescent="0.2">
      <c r="A208" s="1">
        <f>Acciones!A600</f>
        <v>45869</v>
      </c>
      <c r="B208" s="15">
        <v>-416.03274572653027</v>
      </c>
    </row>
    <row r="209" spans="1:2" x14ac:dyDescent="0.2">
      <c r="A209" s="1">
        <f>Acciones!A459</f>
        <v>45665</v>
      </c>
      <c r="B209" s="15">
        <v>-412.33137938864093</v>
      </c>
    </row>
    <row r="210" spans="1:2" x14ac:dyDescent="0.2">
      <c r="A210" s="1">
        <f>Acciones!A497</f>
        <v>45720</v>
      </c>
      <c r="B210" s="15">
        <v>-410.92836637639266</v>
      </c>
    </row>
    <row r="211" spans="1:2" x14ac:dyDescent="0.2">
      <c r="A211" s="1">
        <f>Acciones!A60</f>
        <v>45084</v>
      </c>
      <c r="B211" s="15">
        <v>-405.5872918204368</v>
      </c>
    </row>
    <row r="212" spans="1:2" x14ac:dyDescent="0.2">
      <c r="A212" s="1">
        <f>Acciones!A204</f>
        <v>45293</v>
      </c>
      <c r="B212" s="15">
        <v>-402.4144187003767</v>
      </c>
    </row>
    <row r="213" spans="1:2" x14ac:dyDescent="0.2">
      <c r="A213" s="1">
        <f>Acciones!A435</f>
        <v>45628</v>
      </c>
      <c r="B213" s="15">
        <v>-402.23852814883503</v>
      </c>
    </row>
    <row r="214" spans="1:2" x14ac:dyDescent="0.2">
      <c r="A214" s="1">
        <f>Acciones!A693</f>
        <v>46002</v>
      </c>
      <c r="B214" s="15">
        <v>-401.42182080347993</v>
      </c>
    </row>
    <row r="215" spans="1:2" x14ac:dyDescent="0.2">
      <c r="A215" s="1">
        <f>Acciones!A532</f>
        <v>45772</v>
      </c>
      <c r="B215" s="15">
        <v>-398.55553024791516</v>
      </c>
    </row>
    <row r="216" spans="1:2" x14ac:dyDescent="0.2">
      <c r="A216" s="1">
        <f>Acciones!A662</f>
        <v>45958</v>
      </c>
      <c r="B216" s="15">
        <v>-395.41002011166711</v>
      </c>
    </row>
    <row r="217" spans="1:2" x14ac:dyDescent="0.2">
      <c r="A217" s="1">
        <f>Acciones!A637</f>
        <v>45923</v>
      </c>
      <c r="B217" s="15">
        <v>-392.63854318784433</v>
      </c>
    </row>
    <row r="218" spans="1:2" x14ac:dyDescent="0.2">
      <c r="A218" s="1">
        <f>Acciones!A606</f>
        <v>45877</v>
      </c>
      <c r="B218" s="15">
        <v>-392.12724801797958</v>
      </c>
    </row>
    <row r="219" spans="1:2" x14ac:dyDescent="0.2">
      <c r="A219" s="1">
        <f>Acciones!A93</f>
        <v>45131</v>
      </c>
      <c r="B219" s="15">
        <v>-391.78992077076691</v>
      </c>
    </row>
    <row r="220" spans="1:2" x14ac:dyDescent="0.2">
      <c r="A220" s="1">
        <f>Acciones!A77</f>
        <v>45107</v>
      </c>
      <c r="B220" s="15">
        <v>-391.27694755858101</v>
      </c>
    </row>
    <row r="221" spans="1:2" x14ac:dyDescent="0.2">
      <c r="A221" s="1">
        <f>Acciones!A317</f>
        <v>45457</v>
      </c>
      <c r="B221" s="15">
        <v>-390.82922374140617</v>
      </c>
    </row>
    <row r="222" spans="1:2" x14ac:dyDescent="0.2">
      <c r="A222" s="1">
        <f>Acciones!A715</f>
        <v>46037</v>
      </c>
      <c r="B222" s="15">
        <v>-389.59441942464036</v>
      </c>
    </row>
    <row r="223" spans="1:2" x14ac:dyDescent="0.2">
      <c r="A223" s="1">
        <f>Acciones!A88</f>
        <v>45124</v>
      </c>
      <c r="B223" s="15">
        <v>-389.08888308365567</v>
      </c>
    </row>
    <row r="224" spans="1:2" x14ac:dyDescent="0.2">
      <c r="A224" s="1">
        <f>Acciones!A75</f>
        <v>45105</v>
      </c>
      <c r="B224" s="15">
        <v>-388.61340656232278</v>
      </c>
    </row>
    <row r="225" spans="1:2" x14ac:dyDescent="0.2">
      <c r="A225" s="1">
        <f>Acciones!A375</f>
        <v>45539</v>
      </c>
      <c r="B225" s="15">
        <v>-380.35629640198385</v>
      </c>
    </row>
    <row r="226" spans="1:2" x14ac:dyDescent="0.2">
      <c r="A226" s="1">
        <f>Acciones!A482</f>
        <v>45699</v>
      </c>
      <c r="B226" s="15">
        <v>-380.29704896952899</v>
      </c>
    </row>
    <row r="227" spans="1:2" x14ac:dyDescent="0.2">
      <c r="A227" s="1">
        <f>Acciones!A329</f>
        <v>45475</v>
      </c>
      <c r="B227" s="15">
        <v>-379.42658922587725</v>
      </c>
    </row>
    <row r="228" spans="1:2" x14ac:dyDescent="0.2">
      <c r="A228" s="1">
        <f>Acciones!A728</f>
        <v>46057</v>
      </c>
      <c r="B228" s="15">
        <v>-373.57624978783861</v>
      </c>
    </row>
    <row r="229" spans="1:2" x14ac:dyDescent="0.2">
      <c r="A229" s="1">
        <f>Acciones!A555</f>
        <v>45806</v>
      </c>
      <c r="B229" s="15">
        <v>-372.69834034499218</v>
      </c>
    </row>
    <row r="230" spans="1:2" x14ac:dyDescent="0.2">
      <c r="A230" s="1">
        <f>Acciones!A732</f>
        <v>46063</v>
      </c>
      <c r="B230" s="15">
        <v>-366.88168080101968</v>
      </c>
    </row>
    <row r="231" spans="1:2" x14ac:dyDescent="0.2">
      <c r="A231" s="1">
        <f>Acciones!A122</f>
        <v>45170</v>
      </c>
      <c r="B231" s="15">
        <v>-363.2454507377297</v>
      </c>
    </row>
    <row r="232" spans="1:2" x14ac:dyDescent="0.2">
      <c r="A232" s="1">
        <f>Acciones!A216</f>
        <v>45309</v>
      </c>
      <c r="B232" s="15">
        <v>-359.14764358191314</v>
      </c>
    </row>
    <row r="233" spans="1:2" x14ac:dyDescent="0.2">
      <c r="A233" s="1">
        <f>Acciones!A49</f>
        <v>45069</v>
      </c>
      <c r="B233" s="15">
        <v>-357.97520104592331</v>
      </c>
    </row>
    <row r="234" spans="1:2" x14ac:dyDescent="0.2">
      <c r="A234" s="1">
        <f>Acciones!A399</f>
        <v>45575</v>
      </c>
      <c r="B234" s="15">
        <v>-357.33407505959258</v>
      </c>
    </row>
    <row r="235" spans="1:2" x14ac:dyDescent="0.2">
      <c r="A235" s="1">
        <f>Acciones!A506</f>
        <v>45734</v>
      </c>
      <c r="B235" s="15">
        <v>-356.72084049478144</v>
      </c>
    </row>
    <row r="236" spans="1:2" x14ac:dyDescent="0.2">
      <c r="A236" s="1">
        <f>Acciones!A160</f>
        <v>45224</v>
      </c>
      <c r="B236" s="15">
        <v>-353.47742614871822</v>
      </c>
    </row>
    <row r="237" spans="1:2" x14ac:dyDescent="0.2">
      <c r="A237" s="1">
        <f>Acciones!A645</f>
        <v>45933</v>
      </c>
      <c r="B237" s="15">
        <v>-351.47346848513189</v>
      </c>
    </row>
    <row r="238" spans="1:2" x14ac:dyDescent="0.2">
      <c r="A238" s="1">
        <f>Acciones!A366</f>
        <v>45526</v>
      </c>
      <c r="B238" s="15">
        <v>-350.91300921442598</v>
      </c>
    </row>
    <row r="239" spans="1:2" x14ac:dyDescent="0.2">
      <c r="A239" s="1">
        <f>Acciones!A199</f>
        <v>45282</v>
      </c>
      <c r="B239" s="15">
        <v>-349.92265839553147</v>
      </c>
    </row>
    <row r="240" spans="1:2" x14ac:dyDescent="0.2">
      <c r="A240" s="1">
        <f>Acciones!A635</f>
        <v>45919</v>
      </c>
      <c r="B240" s="15">
        <v>-345.47121591207542</v>
      </c>
    </row>
    <row r="241" spans="1:2" x14ac:dyDescent="0.2">
      <c r="A241" s="1">
        <f>Acciones!A601</f>
        <v>45870</v>
      </c>
      <c r="B241" s="15">
        <v>-345.20143095320964</v>
      </c>
    </row>
    <row r="242" spans="1:2" x14ac:dyDescent="0.2">
      <c r="A242" s="1">
        <f>Acciones!A527</f>
        <v>45763</v>
      </c>
      <c r="B242" s="15">
        <v>-344.73040367256908</v>
      </c>
    </row>
    <row r="243" spans="1:2" x14ac:dyDescent="0.2">
      <c r="A243" s="1">
        <f>Acciones!A572</f>
        <v>45831</v>
      </c>
      <c r="B243" s="15">
        <v>-339.3876009843807</v>
      </c>
    </row>
    <row r="244" spans="1:2" x14ac:dyDescent="0.2">
      <c r="A244" s="1">
        <f>Acciones!A335</f>
        <v>45483</v>
      </c>
      <c r="B244" s="15">
        <v>-337.48503086034179</v>
      </c>
    </row>
    <row r="245" spans="1:2" x14ac:dyDescent="0.2">
      <c r="A245" s="1">
        <f>Acciones!A385</f>
        <v>45554</v>
      </c>
      <c r="B245" s="15">
        <v>-337.07367442890245</v>
      </c>
    </row>
    <row r="246" spans="1:2" x14ac:dyDescent="0.2">
      <c r="A246" s="1">
        <f>Acciones!A740</f>
        <v>46073</v>
      </c>
      <c r="B246" s="15">
        <v>-333.87648554033149</v>
      </c>
    </row>
    <row r="247" spans="1:2" x14ac:dyDescent="0.2">
      <c r="A247" s="1">
        <f>Acciones!A657</f>
        <v>45951</v>
      </c>
      <c r="B247" s="15">
        <v>-333.39552438882311</v>
      </c>
    </row>
    <row r="248" spans="1:2" x14ac:dyDescent="0.2">
      <c r="A248" s="1">
        <f>Acciones!A44</f>
        <v>45062</v>
      </c>
      <c r="B248" s="15">
        <v>-331.8838124748363</v>
      </c>
    </row>
    <row r="249" spans="1:2" x14ac:dyDescent="0.2">
      <c r="A249" s="1">
        <f>Acciones!A110</f>
        <v>45154</v>
      </c>
      <c r="B249" s="15">
        <v>-330.62323186422509</v>
      </c>
    </row>
    <row r="250" spans="1:2" x14ac:dyDescent="0.2">
      <c r="A250" s="1">
        <f>Acciones!A269</f>
        <v>45390</v>
      </c>
      <c r="B250" s="15">
        <v>-330.47951496713358</v>
      </c>
    </row>
    <row r="251" spans="1:2" x14ac:dyDescent="0.2">
      <c r="A251" s="1">
        <f>Acciones!A100</f>
        <v>45140</v>
      </c>
      <c r="B251" s="15">
        <v>-329.17589826991752</v>
      </c>
    </row>
    <row r="252" spans="1:2" x14ac:dyDescent="0.2">
      <c r="A252" s="1">
        <f>Acciones!A205</f>
        <v>45294</v>
      </c>
      <c r="B252" s="15">
        <v>-328.26041465724848</v>
      </c>
    </row>
    <row r="253" spans="1:2" x14ac:dyDescent="0.2">
      <c r="A253" s="1">
        <f>Acciones!A410</f>
        <v>45590</v>
      </c>
      <c r="B253" s="15">
        <v>-328.12161559028755</v>
      </c>
    </row>
    <row r="254" spans="1:2" x14ac:dyDescent="0.2">
      <c r="A254" s="1">
        <f>Acciones!A733</f>
        <v>46064</v>
      </c>
      <c r="B254" s="15">
        <v>-325.70083170325233</v>
      </c>
    </row>
    <row r="255" spans="1:2" x14ac:dyDescent="0.2">
      <c r="A255" s="1">
        <f>Acciones!A66</f>
        <v>45092</v>
      </c>
      <c r="B255" s="15">
        <v>-323.6784359613448</v>
      </c>
    </row>
    <row r="256" spans="1:2" x14ac:dyDescent="0.2">
      <c r="A256" s="1">
        <f>Acciones!A617</f>
        <v>45894</v>
      </c>
      <c r="B256" s="15">
        <v>-323.20707948236668</v>
      </c>
    </row>
    <row r="257" spans="1:2" x14ac:dyDescent="0.2">
      <c r="A257" s="1">
        <f>Acciones!A468</f>
        <v>45678</v>
      </c>
      <c r="B257" s="15">
        <v>-320.75519188974431</v>
      </c>
    </row>
    <row r="258" spans="1:2" x14ac:dyDescent="0.2">
      <c r="A258" s="1">
        <f>Acciones!A488</f>
        <v>45707</v>
      </c>
      <c r="B258" s="15">
        <v>-317.30228046533739</v>
      </c>
    </row>
    <row r="259" spans="1:2" x14ac:dyDescent="0.2">
      <c r="A259" s="1">
        <f>Acciones!A455</f>
        <v>45659</v>
      </c>
      <c r="B259" s="15">
        <v>-316.69591138381656</v>
      </c>
    </row>
    <row r="260" spans="1:2" x14ac:dyDescent="0.2">
      <c r="A260" s="1">
        <f>Acciones!A129</f>
        <v>45181</v>
      </c>
      <c r="B260" s="15">
        <v>-316.65986419815454</v>
      </c>
    </row>
    <row r="261" spans="1:2" x14ac:dyDescent="0.2">
      <c r="A261" s="1">
        <f>Acciones!A509</f>
        <v>45737</v>
      </c>
      <c r="B261" s="15">
        <v>-316.25158988243129</v>
      </c>
    </row>
    <row r="262" spans="1:2" x14ac:dyDescent="0.2">
      <c r="A262" s="1">
        <f>Acciones!A672</f>
        <v>45972</v>
      </c>
      <c r="B262" s="15">
        <v>-314.97103501162201</v>
      </c>
    </row>
    <row r="263" spans="1:2" x14ac:dyDescent="0.2">
      <c r="A263" s="1">
        <f>Acciones!A580</f>
        <v>45841</v>
      </c>
      <c r="B263" s="15">
        <v>-313.56782681777986</v>
      </c>
    </row>
    <row r="264" spans="1:2" x14ac:dyDescent="0.2">
      <c r="A264" s="1">
        <f>Acciones!A71</f>
        <v>45099</v>
      </c>
      <c r="B264" s="15">
        <v>-313.09576220747113</v>
      </c>
    </row>
    <row r="265" spans="1:2" x14ac:dyDescent="0.2">
      <c r="A265" s="1">
        <f>Acciones!A626</f>
        <v>45905</v>
      </c>
      <c r="B265" s="15">
        <v>-312.79643458455394</v>
      </c>
    </row>
    <row r="266" spans="1:2" x14ac:dyDescent="0.2">
      <c r="A266" s="1">
        <f>Acciones!A491</f>
        <v>45712</v>
      </c>
      <c r="B266" s="15">
        <v>-310.94246964218109</v>
      </c>
    </row>
    <row r="267" spans="1:2" x14ac:dyDescent="0.2">
      <c r="A267" s="1">
        <f>Acciones!A489</f>
        <v>45708</v>
      </c>
      <c r="B267" s="15">
        <v>-310.43018582085278</v>
      </c>
    </row>
    <row r="268" spans="1:2" x14ac:dyDescent="0.2">
      <c r="A268" s="1">
        <f>Acciones!A701</f>
        <v>46015</v>
      </c>
      <c r="B268" s="15">
        <v>-310.41617801884058</v>
      </c>
    </row>
    <row r="269" spans="1:2" x14ac:dyDescent="0.2">
      <c r="A269" s="1">
        <f>Acciones!A80</f>
        <v>45112</v>
      </c>
      <c r="B269" s="15">
        <v>-307.56866637693747</v>
      </c>
    </row>
    <row r="270" spans="1:2" x14ac:dyDescent="0.2">
      <c r="A270" s="1">
        <f>Acciones!A189</f>
        <v>45267</v>
      </c>
      <c r="B270" s="15">
        <v>-301.88896182268218</v>
      </c>
    </row>
    <row r="271" spans="1:2" x14ac:dyDescent="0.2">
      <c r="A271" s="1">
        <f>Acciones!A299</f>
        <v>45433</v>
      </c>
      <c r="B271" s="15">
        <v>-301.30299486851436</v>
      </c>
    </row>
    <row r="272" spans="1:2" x14ac:dyDescent="0.2">
      <c r="A272" s="1">
        <f>Acciones!A508</f>
        <v>45736</v>
      </c>
      <c r="B272" s="15">
        <v>-295.64032480448441</v>
      </c>
    </row>
    <row r="273" spans="1:2" x14ac:dyDescent="0.2">
      <c r="A273" s="1">
        <f>Acciones!A291</f>
        <v>45421</v>
      </c>
      <c r="B273" s="15">
        <v>-295.49112233586129</v>
      </c>
    </row>
    <row r="274" spans="1:2" x14ac:dyDescent="0.2">
      <c r="A274" s="1">
        <f>Acciones!A605</f>
        <v>45876</v>
      </c>
      <c r="B274" s="15">
        <v>-294.13601533965993</v>
      </c>
    </row>
    <row r="275" spans="1:2" x14ac:dyDescent="0.2">
      <c r="A275" s="1">
        <f>Acciones!A307</f>
        <v>45443</v>
      </c>
      <c r="B275" s="15">
        <v>-292.08362287420823</v>
      </c>
    </row>
    <row r="276" spans="1:2" x14ac:dyDescent="0.2">
      <c r="A276" s="1">
        <f>Acciones!A436</f>
        <v>45629</v>
      </c>
      <c r="B276" s="15">
        <v>-291.2155034092284</v>
      </c>
    </row>
    <row r="277" spans="1:2" x14ac:dyDescent="0.2">
      <c r="A277" s="1">
        <f>Acciones!A583</f>
        <v>45846</v>
      </c>
      <c r="B277" s="15">
        <v>-291.1775766872961</v>
      </c>
    </row>
    <row r="278" spans="1:2" x14ac:dyDescent="0.2">
      <c r="A278" s="1">
        <f>Acciones!A381</f>
        <v>45547</v>
      </c>
      <c r="B278" s="15">
        <v>-285.3971956829555</v>
      </c>
    </row>
    <row r="279" spans="1:2" x14ac:dyDescent="0.2">
      <c r="A279" s="1">
        <f>Acciones!A714</f>
        <v>46036</v>
      </c>
      <c r="B279" s="15">
        <v>-285.23903344713472</v>
      </c>
    </row>
    <row r="280" spans="1:2" x14ac:dyDescent="0.2">
      <c r="A280" s="1">
        <f>Acciones!A586</f>
        <v>45849</v>
      </c>
      <c r="B280" s="15">
        <v>-283.89909223567884</v>
      </c>
    </row>
    <row r="281" spans="1:2" x14ac:dyDescent="0.2">
      <c r="A281" s="1">
        <f>Acciones!A598</f>
        <v>45867</v>
      </c>
      <c r="B281" s="15">
        <v>-279.64725491228819</v>
      </c>
    </row>
    <row r="282" spans="1:2" x14ac:dyDescent="0.2">
      <c r="A282" s="1">
        <f>Acciones!A407</f>
        <v>45587</v>
      </c>
      <c r="B282" s="15">
        <v>-278.32893542242164</v>
      </c>
    </row>
    <row r="283" spans="1:2" x14ac:dyDescent="0.2">
      <c r="A283" s="1">
        <f>Acciones!A266</f>
        <v>45385</v>
      </c>
      <c r="B283" s="15">
        <v>-276.77161602212072</v>
      </c>
    </row>
    <row r="284" spans="1:2" x14ac:dyDescent="0.2">
      <c r="A284" s="1">
        <f>Acciones!A323</f>
        <v>45467</v>
      </c>
      <c r="B284" s="15">
        <v>-276.27921284798504</v>
      </c>
    </row>
    <row r="285" spans="1:2" x14ac:dyDescent="0.2">
      <c r="A285" s="1">
        <f>Acciones!A556</f>
        <v>45807</v>
      </c>
      <c r="B285" s="15">
        <v>-271.82812013626244</v>
      </c>
    </row>
    <row r="286" spans="1:2" x14ac:dyDescent="0.2">
      <c r="A286" s="1">
        <f>Acciones!A371</f>
        <v>45533</v>
      </c>
      <c r="B286" s="15">
        <v>-268.81179155573773</v>
      </c>
    </row>
    <row r="287" spans="1:2" x14ac:dyDescent="0.2">
      <c r="A287" s="1">
        <f>Acciones!A246</f>
        <v>45352</v>
      </c>
      <c r="B287" s="15">
        <v>-266.70933155799139</v>
      </c>
    </row>
    <row r="288" spans="1:2" x14ac:dyDescent="0.2">
      <c r="A288" s="1">
        <f>Acciones!A720</f>
        <v>46044</v>
      </c>
      <c r="B288" s="15">
        <v>-266.44543982476171</v>
      </c>
    </row>
    <row r="289" spans="1:2" x14ac:dyDescent="0.2">
      <c r="A289" s="1">
        <f>Acciones!A99</f>
        <v>45139</v>
      </c>
      <c r="B289" s="15">
        <v>-266.19867334565788</v>
      </c>
    </row>
    <row r="290" spans="1:2" x14ac:dyDescent="0.2">
      <c r="A290" s="1">
        <f>Acciones!A241</f>
        <v>45345</v>
      </c>
      <c r="B290" s="15">
        <v>-257.50559847541444</v>
      </c>
    </row>
    <row r="291" spans="1:2" x14ac:dyDescent="0.2">
      <c r="A291" s="1">
        <f>Acciones!A658</f>
        <v>45952</v>
      </c>
      <c r="B291" s="15">
        <v>-254.2009266342684</v>
      </c>
    </row>
    <row r="292" spans="1:2" x14ac:dyDescent="0.2">
      <c r="A292" s="1">
        <f>Acciones!A387</f>
        <v>45558</v>
      </c>
      <c r="B292" s="15">
        <v>-251.5045075474809</v>
      </c>
    </row>
    <row r="293" spans="1:2" x14ac:dyDescent="0.2">
      <c r="A293" s="1">
        <f>Acciones!A352</f>
        <v>45506</v>
      </c>
      <c r="B293" s="15">
        <v>-246.5158007040518</v>
      </c>
    </row>
    <row r="294" spans="1:2" x14ac:dyDescent="0.2">
      <c r="A294" s="1">
        <f>Acciones!A369</f>
        <v>45531</v>
      </c>
      <c r="B294" s="15">
        <v>-245.79915580842135</v>
      </c>
    </row>
    <row r="295" spans="1:2" x14ac:dyDescent="0.2">
      <c r="A295" s="1">
        <f>Acciones!A625</f>
        <v>45904</v>
      </c>
      <c r="B295" s="15">
        <v>-244.12336696172133</v>
      </c>
    </row>
    <row r="296" spans="1:2" x14ac:dyDescent="0.2">
      <c r="A296" s="1">
        <f>Acciones!A734</f>
        <v>46065</v>
      </c>
      <c r="B296" s="15">
        <v>-243.60642485852804</v>
      </c>
    </row>
    <row r="297" spans="1:2" x14ac:dyDescent="0.2">
      <c r="A297" s="1">
        <f>Acciones!A353</f>
        <v>45509</v>
      </c>
      <c r="B297" s="15">
        <v>-239.99259713764695</v>
      </c>
    </row>
    <row r="298" spans="1:2" x14ac:dyDescent="0.2">
      <c r="A298" s="1">
        <f>Acciones!A54</f>
        <v>45076</v>
      </c>
      <c r="B298" s="15">
        <v>-239.09385868978279</v>
      </c>
    </row>
    <row r="299" spans="1:2" x14ac:dyDescent="0.2">
      <c r="A299" s="1">
        <f>Acciones!A565</f>
        <v>45820</v>
      </c>
      <c r="B299" s="15">
        <v>-236.67631577190332</v>
      </c>
    </row>
    <row r="300" spans="1:2" x14ac:dyDescent="0.2">
      <c r="A300" s="1">
        <f>Acciones!A297</f>
        <v>45429</v>
      </c>
      <c r="B300" s="15">
        <v>-234.0242960824653</v>
      </c>
    </row>
    <row r="301" spans="1:2" x14ac:dyDescent="0.2">
      <c r="A301" s="1">
        <f>Acciones!A511</f>
        <v>45741</v>
      </c>
      <c r="B301" s="15">
        <v>-225.68003962289367</v>
      </c>
    </row>
    <row r="302" spans="1:2" x14ac:dyDescent="0.2">
      <c r="A302" s="1">
        <f>Acciones!A724</f>
        <v>46050</v>
      </c>
      <c r="B302" s="15">
        <v>-212.65990141773</v>
      </c>
    </row>
    <row r="303" spans="1:2" x14ac:dyDescent="0.2">
      <c r="A303" s="1">
        <f>Acciones!A165</f>
        <v>45231</v>
      </c>
      <c r="B303" s="15">
        <v>-212.05989514468456</v>
      </c>
    </row>
    <row r="304" spans="1:2" x14ac:dyDescent="0.2">
      <c r="A304" s="1">
        <f>Acciones!A595</f>
        <v>45862</v>
      </c>
      <c r="B304" s="15">
        <v>-210.65545779847889</v>
      </c>
    </row>
    <row r="305" spans="1:2" x14ac:dyDescent="0.2">
      <c r="A305" s="1">
        <f>Acciones!A244</f>
        <v>45350</v>
      </c>
      <c r="B305" s="15">
        <v>-208.99565609232377</v>
      </c>
    </row>
    <row r="306" spans="1:2" x14ac:dyDescent="0.2">
      <c r="A306" s="1">
        <f>Acciones!A16</f>
        <v>45019</v>
      </c>
      <c r="B306" s="15">
        <v>-208.2363112832827</v>
      </c>
    </row>
    <row r="307" spans="1:2" x14ac:dyDescent="0.2">
      <c r="A307" s="1">
        <f>Acciones!A184</f>
        <v>45260</v>
      </c>
      <c r="B307" s="15">
        <v>-206.29140755641492</v>
      </c>
    </row>
    <row r="308" spans="1:2" x14ac:dyDescent="0.2">
      <c r="A308" s="1">
        <f>Acciones!A632</f>
        <v>45915</v>
      </c>
      <c r="B308" s="15">
        <v>-205.72249884335906</v>
      </c>
    </row>
    <row r="309" spans="1:2" x14ac:dyDescent="0.2">
      <c r="A309" s="1">
        <f>Acciones!A105</f>
        <v>45147</v>
      </c>
      <c r="B309" s="15">
        <v>-199.91020916100024</v>
      </c>
    </row>
    <row r="310" spans="1:2" x14ac:dyDescent="0.2">
      <c r="A310" s="1">
        <f>Acciones!A350</f>
        <v>45504</v>
      </c>
      <c r="B310" s="15">
        <v>-194.31127351829127</v>
      </c>
    </row>
    <row r="311" spans="1:2" x14ac:dyDescent="0.2">
      <c r="A311" s="1">
        <f>Acciones!A599</f>
        <v>45868</v>
      </c>
      <c r="B311" s="15">
        <v>-188.52514733713542</v>
      </c>
    </row>
    <row r="312" spans="1:2" x14ac:dyDescent="0.2">
      <c r="A312" s="1">
        <f>Acciones!A81</f>
        <v>45113</v>
      </c>
      <c r="B312" s="15">
        <v>-182.24269787027151</v>
      </c>
    </row>
    <row r="313" spans="1:2" x14ac:dyDescent="0.2">
      <c r="A313" s="1">
        <f>Acciones!A268</f>
        <v>45387</v>
      </c>
      <c r="B313" s="15">
        <v>-179.90154105217516</v>
      </c>
    </row>
    <row r="314" spans="1:2" x14ac:dyDescent="0.2">
      <c r="A314" s="1">
        <f>Acciones!A624</f>
        <v>45903</v>
      </c>
      <c r="B314" s="15">
        <v>-178.04522336814262</v>
      </c>
    </row>
    <row r="315" spans="1:2" x14ac:dyDescent="0.2">
      <c r="A315" s="1">
        <f>Acciones!A89</f>
        <v>45125</v>
      </c>
      <c r="B315" s="15">
        <v>-172.34865506355709</v>
      </c>
    </row>
    <row r="316" spans="1:2" x14ac:dyDescent="0.2">
      <c r="A316" s="1">
        <f>Acciones!A179</f>
        <v>45253</v>
      </c>
      <c r="B316" s="15">
        <v>-170.5622488012159</v>
      </c>
    </row>
    <row r="317" spans="1:2" x14ac:dyDescent="0.2">
      <c r="A317" s="1">
        <f>Acciones!A451</f>
        <v>45652</v>
      </c>
      <c r="B317" s="15">
        <v>-170.52982379033347</v>
      </c>
    </row>
    <row r="318" spans="1:2" x14ac:dyDescent="0.2">
      <c r="A318" s="1">
        <f>Acciones!A289</f>
        <v>45419</v>
      </c>
      <c r="B318" s="15">
        <v>-169.52262698060076</v>
      </c>
    </row>
    <row r="319" spans="1:2" x14ac:dyDescent="0.2">
      <c r="A319" s="1">
        <f>Acciones!A413</f>
        <v>45595</v>
      </c>
      <c r="B319" s="15">
        <v>-166.83252430052744</v>
      </c>
    </row>
    <row r="320" spans="1:2" x14ac:dyDescent="0.2">
      <c r="A320" s="1">
        <f>Acciones!A30</f>
        <v>45041</v>
      </c>
      <c r="B320" s="15">
        <v>-165.23198865692393</v>
      </c>
    </row>
    <row r="321" spans="1:2" x14ac:dyDescent="0.2">
      <c r="A321" s="1">
        <f>Acciones!A157</f>
        <v>45219</v>
      </c>
      <c r="B321" s="15">
        <v>-163.33780270089483</v>
      </c>
    </row>
    <row r="322" spans="1:2" x14ac:dyDescent="0.2">
      <c r="A322" s="1">
        <f>Acciones!A162</f>
        <v>45226</v>
      </c>
      <c r="B322" s="15">
        <v>-160.5720602297697</v>
      </c>
    </row>
    <row r="323" spans="1:2" x14ac:dyDescent="0.2">
      <c r="A323" s="1">
        <f>Acciones!A313</f>
        <v>45453</v>
      </c>
      <c r="B323" s="15">
        <v>-157.33543423306401</v>
      </c>
    </row>
    <row r="324" spans="1:2" x14ac:dyDescent="0.2">
      <c r="A324" s="1">
        <f>Acciones!A469</f>
        <v>45679</v>
      </c>
      <c r="B324" s="15">
        <v>-155.53468055524718</v>
      </c>
    </row>
    <row r="325" spans="1:2" x14ac:dyDescent="0.2">
      <c r="A325" s="1">
        <f>Acciones!A642</f>
        <v>45930</v>
      </c>
      <c r="B325" s="15">
        <v>-155.34887718950631</v>
      </c>
    </row>
    <row r="326" spans="1:2" x14ac:dyDescent="0.2">
      <c r="A326" s="1">
        <f>Acciones!A412</f>
        <v>45594</v>
      </c>
      <c r="B326" s="15">
        <v>-154.57405921208192</v>
      </c>
    </row>
    <row r="327" spans="1:2" x14ac:dyDescent="0.2">
      <c r="A327" s="1">
        <f>Acciones!A690</f>
        <v>45999</v>
      </c>
      <c r="B327" s="15">
        <v>-154.47713028917497</v>
      </c>
    </row>
    <row r="328" spans="1:2" x14ac:dyDescent="0.2">
      <c r="A328" s="1">
        <f>Acciones!A649</f>
        <v>45939</v>
      </c>
      <c r="B328" s="15">
        <v>-153.1853184593856</v>
      </c>
    </row>
    <row r="329" spans="1:2" x14ac:dyDescent="0.2">
      <c r="A329" s="1">
        <f>Acciones!A721</f>
        <v>46045</v>
      </c>
      <c r="B329" s="15">
        <v>-151.80277317795844</v>
      </c>
    </row>
    <row r="330" spans="1:2" x14ac:dyDescent="0.2">
      <c r="A330" s="1">
        <f>Acciones!A663</f>
        <v>45959</v>
      </c>
      <c r="B330" s="15">
        <v>-149.42649897309457</v>
      </c>
    </row>
    <row r="331" spans="1:2" x14ac:dyDescent="0.2">
      <c r="A331" s="1">
        <f>Acciones!A136</f>
        <v>45190</v>
      </c>
      <c r="B331" s="15">
        <v>-149.03884260446648</v>
      </c>
    </row>
    <row r="332" spans="1:2" x14ac:dyDescent="0.2">
      <c r="A332" s="1">
        <f>Acciones!A164</f>
        <v>45230</v>
      </c>
      <c r="B332" s="15">
        <v>-147.29475999011629</v>
      </c>
    </row>
    <row r="333" spans="1:2" x14ac:dyDescent="0.2">
      <c r="A333" s="1">
        <f>Acciones!A671</f>
        <v>45971</v>
      </c>
      <c r="B333" s="15">
        <v>-146.41115121706753</v>
      </c>
    </row>
    <row r="334" spans="1:2" x14ac:dyDescent="0.2">
      <c r="A334" s="1">
        <f>Acciones!A621</f>
        <v>45898</v>
      </c>
      <c r="B334" s="15">
        <v>-137.28966664280233</v>
      </c>
    </row>
    <row r="335" spans="1:2" x14ac:dyDescent="0.2">
      <c r="A335" s="1">
        <f>Acciones!A571</f>
        <v>45828</v>
      </c>
      <c r="B335" s="15">
        <v>-136.16833125143603</v>
      </c>
    </row>
    <row r="336" spans="1:2" x14ac:dyDescent="0.2">
      <c r="A336" s="1">
        <f>Acciones!A587</f>
        <v>45852</v>
      </c>
      <c r="B336" s="15">
        <v>-135.80321850617474</v>
      </c>
    </row>
    <row r="337" spans="1:2" x14ac:dyDescent="0.2">
      <c r="A337" s="1">
        <f>Acciones!A46</f>
        <v>45064</v>
      </c>
      <c r="B337" s="15">
        <v>-134.2662130105673</v>
      </c>
    </row>
    <row r="338" spans="1:2" x14ac:dyDescent="0.2">
      <c r="A338" s="1">
        <f>Acciones!A348</f>
        <v>45502</v>
      </c>
      <c r="B338" s="15">
        <v>-131.08470060605759</v>
      </c>
    </row>
    <row r="339" spans="1:2" x14ac:dyDescent="0.2">
      <c r="A339" s="1">
        <f>Acciones!A120</f>
        <v>45168</v>
      </c>
      <c r="B339" s="15">
        <v>-129.88311078455808</v>
      </c>
    </row>
    <row r="340" spans="1:2" x14ac:dyDescent="0.2">
      <c r="A340" s="1">
        <f>Acciones!A310</f>
        <v>45448</v>
      </c>
      <c r="B340" s="15">
        <v>-129.66241974923105</v>
      </c>
    </row>
    <row r="341" spans="1:2" x14ac:dyDescent="0.2">
      <c r="A341" s="1">
        <f>Acciones!A124</f>
        <v>45174</v>
      </c>
      <c r="B341" s="15">
        <v>-124.89540644129011</v>
      </c>
    </row>
    <row r="342" spans="1:2" x14ac:dyDescent="0.2">
      <c r="A342" s="1">
        <f>Acciones!A42</f>
        <v>45058</v>
      </c>
      <c r="B342" s="15">
        <v>-121.69555138772557</v>
      </c>
    </row>
    <row r="343" spans="1:2" x14ac:dyDescent="0.2">
      <c r="A343" s="1">
        <f>Acciones!A609</f>
        <v>45882</v>
      </c>
      <c r="B343" s="15">
        <v>-121.62728767152294</v>
      </c>
    </row>
    <row r="344" spans="1:2" x14ac:dyDescent="0.2">
      <c r="A344" s="1">
        <f>Acciones!A569</f>
        <v>45826</v>
      </c>
      <c r="B344" s="15">
        <v>-121.23786074469535</v>
      </c>
    </row>
    <row r="345" spans="1:2" x14ac:dyDescent="0.2">
      <c r="A345" s="1">
        <f>Acciones!A388</f>
        <v>45559</v>
      </c>
      <c r="B345" s="15">
        <v>-120.8861056688911</v>
      </c>
    </row>
    <row r="346" spans="1:2" x14ac:dyDescent="0.2">
      <c r="A346" s="1">
        <f>Acciones!A107</f>
        <v>45149</v>
      </c>
      <c r="B346" s="15">
        <v>-118.63233902342472</v>
      </c>
    </row>
    <row r="347" spans="1:2" x14ac:dyDescent="0.2">
      <c r="A347" s="1">
        <f>Acciones!A630</f>
        <v>45911</v>
      </c>
      <c r="B347" s="15">
        <v>-115.77815805610953</v>
      </c>
    </row>
    <row r="348" spans="1:2" x14ac:dyDescent="0.2">
      <c r="A348" s="1">
        <f>Acciones!A404</f>
        <v>45582</v>
      </c>
      <c r="B348" s="15">
        <v>-115.08983257821819</v>
      </c>
    </row>
    <row r="349" spans="1:2" x14ac:dyDescent="0.2">
      <c r="A349" s="1">
        <f>Acciones!A281</f>
        <v>45406</v>
      </c>
      <c r="B349" s="15">
        <v>-111.45391082083006</v>
      </c>
    </row>
    <row r="350" spans="1:2" x14ac:dyDescent="0.2">
      <c r="A350" s="1">
        <f>Acciones!A4</f>
        <v>45000</v>
      </c>
      <c r="B350" s="15">
        <v>-109.30906625083298</v>
      </c>
    </row>
    <row r="351" spans="1:2" x14ac:dyDescent="0.2">
      <c r="A351" s="1">
        <f>Acciones!A290</f>
        <v>45420</v>
      </c>
      <c r="B351" s="15">
        <v>-107.42632613596652</v>
      </c>
    </row>
    <row r="352" spans="1:2" x14ac:dyDescent="0.2">
      <c r="A352" s="1">
        <f>Acciones!A640</f>
        <v>45926</v>
      </c>
      <c r="B352" s="15">
        <v>-103.48464816470732</v>
      </c>
    </row>
    <row r="353" spans="1:2" x14ac:dyDescent="0.2">
      <c r="A353" s="1">
        <f>Acciones!A217</f>
        <v>45310</v>
      </c>
      <c r="B353" s="15">
        <v>-102.42078403050255</v>
      </c>
    </row>
    <row r="354" spans="1:2" x14ac:dyDescent="0.2">
      <c r="A354" s="1">
        <f>Acciones!A146</f>
        <v>45204</v>
      </c>
      <c r="B354" s="15">
        <v>-97.902823685551994</v>
      </c>
    </row>
    <row r="355" spans="1:2" x14ac:dyDescent="0.2">
      <c r="A355" s="1">
        <f>Acciones!A163</f>
        <v>45229</v>
      </c>
      <c r="B355" s="15">
        <v>-95.830107183486689</v>
      </c>
    </row>
    <row r="356" spans="1:2" x14ac:dyDescent="0.2">
      <c r="A356" s="1">
        <f>Acciones!A305</f>
        <v>45441</v>
      </c>
      <c r="B356" s="15">
        <v>-95.249369821591245</v>
      </c>
    </row>
    <row r="357" spans="1:2" x14ac:dyDescent="0.2">
      <c r="A357" s="1">
        <f>Acciones!A548</f>
        <v>45797</v>
      </c>
      <c r="B357" s="15">
        <v>-93.589789160490909</v>
      </c>
    </row>
    <row r="358" spans="1:2" x14ac:dyDescent="0.2">
      <c r="A358" s="1">
        <f>Acciones!A559</f>
        <v>45812</v>
      </c>
      <c r="B358" s="15">
        <v>-88.942554876342911</v>
      </c>
    </row>
    <row r="359" spans="1:2" x14ac:dyDescent="0.2">
      <c r="A359" s="1">
        <f>Acciones!A130</f>
        <v>45182</v>
      </c>
      <c r="B359" s="15">
        <v>-80.124938238244795</v>
      </c>
    </row>
    <row r="360" spans="1:2" x14ac:dyDescent="0.2">
      <c r="A360" s="1">
        <f>Acciones!A133</f>
        <v>45187</v>
      </c>
      <c r="B360" s="15">
        <v>-78.988106680444616</v>
      </c>
    </row>
    <row r="361" spans="1:2" x14ac:dyDescent="0.2">
      <c r="A361" s="1">
        <f>Acciones!A249</f>
        <v>45357</v>
      </c>
      <c r="B361" s="15">
        <v>-77.503094566032814</v>
      </c>
    </row>
    <row r="362" spans="1:2" x14ac:dyDescent="0.2">
      <c r="A362" s="1">
        <f>Acciones!A627</f>
        <v>45908</v>
      </c>
      <c r="B362" s="15">
        <v>-77.064193040350801</v>
      </c>
    </row>
    <row r="363" spans="1:2" x14ac:dyDescent="0.2">
      <c r="A363" s="1">
        <f>Acciones!A264</f>
        <v>45383</v>
      </c>
      <c r="B363" s="15">
        <v>-75.899363754841033</v>
      </c>
    </row>
    <row r="364" spans="1:2" x14ac:dyDescent="0.2">
      <c r="A364" s="1">
        <f>Acciones!A476</f>
        <v>45688</v>
      </c>
      <c r="B364" s="15">
        <v>-69.20100565303801</v>
      </c>
    </row>
    <row r="365" spans="1:2" x14ac:dyDescent="0.2">
      <c r="A365" s="1">
        <f>Acciones!A94</f>
        <v>45132</v>
      </c>
      <c r="B365" s="15">
        <v>-66.381245814045542</v>
      </c>
    </row>
    <row r="366" spans="1:2" x14ac:dyDescent="0.2">
      <c r="A366" s="1">
        <f>Acciones!A623</f>
        <v>45902</v>
      </c>
      <c r="B366" s="15">
        <v>-65.154250008439703</v>
      </c>
    </row>
    <row r="367" spans="1:2" x14ac:dyDescent="0.2">
      <c r="A367" s="1">
        <f>Acciones!A300</f>
        <v>45434</v>
      </c>
      <c r="B367" s="15">
        <v>-64.758455038296233</v>
      </c>
    </row>
    <row r="368" spans="1:2" x14ac:dyDescent="0.2">
      <c r="A368" s="1">
        <f>Acciones!A368</f>
        <v>45530</v>
      </c>
      <c r="B368" s="15">
        <v>-63.210260233612644</v>
      </c>
    </row>
    <row r="369" spans="1:2" x14ac:dyDescent="0.2">
      <c r="A369" s="1">
        <f>Acciones!A210</f>
        <v>45301</v>
      </c>
      <c r="B369" s="15">
        <v>-59.387325482024607</v>
      </c>
    </row>
    <row r="370" spans="1:2" x14ac:dyDescent="0.2">
      <c r="A370" s="1">
        <f>Acciones!A56</f>
        <v>45078</v>
      </c>
      <c r="B370" s="15">
        <v>-56.66578658058279</v>
      </c>
    </row>
    <row r="371" spans="1:2" x14ac:dyDescent="0.2">
      <c r="A371" s="1">
        <f>Acciones!A167</f>
        <v>45236</v>
      </c>
      <c r="B371" s="15">
        <v>-55.963258076248167</v>
      </c>
    </row>
    <row r="372" spans="1:2" x14ac:dyDescent="0.2">
      <c r="A372" s="1">
        <f>Acciones!A346</f>
        <v>45498</v>
      </c>
      <c r="B372" s="15">
        <v>-54.144865574438882</v>
      </c>
    </row>
    <row r="373" spans="1:2" x14ac:dyDescent="0.2">
      <c r="A373" s="1">
        <f>Acciones!A394</f>
        <v>45568</v>
      </c>
      <c r="B373" s="15">
        <v>-53.117690463936015</v>
      </c>
    </row>
    <row r="374" spans="1:2" x14ac:dyDescent="0.2">
      <c r="A374" s="1">
        <f>Acciones!A622</f>
        <v>45901</v>
      </c>
      <c r="B374" s="15">
        <v>-50.747322588289535</v>
      </c>
    </row>
    <row r="375" spans="1:2" x14ac:dyDescent="0.2">
      <c r="A375" s="1">
        <f>Acciones!A391</f>
        <v>45562</v>
      </c>
      <c r="B375" s="15">
        <v>-49.640447574016434</v>
      </c>
    </row>
    <row r="376" spans="1:2" x14ac:dyDescent="0.2">
      <c r="A376" s="1">
        <f>Acciones!A547</f>
        <v>45796</v>
      </c>
      <c r="B376" s="15">
        <v>-46.099478857970098</v>
      </c>
    </row>
    <row r="377" spans="1:2" x14ac:dyDescent="0.2">
      <c r="A377" s="1">
        <f>Acciones!A12</f>
        <v>45013</v>
      </c>
      <c r="B377" s="15">
        <v>-45.745298458004982</v>
      </c>
    </row>
    <row r="378" spans="1:2" x14ac:dyDescent="0.2">
      <c r="A378" s="1">
        <f>Acciones!A673</f>
        <v>45973</v>
      </c>
      <c r="B378" s="15">
        <v>-38.546752375972574</v>
      </c>
    </row>
    <row r="379" spans="1:2" x14ac:dyDescent="0.2">
      <c r="A379" s="1">
        <f>Acciones!A705</f>
        <v>46022</v>
      </c>
      <c r="B379" s="15">
        <v>-38.297348480202345</v>
      </c>
    </row>
    <row r="380" spans="1:2" x14ac:dyDescent="0.2">
      <c r="A380" s="1">
        <f>Acciones!A176</f>
        <v>45247</v>
      </c>
      <c r="B380" s="15">
        <v>-36.571927798824618</v>
      </c>
    </row>
    <row r="381" spans="1:2" x14ac:dyDescent="0.2">
      <c r="A381" s="1">
        <f>Acciones!A213</f>
        <v>45306</v>
      </c>
      <c r="B381" s="15">
        <v>-30.573455907699099</v>
      </c>
    </row>
    <row r="382" spans="1:2" x14ac:dyDescent="0.2">
      <c r="A382" s="1">
        <f>Acciones!A682</f>
        <v>45987</v>
      </c>
      <c r="B382" s="15">
        <v>-28.514650797755166</v>
      </c>
    </row>
    <row r="383" spans="1:2" x14ac:dyDescent="0.2">
      <c r="A383" s="1">
        <f>Acciones!A50</f>
        <v>45070</v>
      </c>
      <c r="B383" s="15">
        <v>-25.425702256245131</v>
      </c>
    </row>
    <row r="384" spans="1:2" x14ac:dyDescent="0.2">
      <c r="A384" s="1">
        <f>Acciones!A679</f>
        <v>45982</v>
      </c>
      <c r="B384" s="15">
        <v>-24.681656197368284</v>
      </c>
    </row>
    <row r="385" spans="1:2" x14ac:dyDescent="0.2">
      <c r="A385" s="1">
        <f>Acciones!A131</f>
        <v>45183</v>
      </c>
      <c r="B385" s="15">
        <v>-21.182167901359207</v>
      </c>
    </row>
    <row r="386" spans="1:2" x14ac:dyDescent="0.2">
      <c r="A386" s="1">
        <f>Acciones!A620</f>
        <v>45897</v>
      </c>
      <c r="B386" s="15">
        <v>-20.949836347779637</v>
      </c>
    </row>
    <row r="387" spans="1:2" x14ac:dyDescent="0.2">
      <c r="A387" s="1">
        <f>Acciones!A312</f>
        <v>45450</v>
      </c>
      <c r="B387" s="15">
        <v>-20.2077257405399</v>
      </c>
    </row>
    <row r="388" spans="1:2" x14ac:dyDescent="0.2">
      <c r="A388" s="1">
        <f>Acciones!A23</f>
        <v>45030</v>
      </c>
      <c r="B388" s="15">
        <v>-17.497644999602926</v>
      </c>
    </row>
    <row r="389" spans="1:2" x14ac:dyDescent="0.2">
      <c r="A389" s="1">
        <f>Acciones!A614</f>
        <v>45889</v>
      </c>
      <c r="B389" s="15">
        <v>-14.921552000683732</v>
      </c>
    </row>
    <row r="390" spans="1:2" x14ac:dyDescent="0.2">
      <c r="A390" s="1">
        <f>Acciones!A685</f>
        <v>45992</v>
      </c>
      <c r="B390" s="15">
        <v>-14.721194237907184</v>
      </c>
    </row>
    <row r="391" spans="1:2" x14ac:dyDescent="0.2">
      <c r="A391" s="1">
        <f>Acciones!A324</f>
        <v>45468</v>
      </c>
      <c r="B391" s="15">
        <v>-14.392899960446812</v>
      </c>
    </row>
    <row r="392" spans="1:2" x14ac:dyDescent="0.2">
      <c r="A392" s="1">
        <f>Acciones!A530</f>
        <v>45770</v>
      </c>
      <c r="B392" s="15">
        <v>-12.932438308951532</v>
      </c>
    </row>
    <row r="393" spans="1:2" x14ac:dyDescent="0.2">
      <c r="A393" s="1">
        <f>Acciones!A661</f>
        <v>45957</v>
      </c>
      <c r="B393" s="15">
        <v>-12.369044880804722</v>
      </c>
    </row>
    <row r="394" spans="1:2" x14ac:dyDescent="0.2">
      <c r="A394" s="1">
        <f>Acciones!A688</f>
        <v>45995</v>
      </c>
      <c r="B394" s="15">
        <v>-7.0495650233715423</v>
      </c>
    </row>
    <row r="395" spans="1:2" x14ac:dyDescent="0.2">
      <c r="A395" s="1">
        <f>Acciones!A275</f>
        <v>45398</v>
      </c>
      <c r="B395" s="15">
        <v>-5.7635662012835382</v>
      </c>
    </row>
    <row r="396" spans="1:2" x14ac:dyDescent="0.2">
      <c r="A396" s="1">
        <f>Acciones!A200</f>
        <v>45286</v>
      </c>
      <c r="B396" s="15">
        <v>-4.672348478306958</v>
      </c>
    </row>
    <row r="397" spans="1:2" x14ac:dyDescent="0.2">
      <c r="A397" s="1">
        <f>Acciones!A33</f>
        <v>45044</v>
      </c>
      <c r="B397" s="15">
        <v>-3.7694855998197454</v>
      </c>
    </row>
    <row r="398" spans="1:2" x14ac:dyDescent="0.2">
      <c r="A398" s="1">
        <f>Acciones!A415</f>
        <v>45597</v>
      </c>
      <c r="B398" s="15">
        <v>-3.3792842324328376</v>
      </c>
    </row>
    <row r="399" spans="1:2" x14ac:dyDescent="0.2">
      <c r="A399" s="1">
        <f>Acciones!A420</f>
        <v>45604</v>
      </c>
      <c r="B399" s="15">
        <v>-2.6817667415052711</v>
      </c>
    </row>
    <row r="400" spans="1:2" x14ac:dyDescent="0.2">
      <c r="A400" s="1">
        <f>Acciones!A499</f>
        <v>45722</v>
      </c>
      <c r="B400" s="15">
        <v>-0.2748380153789185</v>
      </c>
    </row>
    <row r="401" spans="1:2" x14ac:dyDescent="0.2">
      <c r="A401" s="1">
        <f>Acciones!A261</f>
        <v>45376</v>
      </c>
      <c r="B401" s="15">
        <v>-0.13077118199362303</v>
      </c>
    </row>
    <row r="402" spans="1:2" x14ac:dyDescent="0.2">
      <c r="A402" s="1">
        <f>Acciones!A2</f>
        <v>44998</v>
      </c>
      <c r="B402" s="15">
        <v>0</v>
      </c>
    </row>
    <row r="403" spans="1:2" x14ac:dyDescent="0.2">
      <c r="A403" s="1">
        <f>Acciones!A383</f>
        <v>45552</v>
      </c>
      <c r="B403" s="15">
        <v>0.16334785455546807</v>
      </c>
    </row>
    <row r="404" spans="1:2" x14ac:dyDescent="0.2">
      <c r="A404" s="1">
        <f>Acciones!A513</f>
        <v>45743</v>
      </c>
      <c r="B404" s="15">
        <v>0.21420912152098026</v>
      </c>
    </row>
    <row r="405" spans="1:2" x14ac:dyDescent="0.2">
      <c r="A405" s="1">
        <f>Acciones!A744</f>
        <v>46079</v>
      </c>
      <c r="B405" s="15">
        <v>3.4588134797777457</v>
      </c>
    </row>
    <row r="406" spans="1:2" x14ac:dyDescent="0.2">
      <c r="A406" s="1">
        <f>Acciones!A108</f>
        <v>45152</v>
      </c>
      <c r="B406" s="15">
        <v>5.5804450355753943</v>
      </c>
    </row>
    <row r="407" spans="1:2" x14ac:dyDescent="0.2">
      <c r="A407" s="1">
        <f>Acciones!A713</f>
        <v>46035</v>
      </c>
      <c r="B407" s="15">
        <v>5.8266750087932451</v>
      </c>
    </row>
    <row r="408" spans="1:2" x14ac:dyDescent="0.2">
      <c r="A408" s="1">
        <f>Acciones!A224</f>
        <v>45321</v>
      </c>
      <c r="B408" s="15">
        <v>10.090670087371109</v>
      </c>
    </row>
    <row r="409" spans="1:2" x14ac:dyDescent="0.2">
      <c r="A409" s="1">
        <f>Acciones!A382</f>
        <v>45548</v>
      </c>
      <c r="B409" s="15">
        <v>12.199528171087877</v>
      </c>
    </row>
    <row r="410" spans="1:2" x14ac:dyDescent="0.2">
      <c r="A410" s="1">
        <f>Acciones!A454</f>
        <v>45657</v>
      </c>
      <c r="B410" s="15">
        <v>13.26990744684008</v>
      </c>
    </row>
    <row r="411" spans="1:2" x14ac:dyDescent="0.2">
      <c r="A411" s="1">
        <f>Acciones!A619</f>
        <v>45896</v>
      </c>
      <c r="B411" s="15">
        <v>14.243327457628766</v>
      </c>
    </row>
    <row r="412" spans="1:2" x14ac:dyDescent="0.2">
      <c r="A412" s="1">
        <f>Acciones!A63</f>
        <v>45089</v>
      </c>
      <c r="B412" s="15">
        <v>18.09877792036059</v>
      </c>
    </row>
    <row r="413" spans="1:2" x14ac:dyDescent="0.2">
      <c r="A413" s="1">
        <f>Acciones!A61</f>
        <v>45085</v>
      </c>
      <c r="B413" s="15">
        <v>19.791865840226819</v>
      </c>
    </row>
    <row r="414" spans="1:2" x14ac:dyDescent="0.2">
      <c r="A414" s="1">
        <f>Acciones!A276</f>
        <v>45399</v>
      </c>
      <c r="B414" s="15">
        <v>24.449310181254987</v>
      </c>
    </row>
    <row r="415" spans="1:2" x14ac:dyDescent="0.2">
      <c r="A415" s="1">
        <f>Acciones!A430</f>
        <v>45621</v>
      </c>
      <c r="B415" s="15">
        <v>26.676893937226851</v>
      </c>
    </row>
    <row r="416" spans="1:2" x14ac:dyDescent="0.2">
      <c r="A416" s="1">
        <f>Acciones!A311</f>
        <v>45449</v>
      </c>
      <c r="B416" s="15">
        <v>28.795197853905847</v>
      </c>
    </row>
    <row r="417" spans="1:2" x14ac:dyDescent="0.2">
      <c r="A417" s="1">
        <f>Acciones!A259</f>
        <v>45372</v>
      </c>
      <c r="B417" s="15">
        <v>31.335217586147337</v>
      </c>
    </row>
    <row r="418" spans="1:2" x14ac:dyDescent="0.2">
      <c r="A418" s="1">
        <f>Acciones!A615</f>
        <v>45890</v>
      </c>
      <c r="B418" s="15">
        <v>31.588093054728233</v>
      </c>
    </row>
    <row r="419" spans="1:2" x14ac:dyDescent="0.2">
      <c r="A419" s="1">
        <f>Acciones!A173</f>
        <v>45244</v>
      </c>
      <c r="B419" s="15">
        <v>33.416765827088966</v>
      </c>
    </row>
    <row r="420" spans="1:2" x14ac:dyDescent="0.2">
      <c r="A420" s="1">
        <f>Acciones!A336</f>
        <v>45484</v>
      </c>
      <c r="B420" s="15">
        <v>34.757500124625949</v>
      </c>
    </row>
    <row r="421" spans="1:2" x14ac:dyDescent="0.2">
      <c r="A421" s="1">
        <f>Acciones!A363</f>
        <v>45523</v>
      </c>
      <c r="B421" s="15">
        <v>35.562184299982619</v>
      </c>
    </row>
    <row r="422" spans="1:2" x14ac:dyDescent="0.2">
      <c r="A422" s="1">
        <f>Acciones!A219</f>
        <v>45314</v>
      </c>
      <c r="B422" s="15">
        <v>37.510549490092671</v>
      </c>
    </row>
    <row r="423" spans="1:2" x14ac:dyDescent="0.2">
      <c r="A423" s="1">
        <f>Acciones!A525</f>
        <v>45761</v>
      </c>
      <c r="B423" s="15">
        <v>39.269932389746828</v>
      </c>
    </row>
    <row r="424" spans="1:2" x14ac:dyDescent="0.2">
      <c r="A424" s="1">
        <f>Acciones!A320</f>
        <v>45462</v>
      </c>
      <c r="B424" s="15">
        <v>39.898709641485766</v>
      </c>
    </row>
    <row r="425" spans="1:2" x14ac:dyDescent="0.2">
      <c r="A425" s="1">
        <f>Acciones!A304</f>
        <v>45440</v>
      </c>
      <c r="B425" s="15">
        <v>42.403197182673466</v>
      </c>
    </row>
    <row r="426" spans="1:2" x14ac:dyDescent="0.2">
      <c r="A426" s="1">
        <f>Acciones!A684</f>
        <v>45989</v>
      </c>
      <c r="B426" s="15">
        <v>43.63378915168505</v>
      </c>
    </row>
    <row r="427" spans="1:2" x14ac:dyDescent="0.2">
      <c r="A427" s="1">
        <f>Acciones!A581</f>
        <v>45842</v>
      </c>
      <c r="B427" s="15">
        <v>47.048950383297779</v>
      </c>
    </row>
    <row r="428" spans="1:2" x14ac:dyDescent="0.2">
      <c r="A428" s="1">
        <f>Acciones!A156</f>
        <v>45218</v>
      </c>
      <c r="B428" s="15">
        <v>48.254997863576136</v>
      </c>
    </row>
    <row r="429" spans="1:2" x14ac:dyDescent="0.2">
      <c r="A429" s="1">
        <f>Acciones!A117</f>
        <v>45163</v>
      </c>
      <c r="B429" s="15">
        <v>48.621836400823668</v>
      </c>
    </row>
    <row r="430" spans="1:2" x14ac:dyDescent="0.2">
      <c r="A430" s="1">
        <f>Acciones!A171</f>
        <v>45240</v>
      </c>
      <c r="B430" s="15">
        <v>49.024355614521482</v>
      </c>
    </row>
    <row r="431" spans="1:2" x14ac:dyDescent="0.2">
      <c r="A431" s="1">
        <f>Acciones!A596</f>
        <v>45863</v>
      </c>
      <c r="B431" s="15">
        <v>51.682885437956429</v>
      </c>
    </row>
    <row r="432" spans="1:2" x14ac:dyDescent="0.2">
      <c r="A432" s="1">
        <f>Acciones!A660</f>
        <v>45954</v>
      </c>
      <c r="B432" s="15">
        <v>52.450550530025794</v>
      </c>
    </row>
    <row r="433" spans="1:2" x14ac:dyDescent="0.2">
      <c r="A433" s="1">
        <f>Acciones!A194</f>
        <v>45275</v>
      </c>
      <c r="B433" s="15">
        <v>54.563790414791583</v>
      </c>
    </row>
    <row r="434" spans="1:2" x14ac:dyDescent="0.2">
      <c r="A434" s="1">
        <f>Acciones!A557</f>
        <v>45810</v>
      </c>
      <c r="B434" s="15">
        <v>55.576732901063224</v>
      </c>
    </row>
    <row r="435" spans="1:2" x14ac:dyDescent="0.2">
      <c r="A435" s="1">
        <f>Acciones!A319</f>
        <v>45461</v>
      </c>
      <c r="B435" s="15">
        <v>61.079693321058585</v>
      </c>
    </row>
    <row r="436" spans="1:2" x14ac:dyDescent="0.2">
      <c r="A436" s="1">
        <f>Acciones!A665</f>
        <v>45961</v>
      </c>
      <c r="B436" s="15">
        <v>62.716740426549222</v>
      </c>
    </row>
    <row r="437" spans="1:2" x14ac:dyDescent="0.2">
      <c r="A437" s="1">
        <f>Acciones!A29</f>
        <v>45040</v>
      </c>
      <c r="B437" s="15">
        <v>65.814331224693888</v>
      </c>
    </row>
    <row r="438" spans="1:2" x14ac:dyDescent="0.2">
      <c r="A438" s="1">
        <f>Acciones!A629</f>
        <v>45910</v>
      </c>
      <c r="B438" s="15">
        <v>65.848905032373295</v>
      </c>
    </row>
    <row r="439" spans="1:2" x14ac:dyDescent="0.2">
      <c r="A439" s="1">
        <f>Acciones!A331</f>
        <v>45477</v>
      </c>
      <c r="B439" s="15">
        <v>68.673504023361602</v>
      </c>
    </row>
    <row r="440" spans="1:2" x14ac:dyDescent="0.2">
      <c r="A440" s="1">
        <f>Acciones!A398</f>
        <v>45574</v>
      </c>
      <c r="B440" s="15">
        <v>69.259872910311969</v>
      </c>
    </row>
    <row r="441" spans="1:2" x14ac:dyDescent="0.2">
      <c r="A441" s="1">
        <f>Acciones!A402</f>
        <v>45580</v>
      </c>
      <c r="B441" s="15">
        <v>71.838135884539952</v>
      </c>
    </row>
    <row r="442" spans="1:2" x14ac:dyDescent="0.2">
      <c r="A442" s="1">
        <f>Acciones!A151</f>
        <v>45211</v>
      </c>
      <c r="B442" s="15">
        <v>77.261971409185207</v>
      </c>
    </row>
    <row r="443" spans="1:2" x14ac:dyDescent="0.2">
      <c r="A443" s="1">
        <f>Acciones!A545</f>
        <v>45792</v>
      </c>
      <c r="B443" s="15">
        <v>77.702336208421912</v>
      </c>
    </row>
    <row r="444" spans="1:2" x14ac:dyDescent="0.2">
      <c r="A444" s="1">
        <f>Acciones!A250</f>
        <v>45358</v>
      </c>
      <c r="B444" s="15">
        <v>80.148071912106388</v>
      </c>
    </row>
    <row r="445" spans="1:2" x14ac:dyDescent="0.2">
      <c r="A445" s="1">
        <f>Acciones!A659</f>
        <v>45953</v>
      </c>
      <c r="B445" s="15">
        <v>80.204316184786876</v>
      </c>
    </row>
    <row r="446" spans="1:2" x14ac:dyDescent="0.2">
      <c r="A446" s="1">
        <f>Acciones!A552</f>
        <v>45803</v>
      </c>
      <c r="B446" s="15">
        <v>81.095712538059161</v>
      </c>
    </row>
    <row r="447" spans="1:2" x14ac:dyDescent="0.2">
      <c r="A447" s="1">
        <f>Acciones!A125</f>
        <v>45175</v>
      </c>
      <c r="B447" s="15">
        <v>81.770664177893195</v>
      </c>
    </row>
    <row r="448" spans="1:2" x14ac:dyDescent="0.2">
      <c r="A448" s="1">
        <f>Acciones!A570</f>
        <v>45827</v>
      </c>
      <c r="B448" s="15">
        <v>88.696470522769232</v>
      </c>
    </row>
    <row r="449" spans="1:2" x14ac:dyDescent="0.2">
      <c r="A449" s="1">
        <f>Acciones!A648</f>
        <v>45938</v>
      </c>
      <c r="B449" s="15">
        <v>89.369276706522214</v>
      </c>
    </row>
    <row r="450" spans="1:2" x14ac:dyDescent="0.2">
      <c r="A450" s="1">
        <f>Acciones!A282</f>
        <v>45407</v>
      </c>
      <c r="B450" s="15">
        <v>89.957347024039336</v>
      </c>
    </row>
    <row r="451" spans="1:2" x14ac:dyDescent="0.2">
      <c r="A451" s="1">
        <f>Acciones!A257</f>
        <v>45370</v>
      </c>
      <c r="B451" s="15">
        <v>97.47913184357094</v>
      </c>
    </row>
    <row r="452" spans="1:2" x14ac:dyDescent="0.2">
      <c r="A452" s="1">
        <f>Acciones!A373</f>
        <v>45537</v>
      </c>
      <c r="B452" s="15">
        <v>102.35360127966487</v>
      </c>
    </row>
    <row r="453" spans="1:2" x14ac:dyDescent="0.2">
      <c r="A453" s="1">
        <f>Acciones!A254</f>
        <v>45364</v>
      </c>
      <c r="B453" s="15">
        <v>102.76596352011984</v>
      </c>
    </row>
    <row r="454" spans="1:2" x14ac:dyDescent="0.2">
      <c r="A454" s="1">
        <f>Acciones!A57</f>
        <v>45079</v>
      </c>
      <c r="B454" s="15">
        <v>103.43790165420432</v>
      </c>
    </row>
    <row r="455" spans="1:2" x14ac:dyDescent="0.2">
      <c r="A455" s="1">
        <f>Acciones!A636</f>
        <v>45922</v>
      </c>
      <c r="B455" s="15">
        <v>103.73311187691797</v>
      </c>
    </row>
    <row r="456" spans="1:2" x14ac:dyDescent="0.2">
      <c r="A456" s="1">
        <f>Acciones!A477</f>
        <v>45692</v>
      </c>
      <c r="B456" s="15">
        <v>104.78590843576603</v>
      </c>
    </row>
    <row r="457" spans="1:2" x14ac:dyDescent="0.2">
      <c r="A457" s="1">
        <f>Acciones!A618</f>
        <v>45895</v>
      </c>
      <c r="B457" s="15">
        <v>106.18921435555603</v>
      </c>
    </row>
    <row r="458" spans="1:2" x14ac:dyDescent="0.2">
      <c r="A458" s="1">
        <f>Acciones!A631</f>
        <v>45912</v>
      </c>
      <c r="B458" s="15">
        <v>106.66723985160206</v>
      </c>
    </row>
    <row r="459" spans="1:2" x14ac:dyDescent="0.2">
      <c r="A459" s="1">
        <f>Acciones!A397</f>
        <v>45573</v>
      </c>
      <c r="B459" s="15">
        <v>108.04648094083677</v>
      </c>
    </row>
    <row r="460" spans="1:2" x14ac:dyDescent="0.2">
      <c r="A460" s="1">
        <f>Acciones!A168</f>
        <v>45237</v>
      </c>
      <c r="B460" s="15">
        <v>110.56842752346711</v>
      </c>
    </row>
    <row r="461" spans="1:2" x14ac:dyDescent="0.2">
      <c r="A461" s="1">
        <f>Acciones!A691</f>
        <v>46000</v>
      </c>
      <c r="B461" s="15">
        <v>111.9380173217869</v>
      </c>
    </row>
    <row r="462" spans="1:2" x14ac:dyDescent="0.2">
      <c r="A462" s="1">
        <f>Acciones!A349</f>
        <v>45503</v>
      </c>
      <c r="B462" s="15">
        <v>113.32819167984053</v>
      </c>
    </row>
    <row r="463" spans="1:2" x14ac:dyDescent="0.2">
      <c r="A463" s="1">
        <f>Acciones!A692</f>
        <v>46001</v>
      </c>
      <c r="B463" s="15">
        <v>116.71822049723778</v>
      </c>
    </row>
    <row r="464" spans="1:2" x14ac:dyDescent="0.2">
      <c r="A464" s="1">
        <f>Acciones!A237</f>
        <v>45341</v>
      </c>
      <c r="B464" s="15">
        <v>119.07273672235533</v>
      </c>
    </row>
    <row r="465" spans="1:2" x14ac:dyDescent="0.2">
      <c r="A465" s="1">
        <f>Acciones!A221</f>
        <v>45316</v>
      </c>
      <c r="B465" s="15">
        <v>120.89078818080088</v>
      </c>
    </row>
    <row r="466" spans="1:2" x14ac:dyDescent="0.2">
      <c r="A466" s="1">
        <f>Acciones!A483</f>
        <v>45700</v>
      </c>
      <c r="B466" s="15">
        <v>126.20040539336696</v>
      </c>
    </row>
    <row r="467" spans="1:2" x14ac:dyDescent="0.2">
      <c r="A467" s="1">
        <f>Acciones!A296</f>
        <v>45428</v>
      </c>
      <c r="B467" s="15">
        <v>127.79057929257397</v>
      </c>
    </row>
    <row r="468" spans="1:2" x14ac:dyDescent="0.2">
      <c r="A468" s="1">
        <f>Acciones!A326</f>
        <v>45470</v>
      </c>
      <c r="B468" s="15">
        <v>132.5989652446151</v>
      </c>
    </row>
    <row r="469" spans="1:2" x14ac:dyDescent="0.2">
      <c r="A469" s="1">
        <f>Acciones!A638</f>
        <v>45924</v>
      </c>
      <c r="B469" s="15">
        <v>138.95150025525436</v>
      </c>
    </row>
    <row r="470" spans="1:2" x14ac:dyDescent="0.2">
      <c r="A470" s="1">
        <f>Acciones!A434</f>
        <v>45625</v>
      </c>
      <c r="B470" s="15">
        <v>141.68245233440393</v>
      </c>
    </row>
    <row r="471" spans="1:2" x14ac:dyDescent="0.2">
      <c r="A471" s="1">
        <f>Acciones!A35</f>
        <v>45049</v>
      </c>
      <c r="B471" s="15">
        <v>141.76166068542079</v>
      </c>
    </row>
    <row r="472" spans="1:2" x14ac:dyDescent="0.2">
      <c r="A472" s="1">
        <f>Acciones!A92</f>
        <v>45128</v>
      </c>
      <c r="B472" s="15">
        <v>142.99267603764747</v>
      </c>
    </row>
    <row r="473" spans="1:2" x14ac:dyDescent="0.2">
      <c r="A473" s="1">
        <f>Acciones!A686</f>
        <v>45993</v>
      </c>
      <c r="B473" s="15">
        <v>143.33794155561191</v>
      </c>
    </row>
    <row r="474" spans="1:2" x14ac:dyDescent="0.2">
      <c r="A474" s="1">
        <f>Acciones!A470</f>
        <v>45680</v>
      </c>
      <c r="B474" s="15">
        <v>144.86486595294991</v>
      </c>
    </row>
    <row r="475" spans="1:2" x14ac:dyDescent="0.2">
      <c r="A475" s="1">
        <f>Acciones!A39</f>
        <v>45055</v>
      </c>
      <c r="B475" s="15">
        <v>145.88472738800556</v>
      </c>
    </row>
    <row r="476" spans="1:2" x14ac:dyDescent="0.2">
      <c r="A476" s="1">
        <f>Acciones!A585</f>
        <v>45848</v>
      </c>
      <c r="B476" s="15">
        <v>146.23681232066156</v>
      </c>
    </row>
    <row r="477" spans="1:2" x14ac:dyDescent="0.2">
      <c r="A477" s="1">
        <f>Acciones!A343</f>
        <v>45495</v>
      </c>
      <c r="B477" s="15">
        <v>146.5095743040074</v>
      </c>
    </row>
    <row r="478" spans="1:2" x14ac:dyDescent="0.2">
      <c r="A478" s="1">
        <f>Acciones!A484</f>
        <v>45701</v>
      </c>
      <c r="B478" s="15">
        <v>147.91015851929842</v>
      </c>
    </row>
    <row r="479" spans="1:2" x14ac:dyDescent="0.2">
      <c r="A479" s="1">
        <f>Acciones!A419</f>
        <v>45603</v>
      </c>
      <c r="B479" s="15">
        <v>150.37465586233157</v>
      </c>
    </row>
    <row r="480" spans="1:2" x14ac:dyDescent="0.2">
      <c r="A480" s="1">
        <f>Acciones!A473</f>
        <v>45685</v>
      </c>
      <c r="B480" s="15">
        <v>156.54791749537981</v>
      </c>
    </row>
    <row r="481" spans="1:2" x14ac:dyDescent="0.2">
      <c r="A481" s="1">
        <f>Acciones!A628</f>
        <v>45909</v>
      </c>
      <c r="B481" s="15">
        <v>156.69170277353987</v>
      </c>
    </row>
    <row r="482" spans="1:2" x14ac:dyDescent="0.2">
      <c r="A482" s="1">
        <f>Acciones!A79</f>
        <v>45111</v>
      </c>
      <c r="B482" s="15">
        <v>157.77228815267881</v>
      </c>
    </row>
    <row r="483" spans="1:2" x14ac:dyDescent="0.2">
      <c r="A483" s="1">
        <f>Acciones!A253</f>
        <v>45363</v>
      </c>
      <c r="B483" s="15">
        <v>158.81363231966316</v>
      </c>
    </row>
    <row r="484" spans="1:2" x14ac:dyDescent="0.2">
      <c r="A484" s="1">
        <f>Acciones!A538</f>
        <v>45783</v>
      </c>
      <c r="B484" s="15">
        <v>160.57966148595006</v>
      </c>
    </row>
    <row r="485" spans="1:2" x14ac:dyDescent="0.2">
      <c r="A485" s="1">
        <f>Acciones!A433</f>
        <v>45624</v>
      </c>
      <c r="B485" s="15">
        <v>160.83345240218478</v>
      </c>
    </row>
    <row r="486" spans="1:2" x14ac:dyDescent="0.2">
      <c r="A486" s="1">
        <f>Acciones!A283</f>
        <v>45408</v>
      </c>
      <c r="B486" s="15">
        <v>164.72952534180877</v>
      </c>
    </row>
    <row r="487" spans="1:2" x14ac:dyDescent="0.2">
      <c r="A487" s="1">
        <f>Acciones!A550</f>
        <v>45799</v>
      </c>
      <c r="B487" s="15">
        <v>168.3529458632911</v>
      </c>
    </row>
    <row r="488" spans="1:2" x14ac:dyDescent="0.2">
      <c r="A488" s="1">
        <f>Acciones!A574</f>
        <v>45833</v>
      </c>
      <c r="B488" s="15">
        <v>169.85804441557411</v>
      </c>
    </row>
    <row r="489" spans="1:2" x14ac:dyDescent="0.2">
      <c r="A489" s="1">
        <f>Acciones!A145</f>
        <v>45203</v>
      </c>
      <c r="B489" s="15">
        <v>169.91195898783917</v>
      </c>
    </row>
    <row r="490" spans="1:2" x14ac:dyDescent="0.2">
      <c r="A490" s="1">
        <f>Acciones!A531</f>
        <v>45771</v>
      </c>
      <c r="B490" s="15">
        <v>172.4850037331671</v>
      </c>
    </row>
    <row r="491" spans="1:2" x14ac:dyDescent="0.2">
      <c r="A491" s="1">
        <f>Acciones!A152</f>
        <v>45212</v>
      </c>
      <c r="B491" s="15">
        <v>174.44082121383326</v>
      </c>
    </row>
    <row r="492" spans="1:2" x14ac:dyDescent="0.2">
      <c r="A492" s="1">
        <f>Acciones!A303</f>
        <v>45439</v>
      </c>
      <c r="B492" s="15">
        <v>175.03778036739095</v>
      </c>
    </row>
    <row r="493" spans="1:2" x14ac:dyDescent="0.2">
      <c r="A493" s="1">
        <f>Acciones!A82</f>
        <v>45114</v>
      </c>
      <c r="B493" s="15">
        <v>182.12491296799271</v>
      </c>
    </row>
    <row r="494" spans="1:2" x14ac:dyDescent="0.2">
      <c r="A494" s="1">
        <f>Acciones!A457</f>
        <v>45663</v>
      </c>
      <c r="B494" s="15">
        <v>182.65508876641252</v>
      </c>
    </row>
    <row r="495" spans="1:2" x14ac:dyDescent="0.2">
      <c r="A495" s="1">
        <f>Acciones!A243</f>
        <v>45349</v>
      </c>
      <c r="B495" s="15">
        <v>184.1918438609755</v>
      </c>
    </row>
    <row r="496" spans="1:2" x14ac:dyDescent="0.2">
      <c r="A496" s="1">
        <f>Acciones!A708</f>
        <v>46028</v>
      </c>
      <c r="B496" s="15">
        <v>186.79445902662337</v>
      </c>
    </row>
    <row r="497" spans="1:2" x14ac:dyDescent="0.2">
      <c r="A497" s="1">
        <f>Acciones!A270</f>
        <v>45391</v>
      </c>
      <c r="B497" s="15">
        <v>192.11687591589725</v>
      </c>
    </row>
    <row r="498" spans="1:2" x14ac:dyDescent="0.2">
      <c r="A498" s="1">
        <f>Acciones!A577</f>
        <v>45838</v>
      </c>
      <c r="B498" s="15">
        <v>201.03804477181984</v>
      </c>
    </row>
    <row r="499" spans="1:2" x14ac:dyDescent="0.2">
      <c r="A499" s="1">
        <f>Acciones!A445</f>
        <v>45643</v>
      </c>
      <c r="B499" s="15">
        <v>207.52416394036118</v>
      </c>
    </row>
    <row r="500" spans="1:2" x14ac:dyDescent="0.2">
      <c r="A500" s="1">
        <f>Acciones!A526</f>
        <v>45762</v>
      </c>
      <c r="B500" s="15">
        <v>207.98753148872493</v>
      </c>
    </row>
    <row r="501" spans="1:2" x14ac:dyDescent="0.2">
      <c r="A501" s="1">
        <f>Acciones!A608</f>
        <v>45881</v>
      </c>
      <c r="B501" s="15">
        <v>210.02436168172426</v>
      </c>
    </row>
    <row r="502" spans="1:2" x14ac:dyDescent="0.2">
      <c r="A502" s="1">
        <f>Acciones!A364</f>
        <v>45524</v>
      </c>
      <c r="B502" s="15">
        <v>210.13122444402325</v>
      </c>
    </row>
    <row r="503" spans="1:2" x14ac:dyDescent="0.2">
      <c r="A503" s="1">
        <f>Acciones!A293</f>
        <v>45425</v>
      </c>
      <c r="B503" s="15">
        <v>214.97740836320008</v>
      </c>
    </row>
    <row r="504" spans="1:2" x14ac:dyDescent="0.2">
      <c r="A504" s="1">
        <f>Acciones!A751</f>
        <v>46090</v>
      </c>
      <c r="B504" s="15">
        <v>222.67963937668537</v>
      </c>
    </row>
    <row r="505" spans="1:2" x14ac:dyDescent="0.2">
      <c r="A505" s="1">
        <f>Acciones!A681</f>
        <v>45986</v>
      </c>
      <c r="B505" s="15">
        <v>223.42540119861587</v>
      </c>
    </row>
    <row r="506" spans="1:2" x14ac:dyDescent="0.2">
      <c r="A506" s="1">
        <f>Acciones!A25</f>
        <v>45034</v>
      </c>
      <c r="B506" s="15">
        <v>227.63656554018962</v>
      </c>
    </row>
    <row r="507" spans="1:2" x14ac:dyDescent="0.2">
      <c r="A507" s="1">
        <f>Acciones!A287</f>
        <v>45415</v>
      </c>
      <c r="B507" s="15">
        <v>228.46116415303186</v>
      </c>
    </row>
    <row r="508" spans="1:2" x14ac:dyDescent="0.2">
      <c r="A508" s="1">
        <f>Acciones!A188</f>
        <v>45266</v>
      </c>
      <c r="B508" s="15">
        <v>229.58726048420431</v>
      </c>
    </row>
    <row r="509" spans="1:2" x14ac:dyDescent="0.2">
      <c r="A509" s="1">
        <f>Acciones!A425</f>
        <v>45611</v>
      </c>
      <c r="B509" s="15">
        <v>229.66944035305642</v>
      </c>
    </row>
    <row r="510" spans="1:2" x14ac:dyDescent="0.2">
      <c r="A510" s="1">
        <f>Acciones!A183</f>
        <v>45259</v>
      </c>
      <c r="B510" s="15">
        <v>229.71079774032478</v>
      </c>
    </row>
    <row r="511" spans="1:2" x14ac:dyDescent="0.2">
      <c r="A511" s="1">
        <f>Acciones!A306</f>
        <v>45442</v>
      </c>
      <c r="B511" s="15">
        <v>229.88957998642945</v>
      </c>
    </row>
    <row r="512" spans="1:2" x14ac:dyDescent="0.2">
      <c r="A512" s="1">
        <f>Acciones!A736</f>
        <v>46069</v>
      </c>
      <c r="B512" s="15">
        <v>230.46524680937728</v>
      </c>
    </row>
    <row r="513" spans="1:2" x14ac:dyDescent="0.2">
      <c r="A513" s="1">
        <f>Acciones!A218</f>
        <v>45313</v>
      </c>
      <c r="B513" s="15">
        <v>230.57678247848889</v>
      </c>
    </row>
    <row r="514" spans="1:2" x14ac:dyDescent="0.2">
      <c r="A514" s="1">
        <f>Acciones!A437</f>
        <v>45630</v>
      </c>
      <c r="B514" s="15">
        <v>230.64346494954225</v>
      </c>
    </row>
    <row r="515" spans="1:2" x14ac:dyDescent="0.2">
      <c r="A515" s="1">
        <f>Acciones!A181</f>
        <v>45257</v>
      </c>
      <c r="B515" s="15">
        <v>233.48302242707723</v>
      </c>
    </row>
    <row r="516" spans="1:2" x14ac:dyDescent="0.2">
      <c r="A516" s="1">
        <f>Acciones!A536</f>
        <v>45779</v>
      </c>
      <c r="B516" s="15">
        <v>235.61854349446367</v>
      </c>
    </row>
    <row r="517" spans="1:2" x14ac:dyDescent="0.2">
      <c r="A517" s="1">
        <f>Acciones!A321</f>
        <v>45463</v>
      </c>
      <c r="B517" s="15">
        <v>238.73234336092355</v>
      </c>
    </row>
    <row r="518" spans="1:2" x14ac:dyDescent="0.2">
      <c r="A518" s="1">
        <f>Acciones!A745</f>
        <v>46080</v>
      </c>
      <c r="B518" s="15">
        <v>239.49998414409856</v>
      </c>
    </row>
    <row r="519" spans="1:2" x14ac:dyDescent="0.2">
      <c r="A519" s="1">
        <f>Acciones!A683</f>
        <v>45988</v>
      </c>
      <c r="B519" s="15">
        <v>243.13647912314991</v>
      </c>
    </row>
    <row r="520" spans="1:2" x14ac:dyDescent="0.2">
      <c r="A520" s="1">
        <f>Acciones!A742</f>
        <v>46077</v>
      </c>
      <c r="B520" s="15">
        <v>248.61218341105632</v>
      </c>
    </row>
    <row r="521" spans="1:2" x14ac:dyDescent="0.2">
      <c r="A521" s="1">
        <f>Acciones!A68</f>
        <v>45096</v>
      </c>
      <c r="B521" s="15">
        <v>253.79328719888872</v>
      </c>
    </row>
    <row r="522" spans="1:2" x14ac:dyDescent="0.2">
      <c r="A522" s="1">
        <f>Acciones!A588</f>
        <v>45853</v>
      </c>
      <c r="B522" s="15">
        <v>255.70702379143768</v>
      </c>
    </row>
    <row r="523" spans="1:2" x14ac:dyDescent="0.2">
      <c r="A523" s="1">
        <f>Acciones!A64</f>
        <v>45090</v>
      </c>
      <c r="B523" s="15">
        <v>265.25811234038702</v>
      </c>
    </row>
    <row r="524" spans="1:2" x14ac:dyDescent="0.2">
      <c r="A524" s="1">
        <f>Acciones!A562</f>
        <v>45817</v>
      </c>
      <c r="B524" s="15">
        <v>265.42230666832984</v>
      </c>
    </row>
    <row r="525" spans="1:2" x14ac:dyDescent="0.2">
      <c r="A525" s="1">
        <f>Acciones!A177</f>
        <v>45251</v>
      </c>
      <c r="B525" s="15">
        <v>273.39201470732223</v>
      </c>
    </row>
    <row r="526" spans="1:2" x14ac:dyDescent="0.2">
      <c r="A526" s="1">
        <f>Acciones!A53</f>
        <v>45075</v>
      </c>
      <c r="B526" s="15">
        <v>274.9046935201186</v>
      </c>
    </row>
    <row r="527" spans="1:2" x14ac:dyDescent="0.2">
      <c r="A527" s="1">
        <f>Acciones!A143</f>
        <v>45201</v>
      </c>
      <c r="B527" s="15">
        <v>281.43192629414989</v>
      </c>
    </row>
    <row r="528" spans="1:2" x14ac:dyDescent="0.2">
      <c r="A528" s="1">
        <f>Acciones!A354</f>
        <v>45510</v>
      </c>
      <c r="B528" s="15">
        <v>281.55434886473085</v>
      </c>
    </row>
    <row r="529" spans="1:2" x14ac:dyDescent="0.2">
      <c r="A529" s="1">
        <f>Acciones!A590</f>
        <v>45855</v>
      </c>
      <c r="B529" s="15">
        <v>282.50288486164209</v>
      </c>
    </row>
    <row r="530" spans="1:2" x14ac:dyDescent="0.2">
      <c r="A530" s="1">
        <f>Acciones!A138</f>
        <v>45194</v>
      </c>
      <c r="B530" s="15">
        <v>282.74400552041334</v>
      </c>
    </row>
    <row r="531" spans="1:2" x14ac:dyDescent="0.2">
      <c r="A531" s="1">
        <f>Acciones!A422</f>
        <v>45608</v>
      </c>
      <c r="B531" s="15">
        <v>284.67653436344699</v>
      </c>
    </row>
    <row r="532" spans="1:2" x14ac:dyDescent="0.2">
      <c r="A532" s="1">
        <f>Acciones!A597</f>
        <v>45866</v>
      </c>
      <c r="B532" s="15">
        <v>289.41331820594132</v>
      </c>
    </row>
    <row r="533" spans="1:2" x14ac:dyDescent="0.2">
      <c r="A533" s="1">
        <f>Acciones!A589</f>
        <v>45854</v>
      </c>
      <c r="B533" s="15">
        <v>294.32682209561608</v>
      </c>
    </row>
    <row r="534" spans="1:2" x14ac:dyDescent="0.2">
      <c r="A534" s="1">
        <f>Acciones!A314</f>
        <v>45454</v>
      </c>
      <c r="B534" s="15">
        <v>294.60118402239459</v>
      </c>
    </row>
    <row r="535" spans="1:2" x14ac:dyDescent="0.2">
      <c r="A535" s="1">
        <f>Acciones!A719</f>
        <v>46043</v>
      </c>
      <c r="B535" s="15">
        <v>294.91982694065882</v>
      </c>
    </row>
    <row r="536" spans="1:2" x14ac:dyDescent="0.2">
      <c r="A536" s="1">
        <f>Acciones!A126</f>
        <v>45176</v>
      </c>
      <c r="B536" s="15">
        <v>295.13799046185886</v>
      </c>
    </row>
    <row r="537" spans="1:2" x14ac:dyDescent="0.2">
      <c r="A537" s="1">
        <f>Acciones!A607</f>
        <v>45880</v>
      </c>
      <c r="B537" s="15">
        <v>296.54012390182106</v>
      </c>
    </row>
    <row r="538" spans="1:2" x14ac:dyDescent="0.2">
      <c r="A538" s="1">
        <f>Acciones!A294</f>
        <v>45426</v>
      </c>
      <c r="B538" s="15">
        <v>296.66579157569868</v>
      </c>
    </row>
    <row r="539" spans="1:2" x14ac:dyDescent="0.2">
      <c r="A539" s="1">
        <f>Acciones!A142</f>
        <v>45198</v>
      </c>
      <c r="B539" s="15">
        <v>298.58548327300377</v>
      </c>
    </row>
    <row r="540" spans="1:2" x14ac:dyDescent="0.2">
      <c r="A540" s="1">
        <f>Acciones!A533</f>
        <v>45775</v>
      </c>
      <c r="B540" s="15">
        <v>299.59796676713449</v>
      </c>
    </row>
    <row r="541" spans="1:2" x14ac:dyDescent="0.2">
      <c r="A541" s="1">
        <f>Acciones!A229</f>
        <v>45329</v>
      </c>
      <c r="B541" s="15">
        <v>302.71394071072427</v>
      </c>
    </row>
    <row r="542" spans="1:2" x14ac:dyDescent="0.2">
      <c r="A542" s="1">
        <f>Acciones!A3</f>
        <v>44999</v>
      </c>
      <c r="B542" s="15">
        <v>307.30493609572295</v>
      </c>
    </row>
    <row r="543" spans="1:2" x14ac:dyDescent="0.2">
      <c r="A543" s="1">
        <f>Acciones!A472</f>
        <v>45684</v>
      </c>
      <c r="B543" s="15">
        <v>310.06429140680484</v>
      </c>
    </row>
    <row r="544" spans="1:2" x14ac:dyDescent="0.2">
      <c r="A544" s="1">
        <f>Acciones!A604</f>
        <v>45875</v>
      </c>
      <c r="B544" s="15">
        <v>310.22664249721856</v>
      </c>
    </row>
    <row r="545" spans="1:2" x14ac:dyDescent="0.2">
      <c r="A545" s="1">
        <f>Acciones!A438</f>
        <v>45631</v>
      </c>
      <c r="B545" s="15">
        <v>310.89107124201109</v>
      </c>
    </row>
    <row r="546" spans="1:2" x14ac:dyDescent="0.2">
      <c r="A546" s="1">
        <f>Acciones!A95</f>
        <v>45133</v>
      </c>
      <c r="B546" s="15">
        <v>314.36602074118127</v>
      </c>
    </row>
    <row r="547" spans="1:2" x14ac:dyDescent="0.2">
      <c r="A547" s="1">
        <f>Acciones!A384</f>
        <v>45553</v>
      </c>
      <c r="B547" s="15">
        <v>314.49015149843035</v>
      </c>
    </row>
    <row r="548" spans="1:2" x14ac:dyDescent="0.2">
      <c r="A548" s="1">
        <f>Acciones!A748</f>
        <v>46085</v>
      </c>
      <c r="B548" s="15">
        <v>318.72323687321841</v>
      </c>
    </row>
    <row r="549" spans="1:2" x14ac:dyDescent="0.2">
      <c r="A549" s="1">
        <f>Acciones!A315</f>
        <v>45455</v>
      </c>
      <c r="B549" s="15">
        <v>318.93740010845795</v>
      </c>
    </row>
    <row r="550" spans="1:2" x14ac:dyDescent="0.2">
      <c r="A550" s="1">
        <f>Acciones!A55</f>
        <v>45077</v>
      </c>
      <c r="B550" s="15">
        <v>319.1548678098261</v>
      </c>
    </row>
    <row r="551" spans="1:2" x14ac:dyDescent="0.2">
      <c r="A551" s="1">
        <f>Acciones!A256</f>
        <v>45366</v>
      </c>
      <c r="B551" s="15">
        <v>322.05491460327175</v>
      </c>
    </row>
    <row r="552" spans="1:2" x14ac:dyDescent="0.2">
      <c r="A552" s="1">
        <f>Acciones!A668</f>
        <v>45966</v>
      </c>
      <c r="B552" s="15">
        <v>324.73467200026425</v>
      </c>
    </row>
    <row r="553" spans="1:2" x14ac:dyDescent="0.2">
      <c r="A553" s="1">
        <f>Acciones!A738</f>
        <v>46071</v>
      </c>
      <c r="B553" s="15">
        <v>324.80941825526679</v>
      </c>
    </row>
    <row r="554" spans="1:2" x14ac:dyDescent="0.2">
      <c r="A554" s="1">
        <f>Acciones!A17</f>
        <v>45020</v>
      </c>
      <c r="B554" s="15">
        <v>327.10898658792576</v>
      </c>
    </row>
    <row r="555" spans="1:2" x14ac:dyDescent="0.2">
      <c r="A555" s="1">
        <f>Acciones!A401</f>
        <v>45579</v>
      </c>
      <c r="B555" s="15">
        <v>330.3262230659966</v>
      </c>
    </row>
    <row r="556" spans="1:2" x14ac:dyDescent="0.2">
      <c r="A556" s="1">
        <f>Acciones!A118</f>
        <v>45166</v>
      </c>
      <c r="B556" s="15">
        <v>331.09066373649694</v>
      </c>
    </row>
    <row r="557" spans="1:2" x14ac:dyDescent="0.2">
      <c r="A557" s="1">
        <f>Acciones!A70</f>
        <v>45098</v>
      </c>
      <c r="B557" s="15">
        <v>332.24781831547443</v>
      </c>
    </row>
    <row r="558" spans="1:2" x14ac:dyDescent="0.2">
      <c r="A558" s="1">
        <f>Acciones!A519</f>
        <v>45751</v>
      </c>
      <c r="B558" s="15">
        <v>332.97335294060031</v>
      </c>
    </row>
    <row r="559" spans="1:2" x14ac:dyDescent="0.2">
      <c r="A559" s="1">
        <f>Acciones!A653</f>
        <v>45945</v>
      </c>
      <c r="B559" s="15">
        <v>340.50426263971895</v>
      </c>
    </row>
    <row r="560" spans="1:2" x14ac:dyDescent="0.2">
      <c r="A560" s="1">
        <f>Acciones!A516</f>
        <v>45748</v>
      </c>
      <c r="B560" s="15">
        <v>345.36170281890008</v>
      </c>
    </row>
    <row r="561" spans="1:2" x14ac:dyDescent="0.2">
      <c r="A561" s="1">
        <f>Acciones!A743</f>
        <v>46078</v>
      </c>
      <c r="B561" s="15">
        <v>346.21472922987232</v>
      </c>
    </row>
    <row r="562" spans="1:2" x14ac:dyDescent="0.2">
      <c r="A562" s="1">
        <f>Acciones!A187</f>
        <v>45265</v>
      </c>
      <c r="B562" s="15">
        <v>346.81688499156007</v>
      </c>
    </row>
    <row r="563" spans="1:2" x14ac:dyDescent="0.2">
      <c r="A563" s="1">
        <f>Acciones!A593</f>
        <v>45860</v>
      </c>
      <c r="B563" s="15">
        <v>354.26305533101186</v>
      </c>
    </row>
    <row r="564" spans="1:2" x14ac:dyDescent="0.2">
      <c r="A564" s="1">
        <f>Acciones!A386</f>
        <v>45555</v>
      </c>
      <c r="B564" s="15">
        <v>359.775447568456</v>
      </c>
    </row>
    <row r="565" spans="1:2" x14ac:dyDescent="0.2">
      <c r="A565" s="1">
        <f>Acciones!A141</f>
        <v>45197</v>
      </c>
      <c r="B565" s="15">
        <v>361.06511800814042</v>
      </c>
    </row>
    <row r="566" spans="1:2" x14ac:dyDescent="0.2">
      <c r="A566" s="1">
        <f>Acciones!A716</f>
        <v>46038</v>
      </c>
      <c r="B566" s="15">
        <v>363.43725428027756</v>
      </c>
    </row>
    <row r="567" spans="1:2" x14ac:dyDescent="0.2">
      <c r="A567" s="1">
        <f>Acciones!A644</f>
        <v>45932</v>
      </c>
      <c r="B567" s="15">
        <v>368.90731318367762</v>
      </c>
    </row>
    <row r="568" spans="1:2" x14ac:dyDescent="0.2">
      <c r="A568" s="1">
        <f>Acciones!A505</f>
        <v>45730</v>
      </c>
      <c r="B568" s="15">
        <v>373.28051790331665</v>
      </c>
    </row>
    <row r="569" spans="1:2" x14ac:dyDescent="0.2">
      <c r="A569" s="1">
        <f>Acciones!A405</f>
        <v>45583</v>
      </c>
      <c r="B569" s="15">
        <v>373.47361470813485</v>
      </c>
    </row>
    <row r="570" spans="1:2" x14ac:dyDescent="0.2">
      <c r="A570" s="1">
        <f>Acciones!A286</f>
        <v>45414</v>
      </c>
      <c r="B570" s="15">
        <v>379.68375691811525</v>
      </c>
    </row>
    <row r="571" spans="1:2" x14ac:dyDescent="0.2">
      <c r="A571" s="1">
        <f>Acciones!A498</f>
        <v>45721</v>
      </c>
      <c r="B571" s="15">
        <v>382.68242377320712</v>
      </c>
    </row>
    <row r="572" spans="1:2" x14ac:dyDescent="0.2">
      <c r="A572" s="1">
        <f>Acciones!A578</f>
        <v>45839</v>
      </c>
      <c r="B572" s="15">
        <v>384.82947086930653</v>
      </c>
    </row>
    <row r="573" spans="1:2" x14ac:dyDescent="0.2">
      <c r="A573" s="1">
        <f>Acciones!A575</f>
        <v>45834</v>
      </c>
      <c r="B573" s="15">
        <v>385.07109147195661</v>
      </c>
    </row>
    <row r="574" spans="1:2" x14ac:dyDescent="0.2">
      <c r="A574" s="1">
        <f>Acciones!A723</f>
        <v>46049</v>
      </c>
      <c r="B574" s="15">
        <v>387.89173392116572</v>
      </c>
    </row>
    <row r="575" spans="1:2" x14ac:dyDescent="0.2">
      <c r="A575" s="1">
        <f>Acciones!A123</f>
        <v>45173</v>
      </c>
      <c r="B575" s="15">
        <v>390.14281392146222</v>
      </c>
    </row>
    <row r="576" spans="1:2" x14ac:dyDescent="0.2">
      <c r="A576" s="1">
        <f>Acciones!A101</f>
        <v>45141</v>
      </c>
      <c r="B576" s="15">
        <v>391.93309246643184</v>
      </c>
    </row>
    <row r="577" spans="1:2" x14ac:dyDescent="0.2">
      <c r="A577" s="1">
        <f>Acciones!A325</f>
        <v>45469</v>
      </c>
      <c r="B577" s="15">
        <v>392.23660177296188</v>
      </c>
    </row>
    <row r="578" spans="1:2" x14ac:dyDescent="0.2">
      <c r="A578" s="1">
        <f>Acciones!A466</f>
        <v>45674</v>
      </c>
      <c r="B578" s="15">
        <v>393.21087239334884</v>
      </c>
    </row>
    <row r="579" spans="1:2" x14ac:dyDescent="0.2">
      <c r="A579" s="1">
        <f>Acciones!A180</f>
        <v>45254</v>
      </c>
      <c r="B579" s="15">
        <v>394.3783641572445</v>
      </c>
    </row>
    <row r="580" spans="1:2" x14ac:dyDescent="0.2">
      <c r="A580" s="1">
        <f>Acciones!A31</f>
        <v>45042</v>
      </c>
      <c r="B580" s="15">
        <v>395.09437958651688</v>
      </c>
    </row>
    <row r="581" spans="1:2" x14ac:dyDescent="0.2">
      <c r="A581" s="1">
        <f>Acciones!A442</f>
        <v>45637</v>
      </c>
      <c r="B581" s="15">
        <v>396.07926494030107</v>
      </c>
    </row>
    <row r="582" spans="1:2" x14ac:dyDescent="0.2">
      <c r="A582" s="1">
        <f>Acciones!A486</f>
        <v>45705</v>
      </c>
      <c r="B582" s="15">
        <v>397.50045909671462</v>
      </c>
    </row>
    <row r="583" spans="1:2" x14ac:dyDescent="0.2">
      <c r="A583" s="1">
        <f>Acciones!A712</f>
        <v>46034</v>
      </c>
      <c r="B583" s="15">
        <v>398.24715521190228</v>
      </c>
    </row>
    <row r="584" spans="1:2" x14ac:dyDescent="0.2">
      <c r="A584" s="1">
        <f>Acciones!A226</f>
        <v>45323</v>
      </c>
      <c r="B584" s="15">
        <v>406.93065328399098</v>
      </c>
    </row>
    <row r="585" spans="1:2" x14ac:dyDescent="0.2">
      <c r="A585" s="1">
        <f>Acciones!A487</f>
        <v>45706</v>
      </c>
      <c r="B585" s="15">
        <v>409.71460909728194</v>
      </c>
    </row>
    <row r="586" spans="1:2" x14ac:dyDescent="0.2">
      <c r="A586" s="1">
        <f>Acciones!A36</f>
        <v>45050</v>
      </c>
      <c r="B586" s="15">
        <v>412.7386868751455</v>
      </c>
    </row>
    <row r="587" spans="1:2" x14ac:dyDescent="0.2">
      <c r="A587" s="1">
        <f>Acciones!A450</f>
        <v>45650</v>
      </c>
      <c r="B587" s="15">
        <v>413.01446571245469</v>
      </c>
    </row>
    <row r="588" spans="1:2" x14ac:dyDescent="0.2">
      <c r="A588" s="1">
        <f>Acciones!A481</f>
        <v>45698</v>
      </c>
      <c r="B588" s="15">
        <v>417.3836597035006</v>
      </c>
    </row>
    <row r="589" spans="1:2" x14ac:dyDescent="0.2">
      <c r="A589" s="1">
        <f>Acciones!A197</f>
        <v>45280</v>
      </c>
      <c r="B589" s="15">
        <v>427.00185369281826</v>
      </c>
    </row>
    <row r="590" spans="1:2" x14ac:dyDescent="0.2">
      <c r="A590" s="1">
        <f>Acciones!A154</f>
        <v>45216</v>
      </c>
      <c r="B590" s="15">
        <v>428.49380283230494</v>
      </c>
    </row>
    <row r="591" spans="1:2" x14ac:dyDescent="0.2">
      <c r="A591" s="1">
        <f>Acciones!A40</f>
        <v>45056</v>
      </c>
      <c r="B591" s="15">
        <v>430.89346172910882</v>
      </c>
    </row>
    <row r="592" spans="1:2" x14ac:dyDescent="0.2">
      <c r="A592" s="1">
        <f>Acciones!A524</f>
        <v>45758</v>
      </c>
      <c r="B592" s="15">
        <v>438.65804221438884</v>
      </c>
    </row>
    <row r="593" spans="1:2" x14ac:dyDescent="0.2">
      <c r="A593" s="1">
        <f>Acciones!A417</f>
        <v>45601</v>
      </c>
      <c r="B593" s="15">
        <v>448.91343737204079</v>
      </c>
    </row>
    <row r="594" spans="1:2" x14ac:dyDescent="0.2">
      <c r="A594" s="1">
        <f>Acciones!A534</f>
        <v>45776</v>
      </c>
      <c r="B594" s="15">
        <v>449.50117601998863</v>
      </c>
    </row>
    <row r="595" spans="1:2" x14ac:dyDescent="0.2">
      <c r="A595" s="1">
        <f>Acciones!A37</f>
        <v>45051</v>
      </c>
      <c r="B595" s="15">
        <v>450.73869951622692</v>
      </c>
    </row>
    <row r="596" spans="1:2" x14ac:dyDescent="0.2">
      <c r="A596" s="1">
        <f>Acciones!A65</f>
        <v>45091</v>
      </c>
      <c r="B596" s="15">
        <v>460.19229121331955</v>
      </c>
    </row>
    <row r="597" spans="1:2" x14ac:dyDescent="0.2">
      <c r="A597" s="1">
        <f>Acciones!A302</f>
        <v>45436</v>
      </c>
      <c r="B597" s="15">
        <v>465.93439040452358</v>
      </c>
    </row>
    <row r="598" spans="1:2" x14ac:dyDescent="0.2">
      <c r="A598" s="1">
        <f>Acciones!A602</f>
        <v>45873</v>
      </c>
      <c r="B598" s="15">
        <v>466.17044233887282</v>
      </c>
    </row>
    <row r="599" spans="1:2" x14ac:dyDescent="0.2">
      <c r="A599" s="1">
        <f>Acciones!A567</f>
        <v>45824</v>
      </c>
      <c r="B599" s="15">
        <v>467.62324476566573</v>
      </c>
    </row>
    <row r="600" spans="1:2" x14ac:dyDescent="0.2">
      <c r="A600" s="1">
        <f>Acciones!A272</f>
        <v>45393</v>
      </c>
      <c r="B600" s="15">
        <v>468.25684205905782</v>
      </c>
    </row>
    <row r="601" spans="1:2" x14ac:dyDescent="0.2">
      <c r="A601" s="1">
        <f>Acciones!A308</f>
        <v>45446</v>
      </c>
      <c r="B601" s="15">
        <v>468.97454202780864</v>
      </c>
    </row>
    <row r="602" spans="1:2" x14ac:dyDescent="0.2">
      <c r="A602" s="1">
        <f>Acciones!A517</f>
        <v>45749</v>
      </c>
      <c r="B602" s="15">
        <v>476.04092799694263</v>
      </c>
    </row>
    <row r="603" spans="1:2" x14ac:dyDescent="0.2">
      <c r="A603" s="1">
        <f>Acciones!A97</f>
        <v>45135</v>
      </c>
      <c r="B603" s="15">
        <v>485.79355965543073</v>
      </c>
    </row>
    <row r="604" spans="1:2" x14ac:dyDescent="0.2">
      <c r="A604" s="1">
        <f>Acciones!A543</f>
        <v>45790</v>
      </c>
      <c r="B604" s="15">
        <v>486.26015954687682</v>
      </c>
    </row>
    <row r="605" spans="1:2" x14ac:dyDescent="0.2">
      <c r="A605" s="1">
        <f>Acciones!A84</f>
        <v>45118</v>
      </c>
      <c r="B605" s="15">
        <v>486.42173060145433</v>
      </c>
    </row>
    <row r="606" spans="1:2" x14ac:dyDescent="0.2">
      <c r="A606" s="1">
        <f>Acciones!A48</f>
        <v>45068</v>
      </c>
      <c r="B606" s="15">
        <v>492.63625944026353</v>
      </c>
    </row>
    <row r="607" spans="1:2" x14ac:dyDescent="0.2">
      <c r="A607" s="1">
        <f>Acciones!A90</f>
        <v>45126</v>
      </c>
      <c r="B607" s="15">
        <v>505.40504639298888</v>
      </c>
    </row>
    <row r="608" spans="1:2" x14ac:dyDescent="0.2">
      <c r="A608" s="1">
        <f>Acciones!A378</f>
        <v>45544</v>
      </c>
      <c r="B608" s="15">
        <v>513.04772576584946</v>
      </c>
    </row>
    <row r="609" spans="1:2" x14ac:dyDescent="0.2">
      <c r="A609" s="1">
        <f>Acciones!A389</f>
        <v>45560</v>
      </c>
      <c r="B609" s="15">
        <v>513.68182484298086</v>
      </c>
    </row>
    <row r="610" spans="1:2" x14ac:dyDescent="0.2">
      <c r="A610" s="1">
        <f>Acciones!A573</f>
        <v>45832</v>
      </c>
      <c r="B610" s="15">
        <v>518.22018684251088</v>
      </c>
    </row>
    <row r="611" spans="1:2" x14ac:dyDescent="0.2">
      <c r="A611" s="1">
        <f>Acciones!A561</f>
        <v>45814</v>
      </c>
      <c r="B611" s="15">
        <v>520.47437008890847</v>
      </c>
    </row>
    <row r="612" spans="1:2" x14ac:dyDescent="0.2">
      <c r="A612" s="1">
        <f>Acciones!A610</f>
        <v>45883</v>
      </c>
      <c r="B612" s="15">
        <v>524.48045727269346</v>
      </c>
    </row>
    <row r="613" spans="1:2" x14ac:dyDescent="0.2">
      <c r="A613" s="1">
        <f>Acciones!A76</f>
        <v>45106</v>
      </c>
      <c r="B613" s="15">
        <v>526.25734904319324</v>
      </c>
    </row>
    <row r="614" spans="1:2" x14ac:dyDescent="0.2">
      <c r="A614" s="1">
        <f>Acciones!A32</f>
        <v>45043</v>
      </c>
      <c r="B614" s="15">
        <v>533.32949078176898</v>
      </c>
    </row>
    <row r="615" spans="1:2" x14ac:dyDescent="0.2">
      <c r="A615" s="1">
        <f>Acciones!A318</f>
        <v>45460</v>
      </c>
      <c r="B615" s="15">
        <v>534.45626579464442</v>
      </c>
    </row>
    <row r="616" spans="1:2" x14ac:dyDescent="0.2">
      <c r="A616" s="1">
        <f>Acciones!A279</f>
        <v>45404</v>
      </c>
      <c r="B616" s="15">
        <v>534.84179305611178</v>
      </c>
    </row>
    <row r="617" spans="1:2" x14ac:dyDescent="0.2">
      <c r="A617" s="1">
        <f>Acciones!A462</f>
        <v>45670</v>
      </c>
      <c r="B617" s="15">
        <v>540.53625790528895</v>
      </c>
    </row>
    <row r="618" spans="1:2" x14ac:dyDescent="0.2">
      <c r="A618" s="1">
        <f>Acciones!A72</f>
        <v>45100</v>
      </c>
      <c r="B618" s="15">
        <v>549.20656634591796</v>
      </c>
    </row>
    <row r="619" spans="1:2" x14ac:dyDescent="0.2">
      <c r="A619" s="1">
        <f>Acciones!A395</f>
        <v>45569</v>
      </c>
      <c r="B619" s="15">
        <v>552.70935538276535</v>
      </c>
    </row>
    <row r="620" spans="1:2" x14ac:dyDescent="0.2">
      <c r="A620" s="1">
        <f>Acciones!A494</f>
        <v>45715</v>
      </c>
      <c r="B620" s="15">
        <v>553.6022936852205</v>
      </c>
    </row>
    <row r="621" spans="1:2" x14ac:dyDescent="0.2">
      <c r="A621" s="1">
        <f>Acciones!A149</f>
        <v>45209</v>
      </c>
      <c r="B621" s="15">
        <v>562.06407749260688</v>
      </c>
    </row>
    <row r="622" spans="1:2" x14ac:dyDescent="0.2">
      <c r="A622" s="1">
        <f>Acciones!A104</f>
        <v>45146</v>
      </c>
      <c r="B622" s="15">
        <v>572.32288828755918</v>
      </c>
    </row>
    <row r="623" spans="1:2" x14ac:dyDescent="0.2">
      <c r="A623" s="1">
        <f>Acciones!A148</f>
        <v>45208</v>
      </c>
      <c r="B623" s="15">
        <v>577.32329632843903</v>
      </c>
    </row>
    <row r="624" spans="1:2" x14ac:dyDescent="0.2">
      <c r="A624" s="1">
        <f>Acciones!A115</f>
        <v>45161</v>
      </c>
      <c r="B624" s="15">
        <v>577.550189491536</v>
      </c>
    </row>
    <row r="625" spans="1:2" x14ac:dyDescent="0.2">
      <c r="A625" s="1">
        <f>Acciones!A367</f>
        <v>45527</v>
      </c>
      <c r="B625" s="15">
        <v>585.39136993342254</v>
      </c>
    </row>
    <row r="626" spans="1:2" x14ac:dyDescent="0.2">
      <c r="A626" s="1">
        <f>Acciones!A147</f>
        <v>45205</v>
      </c>
      <c r="B626" s="15">
        <v>586.68083562846004</v>
      </c>
    </row>
    <row r="627" spans="1:2" x14ac:dyDescent="0.2">
      <c r="A627" s="1">
        <f>Acciones!A584</f>
        <v>45847</v>
      </c>
      <c r="B627" s="15">
        <v>603.19614798682233</v>
      </c>
    </row>
    <row r="628" spans="1:2" x14ac:dyDescent="0.2">
      <c r="A628" s="1">
        <f>Acciones!A223</f>
        <v>45320</v>
      </c>
      <c r="B628" s="15">
        <v>611.35210233923499</v>
      </c>
    </row>
    <row r="629" spans="1:2" x14ac:dyDescent="0.2">
      <c r="A629" s="1">
        <f>Acciones!A277</f>
        <v>45400</v>
      </c>
      <c r="B629" s="15">
        <v>615.53598464056631</v>
      </c>
    </row>
    <row r="630" spans="1:2" x14ac:dyDescent="0.2">
      <c r="A630" s="1">
        <f>Acciones!A193</f>
        <v>45274</v>
      </c>
      <c r="B630" s="15">
        <v>615.96695333145544</v>
      </c>
    </row>
    <row r="631" spans="1:2" x14ac:dyDescent="0.2">
      <c r="A631" s="1">
        <f>Acciones!A563</f>
        <v>45818</v>
      </c>
      <c r="B631" s="15">
        <v>621.0311350984739</v>
      </c>
    </row>
    <row r="632" spans="1:2" x14ac:dyDescent="0.2">
      <c r="A632" s="1">
        <f>Acciones!A359</f>
        <v>45517</v>
      </c>
      <c r="B632" s="15">
        <v>622.19260006691911</v>
      </c>
    </row>
    <row r="633" spans="1:2" x14ac:dyDescent="0.2">
      <c r="A633" s="1">
        <f>Acciones!A342</f>
        <v>45492</v>
      </c>
      <c r="B633" s="15">
        <v>641.76967932657135</v>
      </c>
    </row>
    <row r="634" spans="1:2" x14ac:dyDescent="0.2">
      <c r="A634" s="1">
        <f>Acciones!A98</f>
        <v>45138</v>
      </c>
      <c r="B634" s="15">
        <v>644.00643192033021</v>
      </c>
    </row>
    <row r="635" spans="1:2" x14ac:dyDescent="0.2">
      <c r="A635" s="1">
        <f>Acciones!A634</f>
        <v>45918</v>
      </c>
      <c r="B635" s="15">
        <v>646.36544142683488</v>
      </c>
    </row>
    <row r="636" spans="1:2" x14ac:dyDescent="0.2">
      <c r="A636" s="1">
        <f>Acciones!A495</f>
        <v>45716</v>
      </c>
      <c r="B636" s="15">
        <v>647.46649036648159</v>
      </c>
    </row>
    <row r="637" spans="1:2" x14ac:dyDescent="0.2">
      <c r="A637" s="1">
        <f>Acciones!A746</f>
        <v>46083</v>
      </c>
      <c r="B637" s="15">
        <v>648.19093100490863</v>
      </c>
    </row>
    <row r="638" spans="1:2" x14ac:dyDescent="0.2">
      <c r="A638" s="1">
        <f>Acciones!A9</f>
        <v>45008</v>
      </c>
      <c r="B638" s="15">
        <v>651.57608601805987</v>
      </c>
    </row>
    <row r="639" spans="1:2" x14ac:dyDescent="0.2">
      <c r="A639" s="1">
        <f>Acciones!A67</f>
        <v>45093</v>
      </c>
      <c r="B639" s="15">
        <v>652.75208342002225</v>
      </c>
    </row>
    <row r="640" spans="1:2" x14ac:dyDescent="0.2">
      <c r="A640" s="1">
        <f>Acciones!A612</f>
        <v>45887</v>
      </c>
      <c r="B640" s="15">
        <v>653.42599870830236</v>
      </c>
    </row>
    <row r="641" spans="1:2" x14ac:dyDescent="0.2">
      <c r="A641" s="1">
        <f>Acciones!A460</f>
        <v>45666</v>
      </c>
      <c r="B641" s="15">
        <v>656.34443087162799</v>
      </c>
    </row>
    <row r="642" spans="1:2" x14ac:dyDescent="0.2">
      <c r="A642" s="1">
        <f>Acciones!A646</f>
        <v>45936</v>
      </c>
      <c r="B642" s="15">
        <v>656.49291144936433</v>
      </c>
    </row>
    <row r="643" spans="1:2" x14ac:dyDescent="0.2">
      <c r="A643" s="1">
        <f>Acciones!A347</f>
        <v>45499</v>
      </c>
      <c r="B643" s="15">
        <v>671.21653698531372</v>
      </c>
    </row>
    <row r="644" spans="1:2" x14ac:dyDescent="0.2">
      <c r="A644" s="1">
        <f>Acciones!A633</f>
        <v>45917</v>
      </c>
      <c r="B644" s="15">
        <v>671.36643430302865</v>
      </c>
    </row>
    <row r="645" spans="1:2" x14ac:dyDescent="0.2">
      <c r="A645" s="1">
        <f>Acciones!A198</f>
        <v>45281</v>
      </c>
      <c r="B645" s="15">
        <v>680.07959093995305</v>
      </c>
    </row>
    <row r="646" spans="1:2" x14ac:dyDescent="0.2">
      <c r="A646" s="1">
        <f>Acciones!A43</f>
        <v>45061</v>
      </c>
      <c r="B646" s="15">
        <v>683.20969167545991</v>
      </c>
    </row>
    <row r="647" spans="1:2" x14ac:dyDescent="0.2">
      <c r="A647" s="1">
        <f>Acciones!A739</f>
        <v>46072</v>
      </c>
      <c r="B647" s="15">
        <v>683.29913635369667</v>
      </c>
    </row>
    <row r="648" spans="1:2" x14ac:dyDescent="0.2">
      <c r="A648" s="1">
        <f>Acciones!A7</f>
        <v>45006</v>
      </c>
      <c r="B648" s="15">
        <v>687.45661214261054</v>
      </c>
    </row>
    <row r="649" spans="1:2" x14ac:dyDescent="0.2">
      <c r="A649" s="1">
        <f>Acciones!A592</f>
        <v>45859</v>
      </c>
      <c r="B649" s="15">
        <v>689.54200669827696</v>
      </c>
    </row>
    <row r="650" spans="1:2" x14ac:dyDescent="0.2">
      <c r="A650" s="1">
        <f>Acciones!A546</f>
        <v>45793</v>
      </c>
      <c r="B650" s="15">
        <v>705.7255880498742</v>
      </c>
    </row>
    <row r="651" spans="1:2" x14ac:dyDescent="0.2">
      <c r="A651" s="1">
        <f>Acciones!A500</f>
        <v>45723</v>
      </c>
      <c r="B651" s="15">
        <v>709.02102040697719</v>
      </c>
    </row>
    <row r="652" spans="1:2" x14ac:dyDescent="0.2">
      <c r="A652" s="1">
        <f>Acciones!A190</f>
        <v>45268</v>
      </c>
      <c r="B652" s="15">
        <v>713.95966785823111</v>
      </c>
    </row>
    <row r="653" spans="1:2" x14ac:dyDescent="0.2">
      <c r="A653" s="1">
        <f>Acciones!A507</f>
        <v>45735</v>
      </c>
      <c r="B653" s="15">
        <v>721.58115095762332</v>
      </c>
    </row>
    <row r="654" spans="1:2" x14ac:dyDescent="0.2">
      <c r="A654" s="1">
        <f>Acciones!A711</f>
        <v>46031</v>
      </c>
      <c r="B654" s="15">
        <v>723.24211222087615</v>
      </c>
    </row>
    <row r="655" spans="1:2" x14ac:dyDescent="0.2">
      <c r="A655" s="1">
        <f>Acciones!A83</f>
        <v>45117</v>
      </c>
      <c r="B655" s="15">
        <v>724.93369411557069</v>
      </c>
    </row>
    <row r="656" spans="1:2" x14ac:dyDescent="0.2">
      <c r="A656" s="1">
        <f>Acciones!A6</f>
        <v>45002</v>
      </c>
      <c r="B656" s="15">
        <v>727.08188017279463</v>
      </c>
    </row>
    <row r="657" spans="1:2" x14ac:dyDescent="0.2">
      <c r="A657" s="1">
        <f>Acciones!A461</f>
        <v>45667</v>
      </c>
      <c r="B657" s="15">
        <v>733.00420024298728</v>
      </c>
    </row>
    <row r="658" spans="1:2" x14ac:dyDescent="0.2">
      <c r="A658" s="1">
        <f>Acciones!A153</f>
        <v>45215</v>
      </c>
      <c r="B658" s="15">
        <v>737.21700598881944</v>
      </c>
    </row>
    <row r="659" spans="1:2" x14ac:dyDescent="0.2">
      <c r="A659" s="1">
        <f>Acciones!A439</f>
        <v>45632</v>
      </c>
      <c r="B659" s="15">
        <v>747.17185611010063</v>
      </c>
    </row>
    <row r="660" spans="1:2" x14ac:dyDescent="0.2">
      <c r="A660" s="1">
        <f>Acciones!A616</f>
        <v>45891</v>
      </c>
      <c r="B660" s="15">
        <v>764.60664935207024</v>
      </c>
    </row>
    <row r="661" spans="1:2" x14ac:dyDescent="0.2">
      <c r="A661" s="1">
        <f>Acciones!A444</f>
        <v>45642</v>
      </c>
      <c r="B661" s="15">
        <v>770.6373298542494</v>
      </c>
    </row>
    <row r="662" spans="1:2" x14ac:dyDescent="0.2">
      <c r="A662" s="1">
        <f>Acciones!A309</f>
        <v>45447</v>
      </c>
      <c r="B662" s="15">
        <v>773.24902478834701</v>
      </c>
    </row>
    <row r="663" spans="1:2" x14ac:dyDescent="0.2">
      <c r="A663" s="1">
        <f>Acciones!A362</f>
        <v>45520</v>
      </c>
      <c r="B663" s="15">
        <v>773.85280611971757</v>
      </c>
    </row>
    <row r="664" spans="1:2" x14ac:dyDescent="0.2">
      <c r="A664" s="1">
        <f>Acciones!A687</f>
        <v>45994</v>
      </c>
      <c r="B664" s="15">
        <v>775.3583480567795</v>
      </c>
    </row>
    <row r="665" spans="1:2" x14ac:dyDescent="0.2">
      <c r="A665" s="1">
        <f>Acciones!A379</f>
        <v>45545</v>
      </c>
      <c r="B665" s="15">
        <v>788.91010012398328</v>
      </c>
    </row>
    <row r="666" spans="1:2" x14ac:dyDescent="0.2">
      <c r="A666" s="1">
        <f>Acciones!A231</f>
        <v>45331</v>
      </c>
      <c r="B666" s="15">
        <v>789.89519034614932</v>
      </c>
    </row>
    <row r="667" spans="1:2" x14ac:dyDescent="0.2">
      <c r="A667" s="1">
        <f>Acciones!A643</f>
        <v>45931</v>
      </c>
      <c r="B667" s="15">
        <v>794.72273391464842</v>
      </c>
    </row>
    <row r="668" spans="1:2" x14ac:dyDescent="0.2">
      <c r="A668" s="1">
        <f>Acciones!A656</f>
        <v>45950</v>
      </c>
      <c r="B668" s="15">
        <v>797.93419869917852</v>
      </c>
    </row>
    <row r="669" spans="1:2" x14ac:dyDescent="0.2">
      <c r="A669" s="1">
        <f>Acciones!A263</f>
        <v>45378</v>
      </c>
      <c r="B669" s="15">
        <v>797.96873081077501</v>
      </c>
    </row>
    <row r="670" spans="1:2" x14ac:dyDescent="0.2">
      <c r="A670" s="1">
        <f>Acciones!A474</f>
        <v>45686</v>
      </c>
      <c r="B670" s="15">
        <v>804.93272265939595</v>
      </c>
    </row>
    <row r="671" spans="1:2" x14ac:dyDescent="0.2">
      <c r="A671" s="1">
        <f>Acciones!A432</f>
        <v>45623</v>
      </c>
      <c r="B671" s="15">
        <v>810.55914699230925</v>
      </c>
    </row>
    <row r="672" spans="1:2" x14ac:dyDescent="0.2">
      <c r="A672" s="1">
        <f>Acciones!A208</f>
        <v>45299</v>
      </c>
      <c r="B672" s="15">
        <v>816.69840976254636</v>
      </c>
    </row>
    <row r="673" spans="1:2" x14ac:dyDescent="0.2">
      <c r="A673" s="1">
        <f>Acciones!A339</f>
        <v>45489</v>
      </c>
      <c r="B673" s="15">
        <v>820.39093531776598</v>
      </c>
    </row>
    <row r="674" spans="1:2" x14ac:dyDescent="0.2">
      <c r="A674" s="1">
        <f>Acciones!A356</f>
        <v>45512</v>
      </c>
      <c r="B674" s="15">
        <v>825.67244083038167</v>
      </c>
    </row>
    <row r="675" spans="1:2" x14ac:dyDescent="0.2">
      <c r="A675" s="1">
        <f>Acciones!A463</f>
        <v>45671</v>
      </c>
      <c r="B675" s="15">
        <v>829.00859395609223</v>
      </c>
    </row>
    <row r="676" spans="1:2" x14ac:dyDescent="0.2">
      <c r="A676" s="1">
        <f>Acciones!A361</f>
        <v>45519</v>
      </c>
      <c r="B676" s="15">
        <v>835.77618729311143</v>
      </c>
    </row>
    <row r="677" spans="1:2" x14ac:dyDescent="0.2">
      <c r="A677" s="1">
        <f>Acciones!A280</f>
        <v>45405</v>
      </c>
      <c r="B677" s="15">
        <v>846.2867144321317</v>
      </c>
    </row>
    <row r="678" spans="1:2" x14ac:dyDescent="0.2">
      <c r="A678" s="1">
        <f>Acciones!A13</f>
        <v>45014</v>
      </c>
      <c r="B678" s="15">
        <v>851.27841449323023</v>
      </c>
    </row>
    <row r="679" spans="1:2" x14ac:dyDescent="0.2">
      <c r="A679" s="1">
        <f>Acciones!A428</f>
        <v>45617</v>
      </c>
      <c r="B679" s="15">
        <v>866.36961997863909</v>
      </c>
    </row>
    <row r="680" spans="1:2" x14ac:dyDescent="0.2">
      <c r="A680" s="1">
        <f>Acciones!A295</f>
        <v>45427</v>
      </c>
      <c r="B680" s="15">
        <v>870.93826795824134</v>
      </c>
    </row>
    <row r="681" spans="1:2" x14ac:dyDescent="0.2">
      <c r="A681" s="1">
        <f>Acciones!A278</f>
        <v>45401</v>
      </c>
      <c r="B681" s="15">
        <v>890.97061647559894</v>
      </c>
    </row>
    <row r="682" spans="1:2" x14ac:dyDescent="0.2">
      <c r="A682" s="1">
        <f>Acciones!A195</f>
        <v>45278</v>
      </c>
      <c r="B682" s="15">
        <v>897.07228399102314</v>
      </c>
    </row>
    <row r="683" spans="1:2" x14ac:dyDescent="0.2">
      <c r="A683" s="1">
        <f>Acciones!A475</f>
        <v>45687</v>
      </c>
      <c r="B683" s="15">
        <v>921.87460595441735</v>
      </c>
    </row>
    <row r="684" spans="1:2" x14ac:dyDescent="0.2">
      <c r="A684" s="1">
        <f>Acciones!A206</f>
        <v>45295</v>
      </c>
      <c r="B684" s="15">
        <v>925.74038647554698</v>
      </c>
    </row>
    <row r="685" spans="1:2" x14ac:dyDescent="0.2">
      <c r="A685" s="1">
        <f>Acciones!A240</f>
        <v>45344</v>
      </c>
      <c r="B685" s="15">
        <v>931.41347316471001</v>
      </c>
    </row>
    <row r="686" spans="1:2" x14ac:dyDescent="0.2">
      <c r="A686" s="1">
        <f>Acciones!A59</f>
        <v>45083</v>
      </c>
      <c r="B686" s="15">
        <v>936.71759152860614</v>
      </c>
    </row>
    <row r="687" spans="1:2" x14ac:dyDescent="0.2">
      <c r="A687" s="1">
        <f>Acciones!A178</f>
        <v>45252</v>
      </c>
      <c r="B687" s="15">
        <v>944.186633635818</v>
      </c>
    </row>
    <row r="688" spans="1:2" x14ac:dyDescent="0.2">
      <c r="A688" s="1">
        <f>Acciones!A680</f>
        <v>45985</v>
      </c>
      <c r="B688" s="15">
        <v>957.75931071899686</v>
      </c>
    </row>
    <row r="689" spans="1:2" x14ac:dyDescent="0.2">
      <c r="A689" s="1">
        <f>Acciones!A337</f>
        <v>45485</v>
      </c>
      <c r="B689" s="15">
        <v>982.66540727774554</v>
      </c>
    </row>
    <row r="690" spans="1:2" x14ac:dyDescent="0.2">
      <c r="A690" s="1">
        <f>Acciones!A78</f>
        <v>45110</v>
      </c>
      <c r="B690" s="15">
        <v>993.83327851768263</v>
      </c>
    </row>
    <row r="691" spans="1:2" x14ac:dyDescent="0.2">
      <c r="A691" s="1">
        <f>Acciones!A20</f>
        <v>45027</v>
      </c>
      <c r="B691" s="15">
        <v>1015.4918650815162</v>
      </c>
    </row>
    <row r="692" spans="1:2" x14ac:dyDescent="0.2">
      <c r="A692" s="1">
        <f>Acciones!A365</f>
        <v>45525</v>
      </c>
      <c r="B692" s="15">
        <v>1018.5310364950565</v>
      </c>
    </row>
    <row r="693" spans="1:2" x14ac:dyDescent="0.2">
      <c r="A693" s="1">
        <f>Acciones!A196</f>
        <v>45279</v>
      </c>
      <c r="B693" s="15">
        <v>1027.0729150306506</v>
      </c>
    </row>
    <row r="694" spans="1:2" x14ac:dyDescent="0.2">
      <c r="A694" s="1">
        <f>Acciones!A529</f>
        <v>45769</v>
      </c>
      <c r="B694" s="15">
        <v>1032.2939258312836</v>
      </c>
    </row>
    <row r="695" spans="1:2" x14ac:dyDescent="0.2">
      <c r="A695" s="1">
        <f>Acciones!A429</f>
        <v>45618</v>
      </c>
      <c r="B695" s="15">
        <v>1044.0955826797799</v>
      </c>
    </row>
    <row r="696" spans="1:2" x14ac:dyDescent="0.2">
      <c r="A696" s="1">
        <f>Acciones!A222</f>
        <v>45317</v>
      </c>
      <c r="B696" s="15">
        <v>1047.9167261789698</v>
      </c>
    </row>
    <row r="697" spans="1:2" x14ac:dyDescent="0.2">
      <c r="A697" s="1">
        <f>Acciones!A403</f>
        <v>45581</v>
      </c>
      <c r="B697" s="15">
        <v>1053.3303849950898</v>
      </c>
    </row>
    <row r="698" spans="1:2" x14ac:dyDescent="0.2">
      <c r="A698" s="1">
        <f>Acciones!A464</f>
        <v>45672</v>
      </c>
      <c r="B698" s="15">
        <v>1060.4118585817887</v>
      </c>
    </row>
    <row r="699" spans="1:2" x14ac:dyDescent="0.2">
      <c r="A699" s="1">
        <f>Acciones!A652</f>
        <v>45944</v>
      </c>
      <c r="B699" s="15">
        <v>1064.1810318481439</v>
      </c>
    </row>
    <row r="700" spans="1:2" x14ac:dyDescent="0.2">
      <c r="A700" s="1">
        <f>Acciones!A251</f>
        <v>45359</v>
      </c>
      <c r="B700" s="15">
        <v>1069.4094686198368</v>
      </c>
    </row>
    <row r="701" spans="1:2" x14ac:dyDescent="0.2">
      <c r="A701" s="1">
        <f>Acciones!A45</f>
        <v>45063</v>
      </c>
      <c r="B701" s="15">
        <v>1069.5513926745007</v>
      </c>
    </row>
    <row r="702" spans="1:2" x14ac:dyDescent="0.2">
      <c r="A702" s="1">
        <f>Acciones!A558</f>
        <v>45811</v>
      </c>
      <c r="B702" s="15">
        <v>1111.8223645072612</v>
      </c>
    </row>
    <row r="703" spans="1:2" x14ac:dyDescent="0.2">
      <c r="A703" s="1">
        <f>Acciones!A5</f>
        <v>45001</v>
      </c>
      <c r="B703" s="15">
        <v>1119.6426407107683</v>
      </c>
    </row>
    <row r="704" spans="1:2" x14ac:dyDescent="0.2">
      <c r="A704" s="1">
        <f>Acciones!A170</f>
        <v>45239</v>
      </c>
      <c r="B704" s="15">
        <v>1120.9206080952026</v>
      </c>
    </row>
    <row r="705" spans="1:2" x14ac:dyDescent="0.2">
      <c r="A705" s="1">
        <f>Acciones!A651</f>
        <v>45943</v>
      </c>
      <c r="B705" s="15">
        <v>1121.9933118276676</v>
      </c>
    </row>
    <row r="706" spans="1:2" x14ac:dyDescent="0.2">
      <c r="A706" s="1">
        <f>Acciones!A69</f>
        <v>45097</v>
      </c>
      <c r="B706" s="15">
        <v>1130.8646314572943</v>
      </c>
    </row>
    <row r="707" spans="1:2" x14ac:dyDescent="0.2">
      <c r="A707" s="1">
        <f>Acciones!A166</f>
        <v>45233</v>
      </c>
      <c r="B707" s="15">
        <v>1135.7183879437762</v>
      </c>
    </row>
    <row r="708" spans="1:2" x14ac:dyDescent="0.2">
      <c r="A708" s="1">
        <f>Acciones!A735</f>
        <v>46066</v>
      </c>
      <c r="B708" s="15">
        <v>1162.2202640213836</v>
      </c>
    </row>
    <row r="709" spans="1:2" x14ac:dyDescent="0.2">
      <c r="A709" s="1">
        <f>Acciones!A182</f>
        <v>45258</v>
      </c>
      <c r="B709" s="15">
        <v>1162.6753020424148</v>
      </c>
    </row>
    <row r="710" spans="1:2" x14ac:dyDescent="0.2">
      <c r="A710" s="1">
        <f>Acciones!A553</f>
        <v>45804</v>
      </c>
      <c r="B710" s="15">
        <v>1187.5188792592671</v>
      </c>
    </row>
    <row r="711" spans="1:2" x14ac:dyDescent="0.2">
      <c r="A711" s="1">
        <f>Acciones!A390</f>
        <v>45561</v>
      </c>
      <c r="B711" s="15">
        <v>1208.7131470169479</v>
      </c>
    </row>
    <row r="712" spans="1:2" x14ac:dyDescent="0.2">
      <c r="A712" s="1">
        <f>Acciones!A158</f>
        <v>45222</v>
      </c>
      <c r="B712" s="15">
        <v>1240.9426030782597</v>
      </c>
    </row>
    <row r="713" spans="1:2" x14ac:dyDescent="0.2">
      <c r="A713" s="1">
        <f>Acciones!A174</f>
        <v>45245</v>
      </c>
      <c r="B713" s="15">
        <v>1266.1286334961333</v>
      </c>
    </row>
    <row r="714" spans="1:2" x14ac:dyDescent="0.2">
      <c r="A714" s="1">
        <f>Acciones!A427</f>
        <v>45616</v>
      </c>
      <c r="B714" s="15">
        <v>1281.9122072677419</v>
      </c>
    </row>
    <row r="715" spans="1:2" x14ac:dyDescent="0.2">
      <c r="A715" s="1">
        <f>Acciones!A542</f>
        <v>45789</v>
      </c>
      <c r="B715" s="15">
        <v>1284.2101552859094</v>
      </c>
    </row>
    <row r="716" spans="1:2" x14ac:dyDescent="0.2">
      <c r="A716" s="1">
        <f>Acciones!A510</f>
        <v>45740</v>
      </c>
      <c r="B716" s="15">
        <v>1288.7794907432981</v>
      </c>
    </row>
    <row r="717" spans="1:2" x14ac:dyDescent="0.2">
      <c r="A717" s="1">
        <f>Acciones!A411</f>
        <v>45593</v>
      </c>
      <c r="B717" s="15">
        <v>1298.9619079511758</v>
      </c>
    </row>
    <row r="718" spans="1:2" x14ac:dyDescent="0.2">
      <c r="A718" s="1">
        <f>Acciones!A186</f>
        <v>45264</v>
      </c>
      <c r="B718" s="15">
        <v>1315.6641883334669</v>
      </c>
    </row>
    <row r="719" spans="1:2" x14ac:dyDescent="0.2">
      <c r="A719" s="1">
        <f>Acciones!A192</f>
        <v>45273</v>
      </c>
      <c r="B719" s="15">
        <v>1317.8036010043797</v>
      </c>
    </row>
    <row r="720" spans="1:2" x14ac:dyDescent="0.2">
      <c r="A720" s="1">
        <f>Acciones!A576</f>
        <v>45835</v>
      </c>
      <c r="B720" s="15">
        <v>1326.6234057293768</v>
      </c>
    </row>
    <row r="721" spans="1:2" x14ac:dyDescent="0.2">
      <c r="A721" s="1">
        <f>Acciones!A328</f>
        <v>45474</v>
      </c>
      <c r="B721" s="15">
        <v>1331.5641822256148</v>
      </c>
    </row>
    <row r="722" spans="1:2" x14ac:dyDescent="0.2">
      <c r="A722" s="1">
        <f>Acciones!A258</f>
        <v>45371</v>
      </c>
      <c r="B722" s="15">
        <v>1362.3265561046974</v>
      </c>
    </row>
    <row r="723" spans="1:2" x14ac:dyDescent="0.2">
      <c r="A723" s="1">
        <f>Acciones!A86</f>
        <v>45120</v>
      </c>
      <c r="B723" s="15">
        <v>1375.226431374962</v>
      </c>
    </row>
    <row r="724" spans="1:2" x14ac:dyDescent="0.2">
      <c r="A724" s="1">
        <f>Acciones!A641</f>
        <v>45929</v>
      </c>
      <c r="B724" s="15">
        <v>1435.938879105317</v>
      </c>
    </row>
    <row r="725" spans="1:2" x14ac:dyDescent="0.2">
      <c r="A725" s="1">
        <f>Acciones!A234</f>
        <v>45336</v>
      </c>
      <c r="B725" s="15">
        <v>1444.2706954096357</v>
      </c>
    </row>
    <row r="726" spans="1:2" x14ac:dyDescent="0.2">
      <c r="A726" s="1">
        <f>Acciones!A710</f>
        <v>46030</v>
      </c>
      <c r="B726" s="15">
        <v>1463.1337606072884</v>
      </c>
    </row>
    <row r="727" spans="1:2" x14ac:dyDescent="0.2">
      <c r="A727" s="1">
        <f>Acciones!A159</f>
        <v>45223</v>
      </c>
      <c r="B727" s="15">
        <v>1463.4734876411785</v>
      </c>
    </row>
    <row r="728" spans="1:2" x14ac:dyDescent="0.2">
      <c r="A728" s="1">
        <f>Acciones!A288</f>
        <v>45418</v>
      </c>
      <c r="B728" s="15">
        <v>1486.9430769010069</v>
      </c>
    </row>
    <row r="729" spans="1:2" x14ac:dyDescent="0.2">
      <c r="A729" s="1">
        <f>Acciones!A201</f>
        <v>45287</v>
      </c>
      <c r="B729" s="15">
        <v>1487.8730280456002</v>
      </c>
    </row>
    <row r="730" spans="1:2" x14ac:dyDescent="0.2">
      <c r="A730" s="1">
        <f>Acciones!A298</f>
        <v>45432</v>
      </c>
      <c r="B730" s="15">
        <v>1543.6713568270497</v>
      </c>
    </row>
    <row r="731" spans="1:2" x14ac:dyDescent="0.2">
      <c r="A731" s="1">
        <f>Acciones!A74</f>
        <v>45104</v>
      </c>
      <c r="B731" s="15">
        <v>1554.0551224996889</v>
      </c>
    </row>
    <row r="732" spans="1:2" x14ac:dyDescent="0.2">
      <c r="A732" s="1">
        <f>Acciones!A456</f>
        <v>45660</v>
      </c>
      <c r="B732" s="15">
        <v>1559.4783023891359</v>
      </c>
    </row>
    <row r="733" spans="1:2" x14ac:dyDescent="0.2">
      <c r="A733" s="1">
        <f>Acciones!A22</f>
        <v>45029</v>
      </c>
      <c r="B733" s="15">
        <v>1605.8308960550639</v>
      </c>
    </row>
    <row r="734" spans="1:2" x14ac:dyDescent="0.2">
      <c r="A734" s="1">
        <f>Acciones!A418</f>
        <v>45602</v>
      </c>
      <c r="B734" s="15">
        <v>1619.1666063497432</v>
      </c>
    </row>
    <row r="735" spans="1:2" x14ac:dyDescent="0.2">
      <c r="A735" s="1">
        <f>Acciones!A539</f>
        <v>45784</v>
      </c>
      <c r="B735" s="15">
        <v>1670.784731056061</v>
      </c>
    </row>
    <row r="736" spans="1:2" x14ac:dyDescent="0.2">
      <c r="A736" s="1">
        <f>Acciones!A19</f>
        <v>45026</v>
      </c>
      <c r="B736" s="15">
        <v>1739.0736604754675</v>
      </c>
    </row>
    <row r="737" spans="1:2" x14ac:dyDescent="0.2">
      <c r="A737" s="1">
        <f>Acciones!A15</f>
        <v>45016</v>
      </c>
      <c r="B737" s="15">
        <v>1752.4733824870418</v>
      </c>
    </row>
    <row r="738" spans="1:2" x14ac:dyDescent="0.2">
      <c r="A738" s="1">
        <f>Acciones!A232</f>
        <v>45334</v>
      </c>
      <c r="B738" s="15">
        <v>1831.4649062435274</v>
      </c>
    </row>
    <row r="739" spans="1:2" x14ac:dyDescent="0.2">
      <c r="A739" s="1">
        <f>Acciones!A579</f>
        <v>45840</v>
      </c>
      <c r="B739" s="15">
        <v>1843.6766527688014</v>
      </c>
    </row>
    <row r="740" spans="1:2" x14ac:dyDescent="0.2">
      <c r="A740" s="1">
        <f>Acciones!A338</f>
        <v>45488</v>
      </c>
      <c r="B740" s="15">
        <v>1845.7881595384606</v>
      </c>
    </row>
    <row r="741" spans="1:2" x14ac:dyDescent="0.2">
      <c r="A741" s="1">
        <f>Acciones!A242</f>
        <v>45348</v>
      </c>
      <c r="B741" s="15">
        <v>2030.4548478994038</v>
      </c>
    </row>
    <row r="742" spans="1:2" x14ac:dyDescent="0.2">
      <c r="A742" s="1">
        <f>Acciones!A185</f>
        <v>45261</v>
      </c>
      <c r="B742" s="15">
        <v>2057.1463708259253</v>
      </c>
    </row>
    <row r="743" spans="1:2" x14ac:dyDescent="0.2">
      <c r="A743" s="1">
        <f>Acciones!A458</f>
        <v>45664</v>
      </c>
      <c r="B743" s="15">
        <v>2180.2672938759715</v>
      </c>
    </row>
    <row r="744" spans="1:2" x14ac:dyDescent="0.2">
      <c r="A744" s="1">
        <f>Acciones!A230</f>
        <v>45330</v>
      </c>
      <c r="B744" s="15">
        <v>2218.5247451126124</v>
      </c>
    </row>
    <row r="745" spans="1:2" x14ac:dyDescent="0.2">
      <c r="A745" s="1">
        <f>Acciones!A540</f>
        <v>45785</v>
      </c>
      <c r="B745" s="15">
        <v>2469.2781394573249</v>
      </c>
    </row>
    <row r="746" spans="1:2" x14ac:dyDescent="0.2">
      <c r="A746" s="1">
        <f>Acciones!A522</f>
        <v>45756</v>
      </c>
      <c r="B746" s="15">
        <v>2495.0874948427663</v>
      </c>
    </row>
    <row r="747" spans="1:2" x14ac:dyDescent="0.2">
      <c r="A747" s="1">
        <f>Acciones!A119</f>
        <v>45167</v>
      </c>
      <c r="B747" s="15">
        <v>3110.9248793273073</v>
      </c>
    </row>
    <row r="748" spans="1:2" x14ac:dyDescent="0.2">
      <c r="A748" s="1">
        <f>Acciones!A421</f>
        <v>45607</v>
      </c>
      <c r="B748" s="15">
        <v>3128.1367065962404</v>
      </c>
    </row>
    <row r="749" spans="1:2" x14ac:dyDescent="0.2">
      <c r="A749" s="1">
        <f>Acciones!A730</f>
        <v>46059</v>
      </c>
      <c r="B749" s="15">
        <v>3266.4964327437629</v>
      </c>
    </row>
    <row r="750" spans="1:2" x14ac:dyDescent="0.2">
      <c r="A750" s="1">
        <f>Acciones!A706</f>
        <v>46024</v>
      </c>
      <c r="B750" s="15">
        <v>4681.7486782427659</v>
      </c>
    </row>
    <row r="751" spans="1:2" x14ac:dyDescent="0.2">
      <c r="A751" s="1">
        <f>Acciones!A707</f>
        <v>46027</v>
      </c>
      <c r="B751" s="15">
        <v>6505.6026670222927</v>
      </c>
    </row>
  </sheetData>
  <autoFilter ref="A1:B1" xr:uid="{7077437A-7B90-3F43-8657-74E697BD036D}">
    <sortState xmlns:xlrd2="http://schemas.microsoft.com/office/spreadsheetml/2017/richdata2" ref="A2:B751">
      <sortCondition ref="B1:B75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0991-2B45-B74D-B9E8-9F2FAF4B9576}">
  <dimension ref="A1:Z968"/>
  <sheetViews>
    <sheetView topLeftCell="P1" zoomScale="133" workbookViewId="0">
      <selection activeCell="Z2" sqref="Z2"/>
    </sheetView>
  </sheetViews>
  <sheetFormatPr baseColWidth="10" defaultRowHeight="16" x14ac:dyDescent="0.2"/>
  <cols>
    <col min="2" max="2" width="8.6640625" bestFit="1" customWidth="1"/>
    <col min="3" max="3" width="8.83203125" bestFit="1" customWidth="1"/>
    <col min="4" max="4" width="8.33203125" bestFit="1" customWidth="1"/>
    <col min="5" max="5" width="11.6640625" bestFit="1" customWidth="1"/>
    <col min="13" max="13" width="12" bestFit="1" customWidth="1"/>
    <col min="14" max="14" width="13" bestFit="1" customWidth="1"/>
    <col min="15" max="15" width="14" bestFit="1" customWidth="1"/>
    <col min="16" max="16" width="11.6640625" bestFit="1" customWidth="1"/>
    <col min="17" max="17" width="11.6640625" customWidth="1"/>
    <col min="22" max="22" width="14.5" bestFit="1" customWidth="1"/>
  </cols>
  <sheetData>
    <row r="1" spans="1:26" x14ac:dyDescent="0.2">
      <c r="A1" t="str">
        <f>Acciones!A1</f>
        <v>Fecha</v>
      </c>
      <c r="B1" t="str">
        <f>Acciones!B1</f>
        <v>AGUA.MX</v>
      </c>
      <c r="C1" t="str">
        <f>Acciones!C1</f>
        <v>MARA.MX</v>
      </c>
      <c r="D1" t="str">
        <f>Acciones!D1</f>
        <v>NKE.MX</v>
      </c>
      <c r="E1" t="str">
        <f>Acciones!E1</f>
        <v>TEAKCPO.MX</v>
      </c>
      <c r="H1" t="s">
        <v>0</v>
      </c>
      <c r="I1" t="s">
        <v>1</v>
      </c>
      <c r="J1" t="s">
        <v>2</v>
      </c>
      <c r="K1" t="s">
        <v>3</v>
      </c>
      <c r="M1" s="38" t="s">
        <v>48</v>
      </c>
      <c r="N1" s="38"/>
      <c r="O1" s="38"/>
      <c r="P1" s="38"/>
      <c r="Q1" s="80"/>
    </row>
    <row r="2" spans="1:26" x14ac:dyDescent="0.2">
      <c r="A2" s="1"/>
      <c r="G2" s="31" t="s">
        <v>45</v>
      </c>
      <c r="H2" s="32">
        <f>AVERAGE(B3:B751)</f>
        <v>-1.1770545033266578E-3</v>
      </c>
      <c r="I2" s="32">
        <f t="shared" ref="I2:K2" si="0">AVERAGE(C3:C751)</f>
        <v>2.4122797031944838E-4</v>
      </c>
      <c r="J2" s="32">
        <f t="shared" si="0"/>
        <v>-1.0628363748213568E-3</v>
      </c>
      <c r="K2" s="33">
        <f t="shared" si="0"/>
        <v>-4.5409845698199279E-3</v>
      </c>
    </row>
    <row r="3" spans="1:26" x14ac:dyDescent="0.2">
      <c r="A3" s="1">
        <f>Acciones!A3</f>
        <v>44999</v>
      </c>
      <c r="B3" s="29">
        <f>LN(Acciones!B3/Acciones!B2)</f>
        <v>1.5989263273779877E-2</v>
      </c>
      <c r="C3" s="29">
        <f>LN(Acciones!C3/Acciones!C2)</f>
        <v>3.8463277124650246E-2</v>
      </c>
      <c r="D3" s="29">
        <f>LN(Acciones!D3/Acciones!D2)</f>
        <v>-1.2237234853930813E-2</v>
      </c>
      <c r="E3" s="29">
        <f>LN(Acciones!E3/Acciones!E2)</f>
        <v>0</v>
      </c>
      <c r="G3" s="34" t="s">
        <v>46</v>
      </c>
      <c r="H3" s="7">
        <f>_xlfn.VAR.P(B3:B751)</f>
        <v>5.1368901792957602E-4</v>
      </c>
      <c r="I3" s="7">
        <f t="shared" ref="I3:K3" si="1">_xlfn.VAR.P(C3:C751)</f>
        <v>3.6217286690209713E-3</v>
      </c>
      <c r="J3" s="7">
        <f t="shared" si="1"/>
        <v>5.4498606562914504E-4</v>
      </c>
      <c r="K3" s="35">
        <f t="shared" si="1"/>
        <v>3.4510053324812821E-3</v>
      </c>
      <c r="R3" s="39"/>
      <c r="T3" s="40"/>
      <c r="V3" s="39"/>
    </row>
    <row r="4" spans="1:26" ht="17" x14ac:dyDescent="0.25">
      <c r="A4" s="1">
        <f>Acciones!A4</f>
        <v>45000</v>
      </c>
      <c r="B4" s="29">
        <f>LN(Acciones!B4/Acciones!B3)</f>
        <v>-3.6520952985338549E-2</v>
      </c>
      <c r="C4" s="29">
        <f>LN(Acciones!C4/Acciones!C3)</f>
        <v>7.6987646385124143E-3</v>
      </c>
      <c r="D4" s="29">
        <f>LN(Acciones!D4/Acciones!D3)</f>
        <v>2.3613169611267228E-2</v>
      </c>
      <c r="E4" s="29">
        <f>LN(Acciones!E4/Acciones!E3)</f>
        <v>-5.5350104029454783E-2</v>
      </c>
      <c r="G4" s="36" t="s">
        <v>47</v>
      </c>
      <c r="H4" s="37">
        <f>_xlfn.STDEV.P(B3:B751)</f>
        <v>2.2664708644268429E-2</v>
      </c>
      <c r="I4" s="37">
        <f t="shared" ref="I4:K4" si="2">_xlfn.STDEV.P(C3:C751)</f>
        <v>6.0180799836999269E-2</v>
      </c>
      <c r="J4" s="37">
        <f t="shared" si="2"/>
        <v>2.3344936616515904E-2</v>
      </c>
      <c r="K4" s="37">
        <f t="shared" si="2"/>
        <v>5.874525795739842E-2</v>
      </c>
      <c r="M4" t="s">
        <v>0</v>
      </c>
      <c r="N4" t="s">
        <v>1</v>
      </c>
      <c r="O4" t="s">
        <v>2</v>
      </c>
      <c r="P4" t="s">
        <v>3</v>
      </c>
      <c r="R4" s="39" t="s">
        <v>49</v>
      </c>
      <c r="T4" s="40" t="s">
        <v>50</v>
      </c>
      <c r="V4" s="39" t="s">
        <v>51</v>
      </c>
    </row>
    <row r="5" spans="1:26" x14ac:dyDescent="0.2">
      <c r="A5" s="1">
        <f>Acciones!A5</f>
        <v>45001</v>
      </c>
      <c r="B5" s="29">
        <f>LN(Acciones!B5/Acciones!B4)</f>
        <v>-3.9418783929220788E-3</v>
      </c>
      <c r="C5" s="29">
        <f>LN(Acciones!C5/Acciones!C4)</f>
        <v>7.7378643626217575E-2</v>
      </c>
      <c r="D5" s="29">
        <f>LN(Acciones!D5/Acciones!D4)</f>
        <v>5.5961503190714995E-3</v>
      </c>
      <c r="E5" s="29">
        <f>LN(Acciones!E5/Acciones!E4)</f>
        <v>5.5350104029454845E-2</v>
      </c>
      <c r="M5" s="30">
        <f ca="1">Acciones!$B$751*EXP((H$2-H$3/2)*(1)+H$4*_xlfn.NORM.S.INV(RAND())*SQRT(1))</f>
        <v>10.862615185228766</v>
      </c>
      <c r="N5" s="30">
        <f ca="1">Acciones!$C$751*EXP((I$2-I$3/2)*(1)+I$4*_xlfn.NORM.S.INV(RAND())*SQRT(1))</f>
        <v>157.86613729704902</v>
      </c>
      <c r="O5" s="30">
        <f ca="1">Acciones!$D$751*EXP((J$2-J$3/2)*(1)+J$4*_xlfn.NORM.S.INV(RAND())*SQRT(1))</f>
        <v>991.27931048358334</v>
      </c>
      <c r="P5" s="30">
        <f ca="1">Acciones!$E$751*EXP((K$2-K$3/2)*(1)+K$4*_xlfn.NORM.S.INV(RAND())*SQRT(1))</f>
        <v>0.12805291254053885</v>
      </c>
      <c r="Q5" s="30"/>
      <c r="R5">
        <f ca="1">M5/Acciones!$B$751*$I$10 + N5/Acciones!$C$751*$I$11 + O5/Acciones!$D$751*$I$12 + P5/Acciones!$D$751*$I$13</f>
        <v>23271.487838109548</v>
      </c>
      <c r="T5" s="14">
        <f ca="1">R5-$I$14</f>
        <v>-5228.5121618904523</v>
      </c>
      <c r="V5">
        <v>-7177.2788176370304</v>
      </c>
      <c r="X5" s="41" t="s">
        <v>39</v>
      </c>
      <c r="Y5" s="3">
        <v>0.97499999999999998</v>
      </c>
    </row>
    <row r="6" spans="1:26" x14ac:dyDescent="0.2">
      <c r="A6" s="1">
        <f>Acciones!A6</f>
        <v>45002</v>
      </c>
      <c r="B6" s="29">
        <f>LN(Acciones!B6/Acciones!B5)</f>
        <v>-5.4006363441038534E-3</v>
      </c>
      <c r="C6" s="29">
        <f>LN(Acciones!C6/Acciones!C5)</f>
        <v>7.5697345071275263E-2</v>
      </c>
      <c r="D6" s="29">
        <f>LN(Acciones!D6/Acciones!D5)</f>
        <v>-1.1095716072772631E-4</v>
      </c>
      <c r="E6" s="29">
        <f>LN(Acciones!E6/Acciones!E5)</f>
        <v>0</v>
      </c>
      <c r="M6" s="30">
        <f ca="1">Acciones!$B$751*EXP((H$2-H$3/2)*(1)+H$4*_xlfn.NORM.S.INV(RAND())*SQRT(1))</f>
        <v>10.399266313944434</v>
      </c>
      <c r="N6" s="30">
        <f ca="1">Acciones!$C$751*EXP((I$2-I$3/2)*(1)+I$4*_xlfn.NORM.S.INV(RAND())*SQRT(1))</f>
        <v>145.42934055421887</v>
      </c>
      <c r="O6" s="30">
        <f ca="1">Acciones!$D$751*EXP((J$2-J$3/2)*(1)+J$4*_xlfn.NORM.S.INV(RAND())*SQRT(1))</f>
        <v>982.43785516460559</v>
      </c>
      <c r="P6" s="30">
        <f ca="1">Acciones!$E$751*EXP((K$2-K$3/2)*(1)+K$4*_xlfn.NORM.S.INV(RAND())*SQRT(1))</f>
        <v>0.13173126838236718</v>
      </c>
      <c r="Q6" s="30"/>
      <c r="R6">
        <f ca="1">M6/Acciones!$B$751*$I$10 + N6/Acciones!$C$751*$I$11 + O6/Acciones!$D$751*$I$12 + P6/Acciones!$D$751*$I$13</f>
        <v>22257.769420275799</v>
      </c>
      <c r="T6" s="14">
        <f t="shared" ref="T6:T69" ca="1" si="3">R6-$I$14</f>
        <v>-6242.2305797242007</v>
      </c>
      <c r="V6">
        <v>-7156.1813082765839</v>
      </c>
      <c r="X6" s="41" t="s">
        <v>40</v>
      </c>
      <c r="Y6" s="42">
        <f>COUNT(V5:V753)*(1-Y5)</f>
        <v>18.725000000000016</v>
      </c>
    </row>
    <row r="7" spans="1:26" ht="17" x14ac:dyDescent="0.25">
      <c r="A7" s="1">
        <f>Acciones!A7</f>
        <v>45006</v>
      </c>
      <c r="B7" s="29">
        <f>LN(Acciones!B7/Acciones!B6)</f>
        <v>-2.4115095701161264E-2</v>
      </c>
      <c r="C7" s="29">
        <f>LN(Acciones!C7/Acciones!C6)</f>
        <v>6.2883912454263974E-2</v>
      </c>
      <c r="D7" s="29">
        <f>LN(Acciones!D7/Acciones!D6)</f>
        <v>3.5927602841419409E-2</v>
      </c>
      <c r="E7" s="29">
        <f>LN(Acciones!E7/Acciones!E6)</f>
        <v>-3.9220737606468103E-2</v>
      </c>
      <c r="M7" s="30">
        <f ca="1">Acciones!$B$751*EXP((H$2-H$3/2)*(1)+H$4*_xlfn.NORM.S.INV(RAND())*SQRT(1))</f>
        <v>10.398539422660489</v>
      </c>
      <c r="N7" s="30">
        <f ca="1">Acciones!$C$751*EXP((I$2-I$3/2)*(1)+I$4*_xlfn.NORM.S.INV(RAND())*SQRT(1))</f>
        <v>148.46999892611518</v>
      </c>
      <c r="O7" s="30">
        <f ca="1">Acciones!$D$751*EXP((J$2-J$3/2)*(1)+J$4*_xlfn.NORM.S.INV(RAND())*SQRT(1))</f>
        <v>998.58253373226603</v>
      </c>
      <c r="P7" s="30">
        <f ca="1">Acciones!$E$751*EXP((K$2-K$3/2)*(1)+K$4*_xlfn.NORM.S.INV(RAND())*SQRT(1))</f>
        <v>0.13635596399855893</v>
      </c>
      <c r="Q7" s="30"/>
      <c r="R7">
        <f ca="1">M7/Acciones!$B$751*$I$10 + N7/Acciones!$C$751*$I$11 + O7/Acciones!$D$751*$I$12 + P7/Acciones!$D$751*$I$13</f>
        <v>22609.127502222735</v>
      </c>
      <c r="T7" s="14">
        <f t="shared" ca="1" si="3"/>
        <v>-5890.8724977772654</v>
      </c>
      <c r="V7">
        <v>-7069.8757286700493</v>
      </c>
      <c r="X7" s="41" t="s">
        <v>70</v>
      </c>
      <c r="Y7" s="43">
        <f>ABS(V24)</f>
        <v>6710.4163276430736</v>
      </c>
      <c r="Z7" s="2">
        <f>Y7/I$14</f>
        <v>0.23545320447870433</v>
      </c>
    </row>
    <row r="8" spans="1:26" ht="17" x14ac:dyDescent="0.25">
      <c r="A8" s="1">
        <f>Acciones!A8</f>
        <v>45007</v>
      </c>
      <c r="B8" s="29">
        <f>LN(Acciones!B8/Acciones!B7)</f>
        <v>1.3225677661938245E-2</v>
      </c>
      <c r="C8" s="29">
        <f>LN(Acciones!C8/Acciones!C7)</f>
        <v>-0.13240690366102292</v>
      </c>
      <c r="D8" s="29">
        <f>LN(Acciones!D8/Acciones!D7)</f>
        <v>-4.8294766096804366E-2</v>
      </c>
      <c r="E8" s="29">
        <f>LN(Acciones!E8/Acciones!E7)</f>
        <v>-1.3423007444651584E-2</v>
      </c>
      <c r="M8" s="30">
        <f ca="1">Acciones!$B$751*EXP((H$2-H$3/2)*(1)+H$4*_xlfn.NORM.S.INV(RAND())*SQRT(1))</f>
        <v>10.757926123205669</v>
      </c>
      <c r="N8" s="30">
        <f ca="1">Acciones!$C$751*EXP((I$2-I$3/2)*(1)+I$4*_xlfn.NORM.S.INV(RAND())*SQRT(1))</f>
        <v>146.14769561279354</v>
      </c>
      <c r="O8" s="30">
        <f ca="1">Acciones!$D$751*EXP((J$2-J$3/2)*(1)+J$4*_xlfn.NORM.S.INV(RAND())*SQRT(1))</f>
        <v>1039.9761681816258</v>
      </c>
      <c r="P8" s="30">
        <f ca="1">Acciones!$E$751*EXP((K$2-K$3/2)*(1)+K$4*_xlfn.NORM.S.INV(RAND())*SQRT(1))</f>
        <v>0.13046658380012577</v>
      </c>
      <c r="Q8" s="30"/>
      <c r="R8">
        <f ca="1">M8/Acciones!$B$751*$I$10 + N8/Acciones!$C$751*$I$11 + O8/Acciones!$D$751*$I$12 + P8/Acciones!$D$751*$I$13</f>
        <v>22994.004135716423</v>
      </c>
      <c r="T8" s="14">
        <f t="shared" ca="1" si="3"/>
        <v>-5505.9958642835772</v>
      </c>
      <c r="V8">
        <v>-7035.1839998830183</v>
      </c>
      <c r="X8" s="41" t="s">
        <v>71</v>
      </c>
      <c r="Y8" s="44">
        <f>ABS(AVERAGE(V5:V23))</f>
        <v>6864.8264152834081</v>
      </c>
      <c r="Z8" s="3">
        <f>Y8/I$14</f>
        <v>0.2408711022906459</v>
      </c>
    </row>
    <row r="9" spans="1:26" x14ac:dyDescent="0.2">
      <c r="A9" s="1">
        <f>Acciones!A9</f>
        <v>45008</v>
      </c>
      <c r="B9" s="29">
        <f>LN(Acciones!B9/Acciones!B8)</f>
        <v>-3.1136695372806625E-2</v>
      </c>
      <c r="C9" s="29">
        <f>LN(Acciones!C9/Acciones!C8)</f>
        <v>8.6919191036623017E-2</v>
      </c>
      <c r="D9" s="29">
        <f>LN(Acciones!D9/Acciones!D8)</f>
        <v>4.4742965735123383E-3</v>
      </c>
      <c r="E9" s="29">
        <f>LN(Acciones!E9/Acciones!E8)</f>
        <v>-2.7399013566559507E-2</v>
      </c>
      <c r="I9" s="13" t="s">
        <v>31</v>
      </c>
      <c r="M9" s="30">
        <f ca="1">Acciones!$B$751*EXP((H$2-H$3/2)*(1)+H$4*_xlfn.NORM.S.INV(RAND())*SQRT(1))</f>
        <v>10.795829577321335</v>
      </c>
      <c r="N9" s="30">
        <f ca="1">Acciones!$C$751*EXP((I$2-I$3/2)*(1)+I$4*_xlfn.NORM.S.INV(RAND())*SQRT(1))</f>
        <v>149.48650523450229</v>
      </c>
      <c r="O9" s="30">
        <f ca="1">Acciones!$D$751*EXP((J$2-J$3/2)*(1)+J$4*_xlfn.NORM.S.INV(RAND())*SQRT(1))</f>
        <v>986.43044057250063</v>
      </c>
      <c r="P9" s="30">
        <f ca="1">Acciones!$E$751*EXP((K$2-K$3/2)*(1)+K$4*_xlfn.NORM.S.INV(RAND())*SQRT(1))</f>
        <v>0.12253577603383836</v>
      </c>
      <c r="Q9" s="30"/>
      <c r="R9">
        <f ca="1">M9/Acciones!$B$751*$I$10 + N9/Acciones!$C$751*$I$11 + O9/Acciones!$D$751*$I$12 + P9/Acciones!$D$751*$I$13</f>
        <v>22678.253129456658</v>
      </c>
      <c r="T9" s="14">
        <f t="shared" ca="1" si="3"/>
        <v>-5821.7468705433421</v>
      </c>
      <c r="V9">
        <v>-7008.3068334462259</v>
      </c>
      <c r="X9" s="41"/>
    </row>
    <row r="10" spans="1:26" ht="17" x14ac:dyDescent="0.25">
      <c r="A10" s="1">
        <f>Acciones!A10</f>
        <v>45009</v>
      </c>
      <c r="B10" s="29">
        <f>LN(Acciones!B10/Acciones!B9)</f>
        <v>1.7171057099881773E-2</v>
      </c>
      <c r="C10" s="29">
        <f>LN(Acciones!C10/Acciones!C9)</f>
        <v>-8.7403380906566172E-2</v>
      </c>
      <c r="D10" s="29">
        <f>LN(Acciones!D10/Acciones!D9)</f>
        <v>-7.392910099802614E-3</v>
      </c>
      <c r="E10" s="29">
        <f>LN(Acciones!E10/Acciones!E9)</f>
        <v>2.7399013566559587E-2</v>
      </c>
      <c r="I10" s="14">
        <v>3500</v>
      </c>
      <c r="J10" t="s">
        <v>32</v>
      </c>
      <c r="M10" s="30">
        <f ca="1">Acciones!$B$751*EXP((H$2-H$3/2)*(1)+H$4*_xlfn.NORM.S.INV(RAND())*SQRT(1))</f>
        <v>10.504800723614073</v>
      </c>
      <c r="N10" s="30">
        <f ca="1">Acciones!$C$751*EXP((I$2-I$3/2)*(1)+I$4*_xlfn.NORM.S.INV(RAND())*SQRT(1))</f>
        <v>164.56063104012412</v>
      </c>
      <c r="O10" s="30">
        <f ca="1">Acciones!$D$751*EXP((J$2-J$3/2)*(1)+J$4*_xlfn.NORM.S.INV(RAND())*SQRT(1))</f>
        <v>978.55195803141191</v>
      </c>
      <c r="P10" s="30">
        <f ca="1">Acciones!$E$751*EXP((K$2-K$3/2)*(1)+K$4*_xlfn.NORM.S.INV(RAND())*SQRT(1))</f>
        <v>0.13004954055665371</v>
      </c>
      <c r="Q10" s="30"/>
      <c r="R10">
        <f ca="1">M10/Acciones!$B$751*$I$10 + N10/Acciones!$C$751*$I$11 + O10/Acciones!$D$751*$I$12 + P10/Acciones!$D$751*$I$13</f>
        <v>23447.220379740516</v>
      </c>
      <c r="T10" s="14">
        <f t="shared" ca="1" si="3"/>
        <v>-5052.7796202594836</v>
      </c>
      <c r="V10">
        <v>-6983.3482124926231</v>
      </c>
      <c r="X10" s="41" t="s">
        <v>72</v>
      </c>
      <c r="Y10" s="44">
        <f>Y7*SQRT(10)</f>
        <v>21220.199643334829</v>
      </c>
      <c r="Z10" s="3">
        <f>Y10/I14</f>
        <v>0.74456840853806416</v>
      </c>
    </row>
    <row r="11" spans="1:26" ht="17" x14ac:dyDescent="0.25">
      <c r="A11" s="1">
        <f>Acciones!A11</f>
        <v>45012</v>
      </c>
      <c r="B11" s="29">
        <f>LN(Acciones!B11/Acciones!B10)</f>
        <v>9.576586780866158E-3</v>
      </c>
      <c r="C11" s="29">
        <f>LN(Acciones!C11/Acciones!C10)</f>
        <v>-8.6231685218362275E-2</v>
      </c>
      <c r="D11" s="29">
        <f>LN(Acciones!D11/Acciones!D10)</f>
        <v>-2.5508590279109747E-2</v>
      </c>
      <c r="E11" s="29">
        <f>LN(Acciones!E11/Acciones!E10)</f>
        <v>0</v>
      </c>
      <c r="I11">
        <v>9500</v>
      </c>
      <c r="J11" t="s">
        <v>33</v>
      </c>
      <c r="M11" s="30">
        <f ca="1">Acciones!$B$751*EXP((H$2-H$3/2)*(1)+H$4*_xlfn.NORM.S.INV(RAND())*SQRT(1))</f>
        <v>11.12804287471309</v>
      </c>
      <c r="N11" s="30">
        <f ca="1">Acciones!$C$751*EXP((I$2-I$3/2)*(1)+I$4*_xlfn.NORM.S.INV(RAND())*SQRT(1))</f>
        <v>138.94431109383297</v>
      </c>
      <c r="O11" s="30">
        <f ca="1">Acciones!$D$751*EXP((J$2-J$3/2)*(1)+J$4*_xlfn.NORM.S.INV(RAND())*SQRT(1))</f>
        <v>985.83776772986516</v>
      </c>
      <c r="P11" s="30">
        <f ca="1">Acciones!$E$751*EXP((K$2-K$3/2)*(1)+K$4*_xlfn.NORM.S.INV(RAND())*SQRT(1))</f>
        <v>0.12333786930043342</v>
      </c>
      <c r="Q11" s="30"/>
      <c r="R11">
        <f ca="1">M11/Acciones!$B$751*$I$10 + N11/Acciones!$C$751*$I$11 + O11/Acciones!$D$751*$I$12 + P11/Acciones!$D$751*$I$13</f>
        <v>22120.659719960229</v>
      </c>
      <c r="T11" s="14">
        <f t="shared" ca="1" si="3"/>
        <v>-6379.3402800397707</v>
      </c>
      <c r="V11">
        <v>-6867.693000993826</v>
      </c>
      <c r="X11" s="41" t="s">
        <v>52</v>
      </c>
      <c r="Y11" s="44">
        <f>3*Y10</f>
        <v>63660.598930004489</v>
      </c>
      <c r="Z11" s="3">
        <f>Y11/I14</f>
        <v>2.2337052256141927</v>
      </c>
    </row>
    <row r="12" spans="1:26" x14ac:dyDescent="0.2">
      <c r="A12" s="1">
        <f>Acciones!A12</f>
        <v>45013</v>
      </c>
      <c r="B12" s="29">
        <f>LN(Acciones!B12/Acciones!B11)</f>
        <v>1.816240837876415E-2</v>
      </c>
      <c r="C12" s="29">
        <f>LN(Acciones!C12/Acciones!C11)</f>
        <v>1.2814094978660486E-3</v>
      </c>
      <c r="D12" s="29">
        <f>LN(Acciones!D12/Acciones!D11)</f>
        <v>-1.2282695374244253E-2</v>
      </c>
      <c r="E12" s="29">
        <f>LN(Acciones!E12/Acciones!E11)</f>
        <v>0</v>
      </c>
      <c r="I12">
        <v>10000</v>
      </c>
      <c r="J12" t="s">
        <v>34</v>
      </c>
      <c r="M12" s="30">
        <f ca="1">Acciones!$B$751*EXP((H$2-H$3/2)*(1)+H$4*_xlfn.NORM.S.INV(RAND())*SQRT(1))</f>
        <v>11.076180867420947</v>
      </c>
      <c r="N12" s="30">
        <f ca="1">Acciones!$C$751*EXP((I$2-I$3/2)*(1)+I$4*_xlfn.NORM.S.INV(RAND())*SQRT(1))</f>
        <v>155.42260341243707</v>
      </c>
      <c r="O12" s="30">
        <f ca="1">Acciones!$D$751*EXP((J$2-J$3/2)*(1)+J$4*_xlfn.NORM.S.INV(RAND())*SQRT(1))</f>
        <v>981.49058835072299</v>
      </c>
      <c r="P12" s="30">
        <f ca="1">Acciones!$E$751*EXP((K$2-K$3/2)*(1)+K$4*_xlfn.NORM.S.INV(RAND())*SQRT(1))</f>
        <v>0.12527375348596867</v>
      </c>
      <c r="Q12" s="30"/>
      <c r="R12">
        <f ca="1">M12/Acciones!$B$751*$I$10 + N12/Acciones!$C$751*$I$11 + O12/Acciones!$D$751*$I$12 + P12/Acciones!$D$751*$I$13</f>
        <v>23089.367476219064</v>
      </c>
      <c r="T12" s="14">
        <f t="shared" ca="1" si="3"/>
        <v>-5410.632523780936</v>
      </c>
      <c r="V12">
        <v>-6817.378081600833</v>
      </c>
    </row>
    <row r="13" spans="1:26" x14ac:dyDescent="0.2">
      <c r="A13" s="1">
        <f>Acciones!A13</f>
        <v>45014</v>
      </c>
      <c r="B13" s="29">
        <f>LN(Acciones!B13/Acciones!B12)</f>
        <v>-2.2202819142353267E-2</v>
      </c>
      <c r="C13" s="29">
        <f>LN(Acciones!C13/Acciones!C12)</f>
        <v>8.34960864081431E-2</v>
      </c>
      <c r="D13" s="29">
        <f>LN(Acciones!D13/Acciones!D12)</f>
        <v>1.2974714608756436E-2</v>
      </c>
      <c r="E13" s="29">
        <f>LN(Acciones!E13/Acciones!E12)</f>
        <v>-5.4200622162850105E-3</v>
      </c>
      <c r="I13" s="14">
        <v>5500</v>
      </c>
      <c r="J13" t="s">
        <v>35</v>
      </c>
      <c r="M13" s="30">
        <f ca="1">Acciones!$B$751*EXP((H$2-H$3/2)*(1)+H$4*_xlfn.NORM.S.INV(RAND())*SQRT(1))</f>
        <v>10.962348384566546</v>
      </c>
      <c r="N13" s="30">
        <f ca="1">Acciones!$C$751*EXP((I$2-I$3/2)*(1)+I$4*_xlfn.NORM.S.INV(RAND())*SQRT(1))</f>
        <v>145.86869489774654</v>
      </c>
      <c r="O13" s="30">
        <f ca="1">Acciones!$D$751*EXP((J$2-J$3/2)*(1)+J$4*_xlfn.NORM.S.INV(RAND())*SQRT(1))</f>
        <v>1033.2723094107253</v>
      </c>
      <c r="P13" s="30">
        <f ca="1">Acciones!$E$751*EXP((K$2-K$3/2)*(1)+K$4*_xlfn.NORM.S.INV(RAND())*SQRT(1))</f>
        <v>0.14595221940266123</v>
      </c>
      <c r="Q13" s="30"/>
      <c r="R13">
        <f ca="1">M13/Acciones!$B$751*$I$10 + N13/Acciones!$C$751*$I$11 + O13/Acciones!$D$751*$I$12 + P13/Acciones!$D$751*$I$13</f>
        <v>22975.100391227508</v>
      </c>
      <c r="T13" s="14">
        <f t="shared" ca="1" si="3"/>
        <v>-5524.8996087724918</v>
      </c>
      <c r="V13">
        <v>-6799.538837334756</v>
      </c>
    </row>
    <row r="14" spans="1:26" x14ac:dyDescent="0.2">
      <c r="A14" s="1">
        <f>Acciones!A14</f>
        <v>45015</v>
      </c>
      <c r="B14" s="29">
        <f>LN(Acciones!B14/Acciones!B13)</f>
        <v>1.5702333606769273E-2</v>
      </c>
      <c r="C14" s="29">
        <f>LN(Acciones!C14/Acciones!C13)</f>
        <v>-3.3899145268770949E-2</v>
      </c>
      <c r="D14" s="29">
        <f>LN(Acciones!D14/Acciones!D13)</f>
        <v>0</v>
      </c>
      <c r="E14" s="29">
        <f>LN(Acciones!E14/Acciones!E13)</f>
        <v>-4.4451786129982199E-2</v>
      </c>
      <c r="I14" s="14">
        <f>SUM(I10:I13)</f>
        <v>28500</v>
      </c>
      <c r="M14" s="30">
        <f ca="1">Acciones!$B$751*EXP((H$2-H$3/2)*(1)+H$4*_xlfn.NORM.S.INV(RAND())*SQRT(1))</f>
        <v>11.448308450819425</v>
      </c>
      <c r="N14" s="30">
        <f ca="1">Acciones!$C$751*EXP((I$2-I$3/2)*(1)+I$4*_xlfn.NORM.S.INV(RAND())*SQRT(1))</f>
        <v>149.42896533976602</v>
      </c>
      <c r="O14" s="30">
        <f ca="1">Acciones!$D$751*EXP((J$2-J$3/2)*(1)+J$4*_xlfn.NORM.S.INV(RAND())*SQRT(1))</f>
        <v>980.99880608851186</v>
      </c>
      <c r="P14" s="30">
        <f ca="1">Acciones!$E$751*EXP((K$2-K$3/2)*(1)+K$4*_xlfn.NORM.S.INV(RAND())*SQRT(1))</f>
        <v>0.1100706871234669</v>
      </c>
      <c r="Q14" s="30"/>
      <c r="R14">
        <f ca="1">M14/Acciones!$B$751*$I$10 + N14/Acciones!$C$751*$I$11 + O14/Acciones!$D$751*$I$12 + P14/Acciones!$D$751*$I$13</f>
        <v>22829.505721481924</v>
      </c>
      <c r="T14" s="14">
        <f t="shared" ca="1" si="3"/>
        <v>-5670.4942785180756</v>
      </c>
      <c r="V14">
        <v>-6790.1040058234685</v>
      </c>
    </row>
    <row r="15" spans="1:26" x14ac:dyDescent="0.2">
      <c r="A15" s="1">
        <f>Acciones!A15</f>
        <v>45016</v>
      </c>
      <c r="B15" s="29">
        <f>LN(Acciones!B15/Acciones!B14)</f>
        <v>1.8099082694031741E-3</v>
      </c>
      <c r="C15" s="29">
        <f>LN(Acciones!C15/Acciones!C14)</f>
        <v>0.11288054451357905</v>
      </c>
      <c r="D15" s="29">
        <f>LN(Acciones!D15/Acciones!D14)</f>
        <v>1.872608183210062E-2</v>
      </c>
      <c r="E15" s="29">
        <f>LN(Acciones!E15/Acciones!E14)</f>
        <v>7.390502483776798E-2</v>
      </c>
      <c r="M15" s="30">
        <f ca="1">Acciones!$B$751*EXP((H$2-H$3/2)*(1)+H$4*_xlfn.NORM.S.INV(RAND())*SQRT(1))</f>
        <v>10.816685035544026</v>
      </c>
      <c r="N15" s="30">
        <f ca="1">Acciones!$C$751*EXP((I$2-I$3/2)*(1)+I$4*_xlfn.NORM.S.INV(RAND())*SQRT(1))</f>
        <v>154.33236989752038</v>
      </c>
      <c r="O15" s="30">
        <f ca="1">Acciones!$D$751*EXP((J$2-J$3/2)*(1)+J$4*_xlfn.NORM.S.INV(RAND())*SQRT(1))</f>
        <v>972.13861098034454</v>
      </c>
      <c r="P15" s="30">
        <f ca="1">Acciones!$E$751*EXP((K$2-K$3/2)*(1)+K$4*_xlfn.NORM.S.INV(RAND())*SQRT(1))</f>
        <v>0.13955922010212096</v>
      </c>
      <c r="Q15" s="30"/>
      <c r="R15">
        <f ca="1">M15/Acciones!$B$751*$I$10 + N15/Acciones!$C$751*$I$11 + O15/Acciones!$D$751*$I$12 + P15/Acciones!$D$751*$I$13</f>
        <v>22844.452378657148</v>
      </c>
      <c r="T15" s="14">
        <f t="shared" ca="1" si="3"/>
        <v>-5655.5476213428519</v>
      </c>
      <c r="V15">
        <v>-6786.5661626033761</v>
      </c>
    </row>
    <row r="16" spans="1:26" x14ac:dyDescent="0.2">
      <c r="A16" s="1">
        <f>Acciones!A16</f>
        <v>45019</v>
      </c>
      <c r="B16" s="29">
        <f>LN(Acciones!B16/Acciones!B15)</f>
        <v>-4.7398659931256873E-2</v>
      </c>
      <c r="C16" s="29">
        <f>LN(Acciones!C16/Acciones!C15)</f>
        <v>-1.5292068861082787E-2</v>
      </c>
      <c r="D16" s="29">
        <f>LN(Acciones!D16/Acciones!D15)</f>
        <v>-6.1863463749382043E-3</v>
      </c>
      <c r="E16" s="29">
        <f>LN(Acciones!E16/Acciones!E15)</f>
        <v>2.8610568559618951E-2</v>
      </c>
      <c r="M16" s="30">
        <f ca="1">Acciones!$B$751*EXP((H$2-H$3/2)*(1)+H$4*_xlfn.NORM.S.INV(RAND())*SQRT(1))</f>
        <v>10.557057592748848</v>
      </c>
      <c r="N16" s="30">
        <f ca="1">Acciones!$C$751*EXP((I$2-I$3/2)*(1)+I$4*_xlfn.NORM.S.INV(RAND())*SQRT(1))</f>
        <v>156.21037454364003</v>
      </c>
      <c r="O16" s="30">
        <f ca="1">Acciones!$D$751*EXP((J$2-J$3/2)*(1)+J$4*_xlfn.NORM.S.INV(RAND())*SQRT(1))</f>
        <v>1028.4204680953628</v>
      </c>
      <c r="P16" s="30">
        <f ca="1">Acciones!$E$751*EXP((K$2-K$3/2)*(1)+K$4*_xlfn.NORM.S.INV(RAND())*SQRT(1))</f>
        <v>0.12638706330372046</v>
      </c>
      <c r="Q16" s="30"/>
      <c r="R16">
        <f ca="1">M16/Acciones!$B$751*$I$10 + N16/Acciones!$C$751*$I$11 + O16/Acciones!$D$751*$I$12 + P16/Acciones!$D$751*$I$13</f>
        <v>23442.092311097374</v>
      </c>
      <c r="T16" s="14">
        <f t="shared" ca="1" si="3"/>
        <v>-5057.9076889026255</v>
      </c>
      <c r="V16">
        <v>-6781.0787057961279</v>
      </c>
    </row>
    <row r="17" spans="1:22" x14ac:dyDescent="0.2">
      <c r="A17" s="1">
        <f>Acciones!A17</f>
        <v>45020</v>
      </c>
      <c r="B17" s="29">
        <f>LN(Acciones!B17/Acciones!B16)</f>
        <v>1.430735083021443E-2</v>
      </c>
      <c r="C17" s="29">
        <f>LN(Acciones!C17/Acciones!C16)</f>
        <v>2.2730378235875301E-3</v>
      </c>
      <c r="D17" s="29">
        <f>LN(Acciones!D17/Acciones!D16)</f>
        <v>1.9669745687237818E-2</v>
      </c>
      <c r="E17" s="29">
        <f>LN(Acciones!E17/Acciones!E16)</f>
        <v>1.0204160244011631E-2</v>
      </c>
      <c r="M17" s="30">
        <f ca="1">Acciones!$B$751*EXP((H$2-H$3/2)*(1)+H$4*_xlfn.NORM.S.INV(RAND())*SQRT(1))</f>
        <v>10.817773204081867</v>
      </c>
      <c r="N17" s="30">
        <f ca="1">Acciones!$C$751*EXP((I$2-I$3/2)*(1)+I$4*_xlfn.NORM.S.INV(RAND())*SQRT(1))</f>
        <v>172.63575666272789</v>
      </c>
      <c r="O17" s="30">
        <f ca="1">Acciones!$D$751*EXP((J$2-J$3/2)*(1)+J$4*_xlfn.NORM.S.INV(RAND())*SQRT(1))</f>
        <v>980.45986489226959</v>
      </c>
      <c r="P17" s="30">
        <f ca="1">Acciones!$E$751*EXP((K$2-K$3/2)*(1)+K$4*_xlfn.NORM.S.INV(RAND())*SQRT(1))</f>
        <v>0.12747860777029063</v>
      </c>
      <c r="Q17" s="30"/>
      <c r="R17">
        <f ca="1">M17/Acciones!$B$751*$I$10 + N17/Acciones!$C$751*$I$11 + O17/Acciones!$D$751*$I$12 + P17/Acciones!$D$751*$I$13</f>
        <v>24070.918072959797</v>
      </c>
      <c r="T17" s="14">
        <f t="shared" ca="1" si="3"/>
        <v>-4429.0819270402026</v>
      </c>
      <c r="V17">
        <v>-6765.4781068637967</v>
      </c>
    </row>
    <row r="18" spans="1:22" x14ac:dyDescent="0.2">
      <c r="A18" s="1">
        <f>Acciones!A18</f>
        <v>45021</v>
      </c>
      <c r="B18" s="29">
        <f>LN(Acciones!B18/Acciones!B17)</f>
        <v>-9.7671032837889638E-3</v>
      </c>
      <c r="C18" s="29">
        <f>LN(Acciones!C18/Acciones!C17)</f>
        <v>-6.4093114500710646E-2</v>
      </c>
      <c r="D18" s="29">
        <f>LN(Acciones!D18/Acciones!D17)</f>
        <v>0</v>
      </c>
      <c r="E18" s="29">
        <f>LN(Acciones!E18/Acciones!E17)</f>
        <v>1.2610495459133328E-2</v>
      </c>
      <c r="M18" s="30">
        <f ca="1">Acciones!$B$751*EXP((H$2-H$3/2)*(1)+H$4*_xlfn.NORM.S.INV(RAND())*SQRT(1))</f>
        <v>11.061136162190927</v>
      </c>
      <c r="N18" s="30">
        <f ca="1">Acciones!$C$751*EXP((I$2-I$3/2)*(1)+I$4*_xlfn.NORM.S.INV(RAND())*SQRT(1))</f>
        <v>158.972032777328</v>
      </c>
      <c r="O18" s="30">
        <f ca="1">Acciones!$D$751*EXP((J$2-J$3/2)*(1)+J$4*_xlfn.NORM.S.INV(RAND())*SQRT(1))</f>
        <v>1013.2067570400652</v>
      </c>
      <c r="P18" s="30">
        <f ca="1">Acciones!$E$751*EXP((K$2-K$3/2)*(1)+K$4*_xlfn.NORM.S.INV(RAND())*SQRT(1))</f>
        <v>0.13195323923218458</v>
      </c>
      <c r="Q18" s="30"/>
      <c r="R18">
        <f ca="1">M18/Acciones!$B$751*$I$10 + N18/Acciones!$C$751*$I$11 + O18/Acciones!$D$751*$I$12 + P18/Acciones!$D$751*$I$13</f>
        <v>23623.881163733764</v>
      </c>
      <c r="T18" s="14">
        <f t="shared" ca="1" si="3"/>
        <v>-4876.118836266236</v>
      </c>
      <c r="V18">
        <v>-6757.314029622612</v>
      </c>
    </row>
    <row r="19" spans="1:22" x14ac:dyDescent="0.2">
      <c r="A19" s="1">
        <f>Acciones!A19</f>
        <v>45026</v>
      </c>
      <c r="B19" s="29">
        <f>LN(Acciones!B19/Acciones!B18)</f>
        <v>1.3126055433803095E-2</v>
      </c>
      <c r="C19" s="29">
        <f>LN(Acciones!C19/Acciones!C18)</f>
        <v>0.12426361064018825</v>
      </c>
      <c r="D19" s="29">
        <f>LN(Acciones!D19/Acciones!D18)</f>
        <v>4.7930877441166551E-2</v>
      </c>
      <c r="E19" s="29">
        <f>LN(Acciones!E19/Acciones!E18)</f>
        <v>-1.0075642307076783E-2</v>
      </c>
      <c r="M19" s="30">
        <f ca="1">Acciones!$B$751*EXP((H$2-H$3/2)*(1)+H$4*_xlfn.NORM.S.INV(RAND())*SQRT(1))</f>
        <v>11.045443172348973</v>
      </c>
      <c r="N19" s="30">
        <f ca="1">Acciones!$C$751*EXP((I$2-I$3/2)*(1)+I$4*_xlfn.NORM.S.INV(RAND())*SQRT(1))</f>
        <v>154.40792226841032</v>
      </c>
      <c r="O19" s="30">
        <f ca="1">Acciones!$D$751*EXP((J$2-J$3/2)*(1)+J$4*_xlfn.NORM.S.INV(RAND())*SQRT(1))</f>
        <v>991.22669225619484</v>
      </c>
      <c r="P19" s="30">
        <f ca="1">Acciones!$E$751*EXP((K$2-K$3/2)*(1)+K$4*_xlfn.NORM.S.INV(RAND())*SQRT(1))</f>
        <v>0.1378149057021899</v>
      </c>
      <c r="Q19" s="30"/>
      <c r="R19">
        <f ca="1">M19/Acciones!$B$751*$I$10 + N19/Acciones!$C$751*$I$11 + O19/Acciones!$D$751*$I$12 + P19/Acciones!$D$751*$I$13</f>
        <v>23113.741632565274</v>
      </c>
      <c r="T19" s="14">
        <f t="shared" ca="1" si="3"/>
        <v>-5386.2583674347261</v>
      </c>
      <c r="V19">
        <v>-6738.8966050249401</v>
      </c>
    </row>
    <row r="20" spans="1:22" x14ac:dyDescent="0.2">
      <c r="A20" s="1">
        <f>Acciones!A20</f>
        <v>45027</v>
      </c>
      <c r="B20" s="29">
        <f>LN(Acciones!B20/Acciones!B19)</f>
        <v>4.1596602546665799E-2</v>
      </c>
      <c r="C20" s="29">
        <f>LN(Acciones!C20/Acciones!C19)</f>
        <v>0.133386306636116</v>
      </c>
      <c r="D20" s="29">
        <f>LN(Acciones!D20/Acciones!D19)</f>
        <v>-4.8645263412975759E-2</v>
      </c>
      <c r="E20" s="29">
        <f>LN(Acciones!E20/Acciones!E19)</f>
        <v>-2.5348531520565224E-3</v>
      </c>
      <c r="M20" s="30">
        <f ca="1">Acciones!$B$751*EXP((H$2-H$3/2)*(1)+H$4*_xlfn.NORM.S.INV(RAND())*SQRT(1))</f>
        <v>10.561838351835013</v>
      </c>
      <c r="N20" s="30">
        <f ca="1">Acciones!$C$751*EXP((I$2-I$3/2)*(1)+I$4*_xlfn.NORM.S.INV(RAND())*SQRT(1))</f>
        <v>162.23451164012837</v>
      </c>
      <c r="O20" s="30">
        <f ca="1">Acciones!$D$751*EXP((J$2-J$3/2)*(1)+J$4*_xlfn.NORM.S.INV(RAND())*SQRT(1))</f>
        <v>1007.2314170508877</v>
      </c>
      <c r="P20" s="30">
        <f ca="1">Acciones!$E$751*EXP((K$2-K$3/2)*(1)+K$4*_xlfn.NORM.S.INV(RAND())*SQRT(1))</f>
        <v>0.1470587734381906</v>
      </c>
      <c r="Q20" s="30"/>
      <c r="R20">
        <f ca="1">M20/Acciones!$B$751*$I$10 + N20/Acciones!$C$751*$I$11 + O20/Acciones!$D$751*$I$12 + P20/Acciones!$D$751*$I$13</f>
        <v>23607.638701938788</v>
      </c>
      <c r="T20" s="14">
        <f t="shared" ca="1" si="3"/>
        <v>-4892.3612980612124</v>
      </c>
      <c r="V20">
        <v>-6735.2981201927432</v>
      </c>
    </row>
    <row r="21" spans="1:22" x14ac:dyDescent="0.2">
      <c r="A21" s="1">
        <f>Acciones!A21</f>
        <v>45028</v>
      </c>
      <c r="B21" s="29">
        <f>LN(Acciones!B21/Acciones!B20)</f>
        <v>-3.1956253123564697E-2</v>
      </c>
      <c r="C21" s="29">
        <f>LN(Acciones!C21/Acciones!C20)</f>
        <v>-4.9306144968758459E-2</v>
      </c>
      <c r="D21" s="29">
        <f>LN(Acciones!D21/Acciones!D20)</f>
        <v>1.4018615045037697E-2</v>
      </c>
      <c r="E21" s="29">
        <f>LN(Acciones!E21/Acciones!E20)</f>
        <v>0</v>
      </c>
      <c r="M21" s="30">
        <f ca="1">Acciones!$B$751*EXP((H$2-H$3/2)*(1)+H$4*_xlfn.NORM.S.INV(RAND())*SQRT(1))</f>
        <v>10.592653467587198</v>
      </c>
      <c r="N21" s="30">
        <f ca="1">Acciones!$C$751*EXP((I$2-I$3/2)*(1)+I$4*_xlfn.NORM.S.INV(RAND())*SQRT(1))</f>
        <v>157.27369996701657</v>
      </c>
      <c r="O21" s="30">
        <f ca="1">Acciones!$D$751*EXP((J$2-J$3/2)*(1)+J$4*_xlfn.NORM.S.INV(RAND())*SQRT(1))</f>
        <v>1006.8627963267518</v>
      </c>
      <c r="P21" s="30">
        <f ca="1">Acciones!$E$751*EXP((K$2-K$3/2)*(1)+K$4*_xlfn.NORM.S.INV(RAND())*SQRT(1))</f>
        <v>0.12238034834665357</v>
      </c>
      <c r="Q21" s="30"/>
      <c r="R21">
        <f ca="1">M21/Acciones!$B$751*$I$10 + N21/Acciones!$C$751*$I$11 + O21/Acciones!$D$751*$I$12 + P21/Acciones!$D$751*$I$13</f>
        <v>23303.951105134252</v>
      </c>
      <c r="T21" s="14">
        <f t="shared" ca="1" si="3"/>
        <v>-5196.0488948657476</v>
      </c>
      <c r="V21">
        <v>-6731.880496883794</v>
      </c>
    </row>
    <row r="22" spans="1:22" x14ac:dyDescent="0.2">
      <c r="A22" s="1">
        <f>Acciones!A22</f>
        <v>45029</v>
      </c>
      <c r="B22" s="29">
        <f>LN(Acciones!B22/Acciones!B21)</f>
        <v>1.5015941393663881E-2</v>
      </c>
      <c r="C22" s="29">
        <f>LN(Acciones!C22/Acciones!C21)</f>
        <v>0.15584199018497033</v>
      </c>
      <c r="D22" s="29">
        <f>LN(Acciones!D22/Acciones!D21)</f>
        <v>4.8382721363942165E-3</v>
      </c>
      <c r="E22" s="29">
        <f>LN(Acciones!E22/Acciones!E21)</f>
        <v>-1.7926260362406438E-2</v>
      </c>
      <c r="M22" s="30">
        <f ca="1">Acciones!$B$751*EXP((H$2-H$3/2)*(1)+H$4*_xlfn.NORM.S.INV(RAND())*SQRT(1))</f>
        <v>11.023640644910339</v>
      </c>
      <c r="N22" s="30">
        <f ca="1">Acciones!$C$751*EXP((I$2-I$3/2)*(1)+I$4*_xlfn.NORM.S.INV(RAND())*SQRT(1))</f>
        <v>155.25744661578671</v>
      </c>
      <c r="O22" s="30">
        <f ca="1">Acciones!$D$751*EXP((J$2-J$3/2)*(1)+J$4*_xlfn.NORM.S.INV(RAND())*SQRT(1))</f>
        <v>986.87532348989282</v>
      </c>
      <c r="P22" s="30">
        <f ca="1">Acciones!$E$751*EXP((K$2-K$3/2)*(1)+K$4*_xlfn.NORM.S.INV(RAND())*SQRT(1))</f>
        <v>0.13808511920310695</v>
      </c>
      <c r="Q22" s="30"/>
      <c r="R22">
        <f ca="1">M22/Acciones!$B$751*$I$10 + N22/Acciones!$C$751*$I$11 + O22/Acciones!$D$751*$I$12 + P22/Acciones!$D$751*$I$13</f>
        <v>23116.206487264473</v>
      </c>
      <c r="T22" s="14">
        <f t="shared" ca="1" si="3"/>
        <v>-5383.7935127355267</v>
      </c>
      <c r="V22">
        <v>-6716.403960397678</v>
      </c>
    </row>
    <row r="23" spans="1:22" x14ac:dyDescent="0.2">
      <c r="A23" s="1">
        <f>Acciones!A23</f>
        <v>45030</v>
      </c>
      <c r="B23" s="29">
        <f>LN(Acciones!B23/Acciones!B22)</f>
        <v>1.2283340897065766E-2</v>
      </c>
      <c r="C23" s="29">
        <f>LN(Acciones!C23/Acciones!C22)</f>
        <v>2.5524368723032695E-2</v>
      </c>
      <c r="D23" s="29">
        <f>LN(Acciones!D23/Acciones!D22)</f>
        <v>-1.3674529649091849E-2</v>
      </c>
      <c r="E23" s="29">
        <f>LN(Acciones!E23/Acciones!E22)</f>
        <v>-3.1498637488073342E-2</v>
      </c>
      <c r="M23" s="30">
        <f ca="1">Acciones!$B$751*EXP((H$2-H$3/2)*(1)+H$4*_xlfn.NORM.S.INV(RAND())*SQRT(1))</f>
        <v>10.502229203910808</v>
      </c>
      <c r="N23" s="30">
        <f ca="1">Acciones!$C$751*EXP((I$2-I$3/2)*(1)+I$4*_xlfn.NORM.S.INV(RAND())*SQRT(1))</f>
        <v>157.11587325999241</v>
      </c>
      <c r="O23" s="30">
        <f ca="1">Acciones!$D$751*EXP((J$2-J$3/2)*(1)+J$4*_xlfn.NORM.S.INV(RAND())*SQRT(1))</f>
        <v>1002.9777893847624</v>
      </c>
      <c r="P23" s="30">
        <f ca="1">Acciones!$E$751*EXP((K$2-K$3/2)*(1)+K$4*_xlfn.NORM.S.INV(RAND())*SQRT(1))</f>
        <v>0.13361630552582865</v>
      </c>
      <c r="Q23" s="30"/>
      <c r="R23">
        <f ca="1">M23/Acciones!$B$751*$I$10 + N23/Acciones!$C$751*$I$11 + O23/Acciones!$D$751*$I$12 + P23/Acciones!$D$751*$I$13</f>
        <v>23226.235969899797</v>
      </c>
      <c r="T23" s="14">
        <f t="shared" ca="1" si="3"/>
        <v>-5273.7640301002029</v>
      </c>
      <c r="V23">
        <v>-6713.896876841256</v>
      </c>
    </row>
    <row r="24" spans="1:22" x14ac:dyDescent="0.2">
      <c r="A24" s="1">
        <f>Acciones!A24</f>
        <v>45033</v>
      </c>
      <c r="B24" s="29">
        <f>LN(Acciones!B24/Acciones!B23)</f>
        <v>-1.9213972459726433E-2</v>
      </c>
      <c r="C24" s="29">
        <f>LN(Acciones!C24/Acciones!C23)</f>
        <v>-3.0776056710827341E-2</v>
      </c>
      <c r="D24" s="29">
        <f>LN(Acciones!D24/Acciones!D23)</f>
        <v>0</v>
      </c>
      <c r="E24" s="29">
        <f>LN(Acciones!E24/Acciones!E23)</f>
        <v>-1.6129366422986732E-2</v>
      </c>
      <c r="M24" s="30">
        <f ca="1">Acciones!$B$751*EXP((H$2-H$3/2)*(1)+H$4*_xlfn.NORM.S.INV(RAND())*SQRT(1))</f>
        <v>10.487770280910105</v>
      </c>
      <c r="N24" s="30">
        <f ca="1">Acciones!$C$751*EXP((I$2-I$3/2)*(1)+I$4*_xlfn.NORM.S.INV(RAND())*SQRT(1))</f>
        <v>152.51505343679003</v>
      </c>
      <c r="O24" s="30">
        <f ca="1">Acciones!$D$751*EXP((J$2-J$3/2)*(1)+J$4*_xlfn.NORM.S.INV(RAND())*SQRT(1))</f>
        <v>994.28162702381701</v>
      </c>
      <c r="P24" s="30">
        <f ca="1">Acciones!$E$751*EXP((K$2-K$3/2)*(1)+K$4*_xlfn.NORM.S.INV(RAND())*SQRT(1))</f>
        <v>0.1329006795805199</v>
      </c>
      <c r="Q24" s="30"/>
      <c r="R24">
        <f ca="1">M24/Acciones!$B$751*$I$10 + N24/Acciones!$C$751*$I$11 + O24/Acciones!$D$751*$I$12 + P24/Acciones!$D$751*$I$13</f>
        <v>22847.221270718917</v>
      </c>
      <c r="T24" s="14">
        <f t="shared" ca="1" si="3"/>
        <v>-5652.7787292810826</v>
      </c>
      <c r="V24">
        <v>-6710.4163276430736</v>
      </c>
    </row>
    <row r="25" spans="1:22" x14ac:dyDescent="0.2">
      <c r="A25" s="1">
        <f>Acciones!A25</f>
        <v>45034</v>
      </c>
      <c r="B25" s="29">
        <f>LN(Acciones!B25/Acciones!B24)</f>
        <v>-2.1084611404118162E-2</v>
      </c>
      <c r="C25" s="29">
        <f>LN(Acciones!C25/Acciones!C24)</f>
        <v>1.8569592887985872E-2</v>
      </c>
      <c r="D25" s="29">
        <f>LN(Acciones!D25/Acciones!D24)</f>
        <v>1.3656922051369882E-2</v>
      </c>
      <c r="E25" s="29">
        <f>LN(Acciones!E25/Acciones!E24)</f>
        <v>-2.713703237949902E-3</v>
      </c>
      <c r="M25" s="30">
        <f ca="1">Acciones!$B$751*EXP((H$2-H$3/2)*(1)+H$4*_xlfn.NORM.S.INV(RAND())*SQRT(1))</f>
        <v>10.763502732115793</v>
      </c>
      <c r="N25" s="30">
        <f ca="1">Acciones!$C$751*EXP((I$2-I$3/2)*(1)+I$4*_xlfn.NORM.S.INV(RAND())*SQRT(1))</f>
        <v>142.18490323161691</v>
      </c>
      <c r="O25" s="30">
        <f ca="1">Acciones!$D$751*EXP((J$2-J$3/2)*(1)+J$4*_xlfn.NORM.S.INV(RAND())*SQRT(1))</f>
        <v>1006.2068846927469</v>
      </c>
      <c r="P25" s="30">
        <f ca="1">Acciones!$E$751*EXP((K$2-K$3/2)*(1)+K$4*_xlfn.NORM.S.INV(RAND())*SQRT(1))</f>
        <v>0.12880406540327721</v>
      </c>
      <c r="Q25" s="30"/>
      <c r="R25">
        <f ca="1">M25/Acciones!$B$751*$I$10 + N25/Acciones!$C$751*$I$11 + O25/Acciones!$D$751*$I$12 + P25/Acciones!$D$751*$I$13</f>
        <v>22410.106064896325</v>
      </c>
      <c r="T25" s="14">
        <f t="shared" ca="1" si="3"/>
        <v>-6089.8939351036752</v>
      </c>
      <c r="V25">
        <v>-6709.0395625110905</v>
      </c>
    </row>
    <row r="26" spans="1:22" x14ac:dyDescent="0.2">
      <c r="A26" s="1">
        <f>Acciones!A26</f>
        <v>45035</v>
      </c>
      <c r="B26" s="29">
        <f>LN(Acciones!B26/Acciones!B25)</f>
        <v>-2.3067746234268788E-2</v>
      </c>
      <c r="C26" s="29">
        <f>LN(Acciones!C26/Acciones!C25)</f>
        <v>-8.8801924895366938E-2</v>
      </c>
      <c r="D26" s="29">
        <f>LN(Acciones!D26/Acciones!D25)</f>
        <v>-4.6887321338252262E-3</v>
      </c>
      <c r="E26" s="29">
        <f>LN(Acciones!E26/Acciones!E25)</f>
        <v>-1.6438776097217507E-2</v>
      </c>
      <c r="M26" s="30">
        <f ca="1">Acciones!$B$751*EXP((H$2-H$3/2)*(1)+H$4*_xlfn.NORM.S.INV(RAND())*SQRT(1))</f>
        <v>10.915689735092911</v>
      </c>
      <c r="N26" s="30">
        <f ca="1">Acciones!$C$751*EXP((I$2-I$3/2)*(1)+I$4*_xlfn.NORM.S.INV(RAND())*SQRT(1))</f>
        <v>158.76942231783451</v>
      </c>
      <c r="O26" s="30">
        <f ca="1">Acciones!$D$751*EXP((J$2-J$3/2)*(1)+J$4*_xlfn.NORM.S.INV(RAND())*SQRT(1))</f>
        <v>984.29041325195919</v>
      </c>
      <c r="P26" s="30">
        <f ca="1">Acciones!$E$751*EXP((K$2-K$3/2)*(1)+K$4*_xlfn.NORM.S.INV(RAND())*SQRT(1))</f>
        <v>0.12978327662949915</v>
      </c>
      <c r="Q26" s="30"/>
      <c r="R26">
        <f ca="1">M26/Acciones!$B$751*$I$10 + N26/Acciones!$C$751*$I$11 + O26/Acciones!$D$751*$I$12 + P26/Acciones!$D$751*$I$13</f>
        <v>23274.919915809027</v>
      </c>
      <c r="T26" s="14">
        <f t="shared" ca="1" si="3"/>
        <v>-5225.0800841909731</v>
      </c>
      <c r="V26">
        <v>-6706.4780914772346</v>
      </c>
    </row>
    <row r="27" spans="1:22" x14ac:dyDescent="0.2">
      <c r="A27" s="1">
        <f>Acciones!A27</f>
        <v>45036</v>
      </c>
      <c r="B27" s="29">
        <f>LN(Acciones!B27/Acciones!B26)</f>
        <v>7.648617829951992E-4</v>
      </c>
      <c r="C27" s="29">
        <f>LN(Acciones!C27/Acciones!C26)</f>
        <v>-0.11440093190596011</v>
      </c>
      <c r="D27" s="29">
        <f>LN(Acciones!D27/Acciones!D26)</f>
        <v>-8.9815774096350717E-3</v>
      </c>
      <c r="E27" s="29">
        <f>LN(Acciones!E27/Acciones!E26)</f>
        <v>-5.5401752530569257E-3</v>
      </c>
      <c r="M27" s="30">
        <f ca="1">Acciones!$B$751*EXP((H$2-H$3/2)*(1)+H$4*_xlfn.NORM.S.INV(RAND())*SQRT(1))</f>
        <v>10.649786869952202</v>
      </c>
      <c r="N27" s="30">
        <f ca="1">Acciones!$C$751*EXP((I$2-I$3/2)*(1)+I$4*_xlfn.NORM.S.INV(RAND())*SQRT(1))</f>
        <v>148.0522424506664</v>
      </c>
      <c r="O27" s="30">
        <f ca="1">Acciones!$D$751*EXP((J$2-J$3/2)*(1)+J$4*_xlfn.NORM.S.INV(RAND())*SQRT(1))</f>
        <v>968.65276707011844</v>
      </c>
      <c r="P27" s="30">
        <f ca="1">Acciones!$E$751*EXP((K$2-K$3/2)*(1)+K$4*_xlfn.NORM.S.INV(RAND())*SQRT(1))</f>
        <v>0.12461714644210635</v>
      </c>
      <c r="Q27" s="30"/>
      <c r="R27">
        <f ca="1">M27/Acciones!$B$751*$I$10 + N27/Acciones!$C$751*$I$11 + O27/Acciones!$D$751*$I$12 + P27/Acciones!$D$751*$I$13</f>
        <v>22363.791307539799</v>
      </c>
      <c r="T27" s="14">
        <f t="shared" ca="1" si="3"/>
        <v>-6136.2086924602008</v>
      </c>
      <c r="V27">
        <v>-6704.3516426021415</v>
      </c>
    </row>
    <row r="28" spans="1:22" x14ac:dyDescent="0.2">
      <c r="A28" s="1">
        <f>Acciones!A28</f>
        <v>45037</v>
      </c>
      <c r="B28" s="29">
        <f>LN(Acciones!B28/Acciones!B27)</f>
        <v>2.6406680855810914E-2</v>
      </c>
      <c r="C28" s="29">
        <f>LN(Acciones!C28/Acciones!C27)</f>
        <v>-6.8594557075111556E-2</v>
      </c>
      <c r="D28" s="29">
        <f>LN(Acciones!D28/Acciones!D27)</f>
        <v>2.2196556189032733E-3</v>
      </c>
      <c r="E28" s="29">
        <f>LN(Acciones!E28/Acciones!E27)</f>
        <v>-1.3986228915817757E-2</v>
      </c>
      <c r="M28" s="30">
        <f ca="1">Acciones!$B$751*EXP((H$2-H$3/2)*(1)+H$4*_xlfn.NORM.S.INV(RAND())*SQRT(1))</f>
        <v>10.621041371482537</v>
      </c>
      <c r="N28" s="30">
        <f ca="1">Acciones!$C$751*EXP((I$2-I$3/2)*(1)+I$4*_xlfn.NORM.S.INV(RAND())*SQRT(1))</f>
        <v>165.44510135082248</v>
      </c>
      <c r="O28" s="30">
        <f ca="1">Acciones!$D$751*EXP((J$2-J$3/2)*(1)+J$4*_xlfn.NORM.S.INV(RAND())*SQRT(1))</f>
        <v>1006.4244631863004</v>
      </c>
      <c r="P28" s="30">
        <f ca="1">Acciones!$E$751*EXP((K$2-K$3/2)*(1)+K$4*_xlfn.NORM.S.INV(RAND())*SQRT(1))</f>
        <v>0.12653525064858673</v>
      </c>
      <c r="Q28" s="30"/>
      <c r="R28">
        <f ca="1">M28/Acciones!$B$751*$I$10 + N28/Acciones!$C$751*$I$11 + O28/Acciones!$D$751*$I$12 + P28/Acciones!$D$751*$I$13</f>
        <v>23818.899600878176</v>
      </c>
      <c r="T28" s="14">
        <f t="shared" ca="1" si="3"/>
        <v>-4681.100399121824</v>
      </c>
      <c r="V28">
        <v>-6695.8102759921567</v>
      </c>
    </row>
    <row r="29" spans="1:22" x14ac:dyDescent="0.2">
      <c r="A29" s="1">
        <f>Acciones!A29</f>
        <v>45040</v>
      </c>
      <c r="B29" s="29">
        <f>LN(Acciones!B29/Acciones!B28)</f>
        <v>3.345065584750138E-3</v>
      </c>
      <c r="C29" s="29">
        <f>LN(Acciones!C29/Acciones!C28)</f>
        <v>3.1065573879643076E-3</v>
      </c>
      <c r="D29" s="29">
        <f>LN(Acciones!D29/Acciones!D28)</f>
        <v>1.0147690648732735E-2</v>
      </c>
      <c r="E29" s="29">
        <f>LN(Acciones!E29/Acciones!E28)</f>
        <v>-1.4184621559922554E-2</v>
      </c>
      <c r="M29" s="30">
        <f ca="1">Acciones!$B$751*EXP((H$2-H$3/2)*(1)+H$4*_xlfn.NORM.S.INV(RAND())*SQRT(1))</f>
        <v>10.993250459214963</v>
      </c>
      <c r="N29" s="30">
        <f ca="1">Acciones!$C$751*EXP((I$2-I$3/2)*(1)+I$4*_xlfn.NORM.S.INV(RAND())*SQRT(1))</f>
        <v>171.27105228498777</v>
      </c>
      <c r="O29" s="30">
        <f ca="1">Acciones!$D$751*EXP((J$2-J$3/2)*(1)+J$4*_xlfn.NORM.S.INV(RAND())*SQRT(1))</f>
        <v>998.71453400230678</v>
      </c>
      <c r="P29" s="30">
        <f ca="1">Acciones!$E$751*EXP((K$2-K$3/2)*(1)+K$4*_xlfn.NORM.S.INV(RAND())*SQRT(1))</f>
        <v>0.11478761394146315</v>
      </c>
      <c r="Q29" s="30"/>
      <c r="R29">
        <f ca="1">M29/Acciones!$B$751*$I$10 + N29/Acciones!$C$751*$I$11 + O29/Acciones!$D$751*$I$12 + P29/Acciones!$D$751*$I$13</f>
        <v>24224.779043984559</v>
      </c>
      <c r="T29" s="14">
        <f t="shared" ca="1" si="3"/>
        <v>-4275.2209560154406</v>
      </c>
      <c r="V29">
        <v>-6688.9836787572822</v>
      </c>
    </row>
    <row r="30" spans="1:22" x14ac:dyDescent="0.2">
      <c r="A30" s="1">
        <f>Acciones!A30</f>
        <v>45041</v>
      </c>
      <c r="B30" s="29">
        <f>LN(Acciones!B30/Acciones!B29)</f>
        <v>-1.834917416316317E-2</v>
      </c>
      <c r="C30" s="29">
        <f>LN(Acciones!C30/Acciones!C29)</f>
        <v>1.110438966573595E-2</v>
      </c>
      <c r="D30" s="29">
        <f>LN(Acciones!D30/Acciones!D29)</f>
        <v>-1.4587685432434858E-2</v>
      </c>
      <c r="E30" s="29">
        <f>LN(Acciones!E30/Acciones!E29)</f>
        <v>-1.1494368400599381E-2</v>
      </c>
      <c r="M30" s="30">
        <f ca="1">Acciones!$B$751*EXP((H$2-H$3/2)*(1)+H$4*_xlfn.NORM.S.INV(RAND())*SQRT(1))</f>
        <v>10.481919563452237</v>
      </c>
      <c r="N30" s="30">
        <f ca="1">Acciones!$C$751*EXP((I$2-I$3/2)*(1)+I$4*_xlfn.NORM.S.INV(RAND())*SQRT(1))</f>
        <v>140.62372791947581</v>
      </c>
      <c r="O30" s="30">
        <f ca="1">Acciones!$D$751*EXP((J$2-J$3/2)*(1)+J$4*_xlfn.NORM.S.INV(RAND())*SQRT(1))</f>
        <v>1017.2507076204336</v>
      </c>
      <c r="P30" s="30">
        <f ca="1">Acciones!$E$751*EXP((K$2-K$3/2)*(1)+K$4*_xlfn.NORM.S.INV(RAND())*SQRT(1))</f>
        <v>0.12625054138437411</v>
      </c>
      <c r="Q30" s="30"/>
      <c r="R30">
        <f ca="1">M30/Acciones!$B$751*$I$10 + N30/Acciones!$C$751*$I$11 + O30/Acciones!$D$751*$I$12 + P30/Acciones!$D$751*$I$13</f>
        <v>22332.90063824485</v>
      </c>
      <c r="T30" s="14">
        <f t="shared" ca="1" si="3"/>
        <v>-6167.0993617551503</v>
      </c>
      <c r="V30">
        <v>-6684.1831906535372</v>
      </c>
    </row>
    <row r="31" spans="1:22" x14ac:dyDescent="0.2">
      <c r="A31" s="1">
        <f>Acciones!A31</f>
        <v>45042</v>
      </c>
      <c r="B31" s="29">
        <f>LN(Acciones!B31/Acciones!B30)</f>
        <v>-2.6423050479205568E-2</v>
      </c>
      <c r="C31" s="29">
        <f>LN(Acciones!C31/Acciones!C30)</f>
        <v>5.4383610021411379E-2</v>
      </c>
      <c r="D31" s="29">
        <f>LN(Acciones!D31/Acciones!D30)</f>
        <v>-4.4686716310021355E-3</v>
      </c>
      <c r="E31" s="29">
        <f>LN(Acciones!E31/Acciones!E30)</f>
        <v>0</v>
      </c>
      <c r="M31" s="30">
        <f ca="1">Acciones!$B$751*EXP((H$2-H$3/2)*(1)+H$4*_xlfn.NORM.S.INV(RAND())*SQRT(1))</f>
        <v>10.763853139500606</v>
      </c>
      <c r="N31" s="30">
        <f ca="1">Acciones!$C$751*EXP((I$2-I$3/2)*(1)+I$4*_xlfn.NORM.S.INV(RAND())*SQRT(1))</f>
        <v>162.78115008922239</v>
      </c>
      <c r="O31" s="30">
        <f ca="1">Acciones!$D$751*EXP((J$2-J$3/2)*(1)+J$4*_xlfn.NORM.S.INV(RAND())*SQRT(1))</f>
        <v>1008.4583619491831</v>
      </c>
      <c r="P31" s="30">
        <f ca="1">Acciones!$E$751*EXP((K$2-K$3/2)*(1)+K$4*_xlfn.NORM.S.INV(RAND())*SQRT(1))</f>
        <v>0.14605400600739962</v>
      </c>
      <c r="Q31" s="30"/>
      <c r="R31">
        <f ca="1">M31/Acciones!$B$751*$I$10 + N31/Acciones!$C$751*$I$11 + O31/Acciones!$D$751*$I$12 + P31/Acciones!$D$751*$I$13</f>
        <v>23718.861671041326</v>
      </c>
      <c r="T31" s="14">
        <f t="shared" ca="1" si="3"/>
        <v>-4781.1383289586738</v>
      </c>
      <c r="V31">
        <v>-6647.9830313166349</v>
      </c>
    </row>
    <row r="32" spans="1:22" x14ac:dyDescent="0.2">
      <c r="A32" s="1">
        <f>Acciones!A32</f>
        <v>45043</v>
      </c>
      <c r="B32" s="29">
        <f>LN(Acciones!B32/Acciones!B31)</f>
        <v>-1.249526374149737E-2</v>
      </c>
      <c r="C32" s="29">
        <f>LN(Acciones!C32/Acciones!C31)</f>
        <v>4.6432817486664273E-2</v>
      </c>
      <c r="D32" s="29">
        <f>LN(Acciones!D32/Acciones!D31)</f>
        <v>1.2449942536569317E-2</v>
      </c>
      <c r="E32" s="29">
        <f>LN(Acciones!E32/Acciones!E31)</f>
        <v>0</v>
      </c>
      <c r="M32" s="30">
        <f ca="1">Acciones!$B$751*EXP((H$2-H$3/2)*(1)+H$4*_xlfn.NORM.S.INV(RAND())*SQRT(1))</f>
        <v>11.117858174417254</v>
      </c>
      <c r="N32" s="30">
        <f ca="1">Acciones!$C$751*EXP((I$2-I$3/2)*(1)+I$4*_xlfn.NORM.S.INV(RAND())*SQRT(1))</f>
        <v>153.17490142461926</v>
      </c>
      <c r="O32" s="30">
        <f ca="1">Acciones!$D$751*EXP((J$2-J$3/2)*(1)+J$4*_xlfn.NORM.S.INV(RAND())*SQRT(1))</f>
        <v>960.53042514667891</v>
      </c>
      <c r="P32" s="30">
        <f ca="1">Acciones!$E$751*EXP((K$2-K$3/2)*(1)+K$4*_xlfn.NORM.S.INV(RAND())*SQRT(1))</f>
        <v>0.12616422242916642</v>
      </c>
      <c r="Q32" s="30"/>
      <c r="R32">
        <f ca="1">M32/Acciones!$B$751*$I$10 + N32/Acciones!$C$751*$I$11 + O32/Acciones!$D$751*$I$12 + P32/Acciones!$D$751*$I$13</f>
        <v>22752.453907086918</v>
      </c>
      <c r="T32" s="14">
        <f t="shared" ca="1" si="3"/>
        <v>-5747.5460929130822</v>
      </c>
      <c r="V32">
        <v>-6643.9965419631553</v>
      </c>
    </row>
    <row r="33" spans="1:22" x14ac:dyDescent="0.2">
      <c r="A33" s="1">
        <f>Acciones!A33</f>
        <v>45044</v>
      </c>
      <c r="B33" s="29">
        <f>LN(Acciones!B33/Acciones!B32)</f>
        <v>-1.3847946186124491E-2</v>
      </c>
      <c r="C33" s="29">
        <f>LN(Acciones!C33/Acciones!C32)</f>
        <v>6.689025390067542E-3</v>
      </c>
      <c r="D33" s="29">
        <f>LN(Acciones!D33/Acciones!D32)</f>
        <v>4.4091940254335346E-3</v>
      </c>
      <c r="E33" s="29">
        <f>LN(Acciones!E33/Acciones!E32)</f>
        <v>-1.1628026712085507E-2</v>
      </c>
      <c r="M33" s="30">
        <f ca="1">Acciones!$B$751*EXP((H$2-H$3/2)*(1)+H$4*_xlfn.NORM.S.INV(RAND())*SQRT(1))</f>
        <v>11.373922627166637</v>
      </c>
      <c r="N33" s="30">
        <f ca="1">Acciones!$C$751*EXP((I$2-I$3/2)*(1)+I$4*_xlfn.NORM.S.INV(RAND())*SQRT(1))</f>
        <v>164.77009369276297</v>
      </c>
      <c r="O33" s="30">
        <f ca="1">Acciones!$D$751*EXP((J$2-J$3/2)*(1)+J$4*_xlfn.NORM.S.INV(RAND())*SQRT(1))</f>
        <v>999.4400152815557</v>
      </c>
      <c r="P33" s="30">
        <f ca="1">Acciones!$E$751*EXP((K$2-K$3/2)*(1)+K$4*_xlfn.NORM.S.INV(RAND())*SQRT(1))</f>
        <v>0.12561787965366419</v>
      </c>
      <c r="Q33" s="30"/>
      <c r="R33">
        <f ca="1">M33/Acciones!$B$751*$I$10 + N33/Acciones!$C$751*$I$11 + O33/Acciones!$D$751*$I$12 + P33/Acciones!$D$751*$I$13</f>
        <v>23948.318224180883</v>
      </c>
      <c r="T33" s="14">
        <f t="shared" ca="1" si="3"/>
        <v>-4551.6817758191173</v>
      </c>
      <c r="V33">
        <v>-6640.4678739480623</v>
      </c>
    </row>
    <row r="34" spans="1:22" x14ac:dyDescent="0.2">
      <c r="A34" s="1">
        <f>Acciones!A34</f>
        <v>45048</v>
      </c>
      <c r="B34" s="29">
        <f>LN(Acciones!B34/Acciones!B33)</f>
        <v>-1.8090975204100031E-2</v>
      </c>
      <c r="C34" s="29">
        <f>LN(Acciones!C34/Acciones!C33)</f>
        <v>-5.5856397137582357E-2</v>
      </c>
      <c r="D34" s="29">
        <f>LN(Acciones!D34/Acciones!D33)</f>
        <v>6.5776591321695206E-3</v>
      </c>
      <c r="E34" s="29">
        <f>LN(Acciones!E34/Acciones!E33)</f>
        <v>0</v>
      </c>
      <c r="M34" s="30">
        <f ca="1">Acciones!$B$751*EXP((H$2-H$3/2)*(1)+H$4*_xlfn.NORM.S.INV(RAND())*SQRT(1))</f>
        <v>10.368413054699985</v>
      </c>
      <c r="N34" s="30">
        <f ca="1">Acciones!$C$751*EXP((I$2-I$3/2)*(1)+I$4*_xlfn.NORM.S.INV(RAND())*SQRT(1))</f>
        <v>147.09314808310441</v>
      </c>
      <c r="O34" s="30">
        <f ca="1">Acciones!$D$751*EXP((J$2-J$3/2)*(1)+J$4*_xlfn.NORM.S.INV(RAND())*SQRT(1))</f>
        <v>971.68011717860713</v>
      </c>
      <c r="P34" s="30">
        <f ca="1">Acciones!$E$751*EXP((K$2-K$3/2)*(1)+K$4*_xlfn.NORM.S.INV(RAND())*SQRT(1))</f>
        <v>0.11972661162242666</v>
      </c>
      <c r="Q34" s="30"/>
      <c r="R34">
        <f ca="1">M34/Acciones!$B$751*$I$10 + N34/Acciones!$C$751*$I$11 + O34/Acciones!$D$751*$I$12 + P34/Acciones!$D$751*$I$13</f>
        <v>22243.936714909327</v>
      </c>
      <c r="T34" s="14">
        <f t="shared" ca="1" si="3"/>
        <v>-6256.0632850906732</v>
      </c>
      <c r="V34">
        <v>-6634.9447637723715</v>
      </c>
    </row>
    <row r="35" spans="1:22" x14ac:dyDescent="0.2">
      <c r="A35" s="1">
        <f>Acciones!A35</f>
        <v>45049</v>
      </c>
      <c r="B35" s="29">
        <f>LN(Acciones!B35/Acciones!B34)</f>
        <v>4.0935601541016782E-2</v>
      </c>
      <c r="C35" s="29">
        <f>LN(Acciones!C35/Acciones!C34)</f>
        <v>-1.8226186058574054E-2</v>
      </c>
      <c r="D35" s="29">
        <f>LN(Acciones!D35/Acciones!D34)</f>
        <v>-1.231338962190405E-2</v>
      </c>
      <c r="E35" s="29">
        <f>LN(Acciones!E35/Acciones!E34)</f>
        <v>5.129324558842531E-2</v>
      </c>
      <c r="M35" s="30">
        <f ca="1">Acciones!$B$751*EXP((H$2-H$3/2)*(1)+H$4*_xlfn.NORM.S.INV(RAND())*SQRT(1))</f>
        <v>11.311642502067841</v>
      </c>
      <c r="N35" s="30">
        <f ca="1">Acciones!$C$751*EXP((I$2-I$3/2)*(1)+I$4*_xlfn.NORM.S.INV(RAND())*SQRT(1))</f>
        <v>145.14362074073608</v>
      </c>
      <c r="O35" s="30">
        <f ca="1">Acciones!$D$751*EXP((J$2-J$3/2)*(1)+J$4*_xlfn.NORM.S.INV(RAND())*SQRT(1))</f>
        <v>968.82240090219307</v>
      </c>
      <c r="P35" s="30">
        <f ca="1">Acciones!$E$751*EXP((K$2-K$3/2)*(1)+K$4*_xlfn.NORM.S.INV(RAND())*SQRT(1))</f>
        <v>0.12812712967463155</v>
      </c>
      <c r="Q35" s="30"/>
      <c r="R35">
        <f ca="1">M35/Acciones!$B$751*$I$10 + N35/Acciones!$C$751*$I$11 + O35/Acciones!$D$751*$I$12 + P35/Acciones!$D$751*$I$13</f>
        <v>22396.227782586328</v>
      </c>
      <c r="T35" s="14">
        <f t="shared" ca="1" si="3"/>
        <v>-6103.7722174136725</v>
      </c>
      <c r="V35">
        <v>-6633.7289504682849</v>
      </c>
    </row>
    <row r="36" spans="1:22" x14ac:dyDescent="0.2">
      <c r="A36" s="1">
        <f>Acciones!A36</f>
        <v>45050</v>
      </c>
      <c r="B36" s="29">
        <f>LN(Acciones!B36/Acciones!B35)</f>
        <v>-4.7039310235955763E-2</v>
      </c>
      <c r="C36" s="29">
        <f>LN(Acciones!C36/Acciones!C35)</f>
        <v>8.7762687100236658E-2</v>
      </c>
      <c r="D36" s="29">
        <f>LN(Acciones!D36/Acciones!D35)</f>
        <v>-2.0835045038665644E-2</v>
      </c>
      <c r="E36" s="29">
        <f>LN(Acciones!E36/Acciones!E35)</f>
        <v>-1.6807102601408472E-2</v>
      </c>
      <c r="M36" s="30">
        <f ca="1">Acciones!$B$751*EXP((H$2-H$3/2)*(1)+H$4*_xlfn.NORM.S.INV(RAND())*SQRT(1))</f>
        <v>10.389528014365927</v>
      </c>
      <c r="N36" s="30">
        <f ca="1">Acciones!$C$751*EXP((I$2-I$3/2)*(1)+I$4*_xlfn.NORM.S.INV(RAND())*SQRT(1))</f>
        <v>150.64615892161433</v>
      </c>
      <c r="O36" s="30">
        <f ca="1">Acciones!$D$751*EXP((J$2-J$3/2)*(1)+J$4*_xlfn.NORM.S.INV(RAND())*SQRT(1))</f>
        <v>947.0207123406384</v>
      </c>
      <c r="P36" s="30">
        <f ca="1">Acciones!$E$751*EXP((K$2-K$3/2)*(1)+K$4*_xlfn.NORM.S.INV(RAND())*SQRT(1))</f>
        <v>0.12568230671872507</v>
      </c>
      <c r="Q36" s="30"/>
      <c r="R36">
        <f ca="1">M36/Acciones!$B$751*$I$10 + N36/Acciones!$C$751*$I$11 + O36/Acciones!$D$751*$I$12 + P36/Acciones!$D$751*$I$13</f>
        <v>22225.588474029519</v>
      </c>
      <c r="T36" s="14">
        <f t="shared" ca="1" si="3"/>
        <v>-6274.4115259704813</v>
      </c>
      <c r="V36">
        <v>-6617.5592159879307</v>
      </c>
    </row>
    <row r="37" spans="1:22" x14ac:dyDescent="0.2">
      <c r="A37" s="1">
        <f>Acciones!A37</f>
        <v>45051</v>
      </c>
      <c r="B37" s="29">
        <f>LN(Acciones!B37/Acciones!B36)</f>
        <v>3.9621219363430021E-2</v>
      </c>
      <c r="C37" s="29">
        <f>LN(Acciones!C37/Acciones!C36)</f>
        <v>1.0810916104215676E-2</v>
      </c>
      <c r="D37" s="29">
        <f>LN(Acciones!D37/Acciones!D36)</f>
        <v>2.0392619429291693E-2</v>
      </c>
      <c r="E37" s="29">
        <f>LN(Acciones!E37/Acciones!E36)</f>
        <v>0</v>
      </c>
      <c r="M37" s="30">
        <f ca="1">Acciones!$B$751*EXP((H$2-H$3/2)*(1)+H$4*_xlfn.NORM.S.INV(RAND())*SQRT(1))</f>
        <v>11.107872362082443</v>
      </c>
      <c r="N37" s="30">
        <f ca="1">Acciones!$C$751*EXP((I$2-I$3/2)*(1)+I$4*_xlfn.NORM.S.INV(RAND())*SQRT(1))</f>
        <v>145.05258782082618</v>
      </c>
      <c r="O37" s="30">
        <f ca="1">Acciones!$D$751*EXP((J$2-J$3/2)*(1)+J$4*_xlfn.NORM.S.INV(RAND())*SQRT(1))</f>
        <v>980.63548581871851</v>
      </c>
      <c r="P37" s="30">
        <f ca="1">Acciones!$E$751*EXP((K$2-K$3/2)*(1)+K$4*_xlfn.NORM.S.INV(RAND())*SQRT(1))</f>
        <v>0.13540711785274273</v>
      </c>
      <c r="Q37" s="30"/>
      <c r="R37">
        <f ca="1">M37/Acciones!$B$751*$I$10 + N37/Acciones!$C$751*$I$11 + O37/Acciones!$D$751*$I$12 + P37/Acciones!$D$751*$I$13</f>
        <v>22443.538036880622</v>
      </c>
      <c r="T37" s="14">
        <f t="shared" ca="1" si="3"/>
        <v>-6056.4619631193782</v>
      </c>
      <c r="V37">
        <v>-6617.0766567616374</v>
      </c>
    </row>
    <row r="38" spans="1:22" x14ac:dyDescent="0.2">
      <c r="A38" s="1">
        <f>Acciones!A38</f>
        <v>45054</v>
      </c>
      <c r="B38" s="29">
        <f>LN(Acciones!B38/Acciones!B37)</f>
        <v>-1.4928705507929539E-2</v>
      </c>
      <c r="C38" s="29">
        <f>LN(Acciones!C38/Acciones!C37)</f>
        <v>-0.11237432786793911</v>
      </c>
      <c r="D38" s="29">
        <f>LN(Acciones!D38/Acciones!D37)</f>
        <v>-2.5487853669152807E-3</v>
      </c>
      <c r="E38" s="29">
        <f>LN(Acciones!E38/Acciones!E37)</f>
        <v>0</v>
      </c>
      <c r="M38" s="30">
        <f ca="1">Acciones!$B$751*EXP((H$2-H$3/2)*(1)+H$4*_xlfn.NORM.S.INV(RAND())*SQRT(1))</f>
        <v>10.797256708067515</v>
      </c>
      <c r="N38" s="30">
        <f ca="1">Acciones!$C$751*EXP((I$2-I$3/2)*(1)+I$4*_xlfn.NORM.S.INV(RAND())*SQRT(1))</f>
        <v>146.54666090475627</v>
      </c>
      <c r="O38" s="30">
        <f ca="1">Acciones!$D$751*EXP((J$2-J$3/2)*(1)+J$4*_xlfn.NORM.S.INV(RAND())*SQRT(1))</f>
        <v>992.05015170367176</v>
      </c>
      <c r="P38" s="30">
        <f ca="1">Acciones!$E$751*EXP((K$2-K$3/2)*(1)+K$4*_xlfn.NORM.S.INV(RAND())*SQRT(1))</f>
        <v>0.12334087972971615</v>
      </c>
      <c r="Q38" s="30"/>
      <c r="R38">
        <f ca="1">M38/Acciones!$B$751*$I$10 + N38/Acciones!$C$751*$I$11 + O38/Acciones!$D$751*$I$12 + P38/Acciones!$D$751*$I$13</f>
        <v>22551.445690467721</v>
      </c>
      <c r="T38" s="14">
        <f t="shared" ca="1" si="3"/>
        <v>-5948.5543095322791</v>
      </c>
      <c r="V38">
        <v>-6608.5692639445951</v>
      </c>
    </row>
    <row r="39" spans="1:22" x14ac:dyDescent="0.2">
      <c r="A39" s="1">
        <f>Acciones!A39</f>
        <v>45055</v>
      </c>
      <c r="B39" s="29">
        <f>LN(Acciones!B39/Acciones!B38)</f>
        <v>2.8057976860968621E-2</v>
      </c>
      <c r="C39" s="29">
        <f>LN(Acciones!C39/Acciones!C38)</f>
        <v>4.8609186558356415E-3</v>
      </c>
      <c r="D39" s="29">
        <f>LN(Acciones!D39/Acciones!D38)</f>
        <v>0</v>
      </c>
      <c r="E39" s="29">
        <f>LN(Acciones!E39/Acciones!E38)</f>
        <v>0</v>
      </c>
      <c r="M39" s="30">
        <f ca="1">Acciones!$B$751*EXP((H$2-H$3/2)*(1)+H$4*_xlfn.NORM.S.INV(RAND())*SQRT(1))</f>
        <v>10.79250891497335</v>
      </c>
      <c r="N39" s="30">
        <f ca="1">Acciones!$C$751*EXP((I$2-I$3/2)*(1)+I$4*_xlfn.NORM.S.INV(RAND())*SQRT(1))</f>
        <v>156.87816038406075</v>
      </c>
      <c r="O39" s="30">
        <f ca="1">Acciones!$D$751*EXP((J$2-J$3/2)*(1)+J$4*_xlfn.NORM.S.INV(RAND())*SQRT(1))</f>
        <v>976.54353627012085</v>
      </c>
      <c r="P39" s="30">
        <f ca="1">Acciones!$E$751*EXP((K$2-K$3/2)*(1)+K$4*_xlfn.NORM.S.INV(RAND())*SQRT(1))</f>
        <v>0.12706319340431846</v>
      </c>
      <c r="Q39" s="30"/>
      <c r="R39">
        <f ca="1">M39/Acciones!$B$751*$I$10 + N39/Acciones!$C$751*$I$11 + O39/Acciones!$D$751*$I$12 + P39/Acciones!$D$751*$I$13</f>
        <v>23039.704339719814</v>
      </c>
      <c r="T39" s="14">
        <f t="shared" ca="1" si="3"/>
        <v>-5460.295660280186</v>
      </c>
      <c r="V39">
        <v>-6569.873562173354</v>
      </c>
    </row>
    <row r="40" spans="1:22" x14ac:dyDescent="0.2">
      <c r="A40" s="1">
        <f>Acciones!A40</f>
        <v>45056</v>
      </c>
      <c r="B40" s="29">
        <f>LN(Acciones!B40/Acciones!B39)</f>
        <v>2.7292165057970937E-2</v>
      </c>
      <c r="C40" s="29">
        <f>LN(Acciones!C40/Acciones!C39)</f>
        <v>8.0318983510062128E-2</v>
      </c>
      <c r="D40" s="29">
        <f>LN(Acciones!D40/Acciones!D39)</f>
        <v>-4.2265206030963093E-2</v>
      </c>
      <c r="E40" s="29">
        <f>LN(Acciones!E40/Acciones!E39)</f>
        <v>-8.5106816089482451E-3</v>
      </c>
      <c r="M40" s="30">
        <f ca="1">Acciones!$B$751*EXP((H$2-H$3/2)*(1)+H$4*_xlfn.NORM.S.INV(RAND())*SQRT(1))</f>
        <v>10.614432633028029</v>
      </c>
      <c r="N40" s="30">
        <f ca="1">Acciones!$C$751*EXP((I$2-I$3/2)*(1)+I$4*_xlfn.NORM.S.INV(RAND())*SQRT(1))</f>
        <v>146.22466670512085</v>
      </c>
      <c r="O40" s="30">
        <f ca="1">Acciones!$D$751*EXP((J$2-J$3/2)*(1)+J$4*_xlfn.NORM.S.INV(RAND())*SQRT(1))</f>
        <v>995.52102462402843</v>
      </c>
      <c r="P40" s="30">
        <f ca="1">Acciones!$E$751*EXP((K$2-K$3/2)*(1)+K$4*_xlfn.NORM.S.INV(RAND())*SQRT(1))</f>
        <v>0.1308556916875975</v>
      </c>
      <c r="Q40" s="30"/>
      <c r="R40">
        <f ca="1">M40/Acciones!$B$751*$I$10 + N40/Acciones!$C$751*$I$11 + O40/Acciones!$D$751*$I$12 + P40/Acciones!$D$751*$I$13</f>
        <v>22507.496866709935</v>
      </c>
      <c r="T40" s="14">
        <f t="shared" ca="1" si="3"/>
        <v>-5992.5031332900653</v>
      </c>
      <c r="V40">
        <v>-6561.6330617457388</v>
      </c>
    </row>
    <row r="41" spans="1:22" x14ac:dyDescent="0.2">
      <c r="A41" s="1">
        <f>Acciones!A41</f>
        <v>45057</v>
      </c>
      <c r="B41" s="29">
        <f>LN(Acciones!B41/Acciones!B40)</f>
        <v>1.8293151183093978E-2</v>
      </c>
      <c r="C41" s="29">
        <f>LN(Acciones!C41/Acciones!C40)</f>
        <v>-0.17112543528888763</v>
      </c>
      <c r="D41" s="29">
        <f>LN(Acciones!D41/Acciones!D40)</f>
        <v>-6.9686931015266341E-3</v>
      </c>
      <c r="E41" s="29">
        <f>LN(Acciones!E41/Acciones!E40)</f>
        <v>5.681828079572627E-3</v>
      </c>
      <c r="M41" s="30">
        <f ca="1">Acciones!$B$751*EXP((H$2-H$3/2)*(1)+H$4*_xlfn.NORM.S.INV(RAND())*SQRT(1))</f>
        <v>10.826173319777457</v>
      </c>
      <c r="N41" s="30">
        <f ca="1">Acciones!$C$751*EXP((I$2-I$3/2)*(1)+I$4*_xlfn.NORM.S.INV(RAND())*SQRT(1))</f>
        <v>153.19545503291198</v>
      </c>
      <c r="O41" s="30">
        <f ca="1">Acciones!$D$751*EXP((J$2-J$3/2)*(1)+J$4*_xlfn.NORM.S.INV(RAND())*SQRT(1))</f>
        <v>990.70048991490523</v>
      </c>
      <c r="P41" s="30">
        <f ca="1">Acciones!$E$751*EXP((K$2-K$3/2)*(1)+K$4*_xlfn.NORM.S.INV(RAND())*SQRT(1))</f>
        <v>0.12743868221311824</v>
      </c>
      <c r="Q41" s="30"/>
      <c r="R41">
        <f ca="1">M41/Acciones!$B$751*$I$10 + N41/Acciones!$C$751*$I$11 + O41/Acciones!$D$751*$I$12 + P41/Acciones!$D$751*$I$13</f>
        <v>22962.366088580686</v>
      </c>
      <c r="T41" s="14">
        <f t="shared" ca="1" si="3"/>
        <v>-5537.6339114193142</v>
      </c>
      <c r="V41">
        <v>-6550.8514429146926</v>
      </c>
    </row>
    <row r="42" spans="1:22" x14ac:dyDescent="0.2">
      <c r="A42" s="1">
        <f>Acciones!A42</f>
        <v>45058</v>
      </c>
      <c r="B42" s="29">
        <f>LN(Acciones!B42/Acciones!B41)</f>
        <v>0</v>
      </c>
      <c r="C42" s="29">
        <f>LN(Acciones!C42/Acciones!C41)</f>
        <v>2.377448610039579E-2</v>
      </c>
      <c r="D42" s="29">
        <f>LN(Acciones!D42/Acciones!D41)</f>
        <v>-1.9636763357963917E-2</v>
      </c>
      <c r="E42" s="29">
        <f>LN(Acciones!E42/Acciones!E41)</f>
        <v>-2.8737582199735504E-2</v>
      </c>
      <c r="M42" s="30">
        <f ca="1">Acciones!$B$751*EXP((H$2-H$3/2)*(1)+H$4*_xlfn.NORM.S.INV(RAND())*SQRT(1))</f>
        <v>10.498936695995633</v>
      </c>
      <c r="N42" s="30">
        <f ca="1">Acciones!$C$751*EXP((I$2-I$3/2)*(1)+I$4*_xlfn.NORM.S.INV(RAND())*SQRT(1))</f>
        <v>144.74980880989389</v>
      </c>
      <c r="O42" s="30">
        <f ca="1">Acciones!$D$751*EXP((J$2-J$3/2)*(1)+J$4*_xlfn.NORM.S.INV(RAND())*SQRT(1))</f>
        <v>1016.1645138901087</v>
      </c>
      <c r="P42" s="30">
        <f ca="1">Acciones!$E$751*EXP((K$2-K$3/2)*(1)+K$4*_xlfn.NORM.S.INV(RAND())*SQRT(1))</f>
        <v>0.12847751004217522</v>
      </c>
      <c r="Q42" s="30"/>
      <c r="R42">
        <f ca="1">M42/Acciones!$B$751*$I$10 + N42/Acciones!$C$751*$I$11 + O42/Acciones!$D$751*$I$12 + P42/Acciones!$D$751*$I$13</f>
        <v>22585.118164870175</v>
      </c>
      <c r="T42" s="14">
        <f t="shared" ca="1" si="3"/>
        <v>-5914.881835129825</v>
      </c>
      <c r="V42">
        <v>-6549.7270163719477</v>
      </c>
    </row>
    <row r="43" spans="1:22" x14ac:dyDescent="0.2">
      <c r="A43" s="1">
        <f>Acciones!A43</f>
        <v>45061</v>
      </c>
      <c r="B43" s="29">
        <f>LN(Acciones!B43/Acciones!B42)</f>
        <v>5.0802288424093602E-2</v>
      </c>
      <c r="C43" s="29">
        <f>LN(Acciones!C43/Acciones!C42)</f>
        <v>5.1222819764869962E-2</v>
      </c>
      <c r="D43" s="29">
        <f>LN(Acciones!D43/Acciones!D42)</f>
        <v>-1.1135002343233617E-2</v>
      </c>
      <c r="E43" s="29">
        <f>LN(Acciones!E43/Acciones!E42)</f>
        <v>2.0202687854779036E-2</v>
      </c>
      <c r="M43" s="30">
        <f ca="1">Acciones!$B$751*EXP((H$2-H$3/2)*(1)+H$4*_xlfn.NORM.S.INV(RAND())*SQRT(1))</f>
        <v>11.109941944134862</v>
      </c>
      <c r="N43" s="30">
        <f ca="1">Acciones!$C$751*EXP((I$2-I$3/2)*(1)+I$4*_xlfn.NORM.S.INV(RAND())*SQRT(1))</f>
        <v>152.73935180738576</v>
      </c>
      <c r="O43" s="30">
        <f ca="1">Acciones!$D$751*EXP((J$2-J$3/2)*(1)+J$4*_xlfn.NORM.S.INV(RAND())*SQRT(1))</f>
        <v>1022.349501666806</v>
      </c>
      <c r="P43" s="30">
        <f ca="1">Acciones!$E$751*EXP((K$2-K$3/2)*(1)+K$4*_xlfn.NORM.S.INV(RAND())*SQRT(1))</f>
        <v>0.12732705716837134</v>
      </c>
      <c r="Q43" s="30"/>
      <c r="R43">
        <f ca="1">M43/Acciones!$B$751*$I$10 + N43/Acciones!$C$751*$I$11 + O43/Acciones!$D$751*$I$12 + P43/Acciones!$D$751*$I$13</f>
        <v>23341.93199180661</v>
      </c>
      <c r="T43" s="14">
        <f t="shared" ca="1" si="3"/>
        <v>-5158.0680081933897</v>
      </c>
      <c r="V43">
        <v>-6537.7531765920357</v>
      </c>
    </row>
    <row r="44" spans="1:22" x14ac:dyDescent="0.2">
      <c r="A44" s="1">
        <f>Acciones!A44</f>
        <v>45062</v>
      </c>
      <c r="B44" s="29">
        <f>LN(Acciones!B44/Acciones!B43)</f>
        <v>5.7265833952594306E-3</v>
      </c>
      <c r="C44" s="29">
        <f>LN(Acciones!C44/Acciones!C43)</f>
        <v>-1.7980863331057254E-2</v>
      </c>
      <c r="D44" s="29">
        <f>LN(Acciones!D44/Acciones!D43)</f>
        <v>-1.8438215715240739E-2</v>
      </c>
      <c r="E44" s="29">
        <f>LN(Acciones!E44/Acciones!E43)</f>
        <v>0</v>
      </c>
      <c r="M44" s="30">
        <f ca="1">Acciones!$B$751*EXP((H$2-H$3/2)*(1)+H$4*_xlfn.NORM.S.INV(RAND())*SQRT(1))</f>
        <v>10.751629206159341</v>
      </c>
      <c r="N44" s="30">
        <f ca="1">Acciones!$C$751*EXP((I$2-I$3/2)*(1)+I$4*_xlfn.NORM.S.INV(RAND())*SQRT(1))</f>
        <v>157.31340861210566</v>
      </c>
      <c r="O44" s="30">
        <f ca="1">Acciones!$D$751*EXP((J$2-J$3/2)*(1)+J$4*_xlfn.NORM.S.INV(RAND())*SQRT(1))</f>
        <v>1028.079031817766</v>
      </c>
      <c r="P44" s="30">
        <f ca="1">Acciones!$E$751*EXP((K$2-K$3/2)*(1)+K$4*_xlfn.NORM.S.INV(RAND())*SQRT(1))</f>
        <v>0.14659637344684975</v>
      </c>
      <c r="Q44" s="30"/>
      <c r="R44">
        <f ca="1">M44/Acciones!$B$751*$I$10 + N44/Acciones!$C$751*$I$11 + O44/Acciones!$D$751*$I$12 + P44/Acciones!$D$751*$I$13</f>
        <v>23570.075198417675</v>
      </c>
      <c r="T44" s="14">
        <f t="shared" ca="1" si="3"/>
        <v>-4929.924801582325</v>
      </c>
      <c r="V44">
        <v>-6524.9195912845789</v>
      </c>
    </row>
    <row r="45" spans="1:22" x14ac:dyDescent="0.2">
      <c r="A45" s="1">
        <f>Acciones!A45</f>
        <v>45063</v>
      </c>
      <c r="B45" s="29">
        <f>LN(Acciones!B45/Acciones!B44)</f>
        <v>1.7687007881113936E-2</v>
      </c>
      <c r="C45" s="29">
        <f>LN(Acciones!C45/Acciones!C44)</f>
        <v>9.1932402563425331E-2</v>
      </c>
      <c r="D45" s="29">
        <f>LN(Acciones!D45/Acciones!D44)</f>
        <v>1.3753579434409083E-3</v>
      </c>
      <c r="E45" s="29">
        <f>LN(Acciones!E45/Acciones!E44)</f>
        <v>1.4184621559922497E-2</v>
      </c>
      <c r="M45" s="30">
        <f ca="1">Acciones!$B$751*EXP((H$2-H$3/2)*(1)+H$4*_xlfn.NORM.S.INV(RAND())*SQRT(1))</f>
        <v>11.054154505168825</v>
      </c>
      <c r="N45" s="30">
        <f ca="1">Acciones!$C$751*EXP((I$2-I$3/2)*(1)+I$4*_xlfn.NORM.S.INV(RAND())*SQRT(1))</f>
        <v>156.49240952846185</v>
      </c>
      <c r="O45" s="30">
        <f ca="1">Acciones!$D$751*EXP((J$2-J$3/2)*(1)+J$4*_xlfn.NORM.S.INV(RAND())*SQRT(1))</f>
        <v>1012.7783750933671</v>
      </c>
      <c r="P45" s="30">
        <f ca="1">Acciones!$E$751*EXP((K$2-K$3/2)*(1)+K$4*_xlfn.NORM.S.INV(RAND())*SQRT(1))</f>
        <v>0.137083905031086</v>
      </c>
      <c r="Q45" s="30"/>
      <c r="R45">
        <f ca="1">M45/Acciones!$B$751*$I$10 + N45/Acciones!$C$751*$I$11 + O45/Acciones!$D$751*$I$12 + P45/Acciones!$D$751*$I$13</f>
        <v>23462.555137785163</v>
      </c>
      <c r="T45" s="14">
        <f t="shared" ca="1" si="3"/>
        <v>-5037.4448622148375</v>
      </c>
      <c r="V45">
        <v>-6510.4602996223402</v>
      </c>
    </row>
    <row r="46" spans="1:22" x14ac:dyDescent="0.2">
      <c r="A46" s="1">
        <f>Acciones!A46</f>
        <v>45064</v>
      </c>
      <c r="B46" s="29">
        <f>LN(Acciones!B46/Acciones!B45)</f>
        <v>3.4123611133220884E-2</v>
      </c>
      <c r="C46" s="29">
        <f>LN(Acciones!C46/Acciones!C45)</f>
        <v>-6.8432170181505603E-2</v>
      </c>
      <c r="D46" s="29">
        <f>LN(Acciones!D46/Acciones!D45)</f>
        <v>3.6582661734318643E-2</v>
      </c>
      <c r="E46" s="29">
        <f>LN(Acciones!E46/Acciones!E45)</f>
        <v>0</v>
      </c>
      <c r="M46" s="30">
        <f ca="1">Acciones!$B$751*EXP((H$2-H$3/2)*(1)+H$4*_xlfn.NORM.S.INV(RAND())*SQRT(1))</f>
        <v>10.767621595253811</v>
      </c>
      <c r="N46" s="30">
        <f ca="1">Acciones!$C$751*EXP((I$2-I$3/2)*(1)+I$4*_xlfn.NORM.S.INV(RAND())*SQRT(1))</f>
        <v>148.24027573359092</v>
      </c>
      <c r="O46" s="30">
        <f ca="1">Acciones!$D$751*EXP((J$2-J$3/2)*(1)+J$4*_xlfn.NORM.S.INV(RAND())*SQRT(1))</f>
        <v>1020.2199420538643</v>
      </c>
      <c r="P46" s="30">
        <f ca="1">Acciones!$E$751*EXP((K$2-K$3/2)*(1)+K$4*_xlfn.NORM.S.INV(RAND())*SQRT(1))</f>
        <v>0.13055422979515804</v>
      </c>
      <c r="Q46" s="30"/>
      <c r="R46">
        <f ca="1">M46/Acciones!$B$751*$I$10 + N46/Acciones!$C$751*$I$11 + O46/Acciones!$D$751*$I$12 + P46/Acciones!$D$751*$I$13</f>
        <v>22929.885516143688</v>
      </c>
      <c r="T46" s="14">
        <f t="shared" ca="1" si="3"/>
        <v>-5570.1144838563123</v>
      </c>
      <c r="V46">
        <v>-6504.0381983105508</v>
      </c>
    </row>
    <row r="47" spans="1:22" x14ac:dyDescent="0.2">
      <c r="A47" s="1">
        <f>Acciones!A47</f>
        <v>45065</v>
      </c>
      <c r="B47" s="29">
        <f>LN(Acciones!B47/Acciones!B46)</f>
        <v>-2.0887612395872748E-2</v>
      </c>
      <c r="C47" s="29">
        <f>LN(Acciones!C47/Acciones!C46)</f>
        <v>-1.9976865670655122E-2</v>
      </c>
      <c r="D47" s="29">
        <f>LN(Acciones!D47/Acciones!D46)</f>
        <v>-4.8790169942530194E-2</v>
      </c>
      <c r="E47" s="29">
        <f>LN(Acciones!E47/Acciones!E46)</f>
        <v>0</v>
      </c>
      <c r="M47" s="30">
        <f ca="1">Acciones!$B$751*EXP((H$2-H$3/2)*(1)+H$4*_xlfn.NORM.S.INV(RAND())*SQRT(1))</f>
        <v>10.778999374300662</v>
      </c>
      <c r="N47" s="30">
        <f ca="1">Acciones!$C$751*EXP((I$2-I$3/2)*(1)+I$4*_xlfn.NORM.S.INV(RAND())*SQRT(1))</f>
        <v>164.40695215309989</v>
      </c>
      <c r="O47" s="30">
        <f ca="1">Acciones!$D$751*EXP((J$2-J$3/2)*(1)+J$4*_xlfn.NORM.S.INV(RAND())*SQRT(1))</f>
        <v>959.21140165152246</v>
      </c>
      <c r="P47" s="30">
        <f ca="1">Acciones!$E$751*EXP((K$2-K$3/2)*(1)+K$4*_xlfn.NORM.S.INV(RAND())*SQRT(1))</f>
        <v>0.1308369528667738</v>
      </c>
      <c r="Q47" s="30"/>
      <c r="R47">
        <f ca="1">M47/Acciones!$B$751*$I$10 + N47/Acciones!$C$751*$I$11 + O47/Acciones!$D$751*$I$12 + P47/Acciones!$D$751*$I$13</f>
        <v>23331.870721130435</v>
      </c>
      <c r="T47" s="14">
        <f t="shared" ca="1" si="3"/>
        <v>-5168.1292788695646</v>
      </c>
      <c r="V47">
        <v>-6485.7126879900679</v>
      </c>
    </row>
    <row r="48" spans="1:22" x14ac:dyDescent="0.2">
      <c r="A48" s="1">
        <f>Acciones!A48</f>
        <v>45068</v>
      </c>
      <c r="B48" s="29">
        <f>LN(Acciones!B48/Acciones!B47)</f>
        <v>6.2090608223824275E-3</v>
      </c>
      <c r="C48" s="29">
        <f>LN(Acciones!C48/Acciones!C47)</f>
        <v>6.8038058842541438E-2</v>
      </c>
      <c r="D48" s="29">
        <f>LN(Acciones!D48/Acciones!D47)</f>
        <v>-2.0000737733273068E-2</v>
      </c>
      <c r="E48" s="29">
        <f>LN(Acciones!E48/Acciones!E47)</f>
        <v>0</v>
      </c>
      <c r="M48" s="30">
        <f ca="1">Acciones!$B$751*EXP((H$2-H$3/2)*(1)+H$4*_xlfn.NORM.S.INV(RAND())*SQRT(1))</f>
        <v>10.831214591863239</v>
      </c>
      <c r="N48" s="30">
        <f ca="1">Acciones!$C$751*EXP((I$2-I$3/2)*(1)+I$4*_xlfn.NORM.S.INV(RAND())*SQRT(1))</f>
        <v>142.51004670943345</v>
      </c>
      <c r="O48" s="30">
        <f ca="1">Acciones!$D$751*EXP((J$2-J$3/2)*(1)+J$4*_xlfn.NORM.S.INV(RAND())*SQRT(1))</f>
        <v>993.15200738135832</v>
      </c>
      <c r="P48" s="30">
        <f ca="1">Acciones!$E$751*EXP((K$2-K$3/2)*(1)+K$4*_xlfn.NORM.S.INV(RAND())*SQRT(1))</f>
        <v>0.12334091292186199</v>
      </c>
      <c r="Q48" s="30"/>
      <c r="R48">
        <f ca="1">M48/Acciones!$B$751*$I$10 + N48/Acciones!$C$751*$I$11 + O48/Acciones!$D$751*$I$12 + P48/Acciones!$D$751*$I$13</f>
        <v>22321.336587118283</v>
      </c>
      <c r="T48" s="14">
        <f t="shared" ca="1" si="3"/>
        <v>-6178.6634128817168</v>
      </c>
      <c r="V48">
        <v>-6484.6004788423852</v>
      </c>
    </row>
    <row r="49" spans="1:22" x14ac:dyDescent="0.2">
      <c r="A49" s="1">
        <f>Acciones!A49</f>
        <v>45069</v>
      </c>
      <c r="B49" s="29">
        <f>LN(Acciones!B49/Acciones!B48)</f>
        <v>-6.2090608223825455E-3</v>
      </c>
      <c r="C49" s="29">
        <f>LN(Acciones!C49/Acciones!C48)</f>
        <v>-3.073202701940865E-2</v>
      </c>
      <c r="D49" s="29">
        <f>LN(Acciones!D49/Acciones!D48)</f>
        <v>-1.2706571870780758E-2</v>
      </c>
      <c r="E49" s="29">
        <f>LN(Acciones!E49/Acciones!E48)</f>
        <v>1.3986228915817892E-2</v>
      </c>
      <c r="M49" s="30">
        <f ca="1">Acciones!$B$751*EXP((H$2-H$3/2)*(1)+H$4*_xlfn.NORM.S.INV(RAND())*SQRT(1))</f>
        <v>10.834448277071974</v>
      </c>
      <c r="N49" s="30">
        <f ca="1">Acciones!$C$751*EXP((I$2-I$3/2)*(1)+I$4*_xlfn.NORM.S.INV(RAND())*SQRT(1))</f>
        <v>149.71991258063807</v>
      </c>
      <c r="O49" s="30">
        <f ca="1">Acciones!$D$751*EXP((J$2-J$3/2)*(1)+J$4*_xlfn.NORM.S.INV(RAND())*SQRT(1))</f>
        <v>1036.7908848798618</v>
      </c>
      <c r="P49" s="30">
        <f ca="1">Acciones!$E$751*EXP((K$2-K$3/2)*(1)+K$4*_xlfn.NORM.S.INV(RAND())*SQRT(1))</f>
        <v>0.13788955681112183</v>
      </c>
      <c r="Q49" s="30"/>
      <c r="R49">
        <f ca="1">M49/Acciones!$B$751*$I$10 + N49/Acciones!$C$751*$I$11 + O49/Acciones!$D$751*$I$12 + P49/Acciones!$D$751*$I$13</f>
        <v>23209.732144265679</v>
      </c>
      <c r="T49" s="14">
        <f t="shared" ca="1" si="3"/>
        <v>-5290.2678557343206</v>
      </c>
      <c r="V49">
        <v>-6471.688591244183</v>
      </c>
    </row>
    <row r="50" spans="1:22" x14ac:dyDescent="0.2">
      <c r="A50" s="1">
        <f>Acciones!A50</f>
        <v>45070</v>
      </c>
      <c r="B50" s="29">
        <f>LN(Acciones!B50/Acciones!B49)</f>
        <v>1.5110223858009038E-2</v>
      </c>
      <c r="C50" s="29">
        <f>LN(Acciones!C50/Acciones!C49)</f>
        <v>4.6260611321954784E-3</v>
      </c>
      <c r="D50" s="29">
        <f>LN(Acciones!D50/Acciones!D49)</f>
        <v>-1.2352220901982949E-2</v>
      </c>
      <c r="E50" s="29">
        <f>LN(Acciones!E50/Acciones!E49)</f>
        <v>0</v>
      </c>
      <c r="M50" s="30">
        <f ca="1">Acciones!$B$751*EXP((H$2-H$3/2)*(1)+H$4*_xlfn.NORM.S.INV(RAND())*SQRT(1))</f>
        <v>10.987169421829863</v>
      </c>
      <c r="N50" s="30">
        <f ca="1">Acciones!$C$751*EXP((I$2-I$3/2)*(1)+I$4*_xlfn.NORM.S.INV(RAND())*SQRT(1))</f>
        <v>146.42642059398852</v>
      </c>
      <c r="O50" s="30">
        <f ca="1">Acciones!$D$751*EXP((J$2-J$3/2)*(1)+J$4*_xlfn.NORM.S.INV(RAND())*SQRT(1))</f>
        <v>987.83257833001915</v>
      </c>
      <c r="P50" s="30">
        <f ca="1">Acciones!$E$751*EXP((K$2-K$3/2)*(1)+K$4*_xlfn.NORM.S.INV(RAND())*SQRT(1))</f>
        <v>0.1312241590943623</v>
      </c>
      <c r="Q50" s="30"/>
      <c r="R50">
        <f ca="1">M50/Acciones!$B$751*$I$10 + N50/Acciones!$C$751*$I$11 + O50/Acciones!$D$751*$I$12 + P50/Acciones!$D$751*$I$13</f>
        <v>22562.661745395591</v>
      </c>
      <c r="T50" s="14">
        <f t="shared" ca="1" si="3"/>
        <v>-5937.3382546044086</v>
      </c>
      <c r="V50">
        <v>-6470.1674828386422</v>
      </c>
    </row>
    <row r="51" spans="1:22" x14ac:dyDescent="0.2">
      <c r="A51" s="1">
        <f>Acciones!A51</f>
        <v>45071</v>
      </c>
      <c r="B51" s="29">
        <f>LN(Acciones!B51/Acciones!B50)</f>
        <v>-3.0722005228336386E-3</v>
      </c>
      <c r="C51" s="29">
        <f>LN(Acciones!C51/Acciones!C50)</f>
        <v>-4.0760359338874133E-2</v>
      </c>
      <c r="D51" s="29">
        <f>LN(Acciones!D51/Acciones!D50)</f>
        <v>-4.5415490726017438E-3</v>
      </c>
      <c r="E51" s="29">
        <f>LN(Acciones!E51/Acciones!E50)</f>
        <v>0</v>
      </c>
      <c r="M51" s="30">
        <f ca="1">Acciones!$B$751*EXP((H$2-H$3/2)*(1)+H$4*_xlfn.NORM.S.INV(RAND())*SQRT(1))</f>
        <v>10.84876634715879</v>
      </c>
      <c r="N51" s="30">
        <f ca="1">Acciones!$C$751*EXP((I$2-I$3/2)*(1)+I$4*_xlfn.NORM.S.INV(RAND())*SQRT(1))</f>
        <v>136.39663277262426</v>
      </c>
      <c r="O51" s="30">
        <f ca="1">Acciones!$D$751*EXP((J$2-J$3/2)*(1)+J$4*_xlfn.NORM.S.INV(RAND())*SQRT(1))</f>
        <v>982.70238793244755</v>
      </c>
      <c r="P51" s="30">
        <f ca="1">Acciones!$E$751*EXP((K$2-K$3/2)*(1)+K$4*_xlfn.NORM.S.INV(RAND())*SQRT(1))</f>
        <v>0.12623357795811968</v>
      </c>
      <c r="Q51" s="30"/>
      <c r="R51">
        <f ca="1">M51/Acciones!$B$751*$I$10 + N51/Acciones!$C$751*$I$11 + O51/Acciones!$D$751*$I$12 + P51/Acciones!$D$751*$I$13</f>
        <v>21840.603693418729</v>
      </c>
      <c r="T51" s="14">
        <f t="shared" ca="1" si="3"/>
        <v>-6659.3963065812713</v>
      </c>
      <c r="V51">
        <v>-6465.5978893343708</v>
      </c>
    </row>
    <row r="52" spans="1:22" x14ac:dyDescent="0.2">
      <c r="A52" s="1">
        <f>Acciones!A52</f>
        <v>45072</v>
      </c>
      <c r="B52" s="29">
        <f>LN(Acciones!B52/Acciones!B51)</f>
        <v>-1.7589678147078149E-2</v>
      </c>
      <c r="C52" s="29">
        <f>LN(Acciones!C52/Acciones!C51)</f>
        <v>9.2403456015093183E-4</v>
      </c>
      <c r="D52" s="29">
        <f>LN(Acciones!D52/Acciones!D51)</f>
        <v>-1.4277566749924666E-2</v>
      </c>
      <c r="E52" s="29">
        <f>LN(Acciones!E52/Acciones!E51)</f>
        <v>-4.8373538330519474E-2</v>
      </c>
      <c r="M52" s="30">
        <f ca="1">Acciones!$B$751*EXP((H$2-H$3/2)*(1)+H$4*_xlfn.NORM.S.INV(RAND())*SQRT(1))</f>
        <v>10.816975512132929</v>
      </c>
      <c r="N52" s="30">
        <f ca="1">Acciones!$C$751*EXP((I$2-I$3/2)*(1)+I$4*_xlfn.NORM.S.INV(RAND())*SQRT(1))</f>
        <v>149.69097001768358</v>
      </c>
      <c r="O52" s="30">
        <f ca="1">Acciones!$D$751*EXP((J$2-J$3/2)*(1)+J$4*_xlfn.NORM.S.INV(RAND())*SQRT(1))</f>
        <v>1019.3723764272443</v>
      </c>
      <c r="P52" s="30">
        <f ca="1">Acciones!$E$751*EXP((K$2-K$3/2)*(1)+K$4*_xlfn.NORM.S.INV(RAND())*SQRT(1))</f>
        <v>0.14392634868535231</v>
      </c>
      <c r="Q52" s="30"/>
      <c r="R52">
        <f ca="1">M52/Acciones!$B$751*$I$10 + N52/Acciones!$C$751*$I$11 + O52/Acciones!$D$751*$I$12 + P52/Acciones!$D$751*$I$13</f>
        <v>23027.881675990491</v>
      </c>
      <c r="T52" s="14">
        <f t="shared" ca="1" si="3"/>
        <v>-5472.1183240095088</v>
      </c>
      <c r="V52">
        <v>-6457.9665535969616</v>
      </c>
    </row>
    <row r="53" spans="1:22" x14ac:dyDescent="0.2">
      <c r="A53" s="1">
        <f>Acciones!A53</f>
        <v>45075</v>
      </c>
      <c r="B53" s="29">
        <f>LN(Acciones!B53/Acciones!B52)</f>
        <v>3.8200361398083773E-3</v>
      </c>
      <c r="C53" s="29">
        <f>LN(Acciones!C53/Acciones!C52)</f>
        <v>-2.4660549119662669E-3</v>
      </c>
      <c r="D53" s="29">
        <f>LN(Acciones!D53/Acciones!D52)</f>
        <v>2.8092451549997479E-2</v>
      </c>
      <c r="E53" s="29">
        <f>LN(Acciones!E53/Acciones!E52)</f>
        <v>0</v>
      </c>
      <c r="M53" s="30">
        <f ca="1">Acciones!$B$751*EXP((H$2-H$3/2)*(1)+H$4*_xlfn.NORM.S.INV(RAND())*SQRT(1))</f>
        <v>10.864512615769293</v>
      </c>
      <c r="N53" s="30">
        <f ca="1">Acciones!$C$751*EXP((I$2-I$3/2)*(1)+I$4*_xlfn.NORM.S.INV(RAND())*SQRT(1))</f>
        <v>150.44786658889944</v>
      </c>
      <c r="O53" s="30">
        <f ca="1">Acciones!$D$751*EXP((J$2-J$3/2)*(1)+J$4*_xlfn.NORM.S.INV(RAND())*SQRT(1))</f>
        <v>969.35085829804837</v>
      </c>
      <c r="P53" s="30">
        <f ca="1">Acciones!$E$751*EXP((K$2-K$3/2)*(1)+K$4*_xlfn.NORM.S.INV(RAND())*SQRT(1))</f>
        <v>0.13405304957549974</v>
      </c>
      <c r="Q53" s="30"/>
      <c r="R53">
        <f ca="1">M53/Acciones!$B$751*$I$10 + N53/Acciones!$C$751*$I$11 + O53/Acciones!$D$751*$I$12 + P53/Acciones!$D$751*$I$13</f>
        <v>22589.300011323034</v>
      </c>
      <c r="T53" s="14">
        <f t="shared" ca="1" si="3"/>
        <v>-5910.6999886769663</v>
      </c>
      <c r="V53">
        <v>-6451.49633281774</v>
      </c>
    </row>
    <row r="54" spans="1:22" x14ac:dyDescent="0.2">
      <c r="A54" s="1">
        <f>Acciones!A54</f>
        <v>45076</v>
      </c>
      <c r="B54" s="29">
        <f>LN(Acciones!B54/Acciones!B53)</f>
        <v>-4.0316632180317752E-2</v>
      </c>
      <c r="C54" s="29">
        <f>LN(Acciones!C54/Acciones!C53)</f>
        <v>2.3668329581604912E-2</v>
      </c>
      <c r="D54" s="29">
        <f>LN(Acciones!D54/Acciones!D53)</f>
        <v>-3.3383422736276043E-2</v>
      </c>
      <c r="E54" s="29">
        <f>LN(Acciones!E54/Acciones!E53)</f>
        <v>0</v>
      </c>
      <c r="M54" s="30">
        <f ca="1">Acciones!$B$751*EXP((H$2-H$3/2)*(1)+H$4*_xlfn.NORM.S.INV(RAND())*SQRT(1))</f>
        <v>10.898137713130538</v>
      </c>
      <c r="N54" s="30">
        <f ca="1">Acciones!$C$751*EXP((I$2-I$3/2)*(1)+I$4*_xlfn.NORM.S.INV(RAND())*SQRT(1))</f>
        <v>156.25440721514968</v>
      </c>
      <c r="O54" s="30">
        <f ca="1">Acciones!$D$751*EXP((J$2-J$3/2)*(1)+J$4*_xlfn.NORM.S.INV(RAND())*SQRT(1))</f>
        <v>961.93712698572028</v>
      </c>
      <c r="P54" s="30">
        <f ca="1">Acciones!$E$751*EXP((K$2-K$3/2)*(1)+K$4*_xlfn.NORM.S.INV(RAND())*SQRT(1))</f>
        <v>0.13403655090656044</v>
      </c>
      <c r="Q54" s="30"/>
      <c r="R54">
        <f ca="1">M54/Acciones!$B$751*$I$10 + N54/Acciones!$C$751*$I$11 + O54/Acciones!$D$751*$I$12 + P54/Acciones!$D$751*$I$13</f>
        <v>22888.378997673044</v>
      </c>
      <c r="T54" s="14">
        <f t="shared" ca="1" si="3"/>
        <v>-5611.6210023269559</v>
      </c>
      <c r="V54">
        <v>-6450.4893609231367</v>
      </c>
    </row>
    <row r="55" spans="1:22" x14ac:dyDescent="0.2">
      <c r="A55" s="1">
        <f>Acciones!A55</f>
        <v>45077</v>
      </c>
      <c r="B55" s="29">
        <f>LN(Acciones!B55/Acciones!B54)</f>
        <v>1.00540545455296E-2</v>
      </c>
      <c r="C55" s="29">
        <f>LN(Acciones!C55/Acciones!C54)</f>
        <v>3.8610717614470137E-2</v>
      </c>
      <c r="D55" s="29">
        <f>LN(Acciones!D55/Acciones!D54)</f>
        <v>-9.0596041951882655E-3</v>
      </c>
      <c r="E55" s="29">
        <f>LN(Acciones!E55/Acciones!E54)</f>
        <v>0</v>
      </c>
      <c r="M55" s="30">
        <f ca="1">Acciones!$B$751*EXP((H$2-H$3/2)*(1)+H$4*_xlfn.NORM.S.INV(RAND())*SQRT(1))</f>
        <v>11.120545421155603</v>
      </c>
      <c r="N55" s="30">
        <f ca="1">Acciones!$C$751*EXP((I$2-I$3/2)*(1)+I$4*_xlfn.NORM.S.INV(RAND())*SQRT(1))</f>
        <v>159.10283885065269</v>
      </c>
      <c r="O55" s="30">
        <f ca="1">Acciones!$D$751*EXP((J$2-J$3/2)*(1)+J$4*_xlfn.NORM.S.INV(RAND())*SQRT(1))</f>
        <v>975.32083959804152</v>
      </c>
      <c r="P55" s="30">
        <f ca="1">Acciones!$E$751*EXP((K$2-K$3/2)*(1)+K$4*_xlfn.NORM.S.INV(RAND())*SQRT(1))</f>
        <v>0.14683557793587432</v>
      </c>
      <c r="Q55" s="30"/>
      <c r="R55">
        <f ca="1">M55/Acciones!$B$751*$I$10 + N55/Acciones!$C$751*$I$11 + O55/Acciones!$D$751*$I$12 + P55/Acciones!$D$751*$I$13</f>
        <v>23271.707824035606</v>
      </c>
      <c r="T55" s="14">
        <f t="shared" ca="1" si="3"/>
        <v>-5228.2921759643941</v>
      </c>
      <c r="V55">
        <v>-6432.4055650999799</v>
      </c>
    </row>
    <row r="56" spans="1:22" x14ac:dyDescent="0.2">
      <c r="A56" s="1">
        <f>Acciones!A56</f>
        <v>45078</v>
      </c>
      <c r="B56" s="29">
        <f>LN(Acciones!B56/Acciones!B55)</f>
        <v>-3.9377838795121951E-3</v>
      </c>
      <c r="C56" s="29">
        <f>LN(Acciones!C56/Acciones!C55)</f>
        <v>2.1630775680826025E-2</v>
      </c>
      <c r="D56" s="29">
        <f>LN(Acciones!D56/Acciones!D55)</f>
        <v>-2.5383615635676725E-2</v>
      </c>
      <c r="E56" s="29">
        <f>LN(Acciones!E56/Acciones!E55)</f>
        <v>0</v>
      </c>
      <c r="M56" s="30">
        <f ca="1">Acciones!$B$751*EXP((H$2-H$3/2)*(1)+H$4*_xlfn.NORM.S.INV(RAND())*SQRT(1))</f>
        <v>11.247913290766988</v>
      </c>
      <c r="N56" s="30">
        <f ca="1">Acciones!$C$751*EXP((I$2-I$3/2)*(1)+I$4*_xlfn.NORM.S.INV(RAND())*SQRT(1))</f>
        <v>159.67774771995127</v>
      </c>
      <c r="O56" s="30">
        <f ca="1">Acciones!$D$751*EXP((J$2-J$3/2)*(1)+J$4*_xlfn.NORM.S.INV(RAND())*SQRT(1))</f>
        <v>968.61305598893966</v>
      </c>
      <c r="P56" s="30">
        <f ca="1">Acciones!$E$751*EXP((K$2-K$3/2)*(1)+K$4*_xlfn.NORM.S.INV(RAND())*SQRT(1))</f>
        <v>0.13222266448548767</v>
      </c>
      <c r="Q56" s="30"/>
      <c r="R56">
        <f ca="1">M56/Acciones!$B$751*$I$10 + N56/Acciones!$C$751*$I$11 + O56/Acciones!$D$751*$I$12 + P56/Acciones!$D$751*$I$13</f>
        <v>23281.196130960889</v>
      </c>
      <c r="T56" s="14">
        <f t="shared" ca="1" si="3"/>
        <v>-5218.8038690391113</v>
      </c>
      <c r="V56">
        <v>-6423.5763258424922</v>
      </c>
    </row>
    <row r="57" spans="1:22" x14ac:dyDescent="0.2">
      <c r="A57" s="1">
        <f>Acciones!A57</f>
        <v>45079</v>
      </c>
      <c r="B57" s="29">
        <f>LN(Acciones!B57/Acciones!B56)</f>
        <v>-2.2856076345651625E-2</v>
      </c>
      <c r="C57" s="29">
        <f>LN(Acciones!C57/Acciones!C56)</f>
        <v>-3.8101680679890767E-3</v>
      </c>
      <c r="D57" s="29">
        <f>LN(Acciones!D57/Acciones!D56)</f>
        <v>4.1824014927670891E-2</v>
      </c>
      <c r="E57" s="29">
        <f>LN(Acciones!E57/Acciones!E56)</f>
        <v>-3.8637826617766491E-2</v>
      </c>
      <c r="M57" s="30">
        <f ca="1">Acciones!$B$751*EXP((H$2-H$3/2)*(1)+H$4*_xlfn.NORM.S.INV(RAND())*SQRT(1))</f>
        <v>10.688693496543348</v>
      </c>
      <c r="N57" s="30">
        <f ca="1">Acciones!$C$751*EXP((I$2-I$3/2)*(1)+I$4*_xlfn.NORM.S.INV(RAND())*SQRT(1))</f>
        <v>164.4182276137613</v>
      </c>
      <c r="O57" s="30">
        <f ca="1">Acciones!$D$751*EXP((J$2-J$3/2)*(1)+J$4*_xlfn.NORM.S.INV(RAND())*SQRT(1))</f>
        <v>997.63756883611813</v>
      </c>
      <c r="P57" s="30">
        <f ca="1">Acciones!$E$751*EXP((K$2-K$3/2)*(1)+K$4*_xlfn.NORM.S.INV(RAND())*SQRT(1))</f>
        <v>0.11801866357826915</v>
      </c>
      <c r="Q57" s="30"/>
      <c r="R57">
        <f ca="1">M57/Acciones!$B$751*$I$10 + N57/Acciones!$C$751*$I$11 + O57/Acciones!$D$751*$I$12 + P57/Acciones!$D$751*$I$13</f>
        <v>23688.4263061731</v>
      </c>
      <c r="T57" s="14">
        <f t="shared" ca="1" si="3"/>
        <v>-4811.5736938269001</v>
      </c>
      <c r="V57">
        <v>-6423.0029306471733</v>
      </c>
    </row>
    <row r="58" spans="1:22" x14ac:dyDescent="0.2">
      <c r="A58" s="1">
        <f>Acciones!A58</f>
        <v>45082</v>
      </c>
      <c r="B58" s="29">
        <f>LN(Acciones!B58/Acciones!B57)</f>
        <v>2.7151026867948385E-2</v>
      </c>
      <c r="C58" s="29">
        <f>LN(Acciones!C58/Acciones!C57)</f>
        <v>-9.1272974456713035E-2</v>
      </c>
      <c r="D58" s="29">
        <f>LN(Acciones!D58/Acciones!D57)</f>
        <v>-3.2443988540937246E-2</v>
      </c>
      <c r="E58" s="29">
        <f>LN(Acciones!E58/Acciones!E57)</f>
        <v>0</v>
      </c>
      <c r="M58" s="30">
        <f ca="1">Acciones!$B$751*EXP((H$2-H$3/2)*(1)+H$4*_xlfn.NORM.S.INV(RAND())*SQRT(1))</f>
        <v>11.040968744742445</v>
      </c>
      <c r="N58" s="30">
        <f ca="1">Acciones!$C$751*EXP((I$2-I$3/2)*(1)+I$4*_xlfn.NORM.S.INV(RAND())*SQRT(1))</f>
        <v>143.03953092906596</v>
      </c>
      <c r="O58" s="30">
        <f ca="1">Acciones!$D$751*EXP((J$2-J$3/2)*(1)+J$4*_xlfn.NORM.S.INV(RAND())*SQRT(1))</f>
        <v>950.01048192793189</v>
      </c>
      <c r="P58" s="30">
        <f ca="1">Acciones!$E$751*EXP((K$2-K$3/2)*(1)+K$4*_xlfn.NORM.S.INV(RAND())*SQRT(1))</f>
        <v>0.13217723448051941</v>
      </c>
      <c r="Q58" s="30"/>
      <c r="R58">
        <f ca="1">M58/Acciones!$B$751*$I$10 + N58/Acciones!$C$751*$I$11 + O58/Acciones!$D$751*$I$12 + P58/Acciones!$D$751*$I$13</f>
        <v>21989.61197995285</v>
      </c>
      <c r="T58" s="14">
        <f t="shared" ca="1" si="3"/>
        <v>-6510.3880200471503</v>
      </c>
      <c r="V58">
        <v>-6417.3719774438323</v>
      </c>
    </row>
    <row r="59" spans="1:22" x14ac:dyDescent="0.2">
      <c r="A59" s="1">
        <f>Acciones!A59</f>
        <v>45083</v>
      </c>
      <c r="B59" s="29">
        <f>LN(Acciones!B59/Acciones!B58)</f>
        <v>-4.6536547528698438E-3</v>
      </c>
      <c r="C59" s="29">
        <f>LN(Acciones!C59/Acciones!C58)</f>
        <v>8.9333904925955596E-2</v>
      </c>
      <c r="D59" s="29">
        <f>LN(Acciones!D59/Acciones!D58)</f>
        <v>6.5021522480305958E-3</v>
      </c>
      <c r="E59" s="29">
        <f>LN(Acciones!E59/Acciones!E58)</f>
        <v>0</v>
      </c>
      <c r="M59" s="30">
        <f ca="1">Acciones!$B$751*EXP((H$2-H$3/2)*(1)+H$4*_xlfn.NORM.S.INV(RAND())*SQRT(1))</f>
        <v>10.990701421835041</v>
      </c>
      <c r="N59" s="30">
        <f ca="1">Acciones!$C$751*EXP((I$2-I$3/2)*(1)+I$4*_xlfn.NORM.S.INV(RAND())*SQRT(1))</f>
        <v>145.50231445023135</v>
      </c>
      <c r="O59" s="30">
        <f ca="1">Acciones!$D$751*EXP((J$2-J$3/2)*(1)+J$4*_xlfn.NORM.S.INV(RAND())*SQRT(1))</f>
        <v>990.27626922803461</v>
      </c>
      <c r="P59" s="30">
        <f ca="1">Acciones!$E$751*EXP((K$2-K$3/2)*(1)+K$4*_xlfn.NORM.S.INV(RAND())*SQRT(1))</f>
        <v>0.12497220311601906</v>
      </c>
      <c r="Q59" s="30"/>
      <c r="R59">
        <f ca="1">M59/Acciones!$B$751*$I$10 + N59/Acciones!$C$751*$I$11 + O59/Acciones!$D$751*$I$12 + P59/Acciones!$D$751*$I$13</f>
        <v>22530.537747969745</v>
      </c>
      <c r="T59" s="14">
        <f t="shared" ca="1" si="3"/>
        <v>-5969.4622520302546</v>
      </c>
      <c r="V59">
        <v>-6417.0005992419938</v>
      </c>
    </row>
    <row r="60" spans="1:22" x14ac:dyDescent="0.2">
      <c r="A60" s="1">
        <f>Acciones!A60</f>
        <v>45084</v>
      </c>
      <c r="B60" s="29">
        <f>LN(Acciones!B60/Acciones!B59)</f>
        <v>3.4559065744873226E-2</v>
      </c>
      <c r="C60" s="29">
        <f>LN(Acciones!C60/Acciones!C59)</f>
        <v>-5.2264240974575264E-2</v>
      </c>
      <c r="D60" s="29">
        <f>LN(Acciones!D60/Acciones!D59)</f>
        <v>8.8044631237707525E-3</v>
      </c>
      <c r="E60" s="29">
        <f>LN(Acciones!E60/Acciones!E59)</f>
        <v>-2.4541085581343932E-2</v>
      </c>
      <c r="M60" s="30">
        <f ca="1">Acciones!$B$751*EXP((H$2-H$3/2)*(1)+H$4*_xlfn.NORM.S.INV(RAND())*SQRT(1))</f>
        <v>11.044091669320636</v>
      </c>
      <c r="N60" s="30">
        <f ca="1">Acciones!$C$751*EXP((I$2-I$3/2)*(1)+I$4*_xlfn.NORM.S.INV(RAND())*SQRT(1))</f>
        <v>154.44625533140737</v>
      </c>
      <c r="O60" s="30">
        <f ca="1">Acciones!$D$751*EXP((J$2-J$3/2)*(1)+J$4*_xlfn.NORM.S.INV(RAND())*SQRT(1))</f>
        <v>1020.2824194925038</v>
      </c>
      <c r="P60" s="30">
        <f ca="1">Acciones!$E$751*EXP((K$2-K$3/2)*(1)+K$4*_xlfn.NORM.S.INV(RAND())*SQRT(1))</f>
        <v>0.12033078801429031</v>
      </c>
      <c r="Q60" s="30"/>
      <c r="R60">
        <f ca="1">M60/Acciones!$B$751*$I$10 + N60/Acciones!$C$751*$I$11 + O60/Acciones!$D$751*$I$12 + P60/Acciones!$D$751*$I$13</f>
        <v>23406.639768752266</v>
      </c>
      <c r="T60" s="14">
        <f t="shared" ca="1" si="3"/>
        <v>-5093.3602312477342</v>
      </c>
      <c r="V60">
        <v>-6409.5399210628275</v>
      </c>
    </row>
    <row r="61" spans="1:22" x14ac:dyDescent="0.2">
      <c r="A61" s="1">
        <f>Acciones!A61</f>
        <v>45085</v>
      </c>
      <c r="B61" s="29">
        <f>LN(Acciones!B61/Acciones!B60)</f>
        <v>-4.5162355827762617E-3</v>
      </c>
      <c r="C61" s="29">
        <f>LN(Acciones!C61/Acciones!C60)</f>
        <v>2.1717313217755087E-2</v>
      </c>
      <c r="D61" s="29">
        <f>LN(Acciones!D61/Acciones!D60)</f>
        <v>-8.7990367231698778E-3</v>
      </c>
      <c r="E61" s="29">
        <f>LN(Acciones!E61/Acciones!E60)</f>
        <v>-1.5649756484800492E-2</v>
      </c>
      <c r="M61" s="30">
        <f ca="1">Acciones!$B$751*EXP((H$2-H$3/2)*(1)+H$4*_xlfn.NORM.S.INV(RAND())*SQRT(1))</f>
        <v>10.914105718231257</v>
      </c>
      <c r="N61" s="30">
        <f ca="1">Acciones!$C$751*EXP((I$2-I$3/2)*(1)+I$4*_xlfn.NORM.S.INV(RAND())*SQRT(1))</f>
        <v>164.91971935360905</v>
      </c>
      <c r="O61" s="30">
        <f ca="1">Acciones!$D$751*EXP((J$2-J$3/2)*(1)+J$4*_xlfn.NORM.S.INV(RAND())*SQRT(1))</f>
        <v>972.86814964857808</v>
      </c>
      <c r="P61" s="30">
        <f ca="1">Acciones!$E$751*EXP((K$2-K$3/2)*(1)+K$4*_xlfn.NORM.S.INV(RAND())*SQRT(1))</f>
        <v>0.12455294522420766</v>
      </c>
      <c r="Q61" s="30"/>
      <c r="R61">
        <f ca="1">M61/Acciones!$B$751*$I$10 + N61/Acciones!$C$751*$I$11 + O61/Acciones!$D$751*$I$12 + P61/Acciones!$D$751*$I$13</f>
        <v>23543.98728646884</v>
      </c>
      <c r="T61" s="14">
        <f t="shared" ca="1" si="3"/>
        <v>-4956.0127135311595</v>
      </c>
      <c r="V61">
        <v>-6402.8358912755575</v>
      </c>
    </row>
    <row r="62" spans="1:22" x14ac:dyDescent="0.2">
      <c r="A62" s="1">
        <f>Acciones!A62</f>
        <v>45086</v>
      </c>
      <c r="B62" s="29">
        <f>LN(Acciones!B62/Acciones!B61)</f>
        <v>3.480898569212495E-4</v>
      </c>
      <c r="C62" s="29">
        <f>LN(Acciones!C62/Acciones!C61)</f>
        <v>-5.2068015439564026E-2</v>
      </c>
      <c r="D62" s="29">
        <f>LN(Acciones!D62/Acciones!D61)</f>
        <v>-9.7828310263956154E-3</v>
      </c>
      <c r="E62" s="29">
        <f>LN(Acciones!E62/Acciones!E61)</f>
        <v>-2.2329531229268174E-2</v>
      </c>
      <c r="M62" s="30">
        <f ca="1">Acciones!$B$751*EXP((H$2-H$3/2)*(1)+H$4*_xlfn.NORM.S.INV(RAND())*SQRT(1))</f>
        <v>10.962368597361078</v>
      </c>
      <c r="N62" s="30">
        <f ca="1">Acciones!$C$751*EXP((I$2-I$3/2)*(1)+I$4*_xlfn.NORM.S.INV(RAND())*SQRT(1))</f>
        <v>144.5592557605388</v>
      </c>
      <c r="O62" s="30">
        <f ca="1">Acciones!$D$751*EXP((J$2-J$3/2)*(1)+J$4*_xlfn.NORM.S.INV(RAND())*SQRT(1))</f>
        <v>1003.3602099591084</v>
      </c>
      <c r="P62" s="30">
        <f ca="1">Acciones!$E$751*EXP((K$2-K$3/2)*(1)+K$4*_xlfn.NORM.S.INV(RAND())*SQRT(1))</f>
        <v>0.13758829395747307</v>
      </c>
      <c r="Q62" s="30"/>
      <c r="R62">
        <f ca="1">M62/Acciones!$B$751*$I$10 + N62/Acciones!$C$751*$I$11 + O62/Acciones!$D$751*$I$12 + P62/Acciones!$D$751*$I$13</f>
        <v>22593.689169415229</v>
      </c>
      <c r="T62" s="14">
        <f t="shared" ca="1" si="3"/>
        <v>-5906.3108305847709</v>
      </c>
      <c r="V62">
        <v>-6401.2645737229723</v>
      </c>
    </row>
    <row r="63" spans="1:22" x14ac:dyDescent="0.2">
      <c r="A63" s="1">
        <f>Acciones!A63</f>
        <v>45089</v>
      </c>
      <c r="B63" s="29">
        <f>LN(Acciones!B63/Acciones!B62)</f>
        <v>9.6988314382884123E-3</v>
      </c>
      <c r="C63" s="29">
        <f>LN(Acciones!C63/Acciones!C62)</f>
        <v>-1.1166492447275086E-3</v>
      </c>
      <c r="D63" s="29">
        <f>LN(Acciones!D63/Acciones!D62)</f>
        <v>6.5343684606002581E-3</v>
      </c>
      <c r="E63" s="29">
        <f>LN(Acciones!E63/Acciones!E62)</f>
        <v>-1.298718346261719E-2</v>
      </c>
      <c r="M63" s="30">
        <f ca="1">Acciones!$B$751*EXP((H$2-H$3/2)*(1)+H$4*_xlfn.NORM.S.INV(RAND())*SQRT(1))</f>
        <v>10.921200835131136</v>
      </c>
      <c r="N63" s="30">
        <f ca="1">Acciones!$C$751*EXP((I$2-I$3/2)*(1)+I$4*_xlfn.NORM.S.INV(RAND())*SQRT(1))</f>
        <v>168.15892913566168</v>
      </c>
      <c r="O63" s="30">
        <f ca="1">Acciones!$D$751*EXP((J$2-J$3/2)*(1)+J$4*_xlfn.NORM.S.INV(RAND())*SQRT(1))</f>
        <v>1000.47027133735</v>
      </c>
      <c r="P63" s="30">
        <f ca="1">Acciones!$E$751*EXP((K$2-K$3/2)*(1)+K$4*_xlfn.NORM.S.INV(RAND())*SQRT(1))</f>
        <v>0.12847565139408215</v>
      </c>
      <c r="Q63" s="30"/>
      <c r="R63">
        <f ca="1">M63/Acciones!$B$751*$I$10 + N63/Acciones!$C$751*$I$11 + O63/Acciones!$D$751*$I$12 + P63/Acciones!$D$751*$I$13</f>
        <v>24025.010726165096</v>
      </c>
      <c r="T63" s="14">
        <f t="shared" ca="1" si="3"/>
        <v>-4474.9892738349045</v>
      </c>
      <c r="V63">
        <v>-6395.5754966191998</v>
      </c>
    </row>
    <row r="64" spans="1:22" x14ac:dyDescent="0.2">
      <c r="A64" s="1">
        <f>Acciones!A64</f>
        <v>45090</v>
      </c>
      <c r="B64" s="29">
        <f>LN(Acciones!B64/Acciones!B63)</f>
        <v>-3.1871068870604848E-2</v>
      </c>
      <c r="C64" s="29">
        <f>LN(Acciones!C64/Acciones!C63)</f>
        <v>2.9962460287116154E-2</v>
      </c>
      <c r="D64" s="29">
        <f>LN(Acciones!D64/Acciones!D63)</f>
        <v>-2.1769306018493144E-3</v>
      </c>
      <c r="E64" s="29">
        <f>LN(Acciones!E64/Acciones!E63)</f>
        <v>1.9418067876815617E-2</v>
      </c>
      <c r="M64" s="30">
        <f ca="1">Acciones!$B$751*EXP((H$2-H$3/2)*(1)+H$4*_xlfn.NORM.S.INV(RAND())*SQRT(1))</f>
        <v>11.16258081118618</v>
      </c>
      <c r="N64" s="30">
        <f ca="1">Acciones!$C$751*EXP((I$2-I$3/2)*(1)+I$4*_xlfn.NORM.S.INV(RAND())*SQRT(1))</f>
        <v>150.65909065445558</v>
      </c>
      <c r="O64" s="30">
        <f ca="1">Acciones!$D$751*EXP((J$2-J$3/2)*(1)+J$4*_xlfn.NORM.S.INV(RAND())*SQRT(1))</f>
        <v>979.28413112680539</v>
      </c>
      <c r="P64" s="30">
        <f ca="1">Acciones!$E$751*EXP((K$2-K$3/2)*(1)+K$4*_xlfn.NORM.S.INV(RAND())*SQRT(1))</f>
        <v>0.12158879070831741</v>
      </c>
      <c r="Q64" s="30"/>
      <c r="R64">
        <f ca="1">M64/Acciones!$B$751*$I$10 + N64/Acciones!$C$751*$I$11 + O64/Acciones!$D$751*$I$12 + P64/Acciones!$D$751*$I$13</f>
        <v>22797.53798349516</v>
      </c>
      <c r="T64" s="14">
        <f t="shared" ca="1" si="3"/>
        <v>-5702.46201650484</v>
      </c>
      <c r="V64">
        <v>-6395.3929324067067</v>
      </c>
    </row>
    <row r="65" spans="1:22" x14ac:dyDescent="0.2">
      <c r="A65" s="1">
        <f>Acciones!A65</f>
        <v>45091</v>
      </c>
      <c r="B65" s="29">
        <f>LN(Acciones!B65/Acciones!B64)</f>
        <v>-3.92219447661656E-3</v>
      </c>
      <c r="C65" s="29">
        <f>LN(Acciones!C65/Acciones!C64)</f>
        <v>-4.8309457427771598E-3</v>
      </c>
      <c r="D65" s="29">
        <f>LN(Acciones!D65/Acciones!D64)</f>
        <v>5.0662352711790717E-2</v>
      </c>
      <c r="E65" s="29">
        <f>LN(Acciones!E65/Acciones!E64)</f>
        <v>0</v>
      </c>
      <c r="M65" s="30">
        <f ca="1">Acciones!$B$751*EXP((H$2-H$3/2)*(1)+H$4*_xlfn.NORM.S.INV(RAND())*SQRT(1))</f>
        <v>10.980944932223968</v>
      </c>
      <c r="N65" s="30">
        <f ca="1">Acciones!$C$751*EXP((I$2-I$3/2)*(1)+I$4*_xlfn.NORM.S.INV(RAND())*SQRT(1))</f>
        <v>157.41436587803096</v>
      </c>
      <c r="O65" s="30">
        <f ca="1">Acciones!$D$751*EXP((J$2-J$3/2)*(1)+J$4*_xlfn.NORM.S.INV(RAND())*SQRT(1))</f>
        <v>984.18251480271897</v>
      </c>
      <c r="P65" s="30">
        <f ca="1">Acciones!$E$751*EXP((K$2-K$3/2)*(1)+K$4*_xlfn.NORM.S.INV(RAND())*SQRT(1))</f>
        <v>0.12121374564943946</v>
      </c>
      <c r="Q65" s="30"/>
      <c r="R65">
        <f ca="1">M65/Acciones!$B$751*$I$10 + N65/Acciones!$C$751*$I$11 + O65/Acciones!$D$751*$I$12 + P65/Acciones!$D$751*$I$13</f>
        <v>23210.118710589446</v>
      </c>
      <c r="T65" s="14">
        <f t="shared" ca="1" si="3"/>
        <v>-5289.881289410554</v>
      </c>
      <c r="V65">
        <v>-6394.1680764588637</v>
      </c>
    </row>
    <row r="66" spans="1:22" x14ac:dyDescent="0.2">
      <c r="A66" s="1">
        <f>Acciones!A66</f>
        <v>45092</v>
      </c>
      <c r="B66" s="29">
        <f>LN(Acciones!B66/Acciones!B65)</f>
        <v>-1.0725555406736272E-3</v>
      </c>
      <c r="C66" s="29">
        <f>LN(Acciones!C66/Acciones!C65)</f>
        <v>-2.8862900043695468E-2</v>
      </c>
      <c r="D66" s="29">
        <f>LN(Acciones!D66/Acciones!D65)</f>
        <v>-4.9771880911932609E-3</v>
      </c>
      <c r="E66" s="29">
        <f>LN(Acciones!E66/Acciones!E65)</f>
        <v>0</v>
      </c>
      <c r="M66" s="30">
        <f ca="1">Acciones!$B$751*EXP((H$2-H$3/2)*(1)+H$4*_xlfn.NORM.S.INV(RAND())*SQRT(1))</f>
        <v>10.626912185119572</v>
      </c>
      <c r="N66" s="30">
        <f ca="1">Acciones!$C$751*EXP((I$2-I$3/2)*(1)+I$4*_xlfn.NORM.S.INV(RAND())*SQRT(1))</f>
        <v>157.40181563936943</v>
      </c>
      <c r="O66" s="30">
        <f ca="1">Acciones!$D$751*EXP((J$2-J$3/2)*(1)+J$4*_xlfn.NORM.S.INV(RAND())*SQRT(1))</f>
        <v>981.76958380454505</v>
      </c>
      <c r="P66" s="30">
        <f ca="1">Acciones!$E$751*EXP((K$2-K$3/2)*(1)+K$4*_xlfn.NORM.S.INV(RAND())*SQRT(1))</f>
        <v>0.13652180884976459</v>
      </c>
      <c r="Q66" s="30"/>
      <c r="R66">
        <f ca="1">M66/Acciones!$B$751*$I$10 + N66/Acciones!$C$751*$I$11 + O66/Acciones!$D$751*$I$12 + P66/Acciones!$D$751*$I$13</f>
        <v>23071.674435911398</v>
      </c>
      <c r="T66" s="14">
        <f t="shared" ca="1" si="3"/>
        <v>-5428.3255640886018</v>
      </c>
      <c r="V66">
        <v>-6391.2553274499514</v>
      </c>
    </row>
    <row r="67" spans="1:22" x14ac:dyDescent="0.2">
      <c r="A67" s="1">
        <f>Acciones!A67</f>
        <v>45093</v>
      </c>
      <c r="B67" s="29">
        <f>LN(Acciones!B67/Acciones!B66)</f>
        <v>1.4297221834582311E-3</v>
      </c>
      <c r="C67" s="29">
        <f>LN(Acciones!C67/Acciones!C66)</f>
        <v>5.45589842504344E-2</v>
      </c>
      <c r="D67" s="29">
        <f>LN(Acciones!D67/Acciones!D66)</f>
        <v>6.1956879588848024E-3</v>
      </c>
      <c r="E67" s="29">
        <f>LN(Acciones!E67/Acciones!E66)</f>
        <v>9.5695179713076988E-3</v>
      </c>
      <c r="M67" s="30">
        <f ca="1">Acciones!$B$751*EXP((H$2-H$3/2)*(1)+H$4*_xlfn.NORM.S.INV(RAND())*SQRT(1))</f>
        <v>10.648179906115109</v>
      </c>
      <c r="N67" s="30">
        <f ca="1">Acciones!$C$751*EXP((I$2-I$3/2)*(1)+I$4*_xlfn.NORM.S.INV(RAND())*SQRT(1))</f>
        <v>143.97338052564834</v>
      </c>
      <c r="O67" s="30">
        <f ca="1">Acciones!$D$751*EXP((J$2-J$3/2)*(1)+J$4*_xlfn.NORM.S.INV(RAND())*SQRT(1))</f>
        <v>1003.3741226969041</v>
      </c>
      <c r="P67" s="30">
        <f ca="1">Acciones!$E$751*EXP((K$2-K$3/2)*(1)+K$4*_xlfn.NORM.S.INV(RAND())*SQRT(1))</f>
        <v>0.12751777647506707</v>
      </c>
      <c r="Q67" s="30"/>
      <c r="R67">
        <f ca="1">M67/Acciones!$B$751*$I$10 + N67/Acciones!$C$751*$I$11 + O67/Acciones!$D$751*$I$12 + P67/Acciones!$D$751*$I$13</f>
        <v>22456.398135596708</v>
      </c>
      <c r="T67" s="14">
        <f t="shared" ca="1" si="3"/>
        <v>-6043.601864403292</v>
      </c>
      <c r="V67">
        <v>-6388.1969439270761</v>
      </c>
    </row>
    <row r="68" spans="1:22" x14ac:dyDescent="0.2">
      <c r="A68" s="1">
        <f>Acciones!A68</f>
        <v>45096</v>
      </c>
      <c r="B68" s="29">
        <f>LN(Acciones!B68/Acciones!B67)</f>
        <v>0</v>
      </c>
      <c r="C68" s="29">
        <f>LN(Acciones!C68/Acciones!C67)</f>
        <v>1.4641549992948187E-2</v>
      </c>
      <c r="D68" s="29">
        <f>LN(Acciones!D68/Acciones!D67)</f>
        <v>1.1303404451779216E-2</v>
      </c>
      <c r="E68" s="29">
        <f>LN(Acciones!E68/Acciones!E67)</f>
        <v>0</v>
      </c>
      <c r="M68" s="30">
        <f ca="1">Acciones!$B$751*EXP((H$2-H$3/2)*(1)+H$4*_xlfn.NORM.S.INV(RAND())*SQRT(1))</f>
        <v>10.576780641919935</v>
      </c>
      <c r="N68" s="30">
        <f ca="1">Acciones!$C$751*EXP((I$2-I$3/2)*(1)+I$4*_xlfn.NORM.S.INV(RAND())*SQRT(1))</f>
        <v>133.48363127867714</v>
      </c>
      <c r="O68" s="30">
        <f ca="1">Acciones!$D$751*EXP((J$2-J$3/2)*(1)+J$4*_xlfn.NORM.S.INV(RAND())*SQRT(1))</f>
        <v>1001.9680684952174</v>
      </c>
      <c r="P68" s="30">
        <f ca="1">Acciones!$E$751*EXP((K$2-K$3/2)*(1)+K$4*_xlfn.NORM.S.INV(RAND())*SQRT(1))</f>
        <v>0.13209088691736842</v>
      </c>
      <c r="Q68" s="30"/>
      <c r="R68">
        <f ca="1">M68/Acciones!$B$751*$I$10 + N68/Acciones!$C$751*$I$11 + O68/Acciones!$D$751*$I$12 + P68/Acciones!$D$751*$I$13</f>
        <v>21764.471324999191</v>
      </c>
      <c r="T68" s="14">
        <f t="shared" ca="1" si="3"/>
        <v>-6735.528675000809</v>
      </c>
      <c r="V68">
        <v>-6386.4483028192626</v>
      </c>
    </row>
    <row r="69" spans="1:22" x14ac:dyDescent="0.2">
      <c r="A69" s="1">
        <f>Acciones!A69</f>
        <v>45097</v>
      </c>
      <c r="B69" s="29">
        <f>LN(Acciones!B69/Acciones!B68)</f>
        <v>3.5703912031914475E-4</v>
      </c>
      <c r="C69" s="29">
        <f>LN(Acciones!C69/Acciones!C68)</f>
        <v>0.14771809927108348</v>
      </c>
      <c r="D69" s="29">
        <f>LN(Acciones!D69/Acciones!D68)</f>
        <v>-3.9016639750744632E-2</v>
      </c>
      <c r="E69" s="29">
        <f>LN(Acciones!E69/Acciones!E68)</f>
        <v>0</v>
      </c>
      <c r="M69" s="30">
        <f ca="1">Acciones!$B$751*EXP((H$2-H$3/2)*(1)+H$4*_xlfn.NORM.S.INV(RAND())*SQRT(1))</f>
        <v>11.102169337591697</v>
      </c>
      <c r="N69" s="30">
        <f ca="1">Acciones!$C$751*EXP((I$2-I$3/2)*(1)+I$4*_xlfn.NORM.S.INV(RAND())*SQRT(1))</f>
        <v>160.30170204216293</v>
      </c>
      <c r="O69" s="30">
        <f ca="1">Acciones!$D$751*EXP((J$2-J$3/2)*(1)+J$4*_xlfn.NORM.S.INV(RAND())*SQRT(1))</f>
        <v>1048.5108973539177</v>
      </c>
      <c r="P69" s="30">
        <f ca="1">Acciones!$E$751*EXP((K$2-K$3/2)*(1)+K$4*_xlfn.NORM.S.INV(RAND())*SQRT(1))</f>
        <v>0.13631654607965563</v>
      </c>
      <c r="Q69" s="30"/>
      <c r="R69">
        <f ca="1">M69/Acciones!$B$751*$I$10 + N69/Acciones!$C$751*$I$11 + O69/Acciones!$D$751*$I$12 + P69/Acciones!$D$751*$I$13</f>
        <v>24073.712664704242</v>
      </c>
      <c r="T69" s="14">
        <f t="shared" ca="1" si="3"/>
        <v>-4426.2873352957577</v>
      </c>
      <c r="V69">
        <v>-6386.0152418951875</v>
      </c>
    </row>
    <row r="70" spans="1:22" x14ac:dyDescent="0.2">
      <c r="A70" s="1">
        <f>Acciones!A70</f>
        <v>45098</v>
      </c>
      <c r="B70" s="29">
        <f>LN(Acciones!B70/Acciones!B69)</f>
        <v>-1.004676727385068E-2</v>
      </c>
      <c r="C70" s="29">
        <f>LN(Acciones!C70/Acciones!C69)</f>
        <v>4.6260095851739964E-2</v>
      </c>
      <c r="D70" s="29">
        <f>LN(Acciones!D70/Acciones!D69)</f>
        <v>-4.7752246699447991E-3</v>
      </c>
      <c r="E70" s="29">
        <f>LN(Acciones!E70/Acciones!E69)</f>
        <v>-6.3694419982635525E-3</v>
      </c>
      <c r="M70" s="30">
        <f ca="1">Acciones!$B$751*EXP((H$2-H$3/2)*(1)+H$4*_xlfn.NORM.S.INV(RAND())*SQRT(1))</f>
        <v>10.643750855168729</v>
      </c>
      <c r="N70" s="30">
        <f ca="1">Acciones!$C$751*EXP((I$2-I$3/2)*(1)+I$4*_xlfn.NORM.S.INV(RAND())*SQRT(1))</f>
        <v>154.64874605690378</v>
      </c>
      <c r="O70" s="30">
        <f ca="1">Acciones!$D$751*EXP((J$2-J$3/2)*(1)+J$4*_xlfn.NORM.S.INV(RAND())*SQRT(1))</f>
        <v>986.2535393979116</v>
      </c>
      <c r="P70" s="30">
        <f ca="1">Acciones!$E$751*EXP((K$2-K$3/2)*(1)+K$4*_xlfn.NORM.S.INV(RAND())*SQRT(1))</f>
        <v>0.13300673134064128</v>
      </c>
      <c r="Q70" s="30"/>
      <c r="R70">
        <f ca="1">M70/Acciones!$B$751*$I$10 + N70/Acciones!$C$751*$I$11 + O70/Acciones!$D$751*$I$12 + P70/Acciones!$D$751*$I$13</f>
        <v>22950.073021651249</v>
      </c>
      <c r="T70" s="14">
        <f t="shared" ref="T70:T133" ca="1" si="4">R70-$I$14</f>
        <v>-5549.9269783487507</v>
      </c>
      <c r="V70">
        <v>-6377.6659319359896</v>
      </c>
    </row>
    <row r="71" spans="1:22" x14ac:dyDescent="0.2">
      <c r="A71" s="1">
        <f>Acciones!A71</f>
        <v>45099</v>
      </c>
      <c r="B71" s="29">
        <f>LN(Acciones!B71/Acciones!B70)</f>
        <v>-1.306726987699898E-2</v>
      </c>
      <c r="C71" s="29">
        <f>LN(Acciones!C71/Acciones!C70)</f>
        <v>-3.3204974535071735E-2</v>
      </c>
      <c r="D71" s="29">
        <f>LN(Acciones!D71/Acciones!D70)</f>
        <v>1.1226505146013395E-2</v>
      </c>
      <c r="E71" s="29">
        <f>LN(Acciones!E71/Acciones!E70)</f>
        <v>-1.2861977981920821E-2</v>
      </c>
      <c r="M71" s="30">
        <f ca="1">Acciones!$B$751*EXP((H$2-H$3/2)*(1)+H$4*_xlfn.NORM.S.INV(RAND())*SQRT(1))</f>
        <v>10.942100971270637</v>
      </c>
      <c r="N71" s="30">
        <f ca="1">Acciones!$C$751*EXP((I$2-I$3/2)*(1)+I$4*_xlfn.NORM.S.INV(RAND())*SQRT(1))</f>
        <v>137.07721232192969</v>
      </c>
      <c r="O71" s="30">
        <f ca="1">Acciones!$D$751*EXP((J$2-J$3/2)*(1)+J$4*_xlfn.NORM.S.INV(RAND())*SQRT(1))</f>
        <v>1028.1104392167354</v>
      </c>
      <c r="P71" s="30">
        <f ca="1">Acciones!$E$751*EXP((K$2-K$3/2)*(1)+K$4*_xlfn.NORM.S.INV(RAND())*SQRT(1))</f>
        <v>0.1139210498515295</v>
      </c>
      <c r="Q71" s="30"/>
      <c r="R71">
        <f ca="1">M71/Acciones!$B$751*$I$10 + N71/Acciones!$C$751*$I$11 + O71/Acciones!$D$751*$I$12 + P71/Acciones!$D$751*$I$13</f>
        <v>22367.79895030622</v>
      </c>
      <c r="T71" s="14">
        <f t="shared" ca="1" si="4"/>
        <v>-6132.2010496937801</v>
      </c>
      <c r="V71">
        <v>-6376.6528716192042</v>
      </c>
    </row>
    <row r="72" spans="1:22" x14ac:dyDescent="0.2">
      <c r="A72" s="1">
        <f>Acciones!A72</f>
        <v>45100</v>
      </c>
      <c r="B72" s="29">
        <f>LN(Acciones!B72/Acciones!B71)</f>
        <v>-1.2870238416874928E-2</v>
      </c>
      <c r="C72" s="29">
        <f>LN(Acciones!C72/Acciones!C71)</f>
        <v>7.6548448349994122E-2</v>
      </c>
      <c r="D72" s="29">
        <f>LN(Acciones!D72/Acciones!D71)</f>
        <v>-9.1019534899771746E-3</v>
      </c>
      <c r="E72" s="29">
        <f>LN(Acciones!E72/Acciones!E71)</f>
        <v>-1.3029488147417828E-2</v>
      </c>
      <c r="M72" s="30">
        <f ca="1">Acciones!$B$751*EXP((H$2-H$3/2)*(1)+H$4*_xlfn.NORM.S.INV(RAND())*SQRT(1))</f>
        <v>10.469743524733779</v>
      </c>
      <c r="N72" s="30">
        <f ca="1">Acciones!$C$751*EXP((I$2-I$3/2)*(1)+I$4*_xlfn.NORM.S.INV(RAND())*SQRT(1))</f>
        <v>154.69421184810807</v>
      </c>
      <c r="O72" s="30">
        <f ca="1">Acciones!$D$751*EXP((J$2-J$3/2)*(1)+J$4*_xlfn.NORM.S.INV(RAND())*SQRT(1))</f>
        <v>1018.6430908542289</v>
      </c>
      <c r="P72" s="30">
        <f ca="1">Acciones!$E$751*EXP((K$2-K$3/2)*(1)+K$4*_xlfn.NORM.S.INV(RAND())*SQRT(1))</f>
        <v>0.13606233028462988</v>
      </c>
      <c r="Q72" s="30"/>
      <c r="R72">
        <f ca="1">M72/Acciones!$B$751*$I$10 + N72/Acciones!$C$751*$I$11 + O72/Acciones!$D$751*$I$12 + P72/Acciones!$D$751*$I$13</f>
        <v>23221.533545469567</v>
      </c>
      <c r="T72" s="14">
        <f t="shared" ca="1" si="4"/>
        <v>-5278.4664545304331</v>
      </c>
      <c r="V72">
        <v>-6374.3461558187264</v>
      </c>
    </row>
    <row r="73" spans="1:22" x14ac:dyDescent="0.2">
      <c r="A73" s="1">
        <f>Acciones!A73</f>
        <v>45103</v>
      </c>
      <c r="B73" s="29">
        <f>LN(Acciones!B73/Acciones!B72)</f>
        <v>-1.9432618479354343E-2</v>
      </c>
      <c r="C73" s="29">
        <f>LN(Acciones!C73/Acciones!C72)</f>
        <v>-7.5212686063635958E-2</v>
      </c>
      <c r="D73" s="29">
        <f>LN(Acciones!D73/Acciones!D72)</f>
        <v>2.1126249034860732E-2</v>
      </c>
      <c r="E73" s="29">
        <f>LN(Acciones!E73/Acciones!E72)</f>
        <v>0</v>
      </c>
      <c r="M73" s="30">
        <f ca="1">Acciones!$B$751*EXP((H$2-H$3/2)*(1)+H$4*_xlfn.NORM.S.INV(RAND())*SQRT(1))</f>
        <v>11.095002172603712</v>
      </c>
      <c r="N73" s="30">
        <f ca="1">Acciones!$C$751*EXP((I$2-I$3/2)*(1)+I$4*_xlfn.NORM.S.INV(RAND())*SQRT(1))</f>
        <v>160.77696311085484</v>
      </c>
      <c r="O73" s="30">
        <f ca="1">Acciones!$D$751*EXP((J$2-J$3/2)*(1)+J$4*_xlfn.NORM.S.INV(RAND())*SQRT(1))</f>
        <v>1008.984937532563</v>
      </c>
      <c r="P73" s="30">
        <f ca="1">Acciones!$E$751*EXP((K$2-K$3/2)*(1)+K$4*_xlfn.NORM.S.INV(RAND())*SQRT(1))</f>
        <v>0.12983705186414146</v>
      </c>
      <c r="Q73" s="30"/>
      <c r="R73">
        <f ca="1">M73/Acciones!$B$751*$I$10 + N73/Acciones!$C$751*$I$11 + O73/Acciones!$D$751*$I$12 + P73/Acciones!$D$751*$I$13</f>
        <v>23705.143334390003</v>
      </c>
      <c r="T73" s="14">
        <f t="shared" ca="1" si="4"/>
        <v>-4794.8566656099974</v>
      </c>
      <c r="V73">
        <v>-6373.9872892197964</v>
      </c>
    </row>
    <row r="74" spans="1:22" x14ac:dyDescent="0.2">
      <c r="A74" s="1">
        <f>Acciones!A74</f>
        <v>45104</v>
      </c>
      <c r="B74" s="29">
        <f>LN(Acciones!B74/Acciones!B73)</f>
        <v>5.1123480012447119E-2</v>
      </c>
      <c r="C74" s="29">
        <f>LN(Acciones!C74/Acciones!C73)</f>
        <v>0.12180145634177521</v>
      </c>
      <c r="D74" s="29">
        <f>LN(Acciones!D74/Acciones!D73)</f>
        <v>1.3896682161800476E-2</v>
      </c>
      <c r="E74" s="29">
        <f>LN(Acciones!E74/Acciones!E73)</f>
        <v>0</v>
      </c>
      <c r="M74" s="30">
        <f ca="1">Acciones!$B$751*EXP((H$2-H$3/2)*(1)+H$4*_xlfn.NORM.S.INV(RAND())*SQRT(1))</f>
        <v>10.493741606403391</v>
      </c>
      <c r="N74" s="30">
        <f ca="1">Acciones!$C$751*EXP((I$2-I$3/2)*(1)+I$4*_xlfn.NORM.S.INV(RAND())*SQRT(1))</f>
        <v>153.6861378543507</v>
      </c>
      <c r="O74" s="30">
        <f ca="1">Acciones!$D$751*EXP((J$2-J$3/2)*(1)+J$4*_xlfn.NORM.S.INV(RAND())*SQRT(1))</f>
        <v>962.62954313804289</v>
      </c>
      <c r="P74" s="30">
        <f ca="1">Acciones!$E$751*EXP((K$2-K$3/2)*(1)+K$4*_xlfn.NORM.S.INV(RAND())*SQRT(1))</f>
        <v>0.13782533747598888</v>
      </c>
      <c r="Q74" s="30"/>
      <c r="R74">
        <f ca="1">M74/Acciones!$B$751*$I$10 + N74/Acciones!$C$751*$I$11 + O74/Acciones!$D$751*$I$12 + P74/Acciones!$D$751*$I$13</f>
        <v>22605.24387161206</v>
      </c>
      <c r="T74" s="14">
        <f t="shared" ca="1" si="4"/>
        <v>-5894.7561283879404</v>
      </c>
      <c r="V74">
        <v>-6366.1732706831353</v>
      </c>
    </row>
    <row r="75" spans="1:22" x14ac:dyDescent="0.2">
      <c r="A75" s="1">
        <f>Acciones!A75</f>
        <v>45105</v>
      </c>
      <c r="B75" s="29">
        <f>LN(Acciones!B75/Acciones!B74)</f>
        <v>-3.5027289021894621E-2</v>
      </c>
      <c r="C75" s="29">
        <f>LN(Acciones!C75/Acciones!C74)</f>
        <v>-2.1143740345078842E-2</v>
      </c>
      <c r="D75" s="29">
        <f>LN(Acciones!D75/Acciones!D74)</f>
        <v>-8.7800330924631166E-3</v>
      </c>
      <c r="E75" s="29">
        <f>LN(Acciones!E75/Acciones!E74)</f>
        <v>3.2733222794789582E-3</v>
      </c>
      <c r="M75" s="30">
        <f ca="1">Acciones!$B$751*EXP((H$2-H$3/2)*(1)+H$4*_xlfn.NORM.S.INV(RAND())*SQRT(1))</f>
        <v>10.886667361020505</v>
      </c>
      <c r="N75" s="30">
        <f ca="1">Acciones!$C$751*EXP((I$2-I$3/2)*(1)+I$4*_xlfn.NORM.S.INV(RAND())*SQRT(1))</f>
        <v>144.87358539096823</v>
      </c>
      <c r="O75" s="30">
        <f ca="1">Acciones!$D$751*EXP((J$2-J$3/2)*(1)+J$4*_xlfn.NORM.S.INV(RAND())*SQRT(1))</f>
        <v>1011.2704259097009</v>
      </c>
      <c r="P75" s="30">
        <f ca="1">Acciones!$E$751*EXP((K$2-K$3/2)*(1)+K$4*_xlfn.NORM.S.INV(RAND())*SQRT(1))</f>
        <v>0.13448201703382515</v>
      </c>
      <c r="Q75" s="30"/>
      <c r="R75">
        <f ca="1">M75/Acciones!$B$751*$I$10 + N75/Acciones!$C$751*$I$11 + O75/Acciones!$D$751*$I$12 + P75/Acciones!$D$751*$I$13</f>
        <v>22668.244936290881</v>
      </c>
      <c r="T75" s="14">
        <f t="shared" ca="1" si="4"/>
        <v>-5831.755063709119</v>
      </c>
      <c r="V75">
        <v>-6361.6055881155444</v>
      </c>
    </row>
    <row r="76" spans="1:22" x14ac:dyDescent="0.2">
      <c r="A76" s="1">
        <f>Acciones!A76</f>
        <v>45106</v>
      </c>
      <c r="B76" s="29">
        <f>LN(Acciones!B76/Acciones!B75)</f>
        <v>5.1851414112488708E-3</v>
      </c>
      <c r="C76" s="29">
        <f>LN(Acciones!C76/Acciones!C75)</f>
        <v>5.3189216197812167E-2</v>
      </c>
      <c r="D76" s="29">
        <f>LN(Acciones!D76/Acciones!D75)</f>
        <v>4.2914325039096176E-3</v>
      </c>
      <c r="E76" s="29">
        <f>LN(Acciones!E76/Acciones!E75)</f>
        <v>-9.8522871858349355E-3</v>
      </c>
      <c r="M76" s="30">
        <f ca="1">Acciones!$B$751*EXP((H$2-H$3/2)*(1)+H$4*_xlfn.NORM.S.INV(RAND())*SQRT(1))</f>
        <v>11.23295887647312</v>
      </c>
      <c r="N76" s="30">
        <f ca="1">Acciones!$C$751*EXP((I$2-I$3/2)*(1)+I$4*_xlfn.NORM.S.INV(RAND())*SQRT(1))</f>
        <v>150.86261679087667</v>
      </c>
      <c r="O76" s="30">
        <f ca="1">Acciones!$D$751*EXP((J$2-J$3/2)*(1)+J$4*_xlfn.NORM.S.INV(RAND())*SQRT(1))</f>
        <v>989.26376188093832</v>
      </c>
      <c r="P76" s="30">
        <f ca="1">Acciones!$E$751*EXP((K$2-K$3/2)*(1)+K$4*_xlfn.NORM.S.INV(RAND())*SQRT(1))</f>
        <v>0.13632972473589247</v>
      </c>
      <c r="Q76" s="30"/>
      <c r="R76">
        <f ca="1">M76/Acciones!$B$751*$I$10 + N76/Acciones!$C$751*$I$11 + O76/Acciones!$D$751*$I$12 + P76/Acciones!$D$751*$I$13</f>
        <v>22932.865027138592</v>
      </c>
      <c r="T76" s="14">
        <f t="shared" ca="1" si="4"/>
        <v>-5567.1349728614077</v>
      </c>
      <c r="V76">
        <v>-6361.1297695228568</v>
      </c>
    </row>
    <row r="77" spans="1:22" x14ac:dyDescent="0.2">
      <c r="A77" s="1">
        <f>Acciones!A77</f>
        <v>45107</v>
      </c>
      <c r="B77" s="29">
        <f>LN(Acciones!B77/Acciones!B76)</f>
        <v>-6.5252854204577798E-2</v>
      </c>
      <c r="C77" s="29">
        <f>LN(Acciones!C77/Acciones!C76)</f>
        <v>8.8202817894031879E-3</v>
      </c>
      <c r="D77" s="29">
        <f>LN(Acciones!D77/Acciones!D76)</f>
        <v>-2.576377228682385E-2</v>
      </c>
      <c r="E77" s="29">
        <f>LN(Acciones!E77/Acciones!E76)</f>
        <v>0</v>
      </c>
      <c r="M77" s="30">
        <f ca="1">Acciones!$B$751*EXP((H$2-H$3/2)*(1)+H$4*_xlfn.NORM.S.INV(RAND())*SQRT(1))</f>
        <v>10.735007144950169</v>
      </c>
      <c r="N77" s="30">
        <f ca="1">Acciones!$C$751*EXP((I$2-I$3/2)*(1)+I$4*_xlfn.NORM.S.INV(RAND())*SQRT(1))</f>
        <v>154.75923213221498</v>
      </c>
      <c r="O77" s="30">
        <f ca="1">Acciones!$D$751*EXP((J$2-J$3/2)*(1)+J$4*_xlfn.NORM.S.INV(RAND())*SQRT(1))</f>
        <v>980.65330108852595</v>
      </c>
      <c r="P77" s="30">
        <f ca="1">Acciones!$E$751*EXP((K$2-K$3/2)*(1)+K$4*_xlfn.NORM.S.INV(RAND())*SQRT(1))</f>
        <v>0.13888834871278372</v>
      </c>
      <c r="Q77" s="30"/>
      <c r="R77">
        <f ca="1">M77/Acciones!$B$751*$I$10 + N77/Acciones!$C$751*$I$11 + O77/Acciones!$D$751*$I$12 + P77/Acciones!$D$751*$I$13</f>
        <v>22930.185237585119</v>
      </c>
      <c r="T77" s="14">
        <f t="shared" ca="1" si="4"/>
        <v>-5569.8147624148805</v>
      </c>
      <c r="V77">
        <v>-6360.8441103526602</v>
      </c>
    </row>
    <row r="78" spans="1:22" x14ac:dyDescent="0.2">
      <c r="A78" s="1">
        <f>Acciones!A78</f>
        <v>45110</v>
      </c>
      <c r="B78" s="29">
        <f>LN(Acciones!B78/Acciones!B77)</f>
        <v>2.5692381366828113E-2</v>
      </c>
      <c r="C78" s="29">
        <f>LN(Acciones!C78/Acciones!C77)</f>
        <v>9.7980408360203816E-2</v>
      </c>
      <c r="D78" s="29">
        <f>LN(Acciones!D78/Acciones!D77)</f>
        <v>1.5550531032738667E-3</v>
      </c>
      <c r="E78" s="29">
        <f>LN(Acciones!E78/Acciones!E77)</f>
        <v>-1.6639303161147877E-2</v>
      </c>
      <c r="M78" s="30">
        <f ca="1">Acciones!$B$751*EXP((H$2-H$3/2)*(1)+H$4*_xlfn.NORM.S.INV(RAND())*SQRT(1))</f>
        <v>10.788174887246527</v>
      </c>
      <c r="N78" s="30">
        <f ca="1">Acciones!$C$751*EXP((I$2-I$3/2)*(1)+I$4*_xlfn.NORM.S.INV(RAND())*SQRT(1))</f>
        <v>145.89468755456289</v>
      </c>
      <c r="O78" s="30">
        <f ca="1">Acciones!$D$751*EXP((J$2-J$3/2)*(1)+J$4*_xlfn.NORM.S.INV(RAND())*SQRT(1))</f>
        <v>1004.3275875255822</v>
      </c>
      <c r="P78" s="30">
        <f ca="1">Acciones!$E$751*EXP((K$2-K$3/2)*(1)+K$4*_xlfn.NORM.S.INV(RAND())*SQRT(1))</f>
        <v>0.1243014929188123</v>
      </c>
      <c r="Q78" s="30"/>
      <c r="R78">
        <f ca="1">M78/Acciones!$B$751*$I$10 + N78/Acciones!$C$751*$I$11 + O78/Acciones!$D$751*$I$12 + P78/Acciones!$D$751*$I$13</f>
        <v>22630.805351659517</v>
      </c>
      <c r="T78" s="14">
        <f t="shared" ca="1" si="4"/>
        <v>-5869.1946483404827</v>
      </c>
      <c r="V78">
        <v>-6351.665443937869</v>
      </c>
    </row>
    <row r="79" spans="1:22" x14ac:dyDescent="0.2">
      <c r="A79" s="1">
        <f>Acciones!A79</f>
        <v>45111</v>
      </c>
      <c r="B79" s="29">
        <f>LN(Acciones!B79/Acciones!B78)</f>
        <v>9.9426905768477299E-3</v>
      </c>
      <c r="C79" s="29">
        <f>LN(Acciones!C79/Acciones!C78)</f>
        <v>2.9947116985845502E-2</v>
      </c>
      <c r="D79" s="29">
        <f>LN(Acciones!D79/Acciones!D78)</f>
        <v>1.0612133758481045E-5</v>
      </c>
      <c r="E79" s="29">
        <f>LN(Acciones!E79/Acciones!E78)</f>
        <v>-3.0666768494448902E-2</v>
      </c>
      <c r="M79" s="30">
        <f ca="1">Acciones!$B$751*EXP((H$2-H$3/2)*(1)+H$4*_xlfn.NORM.S.INV(RAND())*SQRT(1))</f>
        <v>10.870055528880055</v>
      </c>
      <c r="N79" s="30">
        <f ca="1">Acciones!$C$751*EXP((I$2-I$3/2)*(1)+I$4*_xlfn.NORM.S.INV(RAND())*SQRT(1))</f>
        <v>166.97457288464724</v>
      </c>
      <c r="O79" s="30">
        <f ca="1">Acciones!$D$751*EXP((J$2-J$3/2)*(1)+J$4*_xlfn.NORM.S.INV(RAND())*SQRT(1))</f>
        <v>993.20616042301117</v>
      </c>
      <c r="P79" s="30">
        <f ca="1">Acciones!$E$751*EXP((K$2-K$3/2)*(1)+K$4*_xlfn.NORM.S.INV(RAND())*SQRT(1))</f>
        <v>0.11158364593154288</v>
      </c>
      <c r="Q79" s="30"/>
      <c r="R79">
        <f ca="1">M79/Acciones!$B$751*$I$10 + N79/Acciones!$C$751*$I$11 + O79/Acciones!$D$751*$I$12 + P79/Acciones!$D$751*$I$13</f>
        <v>23861.800185802913</v>
      </c>
      <c r="T79" s="14">
        <f t="shared" ca="1" si="4"/>
        <v>-4638.1998141970871</v>
      </c>
      <c r="V79">
        <v>-6349.4015224231443</v>
      </c>
    </row>
    <row r="80" spans="1:22" x14ac:dyDescent="0.2">
      <c r="A80" s="1">
        <f>Acciones!A80</f>
        <v>45112</v>
      </c>
      <c r="B80" s="29">
        <f>LN(Acciones!B80/Acciones!B79)</f>
        <v>2.4061280375323794E-2</v>
      </c>
      <c r="C80" s="29">
        <f>LN(Acciones!C80/Acciones!C79)</f>
        <v>-1.9751639601154385E-2</v>
      </c>
      <c r="D80" s="29">
        <f>LN(Acciones!D80/Acciones!D79)</f>
        <v>-3.8562566847326583E-2</v>
      </c>
      <c r="E80" s="29">
        <f>LN(Acciones!E80/Acciones!E79)</f>
        <v>3.0666768494448889E-2</v>
      </c>
      <c r="M80" s="30">
        <f ca="1">Acciones!$B$751*EXP((H$2-H$3/2)*(1)+H$4*_xlfn.NORM.S.INV(RAND())*SQRT(1))</f>
        <v>10.890392726976534</v>
      </c>
      <c r="N80" s="30">
        <f ca="1">Acciones!$C$751*EXP((I$2-I$3/2)*(1)+I$4*_xlfn.NORM.S.INV(RAND())*SQRT(1))</f>
        <v>154.7070143731701</v>
      </c>
      <c r="O80" s="30">
        <f ca="1">Acciones!$D$751*EXP((J$2-J$3/2)*(1)+J$4*_xlfn.NORM.S.INV(RAND())*SQRT(1))</f>
        <v>972.87405850755499</v>
      </c>
      <c r="P80" s="30">
        <f ca="1">Acciones!$E$751*EXP((K$2-K$3/2)*(1)+K$4*_xlfn.NORM.S.INV(RAND())*SQRT(1))</f>
        <v>0.1263219328957482</v>
      </c>
      <c r="Q80" s="30"/>
      <c r="R80">
        <f ca="1">M80/Acciones!$B$751*$I$10 + N80/Acciones!$C$751*$I$11 + O80/Acciones!$D$751*$I$12 + P80/Acciones!$D$751*$I$13</f>
        <v>22898.784120948392</v>
      </c>
      <c r="T80" s="14">
        <f t="shared" ca="1" si="4"/>
        <v>-5601.2158790516078</v>
      </c>
      <c r="V80">
        <v>-6344.0355679141685</v>
      </c>
    </row>
    <row r="81" spans="1:22" x14ac:dyDescent="0.2">
      <c r="A81" s="1">
        <f>Acciones!A81</f>
        <v>45113</v>
      </c>
      <c r="B81" s="29">
        <f>LN(Acciones!B81/Acciones!B80)</f>
        <v>-1.0080359158406936E-2</v>
      </c>
      <c r="C81" s="29">
        <f>LN(Acciones!C81/Acciones!C80)</f>
        <v>-4.5353727677572408E-3</v>
      </c>
      <c r="D81" s="29">
        <f>LN(Acciones!D81/Acciones!D80)</f>
        <v>-4.8900479306986282E-3</v>
      </c>
      <c r="E81" s="29">
        <f>LN(Acciones!E81/Acciones!E80)</f>
        <v>-1.0118120402111954E-2</v>
      </c>
      <c r="M81" s="30">
        <f ca="1">Acciones!$B$751*EXP((H$2-H$3/2)*(1)+H$4*_xlfn.NORM.S.INV(RAND())*SQRT(1))</f>
        <v>10.577205171049652</v>
      </c>
      <c r="N81" s="30">
        <f ca="1">Acciones!$C$751*EXP((I$2-I$3/2)*(1)+I$4*_xlfn.NORM.S.INV(RAND())*SQRT(1))</f>
        <v>149.95798975056709</v>
      </c>
      <c r="O81" s="30">
        <f ca="1">Acciones!$D$751*EXP((J$2-J$3/2)*(1)+J$4*_xlfn.NORM.S.INV(RAND())*SQRT(1))</f>
        <v>993.36030649406121</v>
      </c>
      <c r="P81" s="30">
        <f ca="1">Acciones!$E$751*EXP((K$2-K$3/2)*(1)+K$4*_xlfn.NORM.S.INV(RAND())*SQRT(1))</f>
        <v>0.13102482756174127</v>
      </c>
      <c r="Q81" s="30"/>
      <c r="R81">
        <f ca="1">M81/Acciones!$B$751*$I$10 + N81/Acciones!$C$751*$I$11 + O81/Acciones!$D$751*$I$12 + P81/Acciones!$D$751*$I$13</f>
        <v>22707.014971406901</v>
      </c>
      <c r="T81" s="14">
        <f t="shared" ca="1" si="4"/>
        <v>-5792.9850285930988</v>
      </c>
      <c r="V81">
        <v>-6336.8150996064433</v>
      </c>
    </row>
    <row r="82" spans="1:22" x14ac:dyDescent="0.2">
      <c r="A82" s="1">
        <f>Acciones!A82</f>
        <v>45114</v>
      </c>
      <c r="B82" s="29">
        <f>LN(Acciones!B82/Acciones!B81)</f>
        <v>4.9058216926158908E-2</v>
      </c>
      <c r="C82" s="29">
        <f>LN(Acciones!C82/Acciones!C81)</f>
        <v>1.133747175163731E-2</v>
      </c>
      <c r="D82" s="29">
        <f>LN(Acciones!D82/Acciones!D81)</f>
        <v>-1.0270477790124174E-2</v>
      </c>
      <c r="E82" s="29">
        <f>LN(Acciones!E82/Acciones!E81)</f>
        <v>0</v>
      </c>
      <c r="M82" s="30">
        <f ca="1">Acciones!$B$751*EXP((H$2-H$3/2)*(1)+H$4*_xlfn.NORM.S.INV(RAND())*SQRT(1))</f>
        <v>10.744055426607298</v>
      </c>
      <c r="N82" s="30">
        <f ca="1">Acciones!$C$751*EXP((I$2-I$3/2)*(1)+I$4*_xlfn.NORM.S.INV(RAND())*SQRT(1))</f>
        <v>147.94777885919768</v>
      </c>
      <c r="O82" s="30">
        <f ca="1">Acciones!$D$751*EXP((J$2-J$3/2)*(1)+J$4*_xlfn.NORM.S.INV(RAND())*SQRT(1))</f>
        <v>1016.8126171182158</v>
      </c>
      <c r="P82" s="30">
        <f ca="1">Acciones!$E$751*EXP((K$2-K$3/2)*(1)+K$4*_xlfn.NORM.S.INV(RAND())*SQRT(1))</f>
        <v>0.14299891169124168</v>
      </c>
      <c r="Q82" s="30"/>
      <c r="R82">
        <f ca="1">M82/Acciones!$B$751*$I$10 + N82/Acciones!$C$751*$I$11 + O82/Acciones!$D$751*$I$12 + P82/Acciones!$D$751*$I$13</f>
        <v>22870.001637365782</v>
      </c>
      <c r="T82" s="14">
        <f t="shared" ca="1" si="4"/>
        <v>-5629.9983626342182</v>
      </c>
      <c r="V82">
        <v>-6335.4971130675112</v>
      </c>
    </row>
    <row r="83" spans="1:22" x14ac:dyDescent="0.2">
      <c r="A83" s="1">
        <f>Acciones!A83</f>
        <v>45117</v>
      </c>
      <c r="B83" s="29">
        <f>LN(Acciones!B83/Acciones!B82)</f>
        <v>-1.8752893503186974E-2</v>
      </c>
      <c r="C83" s="29">
        <f>LN(Acciones!C83/Acciones!C82)</f>
        <v>7.6059004875637493E-2</v>
      </c>
      <c r="D83" s="29">
        <f>LN(Acciones!D83/Acciones!D82)</f>
        <v>3.9131282463508842E-3</v>
      </c>
      <c r="E83" s="29">
        <f>LN(Acciones!E83/Acciones!E82)</f>
        <v>0</v>
      </c>
      <c r="M83" s="30">
        <f ca="1">Acciones!$B$751*EXP((H$2-H$3/2)*(1)+H$4*_xlfn.NORM.S.INV(RAND())*SQRT(1))</f>
        <v>10.57168961960701</v>
      </c>
      <c r="N83" s="30">
        <f ca="1">Acciones!$C$751*EXP((I$2-I$3/2)*(1)+I$4*_xlfn.NORM.S.INV(RAND())*SQRT(1))</f>
        <v>138.6144940137753</v>
      </c>
      <c r="O83" s="30">
        <f ca="1">Acciones!$D$751*EXP((J$2-J$3/2)*(1)+J$4*_xlfn.NORM.S.INV(RAND())*SQRT(1))</f>
        <v>968.52400377889376</v>
      </c>
      <c r="P83" s="30">
        <f ca="1">Acciones!$E$751*EXP((K$2-K$3/2)*(1)+K$4*_xlfn.NORM.S.INV(RAND())*SQRT(1))</f>
        <v>0.13019894790769135</v>
      </c>
      <c r="Q83" s="30"/>
      <c r="R83">
        <f ca="1">M83/Acciones!$B$751*$I$10 + N83/Acciones!$C$751*$I$11 + O83/Acciones!$D$751*$I$12 + P83/Acciones!$D$751*$I$13</f>
        <v>21748.200419254681</v>
      </c>
      <c r="T83" s="14">
        <f t="shared" ca="1" si="4"/>
        <v>-6751.799580745319</v>
      </c>
      <c r="V83">
        <v>-6331.8179114544873</v>
      </c>
    </row>
    <row r="84" spans="1:22" x14ac:dyDescent="0.2">
      <c r="A84" s="1">
        <f>Acciones!A84</f>
        <v>45118</v>
      </c>
      <c r="B84" s="29">
        <f>LN(Acciones!B84/Acciones!B83)</f>
        <v>2.908077829228071E-3</v>
      </c>
      <c r="C84" s="29">
        <f>LN(Acciones!C84/Acciones!C83)</f>
        <v>2.7997285749099026E-2</v>
      </c>
      <c r="D84" s="29">
        <f>LN(Acciones!D84/Acciones!D83)</f>
        <v>2.0439302984612488E-2</v>
      </c>
      <c r="E84" s="29">
        <f>LN(Acciones!E84/Acciones!E83)</f>
        <v>0</v>
      </c>
      <c r="M84" s="30">
        <f ca="1">Acciones!$B$751*EXP((H$2-H$3/2)*(1)+H$4*_xlfn.NORM.S.INV(RAND())*SQRT(1))</f>
        <v>10.605294131063591</v>
      </c>
      <c r="N84" s="30">
        <f ca="1">Acciones!$C$751*EXP((I$2-I$3/2)*(1)+I$4*_xlfn.NORM.S.INV(RAND())*SQRT(1))</f>
        <v>140.15907251103721</v>
      </c>
      <c r="O84" s="30">
        <f ca="1">Acciones!$D$751*EXP((J$2-J$3/2)*(1)+J$4*_xlfn.NORM.S.INV(RAND())*SQRT(1))</f>
        <v>985.37705148510838</v>
      </c>
      <c r="P84" s="30">
        <f ca="1">Acciones!$E$751*EXP((K$2-K$3/2)*(1)+K$4*_xlfn.NORM.S.INV(RAND())*SQRT(1))</f>
        <v>0.11554038777851011</v>
      </c>
      <c r="Q84" s="30"/>
      <c r="R84">
        <f ca="1">M84/Acciones!$B$751*$I$10 + N84/Acciones!$C$751*$I$11 + O84/Acciones!$D$751*$I$12 + P84/Acciones!$D$751*$I$13</f>
        <v>22024.148525402121</v>
      </c>
      <c r="T84" s="14">
        <f t="shared" ca="1" si="4"/>
        <v>-6475.8514745978791</v>
      </c>
      <c r="V84">
        <v>-6331.4168992628729</v>
      </c>
    </row>
    <row r="85" spans="1:22" x14ac:dyDescent="0.2">
      <c r="A85" s="1">
        <f>Acciones!A85</f>
        <v>45119</v>
      </c>
      <c r="B85" s="29">
        <f>LN(Acciones!B85/Acciones!B84)</f>
        <v>6.8728420501610399E-3</v>
      </c>
      <c r="C85" s="29">
        <f>LN(Acciones!C85/Acciones!C84)</f>
        <v>-3.8991179904774832E-2</v>
      </c>
      <c r="D85" s="29">
        <f>LN(Acciones!D85/Acciones!D84)</f>
        <v>-9.4446698099240837E-3</v>
      </c>
      <c r="E85" s="29">
        <f>LN(Acciones!E85/Acciones!E84)</f>
        <v>0</v>
      </c>
      <c r="M85" s="30">
        <f ca="1">Acciones!$B$751*EXP((H$2-H$3/2)*(1)+H$4*_xlfn.NORM.S.INV(RAND())*SQRT(1))</f>
        <v>10.642749043298622</v>
      </c>
      <c r="N85" s="30">
        <f ca="1">Acciones!$C$751*EXP((I$2-I$3/2)*(1)+I$4*_xlfn.NORM.S.INV(RAND())*SQRT(1))</f>
        <v>135.18308691193045</v>
      </c>
      <c r="O85" s="30">
        <f ca="1">Acciones!$D$751*EXP((J$2-J$3/2)*(1)+J$4*_xlfn.NORM.S.INV(RAND())*SQRT(1))</f>
        <v>1001.7729610809132</v>
      </c>
      <c r="P85" s="30">
        <f ca="1">Acciones!$E$751*EXP((K$2-K$3/2)*(1)+K$4*_xlfn.NORM.S.INV(RAND())*SQRT(1))</f>
        <v>0.12974890357192345</v>
      </c>
      <c r="Q85" s="30"/>
      <c r="R85">
        <f ca="1">M85/Acciones!$B$751*$I$10 + N85/Acciones!$C$751*$I$11 + O85/Acciones!$D$751*$I$12 + P85/Acciones!$D$751*$I$13</f>
        <v>21889.778508828909</v>
      </c>
      <c r="T85" s="14">
        <f t="shared" ca="1" si="4"/>
        <v>-6610.2214911710907</v>
      </c>
      <c r="V85">
        <v>-6325.5132316350391</v>
      </c>
    </row>
    <row r="86" spans="1:22" x14ac:dyDescent="0.2">
      <c r="A86" s="1">
        <f>Acciones!A86</f>
        <v>45120</v>
      </c>
      <c r="B86" s="29">
        <f>LN(Acciones!B86/Acciones!B85)</f>
        <v>-1.3793247139946259E-2</v>
      </c>
      <c r="C86" s="29">
        <f>LN(Acciones!C86/Acciones!C85)</f>
        <v>0.13098815809625947</v>
      </c>
      <c r="D86" s="29">
        <f>LN(Acciones!D86/Acciones!D85)</f>
        <v>3.854429434850617E-5</v>
      </c>
      <c r="E86" s="29">
        <f>LN(Acciones!E86/Acciones!E85)</f>
        <v>1.6807102152411848E-2</v>
      </c>
      <c r="M86" s="30">
        <f ca="1">Acciones!$B$751*EXP((H$2-H$3/2)*(1)+H$4*_xlfn.NORM.S.INV(RAND())*SQRT(1))</f>
        <v>10.991027521368572</v>
      </c>
      <c r="N86" s="30">
        <f ca="1">Acciones!$C$751*EXP((I$2-I$3/2)*(1)+I$4*_xlfn.NORM.S.INV(RAND())*SQRT(1))</f>
        <v>152.54734226617362</v>
      </c>
      <c r="O86" s="30">
        <f ca="1">Acciones!$D$751*EXP((J$2-J$3/2)*(1)+J$4*_xlfn.NORM.S.INV(RAND())*SQRT(1))</f>
        <v>986.89392399008489</v>
      </c>
      <c r="P86" s="30">
        <f ca="1">Acciones!$E$751*EXP((K$2-K$3/2)*(1)+K$4*_xlfn.NORM.S.INV(RAND())*SQRT(1))</f>
        <v>0.12305714526714541</v>
      </c>
      <c r="Q86" s="30"/>
      <c r="R86">
        <f ca="1">M86/Acciones!$B$751*$I$10 + N86/Acciones!$C$751*$I$11 + O86/Acciones!$D$751*$I$12 + P86/Acciones!$D$751*$I$13</f>
        <v>22936.632962166288</v>
      </c>
      <c r="T86" s="14">
        <f t="shared" ca="1" si="4"/>
        <v>-5563.3670378337119</v>
      </c>
      <c r="V86">
        <v>-6319.4647712633232</v>
      </c>
    </row>
    <row r="87" spans="1:22" x14ac:dyDescent="0.2">
      <c r="A87" s="1">
        <f>Acciones!A87</f>
        <v>45121</v>
      </c>
      <c r="B87" s="29">
        <f>LN(Acciones!B87/Acciones!B86)</f>
        <v>-2.6292996162414786E-2</v>
      </c>
      <c r="C87" s="29">
        <f>LN(Acciones!C87/Acciones!C86)</f>
        <v>-6.6274225810248777E-2</v>
      </c>
      <c r="D87" s="29">
        <f>LN(Acciones!D87/Acciones!D86)</f>
        <v>-4.9574120738391063E-3</v>
      </c>
      <c r="E87" s="29">
        <f>LN(Acciones!E87/Acciones!E86)</f>
        <v>0</v>
      </c>
      <c r="M87" s="30">
        <f ca="1">Acciones!$B$751*EXP((H$2-H$3/2)*(1)+H$4*_xlfn.NORM.S.INV(RAND())*SQRT(1))</f>
        <v>10.86156764084903</v>
      </c>
      <c r="N87" s="30">
        <f ca="1">Acciones!$C$751*EXP((I$2-I$3/2)*(1)+I$4*_xlfn.NORM.S.INV(RAND())*SQRT(1))</f>
        <v>141.88561869641728</v>
      </c>
      <c r="O87" s="30">
        <f ca="1">Acciones!$D$751*EXP((J$2-J$3/2)*(1)+J$4*_xlfn.NORM.S.INV(RAND())*SQRT(1))</f>
        <v>1002.7324587034477</v>
      </c>
      <c r="P87" s="30">
        <f ca="1">Acciones!$E$751*EXP((K$2-K$3/2)*(1)+K$4*_xlfn.NORM.S.INV(RAND())*SQRT(1))</f>
        <v>0.12453753684953922</v>
      </c>
      <c r="Q87" s="30"/>
      <c r="R87">
        <f ca="1">M87/Acciones!$B$751*$I$10 + N87/Acciones!$C$751*$I$11 + O87/Acciones!$D$751*$I$12 + P87/Acciones!$D$751*$I$13</f>
        <v>22388.054252949587</v>
      </c>
      <c r="T87" s="14">
        <f t="shared" ca="1" si="4"/>
        <v>-6111.945747050413</v>
      </c>
      <c r="V87">
        <v>-6316.1465598358409</v>
      </c>
    </row>
    <row r="88" spans="1:22" x14ac:dyDescent="0.2">
      <c r="A88" s="1">
        <f>Acciones!A88</f>
        <v>45124</v>
      </c>
      <c r="B88" s="29">
        <f>LN(Acciones!B88/Acciones!B87)</f>
        <v>2.2488523686930526E-3</v>
      </c>
      <c r="C88" s="29">
        <f>LN(Acciones!C88/Acciones!C87)</f>
        <v>-4.8768787035224442E-2</v>
      </c>
      <c r="D88" s="29">
        <f>LN(Acciones!D88/Acciones!D87)</f>
        <v>5.5066917834528089E-3</v>
      </c>
      <c r="E88" s="29">
        <f>LN(Acciones!E88/Acciones!E87)</f>
        <v>0</v>
      </c>
      <c r="M88" s="30">
        <f ca="1">Acciones!$B$751*EXP((H$2-H$3/2)*(1)+H$4*_xlfn.NORM.S.INV(RAND())*SQRT(1))</f>
        <v>11.537561803461491</v>
      </c>
      <c r="N88" s="30">
        <f ca="1">Acciones!$C$751*EXP((I$2-I$3/2)*(1)+I$4*_xlfn.NORM.S.INV(RAND())*SQRT(1))</f>
        <v>149.384054345663</v>
      </c>
      <c r="O88" s="30">
        <f ca="1">Acciones!$D$751*EXP((J$2-J$3/2)*(1)+J$4*_xlfn.NORM.S.INV(RAND())*SQRT(1))</f>
        <v>1030.100190141585</v>
      </c>
      <c r="P88" s="30">
        <f ca="1">Acciones!$E$751*EXP((K$2-K$3/2)*(1)+K$4*_xlfn.NORM.S.INV(RAND())*SQRT(1))</f>
        <v>0.1275802103160506</v>
      </c>
      <c r="Q88" s="30"/>
      <c r="R88">
        <f ca="1">M88/Acciones!$B$751*$I$10 + N88/Acciones!$C$751*$I$11 + O88/Acciones!$D$751*$I$12 + P88/Acciones!$D$751*$I$13</f>
        <v>23347.251510281931</v>
      </c>
      <c r="T88" s="14">
        <f t="shared" ca="1" si="4"/>
        <v>-5152.7484897180693</v>
      </c>
      <c r="V88">
        <v>-6315.1011344041144</v>
      </c>
    </row>
    <row r="89" spans="1:22" x14ac:dyDescent="0.2">
      <c r="A89" s="1">
        <f>Acciones!A89</f>
        <v>45125</v>
      </c>
      <c r="B89" s="29">
        <f>LN(Acciones!B89/Acciones!B88)</f>
        <v>-3.7441979581049581E-4</v>
      </c>
      <c r="C89" s="29">
        <f>LN(Acciones!C89/Acciones!C88)</f>
        <v>-2.7203234963728597E-2</v>
      </c>
      <c r="D89" s="29">
        <f>LN(Acciones!D89/Acciones!D88)</f>
        <v>8.3558805241891517E-3</v>
      </c>
      <c r="E89" s="29">
        <f>LN(Acciones!E89/Acciones!E88)</f>
        <v>0</v>
      </c>
      <c r="M89" s="30">
        <f ca="1">Acciones!$B$751*EXP((H$2-H$3/2)*(1)+H$4*_xlfn.NORM.S.INV(RAND())*SQRT(1))</f>
        <v>11.368733275399723</v>
      </c>
      <c r="N89" s="30">
        <f ca="1">Acciones!$C$751*EXP((I$2-I$3/2)*(1)+I$4*_xlfn.NORM.S.INV(RAND())*SQRT(1))</f>
        <v>150.7388973913055</v>
      </c>
      <c r="O89" s="30">
        <f ca="1">Acciones!$D$751*EXP((J$2-J$3/2)*(1)+J$4*_xlfn.NORM.S.INV(RAND())*SQRT(1))</f>
        <v>1023.5689986851722</v>
      </c>
      <c r="P89" s="30">
        <f ca="1">Acciones!$E$751*EXP((K$2-K$3/2)*(1)+K$4*_xlfn.NORM.S.INV(RAND())*SQRT(1))</f>
        <v>0.12543427061805967</v>
      </c>
      <c r="Q89" s="30"/>
      <c r="R89">
        <f ca="1">M89/Acciones!$B$751*$I$10 + N89/Acciones!$C$751*$I$11 + O89/Acciones!$D$751*$I$12 + P89/Acciones!$D$751*$I$13</f>
        <v>23312.253391093363</v>
      </c>
      <c r="T89" s="14">
        <f t="shared" ca="1" si="4"/>
        <v>-5187.7466089066365</v>
      </c>
      <c r="V89">
        <v>-6309.4795509215728</v>
      </c>
    </row>
    <row r="90" spans="1:22" x14ac:dyDescent="0.2">
      <c r="A90" s="1">
        <f>Acciones!A90</f>
        <v>45126</v>
      </c>
      <c r="B90" s="29">
        <f>LN(Acciones!B90/Acciones!B89)</f>
        <v>0</v>
      </c>
      <c r="C90" s="29">
        <f>LN(Acciones!C90/Acciones!C89)</f>
        <v>4.8458823451227505E-2</v>
      </c>
      <c r="D90" s="29">
        <f>LN(Acciones!D90/Acciones!D89)</f>
        <v>3.3652932987089396E-3</v>
      </c>
      <c r="E90" s="29">
        <f>LN(Acciones!E90/Acciones!E89)</f>
        <v>0</v>
      </c>
      <c r="M90" s="30">
        <f ca="1">Acciones!$B$751*EXP((H$2-H$3/2)*(1)+H$4*_xlfn.NORM.S.INV(RAND())*SQRT(1))</f>
        <v>11.101634539159782</v>
      </c>
      <c r="N90" s="30">
        <f ca="1">Acciones!$C$751*EXP((I$2-I$3/2)*(1)+I$4*_xlfn.NORM.S.INV(RAND())*SQRT(1))</f>
        <v>153.63260371459822</v>
      </c>
      <c r="O90" s="30">
        <f ca="1">Acciones!$D$751*EXP((J$2-J$3/2)*(1)+J$4*_xlfn.NORM.S.INV(RAND())*SQRT(1))</f>
        <v>978.01003099631453</v>
      </c>
      <c r="P90" s="30">
        <f ca="1">Acciones!$E$751*EXP((K$2-K$3/2)*(1)+K$4*_xlfn.NORM.S.INV(RAND())*SQRT(1))</f>
        <v>0.13447599293090523</v>
      </c>
      <c r="Q90" s="30"/>
      <c r="R90">
        <f ca="1">M90/Acciones!$B$751*$I$10 + N90/Acciones!$C$751*$I$11 + O90/Acciones!$D$751*$I$12 + P90/Acciones!$D$751*$I$13</f>
        <v>22950.956437203145</v>
      </c>
      <c r="T90" s="14">
        <f t="shared" ca="1" si="4"/>
        <v>-5549.0435627968545</v>
      </c>
      <c r="V90">
        <v>-6308.3152989962182</v>
      </c>
    </row>
    <row r="91" spans="1:22" x14ac:dyDescent="0.2">
      <c r="A91" s="1">
        <f>Acciones!A91</f>
        <v>45127</v>
      </c>
      <c r="B91" s="29">
        <f>LN(Acciones!B91/Acciones!B90)</f>
        <v>-1.6235978128459765E-2</v>
      </c>
      <c r="C91" s="29">
        <f>LN(Acciones!C91/Acciones!C90)</f>
        <v>-3.3277941138679705E-2</v>
      </c>
      <c r="D91" s="29">
        <f>LN(Acciones!D91/Acciones!D90)</f>
        <v>-1.4041189555353715E-2</v>
      </c>
      <c r="E91" s="29">
        <f>LN(Acciones!E91/Acciones!E90)</f>
        <v>0</v>
      </c>
      <c r="M91" s="30">
        <f ca="1">Acciones!$B$751*EXP((H$2-H$3/2)*(1)+H$4*_xlfn.NORM.S.INV(RAND())*SQRT(1))</f>
        <v>11.12825305622253</v>
      </c>
      <c r="N91" s="30">
        <f ca="1">Acciones!$C$751*EXP((I$2-I$3/2)*(1)+I$4*_xlfn.NORM.S.INV(RAND())*SQRT(1))</f>
        <v>151.91346264605039</v>
      </c>
      <c r="O91" s="30">
        <f ca="1">Acciones!$D$751*EXP((J$2-J$3/2)*(1)+J$4*_xlfn.NORM.S.INV(RAND())*SQRT(1))</f>
        <v>983.34286378022705</v>
      </c>
      <c r="P91" s="30">
        <f ca="1">Acciones!$E$751*EXP((K$2-K$3/2)*(1)+K$4*_xlfn.NORM.S.INV(RAND())*SQRT(1))</f>
        <v>0.12747958043521251</v>
      </c>
      <c r="Q91" s="30"/>
      <c r="R91">
        <f ca="1">M91/Acciones!$B$751*$I$10 + N91/Acciones!$C$751*$I$11 + O91/Acciones!$D$751*$I$12 + P91/Acciones!$D$751*$I$13</f>
        <v>22905.532827456314</v>
      </c>
      <c r="T91" s="14">
        <f t="shared" ca="1" si="4"/>
        <v>-5594.4671725436856</v>
      </c>
      <c r="V91">
        <v>-6299.6435758372754</v>
      </c>
    </row>
    <row r="92" spans="1:22" x14ac:dyDescent="0.2">
      <c r="A92" s="1">
        <f>Acciones!A92</f>
        <v>45128</v>
      </c>
      <c r="B92" s="29">
        <f>LN(Acciones!B92/Acciones!B91)</f>
        <v>-4.5784412657686986E-3</v>
      </c>
      <c r="C92" s="29">
        <f>LN(Acciones!C92/Acciones!C91)</f>
        <v>3.6288048496277902E-3</v>
      </c>
      <c r="D92" s="29">
        <f>LN(Acciones!D92/Acciones!D91)</f>
        <v>1.4176796420031508E-2</v>
      </c>
      <c r="E92" s="29">
        <f>LN(Acciones!E92/Acciones!E91)</f>
        <v>-3.3388980759694316E-3</v>
      </c>
      <c r="M92" s="30">
        <f ca="1">Acciones!$B$751*EXP((H$2-H$3/2)*(1)+H$4*_xlfn.NORM.S.INV(RAND())*SQRT(1))</f>
        <v>10.819240507246962</v>
      </c>
      <c r="N92" s="30">
        <f ca="1">Acciones!$C$751*EXP((I$2-I$3/2)*(1)+I$4*_xlfn.NORM.S.INV(RAND())*SQRT(1))</f>
        <v>155.05617519666842</v>
      </c>
      <c r="O92" s="30">
        <f ca="1">Acciones!$D$751*EXP((J$2-J$3/2)*(1)+J$4*_xlfn.NORM.S.INV(RAND())*SQRT(1))</f>
        <v>1017.3667624458294</v>
      </c>
      <c r="P92" s="30">
        <f ca="1">Acciones!$E$751*EXP((K$2-K$3/2)*(1)+K$4*_xlfn.NORM.S.INV(RAND())*SQRT(1))</f>
        <v>0.12369255248977847</v>
      </c>
      <c r="Q92" s="30"/>
      <c r="R92">
        <f ca="1">M92/Acciones!$B$751*$I$10 + N92/Acciones!$C$751*$I$11 + O92/Acciones!$D$751*$I$12 + P92/Acciones!$D$751*$I$13</f>
        <v>23343.402496695413</v>
      </c>
      <c r="T92" s="14">
        <f t="shared" ca="1" si="4"/>
        <v>-5156.597503304587</v>
      </c>
      <c r="V92">
        <v>-6299.1947866213268</v>
      </c>
    </row>
    <row r="93" spans="1:22" x14ac:dyDescent="0.2">
      <c r="A93" s="1">
        <f>Acciones!A93</f>
        <v>45131</v>
      </c>
      <c r="B93" s="29">
        <f>LN(Acciones!B93/Acciones!B92)</f>
        <v>-5.7526295665215974E-3</v>
      </c>
      <c r="C93" s="29">
        <f>LN(Acciones!C93/Acciones!C92)</f>
        <v>-4.3057870417578692E-2</v>
      </c>
      <c r="D93" s="29">
        <f>LN(Acciones!D93/Acciones!D92)</f>
        <v>2.861391349891627E-3</v>
      </c>
      <c r="E93" s="29">
        <f>LN(Acciones!E93/Acciones!E92)</f>
        <v>0</v>
      </c>
      <c r="M93" s="30">
        <f ca="1">Acciones!$B$751*EXP((H$2-H$3/2)*(1)+H$4*_xlfn.NORM.S.INV(RAND())*SQRT(1))</f>
        <v>11.497194962805953</v>
      </c>
      <c r="N93" s="30">
        <f ca="1">Acciones!$C$751*EXP((I$2-I$3/2)*(1)+I$4*_xlfn.NORM.S.INV(RAND())*SQRT(1))</f>
        <v>147.77032725986064</v>
      </c>
      <c r="O93" s="30">
        <f ca="1">Acciones!$D$751*EXP((J$2-J$3/2)*(1)+J$4*_xlfn.NORM.S.INV(RAND())*SQRT(1))</f>
        <v>967.59404715369442</v>
      </c>
      <c r="P93" s="30">
        <f ca="1">Acciones!$E$751*EXP((K$2-K$3/2)*(1)+K$4*_xlfn.NORM.S.INV(RAND())*SQRT(1))</f>
        <v>0.12768094572313102</v>
      </c>
      <c r="Q93" s="30"/>
      <c r="R93">
        <f ca="1">M93/Acciones!$B$751*$I$10 + N93/Acciones!$C$751*$I$11 + O93/Acciones!$D$751*$I$12 + P93/Acciones!$D$751*$I$13</f>
        <v>22607.455378273055</v>
      </c>
      <c r="T93" s="14">
        <f t="shared" ca="1" si="4"/>
        <v>-5892.5446217269455</v>
      </c>
      <c r="V93">
        <v>-6297.4369507148949</v>
      </c>
    </row>
    <row r="94" spans="1:22" x14ac:dyDescent="0.2">
      <c r="A94" s="1">
        <f>Acciones!A94</f>
        <v>45132</v>
      </c>
      <c r="B94" s="29">
        <f>LN(Acciones!B94/Acciones!B93)</f>
        <v>2.6886998976337769E-3</v>
      </c>
      <c r="C94" s="29">
        <f>LN(Acciones!C94/Acciones!C93)</f>
        <v>-3.6371145685394629E-4</v>
      </c>
      <c r="D94" s="29">
        <f>LN(Acciones!D94/Acciones!D93)</f>
        <v>-7.261272060046663E-3</v>
      </c>
      <c r="E94" s="29">
        <f>LN(Acciones!E94/Acciones!E93)</f>
        <v>0</v>
      </c>
      <c r="M94" s="30">
        <f ca="1">Acciones!$B$751*EXP((H$2-H$3/2)*(1)+H$4*_xlfn.NORM.S.INV(RAND())*SQRT(1))</f>
        <v>11.10189784212286</v>
      </c>
      <c r="N94" s="30">
        <f ca="1">Acciones!$C$751*EXP((I$2-I$3/2)*(1)+I$4*_xlfn.NORM.S.INV(RAND())*SQRT(1))</f>
        <v>143.68952612309619</v>
      </c>
      <c r="O94" s="30">
        <f ca="1">Acciones!$D$751*EXP((J$2-J$3/2)*(1)+J$4*_xlfn.NORM.S.INV(RAND())*SQRT(1))</f>
        <v>991.10471215142877</v>
      </c>
      <c r="P94" s="30">
        <f ca="1">Acciones!$E$751*EXP((K$2-K$3/2)*(1)+K$4*_xlfn.NORM.S.INV(RAND())*SQRT(1))</f>
        <v>0.13213260682526687</v>
      </c>
      <c r="Q94" s="30"/>
      <c r="R94">
        <f ca="1">M94/Acciones!$B$751*$I$10 + N94/Acciones!$C$751*$I$11 + O94/Acciones!$D$751*$I$12 + P94/Acciones!$D$751*$I$13</f>
        <v>22461.360202259719</v>
      </c>
      <c r="T94" s="14">
        <f t="shared" ca="1" si="4"/>
        <v>-6038.6397977402812</v>
      </c>
      <c r="V94">
        <v>-6296.7654570481391</v>
      </c>
    </row>
    <row r="95" spans="1:22" x14ac:dyDescent="0.2">
      <c r="A95" s="1">
        <f>Acciones!A95</f>
        <v>45133</v>
      </c>
      <c r="B95" s="29">
        <f>LN(Acciones!B95/Acciones!B94)</f>
        <v>-1.5354924147942147E-3</v>
      </c>
      <c r="C95" s="29">
        <f>LN(Acciones!C95/Acciones!C94)</f>
        <v>2.9003112948225999E-2</v>
      </c>
      <c r="D95" s="29">
        <f>LN(Acciones!D95/Acciones!D94)</f>
        <v>4.009155537213773E-3</v>
      </c>
      <c r="E95" s="29">
        <f>LN(Acciones!E95/Acciones!E94)</f>
        <v>0</v>
      </c>
      <c r="M95" s="30">
        <f ca="1">Acciones!$B$751*EXP((H$2-H$3/2)*(1)+H$4*_xlfn.NORM.S.INV(RAND())*SQRT(1))</f>
        <v>10.521261326845163</v>
      </c>
      <c r="N95" s="30">
        <f ca="1">Acciones!$C$751*EXP((I$2-I$3/2)*(1)+I$4*_xlfn.NORM.S.INV(RAND())*SQRT(1))</f>
        <v>140.37269341512382</v>
      </c>
      <c r="O95" s="30">
        <f ca="1">Acciones!$D$751*EXP((J$2-J$3/2)*(1)+J$4*_xlfn.NORM.S.INV(RAND())*SQRT(1))</f>
        <v>1006.84554889574</v>
      </c>
      <c r="P95" s="30">
        <f ca="1">Acciones!$E$751*EXP((K$2-K$3/2)*(1)+K$4*_xlfn.NORM.S.INV(RAND())*SQRT(1))</f>
        <v>0.12763485374714392</v>
      </c>
      <c r="Q95" s="30"/>
      <c r="R95">
        <f ca="1">M95/Acciones!$B$751*$I$10 + N95/Acciones!$C$751*$I$11 + O95/Acciones!$D$751*$I$12 + P95/Acciones!$D$751*$I$13</f>
        <v>22225.632659079321</v>
      </c>
      <c r="T95" s="14">
        <f t="shared" ca="1" si="4"/>
        <v>-6274.3673409206785</v>
      </c>
      <c r="V95">
        <v>-6292.850826326081</v>
      </c>
    </row>
    <row r="96" spans="1:22" x14ac:dyDescent="0.2">
      <c r="A96" s="1">
        <f>Acciones!A96</f>
        <v>45134</v>
      </c>
      <c r="B96" s="29">
        <f>LN(Acciones!B96/Acciones!B95)</f>
        <v>-8.1004419746501955E-3</v>
      </c>
      <c r="C96" s="29">
        <f>LN(Acciones!C96/Acciones!C95)</f>
        <v>-4.8878507294185788E-2</v>
      </c>
      <c r="D96" s="29">
        <f>LN(Acciones!D96/Acciones!D95)</f>
        <v>-1.2564984111100085E-2</v>
      </c>
      <c r="E96" s="29">
        <f>LN(Acciones!E96/Acciones!E95)</f>
        <v>0</v>
      </c>
      <c r="M96" s="30">
        <f ca="1">Acciones!$B$751*EXP((H$2-H$3/2)*(1)+H$4*_xlfn.NORM.S.INV(RAND())*SQRT(1))</f>
        <v>10.756582995258285</v>
      </c>
      <c r="N96" s="30">
        <f ca="1">Acciones!$C$751*EXP((I$2-I$3/2)*(1)+I$4*_xlfn.NORM.S.INV(RAND())*SQRT(1))</f>
        <v>150.26227609310374</v>
      </c>
      <c r="O96" s="30">
        <f ca="1">Acciones!$D$751*EXP((J$2-J$3/2)*(1)+J$4*_xlfn.NORM.S.INV(RAND())*SQRT(1))</f>
        <v>1031.1252169333302</v>
      </c>
      <c r="P96" s="30">
        <f ca="1">Acciones!$E$751*EXP((K$2-K$3/2)*(1)+K$4*_xlfn.NORM.S.INV(RAND())*SQRT(1))</f>
        <v>0.13163023779108507</v>
      </c>
      <c r="Q96" s="30"/>
      <c r="R96">
        <f ca="1">M96/Acciones!$B$751*$I$10 + N96/Acciones!$C$751*$I$11 + O96/Acciones!$D$751*$I$12 + P96/Acciones!$D$751*$I$13</f>
        <v>23161.832517118768</v>
      </c>
      <c r="T96" s="14">
        <f t="shared" ca="1" si="4"/>
        <v>-5338.167482881232</v>
      </c>
      <c r="V96">
        <v>-6274.5678662865321</v>
      </c>
    </row>
    <row r="97" spans="1:22" x14ac:dyDescent="0.2">
      <c r="A97" s="1">
        <f>Acciones!A97</f>
        <v>45135</v>
      </c>
      <c r="B97" s="29">
        <f>LN(Acciones!B97/Acciones!B96)</f>
        <v>2.3728762332202134E-2</v>
      </c>
      <c r="C97" s="29">
        <f>LN(Acciones!C97/Acciones!C96)</f>
        <v>3.6362382645087073E-2</v>
      </c>
      <c r="D97" s="29">
        <f>LN(Acciones!D97/Acciones!D96)</f>
        <v>-6.0601352826509577E-3</v>
      </c>
      <c r="E97" s="29">
        <f>LN(Acciones!E97/Acciones!E96)</f>
        <v>1.9868184393173463E-2</v>
      </c>
      <c r="M97" s="30">
        <f ca="1">Acciones!$B$751*EXP((H$2-H$3/2)*(1)+H$4*_xlfn.NORM.S.INV(RAND())*SQRT(1))</f>
        <v>11.198871903273842</v>
      </c>
      <c r="N97" s="30">
        <f ca="1">Acciones!$C$751*EXP((I$2-I$3/2)*(1)+I$4*_xlfn.NORM.S.INV(RAND())*SQRT(1))</f>
        <v>152.76518408728566</v>
      </c>
      <c r="O97" s="30">
        <f ca="1">Acciones!$D$751*EXP((J$2-J$3/2)*(1)+J$4*_xlfn.NORM.S.INV(RAND())*SQRT(1))</f>
        <v>1035.254072075792</v>
      </c>
      <c r="P97" s="30">
        <f ca="1">Acciones!$E$751*EXP((K$2-K$3/2)*(1)+K$4*_xlfn.NORM.S.INV(RAND())*SQRT(1))</f>
        <v>0.13317908736741582</v>
      </c>
      <c r="Q97" s="30"/>
      <c r="R97">
        <f ca="1">M97/Acciones!$B$751*$I$10 + N97/Acciones!$C$751*$I$11 + O97/Acciones!$D$751*$I$12 + P97/Acciones!$D$751*$I$13</f>
        <v>23501.364163472757</v>
      </c>
      <c r="T97" s="14">
        <f t="shared" ca="1" si="4"/>
        <v>-4998.6358365272426</v>
      </c>
      <c r="V97">
        <v>-6272.6414992052923</v>
      </c>
    </row>
    <row r="98" spans="1:22" x14ac:dyDescent="0.2">
      <c r="A98" s="1">
        <f>Acciones!A98</f>
        <v>45138</v>
      </c>
      <c r="B98" s="29">
        <f>LN(Acciones!B98/Acciones!B97)</f>
        <v>1.0534220574264631E-2</v>
      </c>
      <c r="C98" s="29">
        <f>LN(Acciones!C98/Acciones!C97)</f>
        <v>4.008318057888581E-2</v>
      </c>
      <c r="D98" s="29">
        <f>LN(Acciones!D98/Acciones!D97)</f>
        <v>2.160658009732986E-2</v>
      </c>
      <c r="E98" s="29">
        <f>LN(Acciones!E98/Acciones!E97)</f>
        <v>0</v>
      </c>
      <c r="M98" s="30">
        <f ca="1">Acciones!$B$751*EXP((H$2-H$3/2)*(1)+H$4*_xlfn.NORM.S.INV(RAND())*SQRT(1))</f>
        <v>10.645100123956615</v>
      </c>
      <c r="N98" s="30">
        <f ca="1">Acciones!$C$751*EXP((I$2-I$3/2)*(1)+I$4*_xlfn.NORM.S.INV(RAND())*SQRT(1))</f>
        <v>150.11145933221641</v>
      </c>
      <c r="O98" s="30">
        <f ca="1">Acciones!$D$751*EXP((J$2-J$3/2)*(1)+J$4*_xlfn.NORM.S.INV(RAND())*SQRT(1))</f>
        <v>986.20999357235189</v>
      </c>
      <c r="P98" s="30">
        <f ca="1">Acciones!$E$751*EXP((K$2-K$3/2)*(1)+K$4*_xlfn.NORM.S.INV(RAND())*SQRT(1))</f>
        <v>0.12575544226783672</v>
      </c>
      <c r="Q98" s="30"/>
      <c r="R98">
        <f ca="1">M98/Acciones!$B$751*$I$10 + N98/Acciones!$C$751*$I$11 + O98/Acciones!$D$751*$I$12 + P98/Acciones!$D$751*$I$13</f>
        <v>22666.728896344419</v>
      </c>
      <c r="T98" s="14">
        <f t="shared" ca="1" si="4"/>
        <v>-5833.2711036555811</v>
      </c>
      <c r="V98">
        <v>-6271.7191864782944</v>
      </c>
    </row>
    <row r="99" spans="1:22" x14ac:dyDescent="0.2">
      <c r="A99" s="1">
        <f>Acciones!A99</f>
        <v>45139</v>
      </c>
      <c r="B99" s="29">
        <f>LN(Acciones!B99/Acciones!B98)</f>
        <v>-1.5083233692227509E-2</v>
      </c>
      <c r="C99" s="29">
        <f>LN(Acciones!C99/Acciones!C98)</f>
        <v>-2.3054289908350234E-2</v>
      </c>
      <c r="D99" s="29">
        <f>LN(Acciones!D99/Acciones!D98)</f>
        <v>2.7065581925407703E-4</v>
      </c>
      <c r="E99" s="29">
        <f>LN(Acciones!E99/Acciones!E98)</f>
        <v>0</v>
      </c>
      <c r="M99" s="30">
        <f ca="1">Acciones!$B$751*EXP((H$2-H$3/2)*(1)+H$4*_xlfn.NORM.S.INV(RAND())*SQRT(1))</f>
        <v>10.830557368791142</v>
      </c>
      <c r="N99" s="30">
        <f ca="1">Acciones!$C$751*EXP((I$2-I$3/2)*(1)+I$4*_xlfn.NORM.S.INV(RAND())*SQRT(1))</f>
        <v>153.29066523483547</v>
      </c>
      <c r="O99" s="30">
        <f ca="1">Acciones!$D$751*EXP((J$2-J$3/2)*(1)+J$4*_xlfn.NORM.S.INV(RAND())*SQRT(1))</f>
        <v>986.67003787274825</v>
      </c>
      <c r="P99" s="30">
        <f ca="1">Acciones!$E$751*EXP((K$2-K$3/2)*(1)+K$4*_xlfn.NORM.S.INV(RAND())*SQRT(1))</f>
        <v>0.13119668776323992</v>
      </c>
      <c r="Q99" s="30"/>
      <c r="R99">
        <f ca="1">M99/Acciones!$B$751*$I$10 + N99/Acciones!$C$751*$I$11 + O99/Acciones!$D$751*$I$12 + P99/Acciones!$D$751*$I$13</f>
        <v>22929.367265739762</v>
      </c>
      <c r="T99" s="14">
        <f t="shared" ca="1" si="4"/>
        <v>-5570.6327342602381</v>
      </c>
      <c r="V99">
        <v>-6269.7901806683112</v>
      </c>
    </row>
    <row r="100" spans="1:22" x14ac:dyDescent="0.2">
      <c r="A100" s="1">
        <f>Acciones!A100</f>
        <v>45140</v>
      </c>
      <c r="B100" s="29">
        <f>LN(Acciones!B100/Acciones!B99)</f>
        <v>-4.7062861530646399E-2</v>
      </c>
      <c r="C100" s="29">
        <f>LN(Acciones!C100/Acciones!C99)</f>
        <v>-1.3243315914316604E-2</v>
      </c>
      <c r="D100" s="29">
        <f>LN(Acciones!D100/Acciones!D99)</f>
        <v>-4.3383768279654936E-3</v>
      </c>
      <c r="E100" s="29">
        <f>LN(Acciones!E100/Acciones!E99)</f>
        <v>0</v>
      </c>
      <c r="M100" s="30">
        <f ca="1">Acciones!$B$751*EXP((H$2-H$3/2)*(1)+H$4*_xlfn.NORM.S.INV(RAND())*SQRT(1))</f>
        <v>10.697033416896229</v>
      </c>
      <c r="N100" s="30">
        <f ca="1">Acciones!$C$751*EXP((I$2-I$3/2)*(1)+I$4*_xlfn.NORM.S.INV(RAND())*SQRT(1))</f>
        <v>148.33667190316095</v>
      </c>
      <c r="O100" s="30">
        <f ca="1">Acciones!$D$751*EXP((J$2-J$3/2)*(1)+J$4*_xlfn.NORM.S.INV(RAND())*SQRT(1))</f>
        <v>991.85508259782353</v>
      </c>
      <c r="P100" s="30">
        <f ca="1">Acciones!$E$751*EXP((K$2-K$3/2)*(1)+K$4*_xlfn.NORM.S.INV(RAND())*SQRT(1))</f>
        <v>0.12523070236998676</v>
      </c>
      <c r="Q100" s="30"/>
      <c r="R100">
        <f ca="1">M100/Acciones!$B$751*$I$10 + N100/Acciones!$C$751*$I$11 + O100/Acciones!$D$751*$I$12 + P100/Acciones!$D$751*$I$13</f>
        <v>22629.115309503319</v>
      </c>
      <c r="T100" s="14">
        <f t="shared" ca="1" si="4"/>
        <v>-5870.8846904966813</v>
      </c>
      <c r="V100">
        <v>-6258.3895760094529</v>
      </c>
    </row>
    <row r="101" spans="1:22" x14ac:dyDescent="0.2">
      <c r="A101" s="1">
        <f>Acciones!A101</f>
        <v>45141</v>
      </c>
      <c r="B101" s="29">
        <f>LN(Acciones!B101/Acciones!B100)</f>
        <v>1.9891970534351797E-3</v>
      </c>
      <c r="C101" s="29">
        <f>LN(Acciones!C101/Acciones!C100)</f>
        <v>2.280074463320951E-2</v>
      </c>
      <c r="D101" s="29">
        <f>LN(Acciones!D101/Acciones!D100)</f>
        <v>1.6450802748506316E-2</v>
      </c>
      <c r="E101" s="29">
        <f>LN(Acciones!E101/Acciones!E100)</f>
        <v>0</v>
      </c>
      <c r="M101" s="30">
        <f ca="1">Acciones!$B$751*EXP((H$2-H$3/2)*(1)+H$4*_xlfn.NORM.S.INV(RAND())*SQRT(1))</f>
        <v>10.761694022563663</v>
      </c>
      <c r="N101" s="30">
        <f ca="1">Acciones!$C$751*EXP((I$2-I$3/2)*(1)+I$4*_xlfn.NORM.S.INV(RAND())*SQRT(1))</f>
        <v>154.5464946801095</v>
      </c>
      <c r="O101" s="30">
        <f ca="1">Acciones!$D$751*EXP((J$2-J$3/2)*(1)+J$4*_xlfn.NORM.S.INV(RAND())*SQRT(1))</f>
        <v>985.89346778302649</v>
      </c>
      <c r="P101" s="30">
        <f ca="1">Acciones!$E$751*EXP((K$2-K$3/2)*(1)+K$4*_xlfn.NORM.S.INV(RAND())*SQRT(1))</f>
        <v>0.12513652322031579</v>
      </c>
      <c r="Q101" s="30"/>
      <c r="R101">
        <f ca="1">M101/Acciones!$B$751*$I$10 + N101/Acciones!$C$751*$I$11 + O101/Acciones!$D$751*$I$12 + P101/Acciones!$D$751*$I$13</f>
        <v>22977.875569412423</v>
      </c>
      <c r="T101" s="14">
        <f t="shared" ca="1" si="4"/>
        <v>-5522.1244305875771</v>
      </c>
      <c r="V101">
        <v>-6258.3466439183539</v>
      </c>
    </row>
    <row r="102" spans="1:22" x14ac:dyDescent="0.2">
      <c r="A102" s="1">
        <f>Acciones!A102</f>
        <v>45142</v>
      </c>
      <c r="B102" s="29">
        <f>LN(Acciones!B102/Acciones!B101)</f>
        <v>3.629679019266871E-2</v>
      </c>
      <c r="C102" s="29">
        <f>LN(Acciones!C102/Acciones!C101)</f>
        <v>-5.5739087062386464E-2</v>
      </c>
      <c r="D102" s="29">
        <f>LN(Acciones!D102/Acciones!D101)</f>
        <v>-2.7793709846066759E-4</v>
      </c>
      <c r="E102" s="29">
        <f>LN(Acciones!E102/Acciones!E101)</f>
        <v>-1.6529286317203965E-2</v>
      </c>
      <c r="M102" s="30">
        <f ca="1">Acciones!$B$751*EXP((H$2-H$3/2)*(1)+H$4*_xlfn.NORM.S.INV(RAND())*SQRT(1))</f>
        <v>10.873742623975092</v>
      </c>
      <c r="N102" s="30">
        <f ca="1">Acciones!$C$751*EXP((I$2-I$3/2)*(1)+I$4*_xlfn.NORM.S.INV(RAND())*SQRT(1))</f>
        <v>151.12748918027484</v>
      </c>
      <c r="O102" s="30">
        <f ca="1">Acciones!$D$751*EXP((J$2-J$3/2)*(1)+J$4*_xlfn.NORM.S.INV(RAND())*SQRT(1))</f>
        <v>1027.3861122928167</v>
      </c>
      <c r="P102" s="30">
        <f ca="1">Acciones!$E$751*EXP((K$2-K$3/2)*(1)+K$4*_xlfn.NORM.S.INV(RAND())*SQRT(1))</f>
        <v>0.12360713993215876</v>
      </c>
      <c r="Q102" s="30"/>
      <c r="R102">
        <f ca="1">M102/Acciones!$B$751*$I$10 + N102/Acciones!$C$751*$I$11 + O102/Acciones!$D$751*$I$12 + P102/Acciones!$D$751*$I$13</f>
        <v>23215.9439396284</v>
      </c>
      <c r="T102" s="14">
        <f t="shared" ca="1" si="4"/>
        <v>-5284.0560603716003</v>
      </c>
      <c r="V102">
        <v>-6256.4050638480439</v>
      </c>
    </row>
    <row r="103" spans="1:22" x14ac:dyDescent="0.2">
      <c r="A103" s="1">
        <f>Acciones!A103</f>
        <v>45145</v>
      </c>
      <c r="B103" s="29">
        <f>LN(Acciones!B103/Acciones!B102)</f>
        <v>1.7477537268114993E-2</v>
      </c>
      <c r="C103" s="29">
        <f>LN(Acciones!C103/Acciones!C102)</f>
        <v>-6.4005786864545486E-2</v>
      </c>
      <c r="D103" s="29">
        <f>LN(Acciones!D103/Acciones!D102)</f>
        <v>4.8012458384239145E-3</v>
      </c>
      <c r="E103" s="29">
        <f>LN(Acciones!E103/Acciones!E102)</f>
        <v>0</v>
      </c>
      <c r="M103" s="30">
        <f ca="1">Acciones!$B$751*EXP((H$2-H$3/2)*(1)+H$4*_xlfn.NORM.S.INV(RAND())*SQRT(1))</f>
        <v>10.798577582275593</v>
      </c>
      <c r="N103" s="30">
        <f ca="1">Acciones!$C$751*EXP((I$2-I$3/2)*(1)+I$4*_xlfn.NORM.S.INV(RAND())*SQRT(1))</f>
        <v>154.01571184891489</v>
      </c>
      <c r="O103" s="30">
        <f ca="1">Acciones!$D$751*EXP((J$2-J$3/2)*(1)+J$4*_xlfn.NORM.S.INV(RAND())*SQRT(1))</f>
        <v>996.31910994689679</v>
      </c>
      <c r="P103" s="30">
        <f ca="1">Acciones!$E$751*EXP((K$2-K$3/2)*(1)+K$4*_xlfn.NORM.S.INV(RAND())*SQRT(1))</f>
        <v>0.12574784817704013</v>
      </c>
      <c r="Q103" s="30"/>
      <c r="R103">
        <f ca="1">M103/Acciones!$B$751*$I$10 + N103/Acciones!$C$751*$I$11 + O103/Acciones!$D$751*$I$12 + P103/Acciones!$D$751*$I$13</f>
        <v>23060.997888200298</v>
      </c>
      <c r="T103" s="14">
        <f t="shared" ca="1" si="4"/>
        <v>-5439.0021117997021</v>
      </c>
      <c r="V103">
        <v>-6251.6180170685911</v>
      </c>
    </row>
    <row r="104" spans="1:22" x14ac:dyDescent="0.2">
      <c r="A104" s="1">
        <f>Acciones!A104</f>
        <v>45146</v>
      </c>
      <c r="B104" s="29">
        <f>LN(Acciones!B104/Acciones!B103)</f>
        <v>-2.4014889174574769E-2</v>
      </c>
      <c r="C104" s="29">
        <f>LN(Acciones!C104/Acciones!C103)</f>
        <v>5.7760492558014687E-2</v>
      </c>
      <c r="D104" s="29">
        <f>LN(Acciones!D104/Acciones!D103)</f>
        <v>-7.4786574838307763E-3</v>
      </c>
      <c r="E104" s="29">
        <f>LN(Acciones!E104/Acciones!E103)</f>
        <v>2.955877446462175E-2</v>
      </c>
      <c r="M104" s="30">
        <f ca="1">Acciones!$B$751*EXP((H$2-H$3/2)*(1)+H$4*_xlfn.NORM.S.INV(RAND())*SQRT(1))</f>
        <v>10.830926728583872</v>
      </c>
      <c r="N104" s="30">
        <f ca="1">Acciones!$C$751*EXP((I$2-I$3/2)*(1)+I$4*_xlfn.NORM.S.INV(RAND())*SQRT(1))</f>
        <v>155.6278887498099</v>
      </c>
      <c r="O104" s="30">
        <f ca="1">Acciones!$D$751*EXP((J$2-J$3/2)*(1)+J$4*_xlfn.NORM.S.INV(RAND())*SQRT(1))</f>
        <v>973.70856877283916</v>
      </c>
      <c r="P104" s="30">
        <f ca="1">Acciones!$E$751*EXP((K$2-K$3/2)*(1)+K$4*_xlfn.NORM.S.INV(RAND())*SQRT(1))</f>
        <v>0.13705720415974632</v>
      </c>
      <c r="Q104" s="30"/>
      <c r="R104">
        <f ca="1">M104/Acciones!$B$751*$I$10 + N104/Acciones!$C$751*$I$11 + O104/Acciones!$D$751*$I$12 + P104/Acciones!$D$751*$I$13</f>
        <v>22945.622897654808</v>
      </c>
      <c r="T104" s="14">
        <f t="shared" ca="1" si="4"/>
        <v>-5554.3771023451918</v>
      </c>
      <c r="V104">
        <v>-6249.6571090474354</v>
      </c>
    </row>
    <row r="105" spans="1:22" x14ac:dyDescent="0.2">
      <c r="A105" s="1">
        <f>Acciones!A105</f>
        <v>45147</v>
      </c>
      <c r="B105" s="29">
        <f>LN(Acciones!B105/Acciones!B104)</f>
        <v>-1.7906244064392771E-2</v>
      </c>
      <c r="C105" s="29">
        <f>LN(Acciones!C105/Acciones!C104)</f>
        <v>-1.3660510094084821E-2</v>
      </c>
      <c r="D105" s="29">
        <f>LN(Acciones!D105/Acciones!D104)</f>
        <v>-2.6738708819036869E-3</v>
      </c>
      <c r="E105" s="29">
        <f>LN(Acciones!E105/Acciones!E104)</f>
        <v>3.2310175946782408E-3</v>
      </c>
      <c r="M105" s="30">
        <f ca="1">Acciones!$B$751*EXP((H$2-H$3/2)*(1)+H$4*_xlfn.NORM.S.INV(RAND())*SQRT(1))</f>
        <v>10.97063533744007</v>
      </c>
      <c r="N105" s="30">
        <f ca="1">Acciones!$C$751*EXP((I$2-I$3/2)*(1)+I$4*_xlfn.NORM.S.INV(RAND())*SQRT(1))</f>
        <v>146.50189327956579</v>
      </c>
      <c r="O105" s="30">
        <f ca="1">Acciones!$D$751*EXP((J$2-J$3/2)*(1)+J$4*_xlfn.NORM.S.INV(RAND())*SQRT(1))</f>
        <v>986.21171804269261</v>
      </c>
      <c r="P105" s="30">
        <f ca="1">Acciones!$E$751*EXP((K$2-K$3/2)*(1)+K$4*_xlfn.NORM.S.INV(RAND())*SQRT(1))</f>
        <v>0.11521515954118543</v>
      </c>
      <c r="Q105" s="30"/>
      <c r="R105">
        <f ca="1">M105/Acciones!$B$751*$I$10 + N105/Acciones!$C$751*$I$11 + O105/Acciones!$D$751*$I$12 + P105/Acciones!$D$751*$I$13</f>
        <v>22545.746471559934</v>
      </c>
      <c r="T105" s="14">
        <f t="shared" ca="1" si="4"/>
        <v>-5954.2535284400656</v>
      </c>
      <c r="V105">
        <v>-6236.2773134383533</v>
      </c>
    </row>
    <row r="106" spans="1:22" x14ac:dyDescent="0.2">
      <c r="A106" s="1">
        <f>Acciones!A106</f>
        <v>45148</v>
      </c>
      <c r="B106" s="29">
        <f>LN(Acciones!B106/Acciones!B105)</f>
        <v>-1.2648414379986145E-2</v>
      </c>
      <c r="C106" s="29">
        <f>LN(Acciones!C106/Acciones!C105)</f>
        <v>-7.9760933814099572E-2</v>
      </c>
      <c r="D106" s="29">
        <f>LN(Acciones!D106/Acciones!D105)</f>
        <v>-1.0761902938645797E-2</v>
      </c>
      <c r="E106" s="29">
        <f>LN(Acciones!E106/Acciones!E105)</f>
        <v>0</v>
      </c>
      <c r="M106" s="30">
        <f ca="1">Acciones!$B$751*EXP((H$2-H$3/2)*(1)+H$4*_xlfn.NORM.S.INV(RAND())*SQRT(1))</f>
        <v>10.92113754670773</v>
      </c>
      <c r="N106" s="30">
        <f ca="1">Acciones!$C$751*EXP((I$2-I$3/2)*(1)+I$4*_xlfn.NORM.S.INV(RAND())*SQRT(1))</f>
        <v>150.52521627153664</v>
      </c>
      <c r="O106" s="30">
        <f ca="1">Acciones!$D$751*EXP((J$2-J$3/2)*(1)+J$4*_xlfn.NORM.S.INV(RAND())*SQRT(1))</f>
        <v>982.54803649184748</v>
      </c>
      <c r="P106" s="30">
        <f ca="1">Acciones!$E$751*EXP((K$2-K$3/2)*(1)+K$4*_xlfn.NORM.S.INV(RAND())*SQRT(1))</f>
        <v>0.12401806921333633</v>
      </c>
      <c r="Q106" s="30"/>
      <c r="R106">
        <f ca="1">M106/Acciones!$B$751*$I$10 + N106/Acciones!$C$751*$I$11 + O106/Acciones!$D$751*$I$12 + P106/Acciones!$D$751*$I$13</f>
        <v>22744.428542509493</v>
      </c>
      <c r="T106" s="14">
        <f t="shared" ca="1" si="4"/>
        <v>-5755.5714574905069</v>
      </c>
      <c r="V106">
        <v>-6233.0858044806337</v>
      </c>
    </row>
    <row r="107" spans="1:22" x14ac:dyDescent="0.2">
      <c r="A107" s="1">
        <f>Acciones!A107</f>
        <v>45149</v>
      </c>
      <c r="B107" s="29">
        <f>LN(Acciones!B107/Acciones!B106)</f>
        <v>-9.5923777689647452E-3</v>
      </c>
      <c r="C107" s="29">
        <f>LN(Acciones!C107/Acciones!C106)</f>
        <v>9.7206481923170981E-3</v>
      </c>
      <c r="D107" s="29">
        <f>LN(Acciones!D107/Acciones!D106)</f>
        <v>-5.9680184089468066E-5</v>
      </c>
      <c r="E107" s="29">
        <f>LN(Acciones!E107/Acciones!E106)</f>
        <v>-3.2789792059300098E-2</v>
      </c>
      <c r="M107" s="30">
        <f ca="1">Acciones!$B$751*EXP((H$2-H$3/2)*(1)+H$4*_xlfn.NORM.S.INV(RAND())*SQRT(1))</f>
        <v>10.093895295094645</v>
      </c>
      <c r="N107" s="30">
        <f ca="1">Acciones!$C$751*EXP((I$2-I$3/2)*(1)+I$4*_xlfn.NORM.S.INV(RAND())*SQRT(1))</f>
        <v>153.55666963918659</v>
      </c>
      <c r="O107" s="30">
        <f ca="1">Acciones!$D$751*EXP((J$2-J$3/2)*(1)+J$4*_xlfn.NORM.S.INV(RAND())*SQRT(1))</f>
        <v>1018.179587406468</v>
      </c>
      <c r="P107" s="30">
        <f ca="1">Acciones!$E$751*EXP((K$2-K$3/2)*(1)+K$4*_xlfn.NORM.S.INV(RAND())*SQRT(1))</f>
        <v>0.12529380220461281</v>
      </c>
      <c r="Q107" s="30"/>
      <c r="R107">
        <f ca="1">M107/Acciones!$B$751*$I$10 + N107/Acciones!$C$751*$I$11 + O107/Acciones!$D$751*$I$12 + P107/Acciones!$D$751*$I$13</f>
        <v>23025.230679470187</v>
      </c>
      <c r="T107" s="14">
        <f t="shared" ca="1" si="4"/>
        <v>-5474.7693205298128</v>
      </c>
      <c r="V107">
        <v>-6229.1199814563151</v>
      </c>
    </row>
    <row r="108" spans="1:22" x14ac:dyDescent="0.2">
      <c r="A108" s="1">
        <f>Acciones!A108</f>
        <v>45152</v>
      </c>
      <c r="B108" s="29">
        <f>LN(Acciones!B108/Acciones!B107)</f>
        <v>1.9487584466121942E-2</v>
      </c>
      <c r="C108" s="29">
        <f>LN(Acciones!C108/Acciones!C107)</f>
        <v>1.8173192281145081E-2</v>
      </c>
      <c r="D108" s="29">
        <f>LN(Acciones!D108/Acciones!D107)</f>
        <v>-5.433283809756142E-3</v>
      </c>
      <c r="E108" s="29">
        <f>LN(Acciones!E108/Acciones!E107)</f>
        <v>-3.3901518790361206E-2</v>
      </c>
      <c r="M108" s="30">
        <f ca="1">Acciones!$B$751*EXP((H$2-H$3/2)*(1)+H$4*_xlfn.NORM.S.INV(RAND())*SQRT(1))</f>
        <v>11.099708180271255</v>
      </c>
      <c r="N108" s="30">
        <f ca="1">Acciones!$C$751*EXP((I$2-I$3/2)*(1)+I$4*_xlfn.NORM.S.INV(RAND())*SQRT(1))</f>
        <v>146.37800376827252</v>
      </c>
      <c r="O108" s="30">
        <f ca="1">Acciones!$D$751*EXP((J$2-J$3/2)*(1)+J$4*_xlfn.NORM.S.INV(RAND())*SQRT(1))</f>
        <v>965.11562313412492</v>
      </c>
      <c r="P108" s="30">
        <f ca="1">Acciones!$E$751*EXP((K$2-K$3/2)*(1)+K$4*_xlfn.NORM.S.INV(RAND())*SQRT(1))</f>
        <v>0.13216292798537146</v>
      </c>
      <c r="Q108" s="30"/>
      <c r="R108">
        <f ca="1">M108/Acciones!$B$751*$I$10 + N108/Acciones!$C$751*$I$11 + O108/Acciones!$D$751*$I$12 + P108/Acciones!$D$751*$I$13</f>
        <v>22368.204300213929</v>
      </c>
      <c r="T108" s="14">
        <f t="shared" ca="1" si="4"/>
        <v>-6131.7956997860711</v>
      </c>
      <c r="V108">
        <v>-6228.1607735986036</v>
      </c>
    </row>
    <row r="109" spans="1:22" x14ac:dyDescent="0.2">
      <c r="A109" s="1">
        <f>Acciones!A109</f>
        <v>45153</v>
      </c>
      <c r="B109" s="29">
        <f>LN(Acciones!B109/Acciones!B108)</f>
        <v>-1.188598780553953E-2</v>
      </c>
      <c r="C109" s="29">
        <f>LN(Acciones!C109/Acciones!C108)</f>
        <v>-5.1074529589047207E-2</v>
      </c>
      <c r="D109" s="29">
        <f>LN(Acciones!D109/Acciones!D108)</f>
        <v>-5.4957911093596141E-3</v>
      </c>
      <c r="E109" s="29">
        <f>LN(Acciones!E109/Acciones!E108)</f>
        <v>2.3851192569930485E-2</v>
      </c>
      <c r="M109" s="30">
        <f ca="1">Acciones!$B$751*EXP((H$2-H$3/2)*(1)+H$4*_xlfn.NORM.S.INV(RAND())*SQRT(1))</f>
        <v>11.068345966315647</v>
      </c>
      <c r="N109" s="30">
        <f ca="1">Acciones!$C$751*EXP((I$2-I$3/2)*(1)+I$4*_xlfn.NORM.S.INV(RAND())*SQRT(1))</f>
        <v>145.73011487661472</v>
      </c>
      <c r="O109" s="30">
        <f ca="1">Acciones!$D$751*EXP((J$2-J$3/2)*(1)+J$4*_xlfn.NORM.S.INV(RAND())*SQRT(1))</f>
        <v>1002.3095299085428</v>
      </c>
      <c r="P109" s="30">
        <f ca="1">Acciones!$E$751*EXP((K$2-K$3/2)*(1)+K$4*_xlfn.NORM.S.INV(RAND())*SQRT(1))</f>
        <v>0.13763028406346708</v>
      </c>
      <c r="Q109" s="30"/>
      <c r="R109">
        <f ca="1">M109/Acciones!$B$751*$I$10 + N109/Acciones!$C$751*$I$11 + O109/Acciones!$D$751*$I$12 + P109/Acciones!$D$751*$I$13</f>
        <v>22690.270133515842</v>
      </c>
      <c r="T109" s="14">
        <f t="shared" ca="1" si="4"/>
        <v>-5809.7298664841583</v>
      </c>
      <c r="V109">
        <v>-6226.2749060911301</v>
      </c>
    </row>
    <row r="110" spans="1:22" x14ac:dyDescent="0.2">
      <c r="A110" s="1">
        <f>Acciones!A110</f>
        <v>45154</v>
      </c>
      <c r="B110" s="29">
        <f>LN(Acciones!B110/Acciones!B109)</f>
        <v>-8.0033201009892131E-3</v>
      </c>
      <c r="C110" s="29">
        <f>LN(Acciones!C110/Acciones!C109)</f>
        <v>-3.3676119704200778E-2</v>
      </c>
      <c r="D110" s="29">
        <f>LN(Acciones!D110/Acciones!D109)</f>
        <v>-4.3778379364651492E-3</v>
      </c>
      <c r="E110" s="29">
        <f>LN(Acciones!E110/Acciones!E109)</f>
        <v>1.0050326220430698E-2</v>
      </c>
      <c r="M110" s="30">
        <f ca="1">Acciones!$B$751*EXP((H$2-H$3/2)*(1)+H$4*_xlfn.NORM.S.INV(RAND())*SQRT(1))</f>
        <v>10.716318938022409</v>
      </c>
      <c r="N110" s="30">
        <f ca="1">Acciones!$C$751*EXP((I$2-I$3/2)*(1)+I$4*_xlfn.NORM.S.INV(RAND())*SQRT(1))</f>
        <v>136.15483925376242</v>
      </c>
      <c r="O110" s="30">
        <f ca="1">Acciones!$D$751*EXP((J$2-J$3/2)*(1)+J$4*_xlfn.NORM.S.INV(RAND())*SQRT(1))</f>
        <v>950.22005562860807</v>
      </c>
      <c r="P110" s="30">
        <f ca="1">Acciones!$E$751*EXP((K$2-K$3/2)*(1)+K$4*_xlfn.NORM.S.INV(RAND())*SQRT(1))</f>
        <v>0.11471643136173119</v>
      </c>
      <c r="Q110" s="30"/>
      <c r="R110">
        <f ca="1">M110/Acciones!$B$751*$I$10 + N110/Acciones!$C$751*$I$11 + O110/Acciones!$D$751*$I$12 + P110/Acciones!$D$751*$I$13</f>
        <v>21457.596131403578</v>
      </c>
      <c r="T110" s="14">
        <f t="shared" ca="1" si="4"/>
        <v>-7042.4038685964224</v>
      </c>
      <c r="V110">
        <v>-6224.2245843289929</v>
      </c>
    </row>
    <row r="111" spans="1:22" x14ac:dyDescent="0.2">
      <c r="A111" s="1">
        <f>Acciones!A111</f>
        <v>45155</v>
      </c>
      <c r="B111" s="29">
        <f>LN(Acciones!B111/Acciones!B110)</f>
        <v>-6.853451189471128E-3</v>
      </c>
      <c r="C111" s="29">
        <f>LN(Acciones!C111/Acciones!C110)</f>
        <v>-9.8148933608444039E-2</v>
      </c>
      <c r="D111" s="29">
        <f>LN(Acciones!D111/Acciones!D110)</f>
        <v>9.8464013658601125E-3</v>
      </c>
      <c r="E111" s="29">
        <f>LN(Acciones!E111/Acciones!E110)</f>
        <v>0</v>
      </c>
      <c r="M111" s="30">
        <f ca="1">Acciones!$B$751*EXP((H$2-H$3/2)*(1)+H$4*_xlfn.NORM.S.INV(RAND())*SQRT(1))</f>
        <v>11.3373337239832</v>
      </c>
      <c r="N111" s="30">
        <f ca="1">Acciones!$C$751*EXP((I$2-I$3/2)*(1)+I$4*_xlfn.NORM.S.INV(RAND())*SQRT(1))</f>
        <v>150.21768570835886</v>
      </c>
      <c r="O111" s="30">
        <f ca="1">Acciones!$D$751*EXP((J$2-J$3/2)*(1)+J$4*_xlfn.NORM.S.INV(RAND())*SQRT(1))</f>
        <v>1032.1341504643026</v>
      </c>
      <c r="P111" s="30">
        <f ca="1">Acciones!$E$751*EXP((K$2-K$3/2)*(1)+K$4*_xlfn.NORM.S.INV(RAND())*SQRT(1))</f>
        <v>0.11967736764662143</v>
      </c>
      <c r="Q111" s="30"/>
      <c r="R111">
        <f ca="1">M111/Acciones!$B$751*$I$10 + N111/Acciones!$C$751*$I$11 + O111/Acciones!$D$751*$I$12 + P111/Acciones!$D$751*$I$13</f>
        <v>23355.397094864587</v>
      </c>
      <c r="T111" s="14">
        <f t="shared" ca="1" si="4"/>
        <v>-5144.6029051354126</v>
      </c>
      <c r="V111">
        <v>-6222.1749577379487</v>
      </c>
    </row>
    <row r="112" spans="1:22" x14ac:dyDescent="0.2">
      <c r="A112" s="1">
        <f>Acciones!A112</f>
        <v>45156</v>
      </c>
      <c r="B112" s="29">
        <f>LN(Acciones!B112/Acciones!B111)</f>
        <v>8.0580564669244514E-3</v>
      </c>
      <c r="C112" s="29">
        <f>LN(Acciones!C112/Acciones!C111)</f>
        <v>-9.1610152650454413E-2</v>
      </c>
      <c r="D112" s="29">
        <f>LN(Acciones!D112/Acciones!D111)</f>
        <v>-2.5094114592798422E-2</v>
      </c>
      <c r="E112" s="29">
        <f>LN(Acciones!E112/Acciones!E111)</f>
        <v>0</v>
      </c>
      <c r="M112" s="30">
        <f ca="1">Acciones!$B$751*EXP((H$2-H$3/2)*(1)+H$4*_xlfn.NORM.S.INV(RAND())*SQRT(1))</f>
        <v>10.90706865181108</v>
      </c>
      <c r="N112" s="30">
        <f ca="1">Acciones!$C$751*EXP((I$2-I$3/2)*(1)+I$4*_xlfn.NORM.S.INV(RAND())*SQRT(1))</f>
        <v>153.78269086747258</v>
      </c>
      <c r="O112" s="30">
        <f ca="1">Acciones!$D$751*EXP((J$2-J$3/2)*(1)+J$4*_xlfn.NORM.S.INV(RAND())*SQRT(1))</f>
        <v>989.09362375942874</v>
      </c>
      <c r="P112" s="30">
        <f ca="1">Acciones!$E$751*EXP((K$2-K$3/2)*(1)+K$4*_xlfn.NORM.S.INV(RAND())*SQRT(1))</f>
        <v>0.10979279113374583</v>
      </c>
      <c r="Q112" s="30"/>
      <c r="R112">
        <f ca="1">M112/Acciones!$B$751*$I$10 + N112/Acciones!$C$751*$I$11 + O112/Acciones!$D$751*$I$12 + P112/Acciones!$D$751*$I$13</f>
        <v>23008.791633332792</v>
      </c>
      <c r="T112" s="14">
        <f t="shared" ca="1" si="4"/>
        <v>-5491.2083666672079</v>
      </c>
      <c r="V112">
        <v>-6220.0542293309809</v>
      </c>
    </row>
    <row r="113" spans="1:22" x14ac:dyDescent="0.2">
      <c r="A113" s="1">
        <f>Acciones!A113</f>
        <v>45159</v>
      </c>
      <c r="B113" s="29">
        <f>LN(Acciones!B113/Acciones!B112)</f>
        <v>-1.7405923977544716E-2</v>
      </c>
      <c r="C113" s="29">
        <f>LN(Acciones!C113/Acciones!C112)</f>
        <v>-2.1053409197832381E-2</v>
      </c>
      <c r="D113" s="29">
        <f>LN(Acciones!D113/Acciones!D112)</f>
        <v>-1.8635760124308752E-2</v>
      </c>
      <c r="E113" s="29">
        <f>LN(Acciones!E113/Acciones!E112)</f>
        <v>-1.0050326220430724E-2</v>
      </c>
      <c r="M113" s="30">
        <f ca="1">Acciones!$B$751*EXP((H$2-H$3/2)*(1)+H$4*_xlfn.NORM.S.INV(RAND())*SQRT(1))</f>
        <v>10.840260239380754</v>
      </c>
      <c r="N113" s="30">
        <f ca="1">Acciones!$C$751*EXP((I$2-I$3/2)*(1)+I$4*_xlfn.NORM.S.INV(RAND())*SQRT(1))</f>
        <v>161.83868772808941</v>
      </c>
      <c r="O113" s="30">
        <f ca="1">Acciones!$D$751*EXP((J$2-J$3/2)*(1)+J$4*_xlfn.NORM.S.INV(RAND())*SQRT(1))</f>
        <v>993.86839569708798</v>
      </c>
      <c r="P113" s="30">
        <f ca="1">Acciones!$E$751*EXP((K$2-K$3/2)*(1)+K$4*_xlfn.NORM.S.INV(RAND())*SQRT(1))</f>
        <v>0.13229315480332929</v>
      </c>
      <c r="Q113" s="30"/>
      <c r="R113">
        <f ca="1">M113/Acciones!$B$751*$I$10 + N113/Acciones!$C$751*$I$11 + O113/Acciones!$D$751*$I$12 + P113/Acciones!$D$751*$I$13</f>
        <v>23538.3126027004</v>
      </c>
      <c r="T113" s="14">
        <f t="shared" ca="1" si="4"/>
        <v>-4961.6873972996</v>
      </c>
      <c r="V113">
        <v>-6216.3106516355547</v>
      </c>
    </row>
    <row r="114" spans="1:22" x14ac:dyDescent="0.2">
      <c r="A114" s="1">
        <f>Acciones!A114</f>
        <v>45160</v>
      </c>
      <c r="B114" s="29">
        <f>LN(Acciones!B114/Acciones!B113)</f>
        <v>-1.6883111723177659E-2</v>
      </c>
      <c r="C114" s="29">
        <f>LN(Acciones!C114/Acciones!C113)</f>
        <v>-1.1502033245607043E-2</v>
      </c>
      <c r="D114" s="29">
        <f>LN(Acciones!D114/Acciones!D113)</f>
        <v>-2.087060609251731E-2</v>
      </c>
      <c r="E114" s="29">
        <f>LN(Acciones!E114/Acciones!E113)</f>
        <v>-1.0152361634350827E-2</v>
      </c>
      <c r="M114" s="30">
        <f ca="1">Acciones!$B$751*EXP((H$2-H$3/2)*(1)+H$4*_xlfn.NORM.S.INV(RAND())*SQRT(1))</f>
        <v>10.856560594533709</v>
      </c>
      <c r="N114" s="30">
        <f ca="1">Acciones!$C$751*EXP((I$2-I$3/2)*(1)+I$4*_xlfn.NORM.S.INV(RAND())*SQRT(1))</f>
        <v>159.95466232754106</v>
      </c>
      <c r="O114" s="30">
        <f ca="1">Acciones!$D$751*EXP((J$2-J$3/2)*(1)+J$4*_xlfn.NORM.S.INV(RAND())*SQRT(1))</f>
        <v>1008.7721766857674</v>
      </c>
      <c r="P114" s="30">
        <f ca="1">Acciones!$E$751*EXP((K$2-K$3/2)*(1)+K$4*_xlfn.NORM.S.INV(RAND())*SQRT(1))</f>
        <v>0.13650083040516073</v>
      </c>
      <c r="Q114" s="30"/>
      <c r="R114">
        <f ca="1">M114/Acciones!$B$751*$I$10 + N114/Acciones!$C$751*$I$11 + O114/Acciones!$D$751*$I$12 + P114/Acciones!$D$751*$I$13</f>
        <v>23575.212175518751</v>
      </c>
      <c r="T114" s="14">
        <f t="shared" ca="1" si="4"/>
        <v>-4924.7878244812491</v>
      </c>
      <c r="V114">
        <v>-6215.0945411967805</v>
      </c>
    </row>
    <row r="115" spans="1:22" x14ac:dyDescent="0.2">
      <c r="A115" s="1">
        <f>Acciones!A115</f>
        <v>45161</v>
      </c>
      <c r="B115" s="29">
        <f>LN(Acciones!B115/Acciones!B114)</f>
        <v>5.1791524772867817E-2</v>
      </c>
      <c r="C115" s="29">
        <f>LN(Acciones!C115/Acciones!C114)</f>
        <v>6.6403176299471164E-2</v>
      </c>
      <c r="D115" s="29">
        <f>LN(Acciones!D115/Acciones!D114)</f>
        <v>-2.6420211601583133E-2</v>
      </c>
      <c r="E115" s="29">
        <f>LN(Acciones!E115/Acciones!E114)</f>
        <v>0</v>
      </c>
      <c r="M115" s="30">
        <f ca="1">Acciones!$B$751*EXP((H$2-H$3/2)*(1)+H$4*_xlfn.NORM.S.INV(RAND())*SQRT(1))</f>
        <v>11.191510600580139</v>
      </c>
      <c r="N115" s="30">
        <f ca="1">Acciones!$C$751*EXP((I$2-I$3/2)*(1)+I$4*_xlfn.NORM.S.INV(RAND())*SQRT(1))</f>
        <v>152.53883115542581</v>
      </c>
      <c r="O115" s="30">
        <f ca="1">Acciones!$D$751*EXP((J$2-J$3/2)*(1)+J$4*_xlfn.NORM.S.INV(RAND())*SQRT(1))</f>
        <v>981.02448136261171</v>
      </c>
      <c r="P115" s="30">
        <f ca="1">Acciones!$E$751*EXP((K$2-K$3/2)*(1)+K$4*_xlfn.NORM.S.INV(RAND())*SQRT(1))</f>
        <v>0.13150686328351172</v>
      </c>
      <c r="Q115" s="30"/>
      <c r="R115">
        <f ca="1">M115/Acciones!$B$751*$I$10 + N115/Acciones!$C$751*$I$11 + O115/Acciones!$D$751*$I$12 + P115/Acciones!$D$751*$I$13</f>
        <v>22941.673543610672</v>
      </c>
      <c r="T115" s="14">
        <f t="shared" ca="1" si="4"/>
        <v>-5558.3264563893281</v>
      </c>
      <c r="V115">
        <v>-6210.3282375707677</v>
      </c>
    </row>
    <row r="116" spans="1:22" x14ac:dyDescent="0.2">
      <c r="A116" s="1">
        <f>Acciones!A116</f>
        <v>45162</v>
      </c>
      <c r="B116" s="29">
        <f>LN(Acciones!B116/Acciones!B115)</f>
        <v>-5.0131707280752044E-2</v>
      </c>
      <c r="C116" s="29">
        <f>LN(Acciones!C116/Acciones!C115)</f>
        <v>-0.11802222951046179</v>
      </c>
      <c r="D116" s="29">
        <f>LN(Acciones!D116/Acciones!D115)</f>
        <v>-1.7728735478585084E-2</v>
      </c>
      <c r="E116" s="29">
        <f>LN(Acciones!E116/Acciones!E115)</f>
        <v>1.3513706104481651E-2</v>
      </c>
      <c r="M116" s="30">
        <f ca="1">Acciones!$B$751*EXP((H$2-H$3/2)*(1)+H$4*_xlfn.NORM.S.INV(RAND())*SQRT(1))</f>
        <v>10.644081604377789</v>
      </c>
      <c r="N116" s="30">
        <f ca="1">Acciones!$C$751*EXP((I$2-I$3/2)*(1)+I$4*_xlfn.NORM.S.INV(RAND())*SQRT(1))</f>
        <v>146.76244159904957</v>
      </c>
      <c r="O116" s="30">
        <f ca="1">Acciones!$D$751*EXP((J$2-J$3/2)*(1)+J$4*_xlfn.NORM.S.INV(RAND())*SQRT(1))</f>
        <v>956.88499974896195</v>
      </c>
      <c r="P116" s="30">
        <f ca="1">Acciones!$E$751*EXP((K$2-K$3/2)*(1)+K$4*_xlfn.NORM.S.INV(RAND())*SQRT(1))</f>
        <v>0.11549787445988972</v>
      </c>
      <c r="Q116" s="30"/>
      <c r="R116">
        <f ca="1">M116/Acciones!$B$751*$I$10 + N116/Acciones!$C$751*$I$11 + O116/Acciones!$D$751*$I$12 + P116/Acciones!$D$751*$I$13</f>
        <v>22163.506715905194</v>
      </c>
      <c r="T116" s="14">
        <f t="shared" ca="1" si="4"/>
        <v>-6336.4932840948059</v>
      </c>
      <c r="V116">
        <v>-6201.7080222138102</v>
      </c>
    </row>
    <row r="117" spans="1:22" x14ac:dyDescent="0.2">
      <c r="A117" s="1">
        <f>Acciones!A117</f>
        <v>45163</v>
      </c>
      <c r="B117" s="29">
        <f>LN(Acciones!B117/Acciones!B116)</f>
        <v>-1.8410617125978818E-2</v>
      </c>
      <c r="C117" s="29">
        <f>LN(Acciones!C117/Acciones!C116)</f>
        <v>3.0547814465545116E-3</v>
      </c>
      <c r="D117" s="29">
        <f>LN(Acciones!D117/Acciones!D116)</f>
        <v>8.3058766517238296E-3</v>
      </c>
      <c r="E117" s="29">
        <f>LN(Acciones!E117/Acciones!E116)</f>
        <v>0</v>
      </c>
      <c r="M117" s="30">
        <f ca="1">Acciones!$B$751*EXP((H$2-H$3/2)*(1)+H$4*_xlfn.NORM.S.INV(RAND())*SQRT(1))</f>
        <v>10.850053226114824</v>
      </c>
      <c r="N117" s="30">
        <f ca="1">Acciones!$C$751*EXP((I$2-I$3/2)*(1)+I$4*_xlfn.NORM.S.INV(RAND())*SQRT(1))</f>
        <v>175.34983813191437</v>
      </c>
      <c r="O117" s="30">
        <f ca="1">Acciones!$D$751*EXP((J$2-J$3/2)*(1)+J$4*_xlfn.NORM.S.INV(RAND())*SQRT(1))</f>
        <v>978.58593719219493</v>
      </c>
      <c r="P117" s="30">
        <f ca="1">Acciones!$E$751*EXP((K$2-K$3/2)*(1)+K$4*_xlfn.NORM.S.INV(RAND())*SQRT(1))</f>
        <v>0.12525326881559717</v>
      </c>
      <c r="Q117" s="30"/>
      <c r="R117">
        <f ca="1">M117/Acciones!$B$751*$I$10 + N117/Acciones!$C$751*$I$11 + O117/Acciones!$D$751*$I$12 + P117/Acciones!$D$751*$I$13</f>
        <v>24231.954263096748</v>
      </c>
      <c r="T117" s="14">
        <f t="shared" ca="1" si="4"/>
        <v>-4268.045736903252</v>
      </c>
      <c r="V117">
        <v>-6192.9366604055213</v>
      </c>
    </row>
    <row r="118" spans="1:22" x14ac:dyDescent="0.2">
      <c r="A118" s="1">
        <f>Acciones!A118</f>
        <v>45166</v>
      </c>
      <c r="B118" s="29">
        <f>LN(Acciones!B118/Acciones!B117)</f>
        <v>4.4194744961966147E-2</v>
      </c>
      <c r="C118" s="29">
        <f>LN(Acciones!C118/Acciones!C117)</f>
        <v>-1.6946069991861137E-4</v>
      </c>
      <c r="D118" s="29">
        <f>LN(Acciones!D118/Acciones!D117)</f>
        <v>1.7304394097604155E-2</v>
      </c>
      <c r="E118" s="29">
        <f>LN(Acciones!E118/Acciones!E117)</f>
        <v>0</v>
      </c>
      <c r="M118" s="30">
        <f ca="1">Acciones!$B$751*EXP((H$2-H$3/2)*(1)+H$4*_xlfn.NORM.S.INV(RAND())*SQRT(1))</f>
        <v>10.503565278290711</v>
      </c>
      <c r="N118" s="30">
        <f ca="1">Acciones!$C$751*EXP((I$2-I$3/2)*(1)+I$4*_xlfn.NORM.S.INV(RAND())*SQRT(1))</f>
        <v>148.9150605531415</v>
      </c>
      <c r="O118" s="30">
        <f ca="1">Acciones!$D$751*EXP((J$2-J$3/2)*(1)+J$4*_xlfn.NORM.S.INV(RAND())*SQRT(1))</f>
        <v>983.1537563520144</v>
      </c>
      <c r="P118" s="30">
        <f ca="1">Acciones!$E$751*EXP((K$2-K$3/2)*(1)+K$4*_xlfn.NORM.S.INV(RAND())*SQRT(1))</f>
        <v>0.12861477360020832</v>
      </c>
      <c r="Q118" s="30"/>
      <c r="R118">
        <f ca="1">M118/Acciones!$B$751*$I$10 + N118/Acciones!$C$751*$I$11 + O118/Acciones!$D$751*$I$12 + P118/Acciones!$D$751*$I$13</f>
        <v>22516.025549651138</v>
      </c>
      <c r="T118" s="14">
        <f t="shared" ca="1" si="4"/>
        <v>-5983.9744503488619</v>
      </c>
      <c r="V118">
        <v>-6189.2160664424664</v>
      </c>
    </row>
    <row r="119" spans="1:22" x14ac:dyDescent="0.2">
      <c r="A119" s="1">
        <f>Acciones!A119</f>
        <v>45167</v>
      </c>
      <c r="B119" s="29">
        <f>LN(Acciones!B119/Acciones!B118)</f>
        <v>2.5923606932054803E-2</v>
      </c>
      <c r="C119" s="29">
        <f>LN(Acciones!C119/Acciones!C118)</f>
        <v>0.26182965648149148</v>
      </c>
      <c r="D119" s="29">
        <f>LN(Acciones!D119/Acciones!D118)</f>
        <v>1.922039607441554E-2</v>
      </c>
      <c r="E119" s="29">
        <f>LN(Acciones!E119/Acciones!E118)</f>
        <v>-3.361344470130772E-3</v>
      </c>
      <c r="M119" s="30">
        <f ca="1">Acciones!$B$751*EXP((H$2-H$3/2)*(1)+H$4*_xlfn.NORM.S.INV(RAND())*SQRT(1))</f>
        <v>11.086022573303634</v>
      </c>
      <c r="N119" s="30">
        <f ca="1">Acciones!$C$751*EXP((I$2-I$3/2)*(1)+I$4*_xlfn.NORM.S.INV(RAND())*SQRT(1))</f>
        <v>142.51856251159921</v>
      </c>
      <c r="O119" s="30">
        <f ca="1">Acciones!$D$751*EXP((J$2-J$3/2)*(1)+J$4*_xlfn.NORM.S.INV(RAND())*SQRT(1))</f>
        <v>1010.3941035923202</v>
      </c>
      <c r="P119" s="30">
        <f ca="1">Acciones!$E$751*EXP((K$2-K$3/2)*(1)+K$4*_xlfn.NORM.S.INV(RAND())*SQRT(1))</f>
        <v>0.12333707945087082</v>
      </c>
      <c r="Q119" s="30"/>
      <c r="R119">
        <f ca="1">M119/Acciones!$B$751*$I$10 + N119/Acciones!$C$751*$I$11 + O119/Acciones!$D$751*$I$12 + P119/Acciones!$D$751*$I$13</f>
        <v>22576.316561648142</v>
      </c>
      <c r="T119" s="14">
        <f t="shared" ca="1" si="4"/>
        <v>-5923.6834383518581</v>
      </c>
      <c r="V119">
        <v>-6188.3872941500595</v>
      </c>
    </row>
    <row r="120" spans="1:22" x14ac:dyDescent="0.2">
      <c r="A120" s="1">
        <f>Acciones!A120</f>
        <v>45168</v>
      </c>
      <c r="B120" s="29">
        <f>LN(Acciones!B120/Acciones!B119)</f>
        <v>3.5369666767253827E-3</v>
      </c>
      <c r="C120" s="29">
        <f>LN(Acciones!C120/Acciones!C119)</f>
        <v>-1.7500854329192853E-2</v>
      </c>
      <c r="D120" s="29">
        <f>LN(Acciones!D120/Acciones!D119)</f>
        <v>-3.3082841673212978E-3</v>
      </c>
      <c r="E120" s="29">
        <f>LN(Acciones!E120/Acciones!E119)</f>
        <v>1.0050326220430698E-2</v>
      </c>
      <c r="M120" s="30">
        <f ca="1">Acciones!$B$751*EXP((H$2-H$3/2)*(1)+H$4*_xlfn.NORM.S.INV(RAND())*SQRT(1))</f>
        <v>10.948790006565131</v>
      </c>
      <c r="N120" s="30">
        <f ca="1">Acciones!$C$751*EXP((I$2-I$3/2)*(1)+I$4*_xlfn.NORM.S.INV(RAND())*SQRT(1))</f>
        <v>148.8365422477786</v>
      </c>
      <c r="O120" s="30">
        <f ca="1">Acciones!$D$751*EXP((J$2-J$3/2)*(1)+J$4*_xlfn.NORM.S.INV(RAND())*SQRT(1))</f>
        <v>993.65405611526501</v>
      </c>
      <c r="P120" s="30">
        <f ca="1">Acciones!$E$751*EXP((K$2-K$3/2)*(1)+K$4*_xlfn.NORM.S.INV(RAND())*SQRT(1))</f>
        <v>0.12562301422872824</v>
      </c>
      <c r="Q120" s="30"/>
      <c r="R120">
        <f ca="1">M120/Acciones!$B$751*$I$10 + N120/Acciones!$C$751*$I$11 + O120/Acciones!$D$751*$I$12 + P120/Acciones!$D$751*$I$13</f>
        <v>22759.113031749454</v>
      </c>
      <c r="T120" s="14">
        <f t="shared" ca="1" si="4"/>
        <v>-5740.8869682505465</v>
      </c>
      <c r="V120">
        <v>-6188.0538761946736</v>
      </c>
    </row>
    <row r="121" spans="1:22" x14ac:dyDescent="0.2">
      <c r="A121" s="1">
        <f>Acciones!A121</f>
        <v>45169</v>
      </c>
      <c r="B121" s="29">
        <f>LN(Acciones!B121/Acciones!B120)</f>
        <v>-8.6682040069002968E-3</v>
      </c>
      <c r="C121" s="29">
        <f>LN(Acciones!C121/Acciones!C120)</f>
        <v>-5.5306944567090094E-2</v>
      </c>
      <c r="D121" s="29">
        <f>LN(Acciones!D121/Acciones!D120)</f>
        <v>1.1043297462925929E-2</v>
      </c>
      <c r="E121" s="29">
        <f>LN(Acciones!E121/Acciones!E120)</f>
        <v>-3.735575024474886E-2</v>
      </c>
      <c r="M121" s="30">
        <f ca="1">Acciones!$B$751*EXP((H$2-H$3/2)*(1)+H$4*_xlfn.NORM.S.INV(RAND())*SQRT(1))</f>
        <v>10.957072208454557</v>
      </c>
      <c r="N121" s="30">
        <f ca="1">Acciones!$C$751*EXP((I$2-I$3/2)*(1)+I$4*_xlfn.NORM.S.INV(RAND())*SQRT(1))</f>
        <v>152.32545965987285</v>
      </c>
      <c r="O121" s="30">
        <f ca="1">Acciones!$D$751*EXP((J$2-J$3/2)*(1)+J$4*_xlfn.NORM.S.INV(RAND())*SQRT(1))</f>
        <v>1004.0409879734527</v>
      </c>
      <c r="P121" s="30">
        <f ca="1">Acciones!$E$751*EXP((K$2-K$3/2)*(1)+K$4*_xlfn.NORM.S.INV(RAND())*SQRT(1))</f>
        <v>0.12135839797183509</v>
      </c>
      <c r="Q121" s="30"/>
      <c r="R121">
        <f ca="1">M121/Acciones!$B$751*$I$10 + N121/Acciones!$C$751*$I$11 + O121/Acciones!$D$751*$I$12 + P121/Acciones!$D$751*$I$13</f>
        <v>23083.628839486941</v>
      </c>
      <c r="T121" s="14">
        <f t="shared" ca="1" si="4"/>
        <v>-5416.3711605130593</v>
      </c>
      <c r="V121">
        <v>-6186.6461837316238</v>
      </c>
    </row>
    <row r="122" spans="1:22" x14ac:dyDescent="0.2">
      <c r="A122" s="1">
        <f>Acciones!A122</f>
        <v>45170</v>
      </c>
      <c r="B122" s="29">
        <f>LN(Acciones!B122/Acciones!B121)</f>
        <v>3.9494097470778198E-3</v>
      </c>
      <c r="C122" s="29">
        <f>LN(Acciones!C122/Acciones!C121)</f>
        <v>-4.2218075566787645E-2</v>
      </c>
      <c r="D122" s="29">
        <f>LN(Acciones!D122/Acciones!D121)</f>
        <v>9.1334234591791911E-3</v>
      </c>
      <c r="E122" s="29">
        <f>LN(Acciones!E122/Acciones!E121)</f>
        <v>-1.3937577605061972E-2</v>
      </c>
      <c r="M122" s="30">
        <f ca="1">Acciones!$B$751*EXP((H$2-H$3/2)*(1)+H$4*_xlfn.NORM.S.INV(RAND())*SQRT(1))</f>
        <v>11.39177190459138</v>
      </c>
      <c r="N122" s="30">
        <f ca="1">Acciones!$C$751*EXP((I$2-I$3/2)*(1)+I$4*_xlfn.NORM.S.INV(RAND())*SQRT(1))</f>
        <v>160.89828228400475</v>
      </c>
      <c r="O122" s="30">
        <f ca="1">Acciones!$D$751*EXP((J$2-J$3/2)*(1)+J$4*_xlfn.NORM.S.INV(RAND())*SQRT(1))</f>
        <v>978.43295177814525</v>
      </c>
      <c r="P122" s="30">
        <f ca="1">Acciones!$E$751*EXP((K$2-K$3/2)*(1)+K$4*_xlfn.NORM.S.INV(RAND())*SQRT(1))</f>
        <v>0.1170201881758251</v>
      </c>
      <c r="Q122" s="30"/>
      <c r="R122">
        <f ca="1">M122/Acciones!$B$751*$I$10 + N122/Acciones!$C$751*$I$11 + O122/Acciones!$D$751*$I$12 + P122/Acciones!$D$751*$I$13</f>
        <v>23501.831651357588</v>
      </c>
      <c r="T122" s="14">
        <f t="shared" ca="1" si="4"/>
        <v>-4998.1683486424117</v>
      </c>
      <c r="V122">
        <v>-6184.9397136181287</v>
      </c>
    </row>
    <row r="123" spans="1:22" x14ac:dyDescent="0.2">
      <c r="A123" s="1">
        <f>Acciones!A123</f>
        <v>45173</v>
      </c>
      <c r="B123" s="29">
        <f>LN(Acciones!B123/Acciones!B122)</f>
        <v>1.1818275830971045E-3</v>
      </c>
      <c r="C123" s="29">
        <f>LN(Acciones!C123/Acciones!C122)</f>
        <v>4.8557834968189315E-2</v>
      </c>
      <c r="D123" s="29">
        <f>LN(Acciones!D123/Acciones!D122)</f>
        <v>-8.7056659075605333E-3</v>
      </c>
      <c r="E123" s="29">
        <f>LN(Acciones!E123/Acciones!E122)</f>
        <v>0</v>
      </c>
      <c r="M123" s="30">
        <f ca="1">Acciones!$B$751*EXP((H$2-H$3/2)*(1)+H$4*_xlfn.NORM.S.INV(RAND())*SQRT(1))</f>
        <v>11.10735550192819</v>
      </c>
      <c r="N123" s="30">
        <f ca="1">Acciones!$C$751*EXP((I$2-I$3/2)*(1)+I$4*_xlfn.NORM.S.INV(RAND())*SQRT(1))</f>
        <v>151.22934302442582</v>
      </c>
      <c r="O123" s="30">
        <f ca="1">Acciones!$D$751*EXP((J$2-J$3/2)*(1)+J$4*_xlfn.NORM.S.INV(RAND())*SQRT(1))</f>
        <v>999.27788493245703</v>
      </c>
      <c r="P123" s="30">
        <f ca="1">Acciones!$E$751*EXP((K$2-K$3/2)*(1)+K$4*_xlfn.NORM.S.INV(RAND())*SQRT(1))</f>
        <v>0.14347268198642973</v>
      </c>
      <c r="Q123" s="30"/>
      <c r="R123">
        <f ca="1">M123/Acciones!$B$751*$I$10 + N123/Acciones!$C$751*$I$11 + O123/Acciones!$D$751*$I$12 + P123/Acciones!$D$751*$I$13</f>
        <v>23015.813513304882</v>
      </c>
      <c r="T123" s="14">
        <f t="shared" ca="1" si="4"/>
        <v>-5484.1864866951182</v>
      </c>
      <c r="V123">
        <v>-6178.7676012516131</v>
      </c>
    </row>
    <row r="124" spans="1:22" x14ac:dyDescent="0.2">
      <c r="A124" s="1">
        <f>Acciones!A124</f>
        <v>45174</v>
      </c>
      <c r="B124" s="29">
        <f>LN(Acciones!B124/Acciones!B123)</f>
        <v>1.4073812591219233E-2</v>
      </c>
      <c r="C124" s="29">
        <f>LN(Acciones!C124/Acciones!C123)</f>
        <v>-2.5460815725515805E-2</v>
      </c>
      <c r="D124" s="29">
        <f>LN(Acciones!D124/Acciones!D123)</f>
        <v>6.4116519370022154E-3</v>
      </c>
      <c r="E124" s="29">
        <f>LN(Acciones!E124/Acciones!E123)</f>
        <v>0</v>
      </c>
      <c r="M124" s="30">
        <f ca="1">Acciones!$B$751*EXP((H$2-H$3/2)*(1)+H$4*_xlfn.NORM.S.INV(RAND())*SQRT(1))</f>
        <v>10.686803873536503</v>
      </c>
      <c r="N124" s="30">
        <f ca="1">Acciones!$C$751*EXP((I$2-I$3/2)*(1)+I$4*_xlfn.NORM.S.INV(RAND())*SQRT(1))</f>
        <v>156.3837406203078</v>
      </c>
      <c r="O124" s="30">
        <f ca="1">Acciones!$D$751*EXP((J$2-J$3/2)*(1)+J$4*_xlfn.NORM.S.INV(RAND())*SQRT(1))</f>
        <v>1018.2447828039649</v>
      </c>
      <c r="P124" s="30">
        <f ca="1">Acciones!$E$751*EXP((K$2-K$3/2)*(1)+K$4*_xlfn.NORM.S.INV(RAND())*SQRT(1))</f>
        <v>0.13749160618705231</v>
      </c>
      <c r="Q124" s="30"/>
      <c r="R124">
        <f ca="1">M124/Acciones!$B$751*$I$10 + N124/Acciones!$C$751*$I$11 + O124/Acciones!$D$751*$I$12 + P124/Acciones!$D$751*$I$13</f>
        <v>23392.677638300196</v>
      </c>
      <c r="T124" s="14">
        <f t="shared" ca="1" si="4"/>
        <v>-5107.3223616998039</v>
      </c>
      <c r="V124">
        <v>-6177.2236714899336</v>
      </c>
    </row>
    <row r="125" spans="1:22" x14ac:dyDescent="0.2">
      <c r="A125" s="1">
        <f>Acciones!A125</f>
        <v>45175</v>
      </c>
      <c r="B125" s="29">
        <f>LN(Acciones!B125/Acciones!B124)</f>
        <v>1.9389738559559917E-3</v>
      </c>
      <c r="C125" s="29">
        <f>LN(Acciones!C125/Acciones!C124)</f>
        <v>1.8185354233569644E-2</v>
      </c>
      <c r="D125" s="29">
        <f>LN(Acciones!D125/Acciones!D124)</f>
        <v>-2.8728909061197987E-4</v>
      </c>
      <c r="E125" s="29">
        <f>LN(Acciones!E125/Acciones!E124)</f>
        <v>-1.7699560667040783E-2</v>
      </c>
      <c r="M125" s="30">
        <f ca="1">Acciones!$B$751*EXP((H$2-H$3/2)*(1)+H$4*_xlfn.NORM.S.INV(RAND())*SQRT(1))</f>
        <v>10.833307230291439</v>
      </c>
      <c r="N125" s="30">
        <f ca="1">Acciones!$C$751*EXP((I$2-I$3/2)*(1)+I$4*_xlfn.NORM.S.INV(RAND())*SQRT(1))</f>
        <v>146.3116552043127</v>
      </c>
      <c r="O125" s="30">
        <f ca="1">Acciones!$D$751*EXP((J$2-J$3/2)*(1)+J$4*_xlfn.NORM.S.INV(RAND())*SQRT(1))</f>
        <v>987.18093279194682</v>
      </c>
      <c r="P125" s="30">
        <f ca="1">Acciones!$E$751*EXP((K$2-K$3/2)*(1)+K$4*_xlfn.NORM.S.INV(RAND())*SQRT(1))</f>
        <v>0.12940437116388143</v>
      </c>
      <c r="Q125" s="30"/>
      <c r="R125">
        <f ca="1">M125/Acciones!$B$751*$I$10 + N125/Acciones!$C$751*$I$11 + O125/Acciones!$D$751*$I$12 + P125/Acciones!$D$751*$I$13</f>
        <v>22499.59878729668</v>
      </c>
      <c r="T125" s="14">
        <f t="shared" ca="1" si="4"/>
        <v>-6000.4012127033202</v>
      </c>
      <c r="V125">
        <v>-6172.2957039150278</v>
      </c>
    </row>
    <row r="126" spans="1:22" x14ac:dyDescent="0.2">
      <c r="A126" s="1">
        <f>Acciones!A126</f>
        <v>45176</v>
      </c>
      <c r="B126" s="29">
        <f>LN(Acciones!B126/Acciones!B125)</f>
        <v>-9.3422031121698969E-3</v>
      </c>
      <c r="C126" s="29">
        <f>LN(Acciones!C126/Acciones!C125)</f>
        <v>1.8825601607669225E-2</v>
      </c>
      <c r="D126" s="29">
        <f>LN(Acciones!D126/Acciones!D125)</f>
        <v>-8.896288509469448E-3</v>
      </c>
      <c r="E126" s="29">
        <f>LN(Acciones!E126/Acciones!E125)</f>
        <v>4.1964242256993529E-2</v>
      </c>
      <c r="M126" s="30">
        <f ca="1">Acciones!$B$751*EXP((H$2-H$3/2)*(1)+H$4*_xlfn.NORM.S.INV(RAND())*SQRT(1))</f>
        <v>10.865079335416544</v>
      </c>
      <c r="N126" s="30">
        <f ca="1">Acciones!$C$751*EXP((I$2-I$3/2)*(1)+I$4*_xlfn.NORM.S.INV(RAND())*SQRT(1))</f>
        <v>159.11021841286805</v>
      </c>
      <c r="O126" s="30">
        <f ca="1">Acciones!$D$751*EXP((J$2-J$3/2)*(1)+J$4*_xlfn.NORM.S.INV(RAND())*SQRT(1))</f>
        <v>978.76714841733622</v>
      </c>
      <c r="P126" s="30">
        <f ca="1">Acciones!$E$751*EXP((K$2-K$3/2)*(1)+K$4*_xlfn.NORM.S.INV(RAND())*SQRT(1))</f>
        <v>0.12761594649661656</v>
      </c>
      <c r="Q126" s="30"/>
      <c r="R126">
        <f ca="1">M126/Acciones!$B$751*$I$10 + N126/Acciones!$C$751*$I$11 + O126/Acciones!$D$751*$I$12 + P126/Acciones!$D$751*$I$13</f>
        <v>23224.627203988293</v>
      </c>
      <c r="T126" s="14">
        <f t="shared" ca="1" si="4"/>
        <v>-5275.3727960117067</v>
      </c>
      <c r="V126">
        <v>-6160.818527176918</v>
      </c>
    </row>
    <row r="127" spans="1:22" x14ac:dyDescent="0.2">
      <c r="A127" s="1">
        <f>Acciones!A127</f>
        <v>45177</v>
      </c>
      <c r="B127" s="29">
        <f>LN(Acciones!B127/Acciones!B126)</f>
        <v>2.5102693319414834E-2</v>
      </c>
      <c r="C127" s="29">
        <f>LN(Acciones!C127/Acciones!C126)</f>
        <v>-0.12974561860492248</v>
      </c>
      <c r="D127" s="29">
        <f>LN(Acciones!D127/Acciones!D126)</f>
        <v>-2.6752184441419611E-3</v>
      </c>
      <c r="E127" s="29">
        <f>LN(Acciones!E127/Acciones!E126)</f>
        <v>6.8259584050765487E-3</v>
      </c>
      <c r="M127" s="30">
        <f ca="1">Acciones!$B$751*EXP((H$2-H$3/2)*(1)+H$4*_xlfn.NORM.S.INV(RAND())*SQRT(1))</f>
        <v>11.069278118897003</v>
      </c>
      <c r="N127" s="30">
        <f ca="1">Acciones!$C$751*EXP((I$2-I$3/2)*(1)+I$4*_xlfn.NORM.S.INV(RAND())*SQRT(1))</f>
        <v>162.45218704457156</v>
      </c>
      <c r="O127" s="30">
        <f ca="1">Acciones!$D$751*EXP((J$2-J$3/2)*(1)+J$4*_xlfn.NORM.S.INV(RAND())*SQRT(1))</f>
        <v>1026.885154666498</v>
      </c>
      <c r="P127" s="30">
        <f ca="1">Acciones!$E$751*EXP((K$2-K$3/2)*(1)+K$4*_xlfn.NORM.S.INV(RAND())*SQRT(1))</f>
        <v>0.1341030029926476</v>
      </c>
      <c r="Q127" s="30"/>
      <c r="R127">
        <f ca="1">M127/Acciones!$B$751*$I$10 + N127/Acciones!$C$751*$I$11 + O127/Acciones!$D$751*$I$12 + P127/Acciones!$D$751*$I$13</f>
        <v>23980.808887193143</v>
      </c>
      <c r="T127" s="14">
        <f t="shared" ca="1" si="4"/>
        <v>-4519.1911128068568</v>
      </c>
      <c r="V127">
        <v>-6152.605077019638</v>
      </c>
    </row>
    <row r="128" spans="1:22" x14ac:dyDescent="0.2">
      <c r="A128" s="1">
        <f>Acciones!A128</f>
        <v>45180</v>
      </c>
      <c r="B128" s="29">
        <f>LN(Acciones!B128/Acciones!B127)</f>
        <v>1.4388736349309287E-2</v>
      </c>
      <c r="C128" s="29">
        <f>LN(Acciones!C128/Acciones!C127)</f>
        <v>-9.4834390540151817E-2</v>
      </c>
      <c r="D128" s="29">
        <f>LN(Acciones!D128/Acciones!D127)</f>
        <v>-2.9686625408729732E-2</v>
      </c>
      <c r="E128" s="29">
        <f>LN(Acciones!E128/Acciones!E127)</f>
        <v>0</v>
      </c>
      <c r="M128" s="30">
        <f ca="1">Acciones!$B$751*EXP((H$2-H$3/2)*(1)+H$4*_xlfn.NORM.S.INV(RAND())*SQRT(1))</f>
        <v>11.195682313208692</v>
      </c>
      <c r="N128" s="30">
        <f ca="1">Acciones!$C$751*EXP((I$2-I$3/2)*(1)+I$4*_xlfn.NORM.S.INV(RAND())*SQRT(1))</f>
        <v>157.56861312552428</v>
      </c>
      <c r="O128" s="30">
        <f ca="1">Acciones!$D$751*EXP((J$2-J$3/2)*(1)+J$4*_xlfn.NORM.S.INV(RAND())*SQRT(1))</f>
        <v>1020.0256801413728</v>
      </c>
      <c r="P128" s="30">
        <f ca="1">Acciones!$E$751*EXP((K$2-K$3/2)*(1)+K$4*_xlfn.NORM.S.INV(RAND())*SQRT(1))</f>
        <v>0.1266878801527416</v>
      </c>
      <c r="Q128" s="30"/>
      <c r="R128">
        <f ca="1">M128/Acciones!$B$751*$I$10 + N128/Acciones!$C$751*$I$11 + O128/Acciones!$D$751*$I$12 + P128/Acciones!$D$751*$I$13</f>
        <v>23647.689439035628</v>
      </c>
      <c r="T128" s="14">
        <f t="shared" ca="1" si="4"/>
        <v>-4852.3105609643717</v>
      </c>
      <c r="V128">
        <v>-6150.3147273619325</v>
      </c>
    </row>
    <row r="129" spans="1:22" x14ac:dyDescent="0.2">
      <c r="A129" s="1">
        <f>Acciones!A129</f>
        <v>45181</v>
      </c>
      <c r="B129" s="29">
        <f>LN(Acciones!B129/Acciones!B128)</f>
        <v>-1.0582148995865648E-2</v>
      </c>
      <c r="C129" s="29">
        <f>LN(Acciones!C129/Acciones!C128)</f>
        <v>6.2480288462678068E-3</v>
      </c>
      <c r="D129" s="29">
        <f>LN(Acciones!D129/Acciones!D128)</f>
        <v>-7.7756279140007113E-3</v>
      </c>
      <c r="E129" s="29">
        <f>LN(Acciones!E129/Acciones!E128)</f>
        <v>-4.8790200662069988E-2</v>
      </c>
      <c r="M129" s="30">
        <f ca="1">Acciones!$B$751*EXP((H$2-H$3/2)*(1)+H$4*_xlfn.NORM.S.INV(RAND())*SQRT(1))</f>
        <v>10.759053216358044</v>
      </c>
      <c r="N129" s="30">
        <f ca="1">Acciones!$C$751*EXP((I$2-I$3/2)*(1)+I$4*_xlfn.NORM.S.INV(RAND())*SQRT(1))</f>
        <v>144.78244483315882</v>
      </c>
      <c r="O129" s="30">
        <f ca="1">Acciones!$D$751*EXP((J$2-J$3/2)*(1)+J$4*_xlfn.NORM.S.INV(RAND())*SQRT(1))</f>
        <v>1030.4489633036771</v>
      </c>
      <c r="P129" s="30">
        <f ca="1">Acciones!$E$751*EXP((K$2-K$3/2)*(1)+K$4*_xlfn.NORM.S.INV(RAND())*SQRT(1))</f>
        <v>0.1269681557752215</v>
      </c>
      <c r="Q129" s="30"/>
      <c r="R129">
        <f ca="1">M129/Acciones!$B$751*$I$10 + N129/Acciones!$C$751*$I$11 + O129/Acciones!$D$751*$I$12 + P129/Acciones!$D$751*$I$13</f>
        <v>22813.673833948895</v>
      </c>
      <c r="T129" s="14">
        <f t="shared" ca="1" si="4"/>
        <v>-5686.3261660511052</v>
      </c>
      <c r="V129">
        <v>-6145.5277804809484</v>
      </c>
    </row>
    <row r="130" spans="1:22" x14ac:dyDescent="0.2">
      <c r="A130" s="1">
        <f>Acciones!A130</f>
        <v>45182</v>
      </c>
      <c r="B130" s="29">
        <f>LN(Acciones!B130/Acciones!B129)</f>
        <v>-3.0866550828266229E-2</v>
      </c>
      <c r="C130" s="29">
        <f>LN(Acciones!C130/Acciones!C129)</f>
        <v>-1.7291497110060994E-2</v>
      </c>
      <c r="D130" s="29">
        <f>LN(Acciones!D130/Acciones!D129)</f>
        <v>1.873488625223842E-2</v>
      </c>
      <c r="E130" s="29">
        <f>LN(Acciones!E130/Acciones!E129)</f>
        <v>0</v>
      </c>
      <c r="M130" s="30">
        <f ca="1">Acciones!$B$751*EXP((H$2-H$3/2)*(1)+H$4*_xlfn.NORM.S.INV(RAND())*SQRT(1))</f>
        <v>11.144896171168693</v>
      </c>
      <c r="N130" s="30">
        <f ca="1">Acciones!$C$751*EXP((I$2-I$3/2)*(1)+I$4*_xlfn.NORM.S.INV(RAND())*SQRT(1))</f>
        <v>156.85329481271799</v>
      </c>
      <c r="O130" s="30">
        <f ca="1">Acciones!$D$751*EXP((J$2-J$3/2)*(1)+J$4*_xlfn.NORM.S.INV(RAND())*SQRT(1))</f>
        <v>1028.3753837802828</v>
      </c>
      <c r="P130" s="30">
        <f ca="1">Acciones!$E$751*EXP((K$2-K$3/2)*(1)+K$4*_xlfn.NORM.S.INV(RAND())*SQRT(1))</f>
        <v>0.1286425114310496</v>
      </c>
      <c r="Q130" s="30"/>
      <c r="R130">
        <f ca="1">M130/Acciones!$B$751*$I$10 + N130/Acciones!$C$751*$I$11 + O130/Acciones!$D$751*$I$12 + P130/Acciones!$D$751*$I$13</f>
        <v>23670.378554412673</v>
      </c>
      <c r="T130" s="14">
        <f t="shared" ca="1" si="4"/>
        <v>-4829.6214455873269</v>
      </c>
      <c r="V130">
        <v>-6143.5158326991586</v>
      </c>
    </row>
    <row r="131" spans="1:22" x14ac:dyDescent="0.2">
      <c r="A131" s="1">
        <f>Acciones!A131</f>
        <v>45183</v>
      </c>
      <c r="B131" s="29">
        <f>LN(Acciones!B131/Acciones!B130)</f>
        <v>3.0106468644336828E-2</v>
      </c>
      <c r="C131" s="29">
        <f>LN(Acciones!C131/Acciones!C130)</f>
        <v>2.3249207704090764E-4</v>
      </c>
      <c r="D131" s="29">
        <f>LN(Acciones!D131/Acciones!D130)</f>
        <v>-1.3122320025665575E-2</v>
      </c>
      <c r="E131" s="29">
        <f>LN(Acciones!E131/Acciones!E130)</f>
        <v>0</v>
      </c>
      <c r="M131" s="30">
        <f ca="1">Acciones!$B$751*EXP((H$2-H$3/2)*(1)+H$4*_xlfn.NORM.S.INV(RAND())*SQRT(1))</f>
        <v>11.066606207931738</v>
      </c>
      <c r="N131" s="30">
        <f ca="1">Acciones!$C$751*EXP((I$2-I$3/2)*(1)+I$4*_xlfn.NORM.S.INV(RAND())*SQRT(1))</f>
        <v>146.84564550235493</v>
      </c>
      <c r="O131" s="30">
        <f ca="1">Acciones!$D$751*EXP((J$2-J$3/2)*(1)+J$4*_xlfn.NORM.S.INV(RAND())*SQRT(1))</f>
        <v>970.52141893222858</v>
      </c>
      <c r="P131" s="30">
        <f ca="1">Acciones!$E$751*EXP((K$2-K$3/2)*(1)+K$4*_xlfn.NORM.S.INV(RAND())*SQRT(1))</f>
        <v>0.12537330904960076</v>
      </c>
      <c r="Q131" s="30"/>
      <c r="R131">
        <f ca="1">M131/Acciones!$B$751*$I$10 + N131/Acciones!$C$751*$I$11 + O131/Acciones!$D$751*$I$12 + P131/Acciones!$D$751*$I$13</f>
        <v>22440.893119048465</v>
      </c>
      <c r="T131" s="14">
        <f t="shared" ca="1" si="4"/>
        <v>-6059.1068809515345</v>
      </c>
      <c r="V131">
        <v>-6142.6439969633102</v>
      </c>
    </row>
    <row r="132" spans="1:22" x14ac:dyDescent="0.2">
      <c r="A132" s="1">
        <f>Acciones!A132</f>
        <v>45184</v>
      </c>
      <c r="B132" s="29">
        <f>LN(Acciones!B132/Acciones!B131)</f>
        <v>-2.2689024920431511E-2</v>
      </c>
      <c r="C132" s="29">
        <f>LN(Acciones!C132/Acciones!C131)</f>
        <v>-2.973315647373893E-2</v>
      </c>
      <c r="D132" s="29">
        <f>LN(Acciones!D132/Acciones!D131)</f>
        <v>-1.5201782940817537E-2</v>
      </c>
      <c r="E132" s="29">
        <f>LN(Acciones!E132/Acciones!E131)</f>
        <v>-3.636760948034163E-2</v>
      </c>
      <c r="M132" s="30">
        <f ca="1">Acciones!$B$751*EXP((H$2-H$3/2)*(1)+H$4*_xlfn.NORM.S.INV(RAND())*SQRT(1))</f>
        <v>10.851445338217303</v>
      </c>
      <c r="N132" s="30">
        <f ca="1">Acciones!$C$751*EXP((I$2-I$3/2)*(1)+I$4*_xlfn.NORM.S.INV(RAND())*SQRT(1))</f>
        <v>167.81138582865566</v>
      </c>
      <c r="O132" s="30">
        <f ca="1">Acciones!$D$751*EXP((J$2-J$3/2)*(1)+J$4*_xlfn.NORM.S.INV(RAND())*SQRT(1))</f>
        <v>996.60398842045686</v>
      </c>
      <c r="P132" s="30">
        <f ca="1">Acciones!$E$751*EXP((K$2-K$3/2)*(1)+K$4*_xlfn.NORM.S.INV(RAND())*SQRT(1))</f>
        <v>0.13426754189859977</v>
      </c>
      <c r="Q132" s="30"/>
      <c r="R132">
        <f ca="1">M132/Acciones!$B$751*$I$10 + N132/Acciones!$C$751*$I$11 + O132/Acciones!$D$751*$I$12 + P132/Acciones!$D$751*$I$13</f>
        <v>23942.238225842731</v>
      </c>
      <c r="T132" s="14">
        <f t="shared" ca="1" si="4"/>
        <v>-4557.7617741572685</v>
      </c>
      <c r="V132">
        <v>-6141.2088139941843</v>
      </c>
    </row>
    <row r="133" spans="1:22" x14ac:dyDescent="0.2">
      <c r="A133" s="1">
        <f>Acciones!A133</f>
        <v>45187</v>
      </c>
      <c r="B133" s="29">
        <f>LN(Acciones!B133/Acciones!B132)</f>
        <v>-9.3787112369933586E-3</v>
      </c>
      <c r="C133" s="29">
        <f>LN(Acciones!C133/Acciones!C132)</f>
        <v>0</v>
      </c>
      <c r="D133" s="29">
        <f>LN(Acciones!D133/Acciones!D132)</f>
        <v>-2.5979434408866997E-3</v>
      </c>
      <c r="E133" s="29">
        <f>LN(Acciones!E133/Acciones!E132)</f>
        <v>-3.710575785626267E-3</v>
      </c>
      <c r="M133" s="30">
        <f ca="1">Acciones!$B$751*EXP((H$2-H$3/2)*(1)+H$4*_xlfn.NORM.S.INV(RAND())*SQRT(1))</f>
        <v>10.766716220994592</v>
      </c>
      <c r="N133" s="30">
        <f ca="1">Acciones!$C$751*EXP((I$2-I$3/2)*(1)+I$4*_xlfn.NORM.S.INV(RAND())*SQRT(1))</f>
        <v>163.40632256979845</v>
      </c>
      <c r="O133" s="30">
        <f ca="1">Acciones!$D$751*EXP((J$2-J$3/2)*(1)+J$4*_xlfn.NORM.S.INV(RAND())*SQRT(1))</f>
        <v>1007.767172010888</v>
      </c>
      <c r="P133" s="30">
        <f ca="1">Acciones!$E$751*EXP((K$2-K$3/2)*(1)+K$4*_xlfn.NORM.S.INV(RAND())*SQRT(1))</f>
        <v>0.13994804240415487</v>
      </c>
      <c r="Q133" s="30"/>
      <c r="R133">
        <f ca="1">M133/Acciones!$B$751*$I$10 + N133/Acciones!$C$751*$I$11 + O133/Acciones!$D$751*$I$12 + P133/Acciones!$D$751*$I$13</f>
        <v>23751.85803536357</v>
      </c>
      <c r="T133" s="14">
        <f t="shared" ca="1" si="4"/>
        <v>-4748.1419646364302</v>
      </c>
      <c r="V133">
        <v>-6140.9601655028928</v>
      </c>
    </row>
    <row r="134" spans="1:22" x14ac:dyDescent="0.2">
      <c r="A134" s="1">
        <f>Acciones!A134</f>
        <v>45188</v>
      </c>
      <c r="B134" s="29">
        <f>LN(Acciones!B134/Acciones!B133)</f>
        <v>7.0423654400480441E-3</v>
      </c>
      <c r="C134" s="29">
        <f>LN(Acciones!C134/Acciones!C133)</f>
        <v>-1.5265622241536951E-2</v>
      </c>
      <c r="D134" s="29">
        <f>LN(Acciones!D134/Acciones!D133)</f>
        <v>-1.3859264409364858E-2</v>
      </c>
      <c r="E134" s="29">
        <f>LN(Acciones!E134/Acciones!E133)</f>
        <v>-3.4029806537639255E-2</v>
      </c>
      <c r="M134" s="30">
        <f ca="1">Acciones!$B$751*EXP((H$2-H$3/2)*(1)+H$4*_xlfn.NORM.S.INV(RAND())*SQRT(1))</f>
        <v>10.646929583577849</v>
      </c>
      <c r="N134" s="30">
        <f ca="1">Acciones!$C$751*EXP((I$2-I$3/2)*(1)+I$4*_xlfn.NORM.S.INV(RAND())*SQRT(1))</f>
        <v>166.52054920964471</v>
      </c>
      <c r="O134" s="30">
        <f ca="1">Acciones!$D$751*EXP((J$2-J$3/2)*(1)+J$4*_xlfn.NORM.S.INV(RAND())*SQRT(1))</f>
        <v>975.86545465464815</v>
      </c>
      <c r="P134" s="30">
        <f ca="1">Acciones!$E$751*EXP((K$2-K$3/2)*(1)+K$4*_xlfn.NORM.S.INV(RAND())*SQRT(1))</f>
        <v>0.12457856232094883</v>
      </c>
      <c r="Q134" s="30"/>
      <c r="R134">
        <f ca="1">M134/Acciones!$B$751*$I$10 + N134/Acciones!$C$751*$I$11 + O134/Acciones!$D$751*$I$12 + P134/Acciones!$D$751*$I$13</f>
        <v>23588.251078192396</v>
      </c>
      <c r="T134" s="14">
        <f t="shared" ref="T134:T197" ca="1" si="5">R134-$I$14</f>
        <v>-4911.7489218076043</v>
      </c>
      <c r="V134">
        <v>-6140.6670517554267</v>
      </c>
    </row>
    <row r="135" spans="1:22" x14ac:dyDescent="0.2">
      <c r="A135" s="1">
        <f>Acciones!A135</f>
        <v>45189</v>
      </c>
      <c r="B135" s="29">
        <f>LN(Acciones!B135/Acciones!B134)</f>
        <v>-1.8493542906563055E-2</v>
      </c>
      <c r="C135" s="29">
        <f>LN(Acciones!C135/Acciones!C134)</f>
        <v>-3.3383787220956848E-2</v>
      </c>
      <c r="D135" s="29">
        <f>LN(Acciones!D135/Acciones!D134)</f>
        <v>-5.5567403977756528E-3</v>
      </c>
      <c r="E135" s="29">
        <f>LN(Acciones!E135/Acciones!E134)</f>
        <v>-3.9220676473496023E-2</v>
      </c>
      <c r="M135" s="30">
        <f ca="1">Acciones!$B$751*EXP((H$2-H$3/2)*(1)+H$4*_xlfn.NORM.S.INV(RAND())*SQRT(1))</f>
        <v>10.860708372368597</v>
      </c>
      <c r="N135" s="30">
        <f ca="1">Acciones!$C$751*EXP((I$2-I$3/2)*(1)+I$4*_xlfn.NORM.S.INV(RAND())*SQRT(1))</f>
        <v>157.33325789317277</v>
      </c>
      <c r="O135" s="30">
        <f ca="1">Acciones!$D$751*EXP((J$2-J$3/2)*(1)+J$4*_xlfn.NORM.S.INV(RAND())*SQRT(1))</f>
        <v>998.11126313866498</v>
      </c>
      <c r="P135" s="30">
        <f ca="1">Acciones!$E$751*EXP((K$2-K$3/2)*(1)+K$4*_xlfn.NORM.S.INV(RAND())*SQRT(1))</f>
        <v>0.116820654248615</v>
      </c>
      <c r="Q135" s="30"/>
      <c r="R135">
        <f ca="1">M135/Acciones!$B$751*$I$10 + N135/Acciones!$C$751*$I$11 + O135/Acciones!$D$751*$I$12 + P135/Acciones!$D$751*$I$13</f>
        <v>23305.973866941353</v>
      </c>
      <c r="T135" s="14">
        <f t="shared" ca="1" si="5"/>
        <v>-5194.0261330586472</v>
      </c>
      <c r="V135">
        <v>-6139.5373336163866</v>
      </c>
    </row>
    <row r="136" spans="1:22" x14ac:dyDescent="0.2">
      <c r="A136" s="1">
        <f>Acciones!A136</f>
        <v>45190</v>
      </c>
      <c r="B136" s="29">
        <f>LN(Acciones!B136/Acciones!B135)</f>
        <v>5.1494506299325895E-3</v>
      </c>
      <c r="C136" s="29">
        <f>LN(Acciones!C136/Acciones!C135)</f>
        <v>5.829412279565507E-3</v>
      </c>
      <c r="D136" s="29">
        <f>LN(Acciones!D136/Acciones!D135)</f>
        <v>-1.5788953344695024E-2</v>
      </c>
      <c r="E136" s="29">
        <f>LN(Acciones!E136/Acciones!E135)</f>
        <v>-1.2072569651184173E-2</v>
      </c>
      <c r="M136" s="30">
        <f ca="1">Acciones!$B$751*EXP((H$2-H$3/2)*(1)+H$4*_xlfn.NORM.S.INV(RAND())*SQRT(1))</f>
        <v>11.001193231414723</v>
      </c>
      <c r="N136" s="30">
        <f ca="1">Acciones!$C$751*EXP((I$2-I$3/2)*(1)+I$4*_xlfn.NORM.S.INV(RAND())*SQRT(1))</f>
        <v>140.23847677110587</v>
      </c>
      <c r="O136" s="30">
        <f ca="1">Acciones!$D$751*EXP((J$2-J$3/2)*(1)+J$4*_xlfn.NORM.S.INV(RAND())*SQRT(1))</f>
        <v>1001.1010795988777</v>
      </c>
      <c r="P136" s="30">
        <f ca="1">Acciones!$E$751*EXP((K$2-K$3/2)*(1)+K$4*_xlfn.NORM.S.INV(RAND())*SQRT(1))</f>
        <v>0.13794648398338002</v>
      </c>
      <c r="Q136" s="30"/>
      <c r="R136">
        <f ca="1">M136/Acciones!$B$751*$I$10 + N136/Acciones!$C$751*$I$11 + O136/Acciones!$D$751*$I$12 + P136/Acciones!$D$751*$I$13</f>
        <v>22313.735462185919</v>
      </c>
      <c r="T136" s="14">
        <f t="shared" ca="1" si="5"/>
        <v>-6186.2645378140805</v>
      </c>
      <c r="V136">
        <v>-6137.141708963245</v>
      </c>
    </row>
    <row r="137" spans="1:22" x14ac:dyDescent="0.2">
      <c r="A137" s="1">
        <f>Acciones!A137</f>
        <v>45191</v>
      </c>
      <c r="B137" s="29">
        <f>LN(Acciones!B137/Acciones!B136)</f>
        <v>7.478837747310829E-3</v>
      </c>
      <c r="C137" s="29">
        <f>LN(Acciones!C137/Acciones!C136)</f>
        <v>-6.7075101424330111E-2</v>
      </c>
      <c r="D137" s="29">
        <f>LN(Acciones!D137/Acciones!D136)</f>
        <v>-1.3038498077350382E-2</v>
      </c>
      <c r="E137" s="29">
        <f>LN(Acciones!E137/Acciones!E136)</f>
        <v>-2.8749385132642632E-2</v>
      </c>
      <c r="M137" s="30">
        <f ca="1">Acciones!$B$751*EXP((H$2-H$3/2)*(1)+H$4*_xlfn.NORM.S.INV(RAND())*SQRT(1))</f>
        <v>10.915551577616567</v>
      </c>
      <c r="N137" s="30">
        <f ca="1">Acciones!$C$751*EXP((I$2-I$3/2)*(1)+I$4*_xlfn.NORM.S.INV(RAND())*SQRT(1))</f>
        <v>155.97086862338978</v>
      </c>
      <c r="O137" s="30">
        <f ca="1">Acciones!$D$751*EXP((J$2-J$3/2)*(1)+J$4*_xlfn.NORM.S.INV(RAND())*SQRT(1))</f>
        <v>976.18979130390096</v>
      </c>
      <c r="P137" s="30">
        <f ca="1">Acciones!$E$751*EXP((K$2-K$3/2)*(1)+K$4*_xlfn.NORM.S.INV(RAND())*SQRT(1))</f>
        <v>0.12604977356455091</v>
      </c>
      <c r="Q137" s="30"/>
      <c r="R137">
        <f ca="1">M137/Acciones!$B$751*$I$10 + N137/Acciones!$C$751*$I$11 + O137/Acciones!$D$751*$I$12 + P137/Acciones!$D$751*$I$13</f>
        <v>23018.978561958527</v>
      </c>
      <c r="T137" s="14">
        <f t="shared" ca="1" si="5"/>
        <v>-5481.0214380414727</v>
      </c>
      <c r="V137">
        <v>-6129.0892910254261</v>
      </c>
    </row>
    <row r="138" spans="1:22" x14ac:dyDescent="0.2">
      <c r="A138" s="1">
        <f>Acciones!A138</f>
        <v>45194</v>
      </c>
      <c r="B138" s="29">
        <f>LN(Acciones!B138/Acciones!B137)</f>
        <v>-1.0248385118802947E-2</v>
      </c>
      <c r="C138" s="29">
        <f>LN(Acciones!C138/Acciones!C137)</f>
        <v>-8.0232097875572222E-4</v>
      </c>
      <c r="D138" s="29">
        <f>LN(Acciones!D138/Acciones!D137)</f>
        <v>3.2084655288716527E-2</v>
      </c>
      <c r="E138" s="29">
        <f>LN(Acciones!E138/Acciones!E137)</f>
        <v>0</v>
      </c>
      <c r="M138" s="30">
        <f ca="1">Acciones!$B$751*EXP((H$2-H$3/2)*(1)+H$4*_xlfn.NORM.S.INV(RAND())*SQRT(1))</f>
        <v>10.680463352669186</v>
      </c>
      <c r="N138" s="30">
        <f ca="1">Acciones!$C$751*EXP((I$2-I$3/2)*(1)+I$4*_xlfn.NORM.S.INV(RAND())*SQRT(1))</f>
        <v>144.42801048370964</v>
      </c>
      <c r="O138" s="30">
        <f ca="1">Acciones!$D$751*EXP((J$2-J$3/2)*(1)+J$4*_xlfn.NORM.S.INV(RAND())*SQRT(1))</f>
        <v>1002.0897519734028</v>
      </c>
      <c r="P138" s="30">
        <f ca="1">Acciones!$E$751*EXP((K$2-K$3/2)*(1)+K$4*_xlfn.NORM.S.INV(RAND())*SQRT(1))</f>
        <v>0.12695661071983252</v>
      </c>
      <c r="Q138" s="30"/>
      <c r="R138">
        <f ca="1">M138/Acciones!$B$751*$I$10 + N138/Acciones!$C$751*$I$11 + O138/Acciones!$D$751*$I$12 + P138/Acciones!$D$751*$I$13</f>
        <v>22482.273341925313</v>
      </c>
      <c r="T138" s="14">
        <f t="shared" ca="1" si="5"/>
        <v>-6017.7266580746873</v>
      </c>
      <c r="V138">
        <v>-6126.7477868309325</v>
      </c>
    </row>
    <row r="139" spans="1:22" x14ac:dyDescent="0.2">
      <c r="A139" s="1">
        <f>Acciones!A139</f>
        <v>45195</v>
      </c>
      <c r="B139" s="29">
        <f>LN(Acciones!B139/Acciones!B138)</f>
        <v>1.8449985445068241E-2</v>
      </c>
      <c r="C139" s="29">
        <f>LN(Acciones!C139/Acciones!C138)</f>
        <v>-3.1252585626368942E-2</v>
      </c>
      <c r="D139" s="29">
        <f>LN(Acciones!D139/Acciones!D138)</f>
        <v>-1.7143896046134862E-2</v>
      </c>
      <c r="E139" s="29">
        <f>LN(Acciones!E139/Acciones!E138)</f>
        <v>-6.4538560873999437E-2</v>
      </c>
      <c r="M139" s="30">
        <f ca="1">Acciones!$B$751*EXP((H$2-H$3/2)*(1)+H$4*_xlfn.NORM.S.INV(RAND())*SQRT(1))</f>
        <v>10.777761114995966</v>
      </c>
      <c r="N139" s="30">
        <f ca="1">Acciones!$C$751*EXP((I$2-I$3/2)*(1)+I$4*_xlfn.NORM.S.INV(RAND())*SQRT(1))</f>
        <v>153.30301437768532</v>
      </c>
      <c r="O139" s="30">
        <f ca="1">Acciones!$D$751*EXP((J$2-J$3/2)*(1)+J$4*_xlfn.NORM.S.INV(RAND())*SQRT(1))</f>
        <v>1018.5249413076706</v>
      </c>
      <c r="P139" s="30">
        <f ca="1">Acciones!$E$751*EXP((K$2-K$3/2)*(1)+K$4*_xlfn.NORM.S.INV(RAND())*SQRT(1))</f>
        <v>0.12856413270769279</v>
      </c>
      <c r="Q139" s="30"/>
      <c r="R139">
        <f ca="1">M139/Acciones!$B$751*$I$10 + N139/Acciones!$C$751*$I$11 + O139/Acciones!$D$751*$I$12 + P139/Acciones!$D$751*$I$13</f>
        <v>23232.258754189574</v>
      </c>
      <c r="T139" s="14">
        <f t="shared" ca="1" si="5"/>
        <v>-5267.7412458104263</v>
      </c>
      <c r="V139">
        <v>-6117.7367927404484</v>
      </c>
    </row>
    <row r="140" spans="1:22" x14ac:dyDescent="0.2">
      <c r="A140" s="1">
        <f>Acciones!A140</f>
        <v>45196</v>
      </c>
      <c r="B140" s="29">
        <f>LN(Acciones!B140/Acciones!B139)</f>
        <v>-1.9639229082017567E-2</v>
      </c>
      <c r="C140" s="29">
        <f>LN(Acciones!C140/Acciones!C139)</f>
        <v>-1.6280860607343104E-2</v>
      </c>
      <c r="D140" s="29">
        <f>LN(Acciones!D140/Acciones!D139)</f>
        <v>-2.5285541443554561E-3</v>
      </c>
      <c r="E140" s="29">
        <f>LN(Acciones!E140/Acciones!E139)</f>
        <v>-9.3090446326363332E-2</v>
      </c>
      <c r="M140" s="30">
        <f ca="1">Acciones!$B$751*EXP((H$2-H$3/2)*(1)+H$4*_xlfn.NORM.S.INV(RAND())*SQRT(1))</f>
        <v>10.83176316300691</v>
      </c>
      <c r="N140" s="30">
        <f ca="1">Acciones!$C$751*EXP((I$2-I$3/2)*(1)+I$4*_xlfn.NORM.S.INV(RAND())*SQRT(1))</f>
        <v>152.9218765589186</v>
      </c>
      <c r="O140" s="30">
        <f ca="1">Acciones!$D$751*EXP((J$2-J$3/2)*(1)+J$4*_xlfn.NORM.S.INV(RAND())*SQRT(1))</f>
        <v>1005.4516851992241</v>
      </c>
      <c r="P140" s="30">
        <f ca="1">Acciones!$E$751*EXP((K$2-K$3/2)*(1)+K$4*_xlfn.NORM.S.INV(RAND())*SQRT(1))</f>
        <v>0.12640645100713299</v>
      </c>
      <c r="Q140" s="30"/>
      <c r="R140">
        <f ca="1">M140/Acciones!$B$751*$I$10 + N140/Acciones!$C$751*$I$11 + O140/Acciones!$D$751*$I$12 + P140/Acciones!$D$751*$I$13</f>
        <v>23094.826134346851</v>
      </c>
      <c r="T140" s="14">
        <f t="shared" ca="1" si="5"/>
        <v>-5405.1738656531488</v>
      </c>
      <c r="V140">
        <v>-6113.5127507794314</v>
      </c>
    </row>
    <row r="141" spans="1:22" x14ac:dyDescent="0.2">
      <c r="A141" s="1">
        <f>Acciones!A141</f>
        <v>45197</v>
      </c>
      <c r="B141" s="29">
        <f>LN(Acciones!B141/Acciones!B140)</f>
        <v>2.7728384324465808E-3</v>
      </c>
      <c r="C141" s="29">
        <f>LN(Acciones!C141/Acciones!C140)</f>
        <v>6.4117574249247217E-2</v>
      </c>
      <c r="D141" s="29">
        <f>LN(Acciones!D141/Acciones!D140)</f>
        <v>-9.4339351789397288E-4</v>
      </c>
      <c r="E141" s="29">
        <f>LN(Acciones!E141/Acciones!E140)</f>
        <v>-5.0010372861125585E-2</v>
      </c>
      <c r="M141" s="30">
        <f ca="1">Acciones!$B$751*EXP((H$2-H$3/2)*(1)+H$4*_xlfn.NORM.S.INV(RAND())*SQRT(1))</f>
        <v>11.327588362441551</v>
      </c>
      <c r="N141" s="30">
        <f ca="1">Acciones!$C$751*EXP((I$2-I$3/2)*(1)+I$4*_xlfn.NORM.S.INV(RAND())*SQRT(1))</f>
        <v>141.42020172706171</v>
      </c>
      <c r="O141" s="30">
        <f ca="1">Acciones!$D$751*EXP((J$2-J$3/2)*(1)+J$4*_xlfn.NORM.S.INV(RAND())*SQRT(1))</f>
        <v>987.77715819744617</v>
      </c>
      <c r="P141" s="30">
        <f ca="1">Acciones!$E$751*EXP((K$2-K$3/2)*(1)+K$4*_xlfn.NORM.S.INV(RAND())*SQRT(1))</f>
        <v>0.1263398935653911</v>
      </c>
      <c r="Q141" s="30"/>
      <c r="R141">
        <f ca="1">M141/Acciones!$B$751*$I$10 + N141/Acciones!$C$751*$I$11 + O141/Acciones!$D$751*$I$12 + P141/Acciones!$D$751*$I$13</f>
        <v>22358.70814593491</v>
      </c>
      <c r="T141" s="14">
        <f t="shared" ca="1" si="5"/>
        <v>-6141.2918540650899</v>
      </c>
      <c r="V141">
        <v>-6108.6164611529966</v>
      </c>
    </row>
    <row r="142" spans="1:22" x14ac:dyDescent="0.2">
      <c r="A142" s="1">
        <f>Acciones!A142</f>
        <v>45198</v>
      </c>
      <c r="B142" s="29">
        <f>LN(Acciones!B142/Acciones!B141)</f>
        <v>-7.1457268411727745E-3</v>
      </c>
      <c r="C142" s="29">
        <f>LN(Acciones!C142/Acciones!C141)</f>
        <v>-3.3447934067540132E-2</v>
      </c>
      <c r="D142" s="29">
        <f>LN(Acciones!D142/Acciones!D141)</f>
        <v>5.6342164557761129E-2</v>
      </c>
      <c r="E142" s="29">
        <f>LN(Acciones!E142/Acciones!E141)</f>
        <v>1.0204160244011631E-2</v>
      </c>
      <c r="M142" s="30">
        <f ca="1">Acciones!$B$751*EXP((H$2-H$3/2)*(1)+H$4*_xlfn.NORM.S.INV(RAND())*SQRT(1))</f>
        <v>10.757051503587636</v>
      </c>
      <c r="N142" s="30">
        <f ca="1">Acciones!$C$751*EXP((I$2-I$3/2)*(1)+I$4*_xlfn.NORM.S.INV(RAND())*SQRT(1))</f>
        <v>157.57344407248945</v>
      </c>
      <c r="O142" s="30">
        <f ca="1">Acciones!$D$751*EXP((J$2-J$3/2)*(1)+J$4*_xlfn.NORM.S.INV(RAND())*SQRT(1))</f>
        <v>983.78645626302853</v>
      </c>
      <c r="P142" s="30">
        <f ca="1">Acciones!$E$751*EXP((K$2-K$3/2)*(1)+K$4*_xlfn.NORM.S.INV(RAND())*SQRT(1))</f>
        <v>0.13298596148544917</v>
      </c>
      <c r="Q142" s="30"/>
      <c r="R142">
        <f ca="1">M142/Acciones!$B$751*$I$10 + N142/Acciones!$C$751*$I$11 + O142/Acciones!$D$751*$I$12 + P142/Acciones!$D$751*$I$13</f>
        <v>23144.322567826413</v>
      </c>
      <c r="T142" s="14">
        <f t="shared" ca="1" si="5"/>
        <v>-5355.6774321735866</v>
      </c>
      <c r="V142">
        <v>-6106.932555394018</v>
      </c>
    </row>
    <row r="143" spans="1:22" x14ac:dyDescent="0.2">
      <c r="A143" s="1">
        <f>Acciones!A143</f>
        <v>45201</v>
      </c>
      <c r="B143" s="29">
        <f>LN(Acciones!B143/Acciones!B142)</f>
        <v>2.0115038077936621E-2</v>
      </c>
      <c r="C143" s="29">
        <f>LN(Acciones!C143/Acciones!C142)</f>
        <v>2.7244505944729228E-2</v>
      </c>
      <c r="D143" s="29">
        <f>LN(Acciones!D143/Acciones!D142)</f>
        <v>3.7724486973391954E-4</v>
      </c>
      <c r="E143" s="29">
        <f>LN(Acciones!E143/Acciones!E142)</f>
        <v>-1.0204160244011539E-2</v>
      </c>
      <c r="M143" s="30">
        <f ca="1">Acciones!$B$751*EXP((H$2-H$3/2)*(1)+H$4*_xlfn.NORM.S.INV(RAND())*SQRT(1))</f>
        <v>10.93626085823726</v>
      </c>
      <c r="N143" s="30">
        <f ca="1">Acciones!$C$751*EXP((I$2-I$3/2)*(1)+I$4*_xlfn.NORM.S.INV(RAND())*SQRT(1))</f>
        <v>139.84835319883527</v>
      </c>
      <c r="O143" s="30">
        <f ca="1">Acciones!$D$751*EXP((J$2-J$3/2)*(1)+J$4*_xlfn.NORM.S.INV(RAND())*SQRT(1))</f>
        <v>998.92982823180398</v>
      </c>
      <c r="P143" s="30">
        <f ca="1">Acciones!$E$751*EXP((K$2-K$3/2)*(1)+K$4*_xlfn.NORM.S.INV(RAND())*SQRT(1))</f>
        <v>0.13031862563720231</v>
      </c>
      <c r="Q143" s="30"/>
      <c r="R143">
        <f ca="1">M143/Acciones!$B$751*$I$10 + N143/Acciones!$C$751*$I$11 + O143/Acciones!$D$751*$I$12 + P143/Acciones!$D$751*$I$13</f>
        <v>22246.755838849316</v>
      </c>
      <c r="T143" s="14">
        <f t="shared" ca="1" si="5"/>
        <v>-6253.2441611506838</v>
      </c>
      <c r="V143">
        <v>-6106.5128409865829</v>
      </c>
    </row>
    <row r="144" spans="1:22" x14ac:dyDescent="0.2">
      <c r="A144" s="1">
        <f>Acciones!A144</f>
        <v>45202</v>
      </c>
      <c r="B144" s="29">
        <f>LN(Acciones!B144/Acciones!B143)</f>
        <v>-2.0513479226595542E-2</v>
      </c>
      <c r="C144" s="29">
        <f>LN(Acciones!C144/Acciones!C143)</f>
        <v>-0.14507853528308712</v>
      </c>
      <c r="D144" s="29">
        <f>LN(Acciones!D144/Acciones!D143)</f>
        <v>2.0393633652936078E-2</v>
      </c>
      <c r="E144" s="29">
        <f>LN(Acciones!E144/Acciones!E143)</f>
        <v>0</v>
      </c>
      <c r="M144" s="30">
        <f ca="1">Acciones!$B$751*EXP((H$2-H$3/2)*(1)+H$4*_xlfn.NORM.S.INV(RAND())*SQRT(1))</f>
        <v>10.769182085141802</v>
      </c>
      <c r="N144" s="30">
        <f ca="1">Acciones!$C$751*EXP((I$2-I$3/2)*(1)+I$4*_xlfn.NORM.S.INV(RAND())*SQRT(1))</f>
        <v>143.83146029968267</v>
      </c>
      <c r="O144" s="30">
        <f ca="1">Acciones!$D$751*EXP((J$2-J$3/2)*(1)+J$4*_xlfn.NORM.S.INV(RAND())*SQRT(1))</f>
        <v>1002.7497516555508</v>
      </c>
      <c r="P144" s="30">
        <f ca="1">Acciones!$E$751*EXP((K$2-K$3/2)*(1)+K$4*_xlfn.NORM.S.INV(RAND())*SQRT(1))</f>
        <v>0.13323536544520298</v>
      </c>
      <c r="Q144" s="30"/>
      <c r="R144">
        <f ca="1">M144/Acciones!$B$751*$I$10 + N144/Acciones!$C$751*$I$11 + O144/Acciones!$D$751*$I$12 + P144/Acciones!$D$751*$I$13</f>
        <v>22480.132695300821</v>
      </c>
      <c r="T144" s="14">
        <f t="shared" ca="1" si="5"/>
        <v>-6019.8673046991789</v>
      </c>
      <c r="V144">
        <v>-6104.3175212606984</v>
      </c>
    </row>
    <row r="145" spans="1:22" x14ac:dyDescent="0.2">
      <c r="A145" s="1">
        <f>Acciones!A145</f>
        <v>45203</v>
      </c>
      <c r="B145" s="29">
        <f>LN(Acciones!B145/Acciones!B144)</f>
        <v>-2.7066969196559904E-2</v>
      </c>
      <c r="C145" s="29">
        <f>LN(Acciones!C145/Acciones!C144)</f>
        <v>3.3934674509045866E-2</v>
      </c>
      <c r="D145" s="29">
        <f>LN(Acciones!D145/Acciones!D144)</f>
        <v>1.3202469097068618E-2</v>
      </c>
      <c r="E145" s="29">
        <f>LN(Acciones!E145/Acciones!E144)</f>
        <v>-3.6557622723354298E-2</v>
      </c>
      <c r="M145" s="30">
        <f ca="1">Acciones!$B$751*EXP((H$2-H$3/2)*(1)+H$4*_xlfn.NORM.S.INV(RAND())*SQRT(1))</f>
        <v>10.915120073072179</v>
      </c>
      <c r="N145" s="30">
        <f ca="1">Acciones!$C$751*EXP((I$2-I$3/2)*(1)+I$4*_xlfn.NORM.S.INV(RAND())*SQRT(1))</f>
        <v>156.88048914018719</v>
      </c>
      <c r="O145" s="30">
        <f ca="1">Acciones!$D$751*EXP((J$2-J$3/2)*(1)+J$4*_xlfn.NORM.S.INV(RAND())*SQRT(1))</f>
        <v>992.71020340727125</v>
      </c>
      <c r="P145" s="30">
        <f ca="1">Acciones!$E$751*EXP((K$2-K$3/2)*(1)+K$4*_xlfn.NORM.S.INV(RAND())*SQRT(1))</f>
        <v>0.12740012554436408</v>
      </c>
      <c r="Q145" s="30"/>
      <c r="R145">
        <f ca="1">M145/Acciones!$B$751*$I$10 + N145/Acciones!$C$751*$I$11 + O145/Acciones!$D$751*$I$12 + P145/Acciones!$D$751*$I$13</f>
        <v>23241.118311519818</v>
      </c>
      <c r="T145" s="14">
        <f t="shared" ca="1" si="5"/>
        <v>-5258.8816884801818</v>
      </c>
      <c r="V145">
        <v>-6096.7095325892224</v>
      </c>
    </row>
    <row r="146" spans="1:22" x14ac:dyDescent="0.2">
      <c r="A146" s="1">
        <f>Acciones!A146</f>
        <v>45204</v>
      </c>
      <c r="B146" s="29">
        <f>LN(Acciones!B146/Acciones!B145)</f>
        <v>2.6668369229270291E-2</v>
      </c>
      <c r="C146" s="29">
        <f>LN(Acciones!C146/Acciones!C145)</f>
        <v>7.2974597712695171E-3</v>
      </c>
      <c r="D146" s="29">
        <f>LN(Acciones!D146/Acciones!D145)</f>
        <v>5.955357636560024E-3</v>
      </c>
      <c r="E146" s="29">
        <f>LN(Acciones!E146/Acciones!E145)</f>
        <v>-6.0292238495730899E-2</v>
      </c>
      <c r="M146" s="30">
        <f ca="1">Acciones!$B$751*EXP((H$2-H$3/2)*(1)+H$4*_xlfn.NORM.S.INV(RAND())*SQRT(1))</f>
        <v>10.659562167986254</v>
      </c>
      <c r="N146" s="30">
        <f ca="1">Acciones!$C$751*EXP((I$2-I$3/2)*(1)+I$4*_xlfn.NORM.S.INV(RAND())*SQRT(1))</f>
        <v>150.02481385473303</v>
      </c>
      <c r="O146" s="30">
        <f ca="1">Acciones!$D$751*EXP((J$2-J$3/2)*(1)+J$4*_xlfn.NORM.S.INV(RAND())*SQRT(1))</f>
        <v>993.28982119966611</v>
      </c>
      <c r="P146" s="30">
        <f ca="1">Acciones!$E$751*EXP((K$2-K$3/2)*(1)+K$4*_xlfn.NORM.S.INV(RAND())*SQRT(1))</f>
        <v>0.14093873226987691</v>
      </c>
      <c r="Q146" s="30"/>
      <c r="R146">
        <f ca="1">M146/Acciones!$B$751*$I$10 + N146/Acciones!$C$751*$I$11 + O146/Acciones!$D$751*$I$12 + P146/Acciones!$D$751*$I$13</f>
        <v>22736.95663432814</v>
      </c>
      <c r="T146" s="14">
        <f t="shared" ca="1" si="5"/>
        <v>-5763.0433656718596</v>
      </c>
      <c r="V146">
        <v>-6091.22855744349</v>
      </c>
    </row>
    <row r="147" spans="1:22" x14ac:dyDescent="0.2">
      <c r="A147" s="1">
        <f>Acciones!A147</f>
        <v>45205</v>
      </c>
      <c r="B147" s="29">
        <f>LN(Acciones!B147/Acciones!B146)</f>
        <v>2.7140294243119496E-2</v>
      </c>
      <c r="C147" s="29">
        <f>LN(Acciones!C147/Acciones!C146)</f>
        <v>5.7925155853984507E-2</v>
      </c>
      <c r="D147" s="29">
        <f>LN(Acciones!D147/Acciones!D146)</f>
        <v>1.7096749021056391E-2</v>
      </c>
      <c r="E147" s="29">
        <f>LN(Acciones!E147/Acciones!E146)</f>
        <v>-4.6250973016518523E-2</v>
      </c>
      <c r="M147" s="30">
        <f ca="1">Acciones!$B$751*EXP((H$2-H$3/2)*(1)+H$4*_xlfn.NORM.S.INV(RAND())*SQRT(1))</f>
        <v>10.669000532590239</v>
      </c>
      <c r="N147" s="30">
        <f ca="1">Acciones!$C$751*EXP((I$2-I$3/2)*(1)+I$4*_xlfn.NORM.S.INV(RAND())*SQRT(1))</f>
        <v>142.85671149759202</v>
      </c>
      <c r="O147" s="30">
        <f ca="1">Acciones!$D$751*EXP((J$2-J$3/2)*(1)+J$4*_xlfn.NORM.S.INV(RAND())*SQRT(1))</f>
        <v>1012.6655463305794</v>
      </c>
      <c r="P147" s="30">
        <f ca="1">Acciones!$E$751*EXP((K$2-K$3/2)*(1)+K$4*_xlfn.NORM.S.INV(RAND())*SQRT(1))</f>
        <v>0.13109799021018112</v>
      </c>
      <c r="Q147" s="30"/>
      <c r="R147">
        <f ca="1">M147/Acciones!$B$751*$I$10 + N147/Acciones!$C$751*$I$11 + O147/Acciones!$D$751*$I$12 + P147/Acciones!$D$751*$I$13</f>
        <v>22486.441109503136</v>
      </c>
      <c r="T147" s="14">
        <f t="shared" ca="1" si="5"/>
        <v>-6013.5588904968645</v>
      </c>
      <c r="V147">
        <v>-6090.1865994185682</v>
      </c>
    </row>
    <row r="148" spans="1:22" x14ac:dyDescent="0.2">
      <c r="A148" s="1">
        <f>Acciones!A148</f>
        <v>45208</v>
      </c>
      <c r="B148" s="29">
        <f>LN(Acciones!B148/Acciones!B147)</f>
        <v>-1.3281539618290056E-2</v>
      </c>
      <c r="C148" s="29">
        <f>LN(Acciones!C148/Acciones!C147)</f>
        <v>5.2322014188703567E-2</v>
      </c>
      <c r="D148" s="29">
        <f>LN(Acciones!D148/Acciones!D147)</f>
        <v>-1.6982941876462383E-3</v>
      </c>
      <c r="E148" s="29">
        <f>LN(Acciones!E148/Acciones!E147)</f>
        <v>2.3392856741584468E-2</v>
      </c>
      <c r="M148" s="30">
        <f ca="1">Acciones!$B$751*EXP((H$2-H$3/2)*(1)+H$4*_xlfn.NORM.S.INV(RAND())*SQRT(1))</f>
        <v>10.839374122626303</v>
      </c>
      <c r="N148" s="30">
        <f ca="1">Acciones!$C$751*EXP((I$2-I$3/2)*(1)+I$4*_xlfn.NORM.S.INV(RAND())*SQRT(1))</f>
        <v>155.18834502775837</v>
      </c>
      <c r="O148" s="30">
        <f ca="1">Acciones!$D$751*EXP((J$2-J$3/2)*(1)+J$4*_xlfn.NORM.S.INV(RAND())*SQRT(1))</f>
        <v>1029.409942633127</v>
      </c>
      <c r="P148" s="30">
        <f ca="1">Acciones!$E$751*EXP((K$2-K$3/2)*(1)+K$4*_xlfn.NORM.S.INV(RAND())*SQRT(1))</f>
        <v>0.1297601999851927</v>
      </c>
      <c r="Q148" s="30"/>
      <c r="R148">
        <f ca="1">M148/Acciones!$B$751*$I$10 + N148/Acciones!$C$751*$I$11 + O148/Acciones!$D$751*$I$12 + P148/Acciones!$D$751*$I$13</f>
        <v>23478.777027484237</v>
      </c>
      <c r="T148" s="14">
        <f t="shared" ca="1" si="5"/>
        <v>-5021.2229725157631</v>
      </c>
      <c r="V148">
        <v>-6085.0075364176846</v>
      </c>
    </row>
    <row r="149" spans="1:22" x14ac:dyDescent="0.2">
      <c r="A149" s="1">
        <f>Acciones!A149</f>
        <v>45209</v>
      </c>
      <c r="B149" s="29">
        <f>LN(Acciones!B149/Acciones!B148)</f>
        <v>5.2472327268399899E-2</v>
      </c>
      <c r="C149" s="29">
        <f>LN(Acciones!C149/Acciones!C148)</f>
        <v>1.1315047733020977E-2</v>
      </c>
      <c r="D149" s="29">
        <f>LN(Acciones!D149/Acciones!D148)</f>
        <v>-8.4664633521016348E-3</v>
      </c>
      <c r="E149" s="29">
        <f>LN(Acciones!E149/Acciones!E148)</f>
        <v>6.1644170226617084E-2</v>
      </c>
      <c r="M149" s="30">
        <f ca="1">Acciones!$B$751*EXP((H$2-H$3/2)*(1)+H$4*_xlfn.NORM.S.INV(RAND())*SQRT(1))</f>
        <v>11.105126082028216</v>
      </c>
      <c r="N149" s="30">
        <f ca="1">Acciones!$C$751*EXP((I$2-I$3/2)*(1)+I$4*_xlfn.NORM.S.INV(RAND())*SQRT(1))</f>
        <v>150.9321338853936</v>
      </c>
      <c r="O149" s="30">
        <f ca="1">Acciones!$D$751*EXP((J$2-J$3/2)*(1)+J$4*_xlfn.NORM.S.INV(RAND())*SQRT(1))</f>
        <v>1033.1470609152591</v>
      </c>
      <c r="P149" s="30">
        <f ca="1">Acciones!$E$751*EXP((K$2-K$3/2)*(1)+K$4*_xlfn.NORM.S.INV(RAND())*SQRT(1))</f>
        <v>0.12442856538787878</v>
      </c>
      <c r="Q149" s="30"/>
      <c r="R149">
        <f ca="1">M149/Acciones!$B$751*$I$10 + N149/Acciones!$C$751*$I$11 + O149/Acciones!$D$751*$I$12 + P149/Acciones!$D$751*$I$13</f>
        <v>23335.684258858317</v>
      </c>
      <c r="T149" s="14">
        <f t="shared" ca="1" si="5"/>
        <v>-5164.3157411416832</v>
      </c>
      <c r="V149">
        <v>-6083.4530796037616</v>
      </c>
    </row>
    <row r="150" spans="1:22" x14ac:dyDescent="0.2">
      <c r="A150" s="1">
        <f>Acciones!A150</f>
        <v>45210</v>
      </c>
      <c r="B150" s="29">
        <f>LN(Acciones!B150/Acciones!B149)</f>
        <v>5.1983420936466039E-2</v>
      </c>
      <c r="C150" s="29">
        <f>LN(Acciones!C150/Acciones!C149)</f>
        <v>-8.3588066250879847E-2</v>
      </c>
      <c r="D150" s="29">
        <f>LN(Acciones!D150/Acciones!D149)</f>
        <v>1.6443666027705843E-3</v>
      </c>
      <c r="E150" s="29">
        <f>LN(Acciones!E150/Acciones!E149)</f>
        <v>2.1506184544047902E-2</v>
      </c>
      <c r="M150" s="30">
        <f ca="1">Acciones!$B$751*EXP((H$2-H$3/2)*(1)+H$4*_xlfn.NORM.S.INV(RAND())*SQRT(1))</f>
        <v>10.897799893742896</v>
      </c>
      <c r="N150" s="30">
        <f ca="1">Acciones!$C$751*EXP((I$2-I$3/2)*(1)+I$4*_xlfn.NORM.S.INV(RAND())*SQRT(1))</f>
        <v>154.95942539054897</v>
      </c>
      <c r="O150" s="30">
        <f ca="1">Acciones!$D$751*EXP((J$2-J$3/2)*(1)+J$4*_xlfn.NORM.S.INV(RAND())*SQRT(1))</f>
        <v>997.83610708665105</v>
      </c>
      <c r="P150" s="30">
        <f ca="1">Acciones!$E$751*EXP((K$2-K$3/2)*(1)+K$4*_xlfn.NORM.S.INV(RAND())*SQRT(1))</f>
        <v>0.12149450769542518</v>
      </c>
      <c r="Q150" s="30"/>
      <c r="R150">
        <f ca="1">M150/Acciones!$B$751*$I$10 + N150/Acciones!$C$751*$I$11 + O150/Acciones!$D$751*$I$12 + P150/Acciones!$D$751*$I$13</f>
        <v>23166.924470500755</v>
      </c>
      <c r="T150" s="14">
        <f t="shared" ca="1" si="5"/>
        <v>-5333.075529499245</v>
      </c>
      <c r="V150">
        <v>-6080.9713255031529</v>
      </c>
    </row>
    <row r="151" spans="1:22" x14ac:dyDescent="0.2">
      <c r="A151" s="1">
        <f>Acciones!A151</f>
        <v>45211</v>
      </c>
      <c r="B151" s="29">
        <f>LN(Acciones!B151/Acciones!B150)</f>
        <v>-0.10681792870960319</v>
      </c>
      <c r="C151" s="29">
        <f>LN(Acciones!C151/Acciones!C150)</f>
        <v>-1.0162420636218765E-2</v>
      </c>
      <c r="D151" s="29">
        <f>LN(Acciones!D151/Acciones!D150)</f>
        <v>1.7529431075846733E-2</v>
      </c>
      <c r="E151" s="29">
        <f>LN(Acciones!E151/Acciones!E150)</f>
        <v>6.1875406254459836E-2</v>
      </c>
      <c r="M151" s="30">
        <f ca="1">Acciones!$B$751*EXP((H$2-H$3/2)*(1)+H$4*_xlfn.NORM.S.INV(RAND())*SQRT(1))</f>
        <v>10.857227412512808</v>
      </c>
      <c r="N151" s="30">
        <f ca="1">Acciones!$C$751*EXP((I$2-I$3/2)*(1)+I$4*_xlfn.NORM.S.INV(RAND())*SQRT(1))</f>
        <v>136.28301010122294</v>
      </c>
      <c r="O151" s="30">
        <f ca="1">Acciones!$D$751*EXP((J$2-J$3/2)*(1)+J$4*_xlfn.NORM.S.INV(RAND())*SQRT(1))</f>
        <v>988.71555940961628</v>
      </c>
      <c r="P151" s="30">
        <f ca="1">Acciones!$E$751*EXP((K$2-K$3/2)*(1)+K$4*_xlfn.NORM.S.INV(RAND())*SQRT(1))</f>
        <v>0.13427591588006532</v>
      </c>
      <c r="Q151" s="30"/>
      <c r="R151">
        <f ca="1">M151/Acciones!$B$751*$I$10 + N151/Acciones!$C$751*$I$11 + O151/Acciones!$D$751*$I$12 + P151/Acciones!$D$751*$I$13</f>
        <v>21896.498442065636</v>
      </c>
      <c r="T151" s="14">
        <f t="shared" ca="1" si="5"/>
        <v>-6603.5015579343635</v>
      </c>
      <c r="V151">
        <v>-6077.3180013611127</v>
      </c>
    </row>
    <row r="152" spans="1:22" x14ac:dyDescent="0.2">
      <c r="A152" s="1">
        <f>Acciones!A152</f>
        <v>45212</v>
      </c>
      <c r="B152" s="29">
        <f>LN(Acciones!B152/Acciones!B151)</f>
        <v>-7.5173042169083678E-3</v>
      </c>
      <c r="C152" s="29">
        <f>LN(Acciones!C152/Acciones!C151)</f>
        <v>-7.0245842042645657E-3</v>
      </c>
      <c r="D152" s="29">
        <f>LN(Acciones!D152/Acciones!D151)</f>
        <v>1.2881928751741876E-2</v>
      </c>
      <c r="E152" s="29">
        <f>LN(Acciones!E152/Acciones!E151)</f>
        <v>2.4692589330020099E-2</v>
      </c>
      <c r="M152" s="30">
        <f ca="1">Acciones!$B$751*EXP((H$2-H$3/2)*(1)+H$4*_xlfn.NORM.S.INV(RAND())*SQRT(1))</f>
        <v>10.466115425401082</v>
      </c>
      <c r="N152" s="30">
        <f ca="1">Acciones!$C$751*EXP((I$2-I$3/2)*(1)+I$4*_xlfn.NORM.S.INV(RAND())*SQRT(1))</f>
        <v>171.20812008522284</v>
      </c>
      <c r="O152" s="30">
        <f ca="1">Acciones!$D$751*EXP((J$2-J$3/2)*(1)+J$4*_xlfn.NORM.S.INV(RAND())*SQRT(1))</f>
        <v>1028.9090297109722</v>
      </c>
      <c r="P152" s="30">
        <f ca="1">Acciones!$E$751*EXP((K$2-K$3/2)*(1)+K$4*_xlfn.NORM.S.INV(RAND())*SQRT(1))</f>
        <v>0.12156827774978604</v>
      </c>
      <c r="Q152" s="30"/>
      <c r="R152">
        <f ca="1">M152/Acciones!$B$751*$I$10 + N152/Acciones!$C$751*$I$11 + O152/Acciones!$D$751*$I$12 + P152/Acciones!$D$751*$I$13</f>
        <v>24354.219578622618</v>
      </c>
      <c r="T152" s="14">
        <f t="shared" ca="1" si="5"/>
        <v>-4145.7804213773816</v>
      </c>
      <c r="V152">
        <v>-6077.1564102718476</v>
      </c>
    </row>
    <row r="153" spans="1:22" x14ac:dyDescent="0.2">
      <c r="A153" s="1">
        <f>Acciones!A153</f>
        <v>45215</v>
      </c>
      <c r="B153" s="29">
        <f>LN(Acciones!B153/Acciones!B152)</f>
        <v>1.3412444979603203E-2</v>
      </c>
      <c r="C153" s="29">
        <f>LN(Acciones!C153/Acciones!C152)</f>
        <v>4.4182753174342448E-2</v>
      </c>
      <c r="D153" s="29">
        <f>LN(Acciones!D153/Acciones!D152)</f>
        <v>1.2586873605521557E-2</v>
      </c>
      <c r="E153" s="29">
        <f>LN(Acciones!E153/Acciones!E152)</f>
        <v>2.4097529426344081E-2</v>
      </c>
      <c r="M153" s="30">
        <f ca="1">Acciones!$B$751*EXP((H$2-H$3/2)*(1)+H$4*_xlfn.NORM.S.INV(RAND())*SQRT(1))</f>
        <v>10.809779612840346</v>
      </c>
      <c r="N153" s="30">
        <f ca="1">Acciones!$C$751*EXP((I$2-I$3/2)*(1)+I$4*_xlfn.NORM.S.INV(RAND())*SQRT(1))</f>
        <v>149.31423151400509</v>
      </c>
      <c r="O153" s="30">
        <f ca="1">Acciones!$D$751*EXP((J$2-J$3/2)*(1)+J$4*_xlfn.NORM.S.INV(RAND())*SQRT(1))</f>
        <v>995.69576879087867</v>
      </c>
      <c r="P153" s="30">
        <f ca="1">Acciones!$E$751*EXP((K$2-K$3/2)*(1)+K$4*_xlfn.NORM.S.INV(RAND())*SQRT(1))</f>
        <v>0.13109228525616681</v>
      </c>
      <c r="Q153" s="30"/>
      <c r="R153">
        <f ca="1">M153/Acciones!$B$751*$I$10 + N153/Acciones!$C$751*$I$11 + O153/Acciones!$D$751*$I$12 + P153/Acciones!$D$751*$I$13</f>
        <v>22764.824522619296</v>
      </c>
      <c r="T153" s="14">
        <f t="shared" ca="1" si="5"/>
        <v>-5735.1754773807043</v>
      </c>
      <c r="V153">
        <v>-6068.6760573994325</v>
      </c>
    </row>
    <row r="154" spans="1:22" x14ac:dyDescent="0.2">
      <c r="A154" s="1">
        <f>Acciones!A154</f>
        <v>45216</v>
      </c>
      <c r="B154" s="29">
        <f>LN(Acciones!B154/Acciones!B153)</f>
        <v>-1.2618407307150768E-2</v>
      </c>
      <c r="C154" s="29">
        <f>LN(Acciones!C154/Acciones!C153)</f>
        <v>4.3038389118905021E-2</v>
      </c>
      <c r="D154" s="29">
        <f>LN(Acciones!D154/Acciones!D153)</f>
        <v>5.4441561871236216E-3</v>
      </c>
      <c r="E154" s="29">
        <f>LN(Acciones!E154/Acciones!E153)</f>
        <v>0</v>
      </c>
      <c r="M154" s="30">
        <f ca="1">Acciones!$B$751*EXP((H$2-H$3/2)*(1)+H$4*_xlfn.NORM.S.INV(RAND())*SQRT(1))</f>
        <v>10.574986254230099</v>
      </c>
      <c r="N154" s="30">
        <f ca="1">Acciones!$C$751*EXP((I$2-I$3/2)*(1)+I$4*_xlfn.NORM.S.INV(RAND())*SQRT(1))</f>
        <v>149.4293441251842</v>
      </c>
      <c r="O154" s="30">
        <f ca="1">Acciones!$D$751*EXP((J$2-J$3/2)*(1)+J$4*_xlfn.NORM.S.INV(RAND())*SQRT(1))</f>
        <v>992.27437385785458</v>
      </c>
      <c r="P154" s="30">
        <f ca="1">Acciones!$E$751*EXP((K$2-K$3/2)*(1)+K$4*_xlfn.NORM.S.INV(RAND())*SQRT(1))</f>
        <v>0.11997763985476677</v>
      </c>
      <c r="Q154" s="30"/>
      <c r="R154">
        <f ca="1">M154/Acciones!$B$751*$I$10 + N154/Acciones!$C$751*$I$11 + O154/Acciones!$D$751*$I$12 + P154/Acciones!$D$751*$I$13</f>
        <v>22662.35732437759</v>
      </c>
      <c r="T154" s="14">
        <f t="shared" ca="1" si="5"/>
        <v>-5837.64267562241</v>
      </c>
      <c r="V154">
        <v>-6066.8595457439624</v>
      </c>
    </row>
    <row r="155" spans="1:22" x14ac:dyDescent="0.2">
      <c r="A155" s="1">
        <f>Acciones!A155</f>
        <v>45217</v>
      </c>
      <c r="B155" s="29">
        <f>LN(Acciones!B155/Acciones!B154)</f>
        <v>-2.3284864952619357E-2</v>
      </c>
      <c r="C155" s="29">
        <f>LN(Acciones!C155/Acciones!C154)</f>
        <v>-7.6845029165335491E-2</v>
      </c>
      <c r="D155" s="29">
        <f>LN(Acciones!D155/Acciones!D154)</f>
        <v>3.2051350941229496E-2</v>
      </c>
      <c r="E155" s="29">
        <f>LN(Acciones!E155/Acciones!E154)</f>
        <v>-2.4097529426344123E-2</v>
      </c>
      <c r="M155" s="30">
        <f ca="1">Acciones!$B$751*EXP((H$2-H$3/2)*(1)+H$4*_xlfn.NORM.S.INV(RAND())*SQRT(1))</f>
        <v>10.534431585139611</v>
      </c>
      <c r="N155" s="30">
        <f ca="1">Acciones!$C$751*EXP((I$2-I$3/2)*(1)+I$4*_xlfn.NORM.S.INV(RAND())*SQRT(1))</f>
        <v>136.34817452658086</v>
      </c>
      <c r="O155" s="30">
        <f ca="1">Acciones!$D$751*EXP((J$2-J$3/2)*(1)+J$4*_xlfn.NORM.S.INV(RAND())*SQRT(1))</f>
        <v>970.60396018715619</v>
      </c>
      <c r="P155" s="30">
        <f ca="1">Acciones!$E$751*EXP((K$2-K$3/2)*(1)+K$4*_xlfn.NORM.S.INV(RAND())*SQRT(1))</f>
        <v>0.13363168990205918</v>
      </c>
      <c r="Q155" s="30"/>
      <c r="R155">
        <f ca="1">M155/Acciones!$B$751*$I$10 + N155/Acciones!$C$751*$I$11 + O155/Acciones!$D$751*$I$12 + P155/Acciones!$D$751*$I$13</f>
        <v>21615.5951083373</v>
      </c>
      <c r="T155" s="14">
        <f t="shared" ca="1" si="5"/>
        <v>-6884.4048916626998</v>
      </c>
      <c r="V155">
        <v>-6063.9215119955479</v>
      </c>
    </row>
    <row r="156" spans="1:22" x14ac:dyDescent="0.2">
      <c r="A156" s="1">
        <f>Acciones!A156</f>
        <v>45218</v>
      </c>
      <c r="B156" s="29">
        <f>LN(Acciones!B156/Acciones!B155)</f>
        <v>2.8391108440654362E-3</v>
      </c>
      <c r="C156" s="29">
        <f>LN(Acciones!C156/Acciones!C155)</f>
        <v>-1.9239986996376964E-3</v>
      </c>
      <c r="D156" s="29">
        <f>LN(Acciones!D156/Acciones!D155)</f>
        <v>-7.7884323072296537E-3</v>
      </c>
      <c r="E156" s="29">
        <f>LN(Acciones!E156/Acciones!E155)</f>
        <v>2.4097529426344081E-2</v>
      </c>
      <c r="M156" s="30">
        <f ca="1">Acciones!$B$751*EXP((H$2-H$3/2)*(1)+H$4*_xlfn.NORM.S.INV(RAND())*SQRT(1))</f>
        <v>11.147477490407429</v>
      </c>
      <c r="N156" s="30">
        <f ca="1">Acciones!$C$751*EXP((I$2-I$3/2)*(1)+I$4*_xlfn.NORM.S.INV(RAND())*SQRT(1))</f>
        <v>147.66277551821378</v>
      </c>
      <c r="O156" s="30">
        <f ca="1">Acciones!$D$751*EXP((J$2-J$3/2)*(1)+J$4*_xlfn.NORM.S.INV(RAND())*SQRT(1))</f>
        <v>986.96400256475852</v>
      </c>
      <c r="P156" s="30">
        <f ca="1">Acciones!$E$751*EXP((K$2-K$3/2)*(1)+K$4*_xlfn.NORM.S.INV(RAND())*SQRT(1))</f>
        <v>0.11225322662426115</v>
      </c>
      <c r="Q156" s="30"/>
      <c r="R156">
        <f ca="1">M156/Acciones!$B$751*$I$10 + N156/Acciones!$C$751*$I$11 + O156/Acciones!$D$751*$I$12 + P156/Acciones!$D$751*$I$13</f>
        <v>22682.4811007034</v>
      </c>
      <c r="T156" s="14">
        <f t="shared" ca="1" si="5"/>
        <v>-5817.5188992965996</v>
      </c>
      <c r="V156">
        <v>-6051.9274903911246</v>
      </c>
    </row>
    <row r="157" spans="1:22" x14ac:dyDescent="0.2">
      <c r="A157" s="1">
        <f>Acciones!A157</f>
        <v>45219</v>
      </c>
      <c r="B157" s="29">
        <f>LN(Acciones!B157/Acciones!B156)</f>
        <v>-1.6745363535520631E-2</v>
      </c>
      <c r="C157" s="29">
        <f>LN(Acciones!C157/Acciones!C156)</f>
        <v>5.689937544854278E-3</v>
      </c>
      <c r="D157" s="29">
        <f>LN(Acciones!D157/Acciones!D156)</f>
        <v>-1.0762164128839097E-2</v>
      </c>
      <c r="E157" s="29">
        <f>LN(Acciones!E157/Acciones!E156)</f>
        <v>-9.5694422828673988E-3</v>
      </c>
      <c r="M157" s="30">
        <f ca="1">Acciones!$B$751*EXP((H$2-H$3/2)*(1)+H$4*_xlfn.NORM.S.INV(RAND())*SQRT(1))</f>
        <v>11.207505803479359</v>
      </c>
      <c r="N157" s="30">
        <f ca="1">Acciones!$C$751*EXP((I$2-I$3/2)*(1)+I$4*_xlfn.NORM.S.INV(RAND())*SQRT(1))</f>
        <v>153.74365016768238</v>
      </c>
      <c r="O157" s="30">
        <f ca="1">Acciones!$D$751*EXP((J$2-J$3/2)*(1)+J$4*_xlfn.NORM.S.INV(RAND())*SQRT(1))</f>
        <v>972.35486997260591</v>
      </c>
      <c r="P157" s="30">
        <f ca="1">Acciones!$E$751*EXP((K$2-K$3/2)*(1)+K$4*_xlfn.NORM.S.INV(RAND())*SQRT(1))</f>
        <v>0.11639076548716515</v>
      </c>
      <c r="Q157" s="30"/>
      <c r="R157">
        <f ca="1">M157/Acciones!$B$751*$I$10 + N157/Acciones!$C$751*$I$11 + O157/Acciones!$D$751*$I$12 + P157/Acciones!$D$751*$I$13</f>
        <v>22935.110059020804</v>
      </c>
      <c r="T157" s="14">
        <f t="shared" ca="1" si="5"/>
        <v>-5564.8899409791957</v>
      </c>
      <c r="V157">
        <v>-6048.6326074139106</v>
      </c>
    </row>
    <row r="158" spans="1:22" x14ac:dyDescent="0.2">
      <c r="A158" s="1">
        <f>Acciones!A158</f>
        <v>45222</v>
      </c>
      <c r="B158" s="29">
        <f>LN(Acciones!B158/Acciones!B157)</f>
        <v>6.9772991339443211E-3</v>
      </c>
      <c r="C158" s="29">
        <f>LN(Acciones!C158/Acciones!C157)</f>
        <v>0.12297048393861926</v>
      </c>
      <c r="D158" s="29">
        <f>LN(Acciones!D158/Acciones!D157)</f>
        <v>-2.6683807512738519E-3</v>
      </c>
      <c r="E158" s="29">
        <f>LN(Acciones!E158/Acciones!E157)</f>
        <v>0</v>
      </c>
      <c r="M158" s="30">
        <f ca="1">Acciones!$B$751*EXP((H$2-H$3/2)*(1)+H$4*_xlfn.NORM.S.INV(RAND())*SQRT(1))</f>
        <v>10.944026987899772</v>
      </c>
      <c r="N158" s="30">
        <f ca="1">Acciones!$C$751*EXP((I$2-I$3/2)*(1)+I$4*_xlfn.NORM.S.INV(RAND())*SQRT(1))</f>
        <v>145.75108827043485</v>
      </c>
      <c r="O158" s="30">
        <f ca="1">Acciones!$D$751*EXP((J$2-J$3/2)*(1)+J$4*_xlfn.NORM.S.INV(RAND())*SQRT(1))</f>
        <v>1005.3148496055878</v>
      </c>
      <c r="P158" s="30">
        <f ca="1">Acciones!$E$751*EXP((K$2-K$3/2)*(1)+K$4*_xlfn.NORM.S.INV(RAND())*SQRT(1))</f>
        <v>0.13166459027819191</v>
      </c>
      <c r="Q158" s="30"/>
      <c r="R158">
        <f ca="1">M158/Acciones!$B$751*$I$10 + N158/Acciones!$C$751*$I$11 + O158/Acciones!$D$751*$I$12 + P158/Acciones!$D$751*$I$13</f>
        <v>22681.767029501458</v>
      </c>
      <c r="T158" s="14">
        <f t="shared" ca="1" si="5"/>
        <v>-5818.2329704985423</v>
      </c>
      <c r="V158">
        <v>-6044.5264221654143</v>
      </c>
    </row>
    <row r="159" spans="1:22" x14ac:dyDescent="0.2">
      <c r="A159" s="1">
        <f>Acciones!A159</f>
        <v>45223</v>
      </c>
      <c r="B159" s="29">
        <f>LN(Acciones!B159/Acciones!B158)</f>
        <v>-1.4003623233222982E-2</v>
      </c>
      <c r="C159" s="29">
        <f>LN(Acciones!C159/Acciones!C158)</f>
        <v>0.11319429120340418</v>
      </c>
      <c r="D159" s="29">
        <f>LN(Acciones!D159/Acciones!D158)</f>
        <v>3.1565513468666408E-2</v>
      </c>
      <c r="E159" s="29">
        <f>LN(Acciones!E159/Acciones!E158)</f>
        <v>9.5694422828673659E-3</v>
      </c>
      <c r="M159" s="30">
        <f ca="1">Acciones!$B$751*EXP((H$2-H$3/2)*(1)+H$4*_xlfn.NORM.S.INV(RAND())*SQRT(1))</f>
        <v>11.09193783132636</v>
      </c>
      <c r="N159" s="30">
        <f ca="1">Acciones!$C$751*EXP((I$2-I$3/2)*(1)+I$4*_xlfn.NORM.S.INV(RAND())*SQRT(1))</f>
        <v>169.01694429624374</v>
      </c>
      <c r="O159" s="30">
        <f ca="1">Acciones!$D$751*EXP((J$2-J$3/2)*(1)+J$4*_xlfn.NORM.S.INV(RAND())*SQRT(1))</f>
        <v>983.29966710072824</v>
      </c>
      <c r="P159" s="30">
        <f ca="1">Acciones!$E$751*EXP((K$2-K$3/2)*(1)+K$4*_xlfn.NORM.S.INV(RAND())*SQRT(1))</f>
        <v>0.14479628807812639</v>
      </c>
      <c r="Q159" s="30"/>
      <c r="R159">
        <f ca="1">M159/Acciones!$B$751*$I$10 + N159/Acciones!$C$751*$I$11 + O159/Acciones!$D$751*$I$12 + P159/Acciones!$D$751*$I$13</f>
        <v>23961.459169174555</v>
      </c>
      <c r="T159" s="14">
        <f t="shared" ca="1" si="5"/>
        <v>-4538.5408308254446</v>
      </c>
      <c r="V159">
        <v>-6035.4951820648712</v>
      </c>
    </row>
    <row r="160" spans="1:22" x14ac:dyDescent="0.2">
      <c r="A160" s="1">
        <f>Acciones!A160</f>
        <v>45224</v>
      </c>
      <c r="B160" s="29">
        <f>LN(Acciones!B160/Acciones!B159)</f>
        <v>4.1480110286421765E-4</v>
      </c>
      <c r="C160" s="29">
        <f>LN(Acciones!C160/Acciones!C159)</f>
        <v>-2.701943512988431E-2</v>
      </c>
      <c r="D160" s="29">
        <f>LN(Acciones!D160/Acciones!D159)</f>
        <v>-1.0220210085597321E-2</v>
      </c>
      <c r="E160" s="29">
        <f>LN(Acciones!E160/Acciones!E159)</f>
        <v>0</v>
      </c>
      <c r="M160" s="30">
        <f ca="1">Acciones!$B$751*EXP((H$2-H$3/2)*(1)+H$4*_xlfn.NORM.S.INV(RAND())*SQRT(1))</f>
        <v>11.116603223672543</v>
      </c>
      <c r="N160" s="30">
        <f ca="1">Acciones!$C$751*EXP((I$2-I$3/2)*(1)+I$4*_xlfn.NORM.S.INV(RAND())*SQRT(1))</f>
        <v>147.43099797997687</v>
      </c>
      <c r="O160" s="30">
        <f ca="1">Acciones!$D$751*EXP((J$2-J$3/2)*(1)+J$4*_xlfn.NORM.S.INV(RAND())*SQRT(1))</f>
        <v>960.97858931125086</v>
      </c>
      <c r="P160" s="30">
        <f ca="1">Acciones!$E$751*EXP((K$2-K$3/2)*(1)+K$4*_xlfn.NORM.S.INV(RAND())*SQRT(1))</f>
        <v>0.13443047070659764</v>
      </c>
      <c r="Q160" s="30"/>
      <c r="R160">
        <f ca="1">M160/Acciones!$B$751*$I$10 + N160/Acciones!$C$751*$I$11 + O160/Acciones!$D$751*$I$12 + P160/Acciones!$D$751*$I$13</f>
        <v>22397.945794747342</v>
      </c>
      <c r="T160" s="14">
        <f t="shared" ca="1" si="5"/>
        <v>-6102.054205252658</v>
      </c>
      <c r="V160">
        <v>-6019.7349895052612</v>
      </c>
    </row>
    <row r="161" spans="1:22" x14ac:dyDescent="0.2">
      <c r="A161" s="1">
        <f>Acciones!A161</f>
        <v>45225</v>
      </c>
      <c r="B161" s="29">
        <f>LN(Acciones!B161/Acciones!B160)</f>
        <v>2.2546440410084898E-2</v>
      </c>
      <c r="C161" s="29">
        <f>LN(Acciones!C161/Acciones!C160)</f>
        <v>-6.8890175303825976E-2</v>
      </c>
      <c r="D161" s="29">
        <f>LN(Acciones!D161/Acciones!D160)</f>
        <v>-3.9820812593517892E-2</v>
      </c>
      <c r="E161" s="29">
        <f>LN(Acciones!E161/Acciones!E160)</f>
        <v>-1.923134429174252E-2</v>
      </c>
      <c r="M161" s="30">
        <f ca="1">Acciones!$B$751*EXP((H$2-H$3/2)*(1)+H$4*_xlfn.NORM.S.INV(RAND())*SQRT(1))</f>
        <v>10.865095692459191</v>
      </c>
      <c r="N161" s="30">
        <f ca="1">Acciones!$C$751*EXP((I$2-I$3/2)*(1)+I$4*_xlfn.NORM.S.INV(RAND())*SQRT(1))</f>
        <v>141.25756992429737</v>
      </c>
      <c r="O161" s="30">
        <f ca="1">Acciones!$D$751*EXP((J$2-J$3/2)*(1)+J$4*_xlfn.NORM.S.INV(RAND())*SQRT(1))</f>
        <v>1018.9260837095525</v>
      </c>
      <c r="P161" s="30">
        <f ca="1">Acciones!$E$751*EXP((K$2-K$3/2)*(1)+K$4*_xlfn.NORM.S.INV(RAND())*SQRT(1))</f>
        <v>0.12321205797664916</v>
      </c>
      <c r="Q161" s="30"/>
      <c r="R161">
        <f ca="1">M161/Acciones!$B$751*$I$10 + N161/Acciones!$C$751*$I$11 + O161/Acciones!$D$751*$I$12 + P161/Acciones!$D$751*$I$13</f>
        <v>22512.166685787066</v>
      </c>
      <c r="T161" s="14">
        <f t="shared" ca="1" si="5"/>
        <v>-5987.8333142129341</v>
      </c>
      <c r="V161">
        <v>-6017.6645108000848</v>
      </c>
    </row>
    <row r="162" spans="1:22" x14ac:dyDescent="0.2">
      <c r="A162" s="1">
        <f>Acciones!A162</f>
        <v>45226</v>
      </c>
      <c r="B162" s="29">
        <f>LN(Acciones!B162/Acciones!B161)</f>
        <v>-1.3056106552940306E-2</v>
      </c>
      <c r="C162" s="29">
        <f>LN(Acciones!C162/Acciones!C161)</f>
        <v>1.2739817518716313E-2</v>
      </c>
      <c r="D162" s="29">
        <f>LN(Acciones!D162/Acciones!D161)</f>
        <v>-7.7077449911630395E-3</v>
      </c>
      <c r="E162" s="29">
        <f>LN(Acciones!E162/Acciones!E161)</f>
        <v>-2.9558774464621702E-2</v>
      </c>
      <c r="M162" s="30">
        <f ca="1">Acciones!$B$751*EXP((H$2-H$3/2)*(1)+H$4*_xlfn.NORM.S.INV(RAND())*SQRT(1))</f>
        <v>11.114583973301835</v>
      </c>
      <c r="N162" s="30">
        <f ca="1">Acciones!$C$751*EXP((I$2-I$3/2)*(1)+I$4*_xlfn.NORM.S.INV(RAND())*SQRT(1))</f>
        <v>146.1890152810939</v>
      </c>
      <c r="O162" s="30">
        <f ca="1">Acciones!$D$751*EXP((J$2-J$3/2)*(1)+J$4*_xlfn.NORM.S.INV(RAND())*SQRT(1))</f>
        <v>1018.0360522156801</v>
      </c>
      <c r="P162" s="30">
        <f ca="1">Acciones!$E$751*EXP((K$2-K$3/2)*(1)+K$4*_xlfn.NORM.S.INV(RAND())*SQRT(1))</f>
        <v>0.13535429230967158</v>
      </c>
      <c r="Q162" s="30"/>
      <c r="R162">
        <f ca="1">M162/Acciones!$B$751*$I$10 + N162/Acciones!$C$751*$I$11 + O162/Acciones!$D$751*$I$12 + P162/Acciones!$D$751*$I$13</f>
        <v>22891.267617458961</v>
      </c>
      <c r="T162" s="14">
        <f t="shared" ca="1" si="5"/>
        <v>-5608.7323825410385</v>
      </c>
      <c r="V162">
        <v>-6016.7248369873851</v>
      </c>
    </row>
    <row r="163" spans="1:22" x14ac:dyDescent="0.2">
      <c r="A163" s="1">
        <f>Acciones!A163</f>
        <v>45229</v>
      </c>
      <c r="B163" s="29">
        <f>LN(Acciones!B163/Acciones!B162)</f>
        <v>2.0513853126413449E-3</v>
      </c>
      <c r="C163" s="29">
        <f>LN(Acciones!C163/Acciones!C162)</f>
        <v>-2.5706443772075083E-2</v>
      </c>
      <c r="D163" s="29">
        <f>LN(Acciones!D163/Acciones!D162)</f>
        <v>1.3713707237407995E-2</v>
      </c>
      <c r="E163" s="29">
        <f>LN(Acciones!E163/Acciones!E162)</f>
        <v>0</v>
      </c>
      <c r="M163" s="30">
        <f ca="1">Acciones!$B$751*EXP((H$2-H$3/2)*(1)+H$4*_xlfn.NORM.S.INV(RAND())*SQRT(1))</f>
        <v>10.744674171588523</v>
      </c>
      <c r="N163" s="30">
        <f ca="1">Acciones!$C$751*EXP((I$2-I$3/2)*(1)+I$4*_xlfn.NORM.S.INV(RAND())*SQRT(1))</f>
        <v>153.85693158336278</v>
      </c>
      <c r="O163" s="30">
        <f ca="1">Acciones!$D$751*EXP((J$2-J$3/2)*(1)+J$4*_xlfn.NORM.S.INV(RAND())*SQRT(1))</f>
        <v>1013.83162427616</v>
      </c>
      <c r="P163" s="30">
        <f ca="1">Acciones!$E$751*EXP((K$2-K$3/2)*(1)+K$4*_xlfn.NORM.S.INV(RAND())*SQRT(1))</f>
        <v>0.12971638854644213</v>
      </c>
      <c r="Q163" s="30"/>
      <c r="R163">
        <f ca="1">M163/Acciones!$B$751*$I$10 + N163/Acciones!$C$751*$I$11 + O163/Acciones!$D$751*$I$12 + P163/Acciones!$D$751*$I$13</f>
        <v>23209.226020337461</v>
      </c>
      <c r="T163" s="14">
        <f t="shared" ca="1" si="5"/>
        <v>-5290.7739796625392</v>
      </c>
      <c r="V163">
        <v>-6014.8335564976405</v>
      </c>
    </row>
    <row r="164" spans="1:22" x14ac:dyDescent="0.2">
      <c r="A164" s="1">
        <f>Acciones!A164</f>
        <v>45230</v>
      </c>
      <c r="B164" s="29">
        <f>LN(Acciones!B164/Acciones!B163)</f>
        <v>-5.3421798941255105E-3</v>
      </c>
      <c r="C164" s="29">
        <f>LN(Acciones!C164/Acciones!C163)</f>
        <v>-1.7702906942489181E-2</v>
      </c>
      <c r="D164" s="29">
        <f>LN(Acciones!D164/Acciones!D163)</f>
        <v>3.7978550654674021E-3</v>
      </c>
      <c r="E164" s="29">
        <f>LN(Acciones!E164/Acciones!E163)</f>
        <v>0</v>
      </c>
      <c r="M164" s="30">
        <f ca="1">Acciones!$B$751*EXP((H$2-H$3/2)*(1)+H$4*_xlfn.NORM.S.INV(RAND())*SQRT(1))</f>
        <v>10.961767548452547</v>
      </c>
      <c r="N164" s="30">
        <f ca="1">Acciones!$C$751*EXP((I$2-I$3/2)*(1)+I$4*_xlfn.NORM.S.INV(RAND())*SQRT(1))</f>
        <v>164.42373543790563</v>
      </c>
      <c r="O164" s="30">
        <f ca="1">Acciones!$D$751*EXP((J$2-J$3/2)*(1)+J$4*_xlfn.NORM.S.INV(RAND())*SQRT(1))</f>
        <v>988.08732578430909</v>
      </c>
      <c r="P164" s="30">
        <f ca="1">Acciones!$E$751*EXP((K$2-K$3/2)*(1)+K$4*_xlfn.NORM.S.INV(RAND())*SQRT(1))</f>
        <v>0.14533397276826515</v>
      </c>
      <c r="Q164" s="30"/>
      <c r="R164">
        <f ca="1">M164/Acciones!$B$751*$I$10 + N164/Acciones!$C$751*$I$11 + O164/Acciones!$D$751*$I$12 + P164/Acciones!$D$751*$I$13</f>
        <v>23680.865332836132</v>
      </c>
      <c r="T164" s="14">
        <f t="shared" ca="1" si="5"/>
        <v>-4819.1346671638676</v>
      </c>
      <c r="V164">
        <v>-6011.3629105136934</v>
      </c>
    </row>
    <row r="165" spans="1:22" x14ac:dyDescent="0.2">
      <c r="A165" s="1">
        <f>Acciones!A165</f>
        <v>45231</v>
      </c>
      <c r="B165" s="29">
        <f>LN(Acciones!B165/Acciones!B164)</f>
        <v>2.5626797095899871E-2</v>
      </c>
      <c r="C165" s="29">
        <f>LN(Acciones!C165/Acciones!C164)</f>
        <v>1.1433915479860616E-3</v>
      </c>
      <c r="D165" s="29">
        <f>LN(Acciones!D165/Acciones!D164)</f>
        <v>-2.9045908326246331E-2</v>
      </c>
      <c r="E165" s="29">
        <f>LN(Acciones!E165/Acciones!E164)</f>
        <v>-5.0125370312126072E-3</v>
      </c>
      <c r="M165" s="30">
        <f ca="1">Acciones!$B$751*EXP((H$2-H$3/2)*(1)+H$4*_xlfn.NORM.S.INV(RAND())*SQRT(1))</f>
        <v>11.043931608591114</v>
      </c>
      <c r="N165" s="30">
        <f ca="1">Acciones!$C$751*EXP((I$2-I$3/2)*(1)+I$4*_xlfn.NORM.S.INV(RAND())*SQRT(1))</f>
        <v>147.31397029650654</v>
      </c>
      <c r="O165" s="30">
        <f ca="1">Acciones!$D$751*EXP((J$2-J$3/2)*(1)+J$4*_xlfn.NORM.S.INV(RAND())*SQRT(1))</f>
        <v>1022.0248256663909</v>
      </c>
      <c r="P165" s="30">
        <f ca="1">Acciones!$E$751*EXP((K$2-K$3/2)*(1)+K$4*_xlfn.NORM.S.INV(RAND())*SQRT(1))</f>
        <v>0.11917047772916327</v>
      </c>
      <c r="Q165" s="30"/>
      <c r="R165">
        <f ca="1">M165/Acciones!$B$751*$I$10 + N165/Acciones!$C$751*$I$11 + O165/Acciones!$D$751*$I$12 + P165/Acciones!$D$751*$I$13</f>
        <v>22978.706348637003</v>
      </c>
      <c r="T165" s="14">
        <f t="shared" ca="1" si="5"/>
        <v>-5521.2936513629975</v>
      </c>
      <c r="V165">
        <v>-6009.0671451036469</v>
      </c>
    </row>
    <row r="166" spans="1:22" x14ac:dyDescent="0.2">
      <c r="A166" s="1">
        <f>Acciones!A166</f>
        <v>45233</v>
      </c>
      <c r="B166" s="29">
        <f>LN(Acciones!B166/Acciones!B165)</f>
        <v>5.3179049245494055E-2</v>
      </c>
      <c r="C166" s="29">
        <f>LN(Acciones!C166/Acciones!C165)</f>
        <v>4.7365201440769882E-2</v>
      </c>
      <c r="D166" s="29">
        <f>LN(Acciones!D166/Acciones!D165)</f>
        <v>4.4602312614415232E-2</v>
      </c>
      <c r="E166" s="29">
        <f>LN(Acciones!E166/Acciones!E165)</f>
        <v>5.0125370312125378E-3</v>
      </c>
      <c r="M166" s="30">
        <f ca="1">Acciones!$B$751*EXP((H$2-H$3/2)*(1)+H$4*_xlfn.NORM.S.INV(RAND())*SQRT(1))</f>
        <v>10.463000832409316</v>
      </c>
      <c r="N166" s="30">
        <f ca="1">Acciones!$C$751*EXP((I$2-I$3/2)*(1)+I$4*_xlfn.NORM.S.INV(RAND())*SQRT(1))</f>
        <v>168.77642932549199</v>
      </c>
      <c r="O166" s="30">
        <f ca="1">Acciones!$D$751*EXP((J$2-J$3/2)*(1)+J$4*_xlfn.NORM.S.INV(RAND())*SQRT(1))</f>
        <v>1008.8068139164093</v>
      </c>
      <c r="P166" s="30">
        <f ca="1">Acciones!$E$751*EXP((K$2-K$3/2)*(1)+K$4*_xlfn.NORM.S.INV(RAND())*SQRT(1))</f>
        <v>0.1260999106711431</v>
      </c>
      <c r="Q166" s="30"/>
      <c r="R166">
        <f ca="1">M166/Acciones!$B$751*$I$10 + N166/Acciones!$C$751*$I$11 + O166/Acciones!$D$751*$I$12 + P166/Acciones!$D$751*$I$13</f>
        <v>24000.062137241162</v>
      </c>
      <c r="T166" s="14">
        <f t="shared" ca="1" si="5"/>
        <v>-4499.9378627588376</v>
      </c>
      <c r="V166">
        <v>-6006.076016284489</v>
      </c>
    </row>
    <row r="167" spans="1:22" x14ac:dyDescent="0.2">
      <c r="A167" s="1">
        <f>Acciones!A167</f>
        <v>45236</v>
      </c>
      <c r="B167" s="29">
        <f>LN(Acciones!B167/Acciones!B166)</f>
        <v>3.1486975054436164E-2</v>
      </c>
      <c r="C167" s="29">
        <f>LN(Acciones!C167/Acciones!C166)</f>
        <v>-1.6176113109597431E-2</v>
      </c>
      <c r="D167" s="29">
        <f>LN(Acciones!D167/Acciones!D166)</f>
        <v>-1.5496194342753291E-3</v>
      </c>
      <c r="E167" s="29">
        <f>LN(Acciones!E167/Acciones!E166)</f>
        <v>0</v>
      </c>
      <c r="M167" s="30">
        <f ca="1">Acciones!$B$751*EXP((H$2-H$3/2)*(1)+H$4*_xlfn.NORM.S.INV(RAND())*SQRT(1))</f>
        <v>10.832104331450536</v>
      </c>
      <c r="N167" s="30">
        <f ca="1">Acciones!$C$751*EXP((I$2-I$3/2)*(1)+I$4*_xlfn.NORM.S.INV(RAND())*SQRT(1))</f>
        <v>156.3571781639113</v>
      </c>
      <c r="O167" s="30">
        <f ca="1">Acciones!$D$751*EXP((J$2-J$3/2)*(1)+J$4*_xlfn.NORM.S.INV(RAND())*SQRT(1))</f>
        <v>979.03837399056079</v>
      </c>
      <c r="P167" s="30">
        <f ca="1">Acciones!$E$751*EXP((K$2-K$3/2)*(1)+K$4*_xlfn.NORM.S.INV(RAND())*SQRT(1))</f>
        <v>0.12086054708598644</v>
      </c>
      <c r="Q167" s="30"/>
      <c r="R167">
        <f ca="1">M167/Acciones!$B$751*$I$10 + N167/Acciones!$C$751*$I$11 + O167/Acciones!$D$751*$I$12 + P167/Acciones!$D$751*$I$13</f>
        <v>23044.832711543644</v>
      </c>
      <c r="T167" s="14">
        <f t="shared" ca="1" si="5"/>
        <v>-5455.1672884563559</v>
      </c>
      <c r="V167">
        <v>-6002.1224803303703</v>
      </c>
    </row>
    <row r="168" spans="1:22" x14ac:dyDescent="0.2">
      <c r="A168" s="1">
        <f>Acciones!A168</f>
        <v>45237</v>
      </c>
      <c r="B168" s="29">
        <f>LN(Acciones!B168/Acciones!B167)</f>
        <v>-4.105277821867348E-2</v>
      </c>
      <c r="C168" s="29">
        <f>LN(Acciones!C168/Acciones!C167)</f>
        <v>-9.2736367853292149E-3</v>
      </c>
      <c r="D168" s="29">
        <f>LN(Acciones!D168/Acciones!D167)</f>
        <v>2.264526785601978E-2</v>
      </c>
      <c r="E168" s="29">
        <f>LN(Acciones!E168/Acciones!E167)</f>
        <v>1.9802608596679438E-2</v>
      </c>
      <c r="M168" s="30">
        <f ca="1">Acciones!$B$751*EXP((H$2-H$3/2)*(1)+H$4*_xlfn.NORM.S.INV(RAND())*SQRT(1))</f>
        <v>11.179744770130077</v>
      </c>
      <c r="N168" s="30">
        <f ca="1">Acciones!$C$751*EXP((I$2-I$3/2)*(1)+I$4*_xlfn.NORM.S.INV(RAND())*SQRT(1))</f>
        <v>159.78180953564944</v>
      </c>
      <c r="O168" s="30">
        <f ca="1">Acciones!$D$751*EXP((J$2-J$3/2)*(1)+J$4*_xlfn.NORM.S.INV(RAND())*SQRT(1))</f>
        <v>993.82528539809243</v>
      </c>
      <c r="P168" s="30">
        <f ca="1">Acciones!$E$751*EXP((K$2-K$3/2)*(1)+K$4*_xlfn.NORM.S.INV(RAND())*SQRT(1))</f>
        <v>0.13074827055472227</v>
      </c>
      <c r="Q168" s="30"/>
      <c r="R168">
        <f ca="1">M168/Acciones!$B$751*$I$10 + N168/Acciones!$C$751*$I$11 + O168/Acciones!$D$751*$I$12 + P168/Acciones!$D$751*$I$13</f>
        <v>23518.353006236608</v>
      </c>
      <c r="T168" s="14">
        <f t="shared" ca="1" si="5"/>
        <v>-4981.6469937633919</v>
      </c>
      <c r="V168">
        <v>-6000.7916091680527</v>
      </c>
    </row>
    <row r="169" spans="1:22" x14ac:dyDescent="0.2">
      <c r="A169" s="1">
        <f>Acciones!A169</f>
        <v>45238</v>
      </c>
      <c r="B169" s="29">
        <f>LN(Acciones!B169/Acciones!B168)</f>
        <v>1.4503993678265655E-2</v>
      </c>
      <c r="C169" s="29">
        <f>LN(Acciones!C169/Acciones!C168)</f>
        <v>-7.3974173262650877E-2</v>
      </c>
      <c r="D169" s="29">
        <f>LN(Acciones!D169/Acciones!D168)</f>
        <v>2.6001461289899591E-3</v>
      </c>
      <c r="E169" s="29">
        <f>LN(Acciones!E169/Acciones!E168)</f>
        <v>4.889980733340616E-3</v>
      </c>
      <c r="M169" s="30">
        <f ca="1">Acciones!$B$751*EXP((H$2-H$3/2)*(1)+H$4*_xlfn.NORM.S.INV(RAND())*SQRT(1))</f>
        <v>11.317228037964513</v>
      </c>
      <c r="N169" s="30">
        <f ca="1">Acciones!$C$751*EXP((I$2-I$3/2)*(1)+I$4*_xlfn.NORM.S.INV(RAND())*SQRT(1))</f>
        <v>162.84122186284799</v>
      </c>
      <c r="O169" s="30">
        <f ca="1">Acciones!$D$751*EXP((J$2-J$3/2)*(1)+J$4*_xlfn.NORM.S.INV(RAND())*SQRT(1))</f>
        <v>1019.6678445693721</v>
      </c>
      <c r="P169" s="30">
        <f ca="1">Acciones!$E$751*EXP((K$2-K$3/2)*(1)+K$4*_xlfn.NORM.S.INV(RAND())*SQRT(1))</f>
        <v>0.13441886079679471</v>
      </c>
      <c r="Q169" s="30"/>
      <c r="R169">
        <f ca="1">M169/Acciones!$B$751*$I$10 + N169/Acciones!$C$751*$I$11 + O169/Acciones!$D$751*$I$12 + P169/Acciones!$D$751*$I$13</f>
        <v>24012.353644420276</v>
      </c>
      <c r="T169" s="14">
        <f t="shared" ca="1" si="5"/>
        <v>-4487.6463555797236</v>
      </c>
      <c r="V169">
        <v>-5999.5854660357036</v>
      </c>
    </row>
    <row r="170" spans="1:22" x14ac:dyDescent="0.2">
      <c r="A170" s="1">
        <f>Acciones!A170</f>
        <v>45239</v>
      </c>
      <c r="B170" s="29">
        <f>LN(Acciones!B170/Acciones!B169)</f>
        <v>0</v>
      </c>
      <c r="C170" s="29">
        <f>LN(Acciones!C170/Acciones!C169)</f>
        <v>0.10467809703968738</v>
      </c>
      <c r="D170" s="29">
        <f>LN(Acciones!D170/Acciones!D169)</f>
        <v>-6.17707025206951E-3</v>
      </c>
      <c r="E170" s="29">
        <f>LN(Acciones!E170/Acciones!E169)</f>
        <v>2.4097529426344081E-2</v>
      </c>
      <c r="M170" s="30">
        <f ca="1">Acciones!$B$751*EXP((H$2-H$3/2)*(1)+H$4*_xlfn.NORM.S.INV(RAND())*SQRT(1))</f>
        <v>10.817767548981784</v>
      </c>
      <c r="N170" s="30">
        <f ca="1">Acciones!$C$751*EXP((I$2-I$3/2)*(1)+I$4*_xlfn.NORM.S.INV(RAND())*SQRT(1))</f>
        <v>150.69344864013198</v>
      </c>
      <c r="O170" s="30">
        <f ca="1">Acciones!$D$751*EXP((J$2-J$3/2)*(1)+J$4*_xlfn.NORM.S.INV(RAND())*SQRT(1))</f>
        <v>1022.1998494340429</v>
      </c>
      <c r="P170" s="30">
        <f ca="1">Acciones!$E$751*EXP((K$2-K$3/2)*(1)+K$4*_xlfn.NORM.S.INV(RAND())*SQRT(1))</f>
        <v>0.11795553693980132</v>
      </c>
      <c r="Q170" s="30"/>
      <c r="R170">
        <f ca="1">M170/Acciones!$B$751*$I$10 + N170/Acciones!$C$751*$I$11 + O170/Acciones!$D$751*$I$12 + P170/Acciones!$D$751*$I$13</f>
        <v>23118.907016611021</v>
      </c>
      <c r="T170" s="14">
        <f t="shared" ca="1" si="5"/>
        <v>-5381.0929833889786</v>
      </c>
      <c r="V170">
        <v>-5997.8062473027785</v>
      </c>
    </row>
    <row r="171" spans="1:22" x14ac:dyDescent="0.2">
      <c r="A171" s="1">
        <f>Acciones!A171</f>
        <v>45240</v>
      </c>
      <c r="B171" s="29">
        <f>LN(Acciones!B171/Acciones!B170)</f>
        <v>1.2052976678955099E-2</v>
      </c>
      <c r="C171" s="29">
        <f>LN(Acciones!C171/Acciones!C170)</f>
        <v>2.0095456233555905E-2</v>
      </c>
      <c r="D171" s="29">
        <f>LN(Acciones!D171/Acciones!D170)</f>
        <v>-1.8801062028803914E-2</v>
      </c>
      <c r="E171" s="29">
        <f>LN(Acciones!E171/Acciones!E170)</f>
        <v>0</v>
      </c>
      <c r="M171" s="30">
        <f ca="1">Acciones!$B$751*EXP((H$2-H$3/2)*(1)+H$4*_xlfn.NORM.S.INV(RAND())*SQRT(1))</f>
        <v>11.118944154590169</v>
      </c>
      <c r="N171" s="30">
        <f ca="1">Acciones!$C$751*EXP((I$2-I$3/2)*(1)+I$4*_xlfn.NORM.S.INV(RAND())*SQRT(1))</f>
        <v>159.76439675257828</v>
      </c>
      <c r="O171" s="30">
        <f ca="1">Acciones!$D$751*EXP((J$2-J$3/2)*(1)+J$4*_xlfn.NORM.S.INV(RAND())*SQRT(1))</f>
        <v>966.28276052565502</v>
      </c>
      <c r="P171" s="30">
        <f ca="1">Acciones!$E$751*EXP((K$2-K$3/2)*(1)+K$4*_xlfn.NORM.S.INV(RAND())*SQRT(1))</f>
        <v>0.12851035224925805</v>
      </c>
      <c r="Q171" s="30"/>
      <c r="R171">
        <f ca="1">M171/Acciones!$B$751*$I$10 + N171/Acciones!$C$751*$I$11 + O171/Acciones!$D$751*$I$12 + P171/Acciones!$D$751*$I$13</f>
        <v>23221.87052023206</v>
      </c>
      <c r="T171" s="14">
        <f t="shared" ca="1" si="5"/>
        <v>-5278.1294797679402</v>
      </c>
      <c r="V171">
        <v>-5997.5771253352432</v>
      </c>
    </row>
    <row r="172" spans="1:22" x14ac:dyDescent="0.2">
      <c r="A172" s="1">
        <f>Acciones!A172</f>
        <v>45243</v>
      </c>
      <c r="B172" s="29">
        <f>LN(Acciones!B172/Acciones!B171)</f>
        <v>2.367854685350235E-2</v>
      </c>
      <c r="C172" s="29">
        <f>LN(Acciones!C172/Acciones!C171)</f>
        <v>-5.7029929761228504E-2</v>
      </c>
      <c r="D172" s="29">
        <f>LN(Acciones!D172/Acciones!D171)</f>
        <v>-1.7799772488091083E-2</v>
      </c>
      <c r="E172" s="29">
        <f>LN(Acciones!E172/Acciones!E171)</f>
        <v>-2.4097529426344123E-2</v>
      </c>
      <c r="M172" s="30">
        <f ca="1">Acciones!$B$751*EXP((H$2-H$3/2)*(1)+H$4*_xlfn.NORM.S.INV(RAND())*SQRT(1))</f>
        <v>11.221278246642806</v>
      </c>
      <c r="N172" s="30">
        <f ca="1">Acciones!$C$751*EXP((I$2-I$3/2)*(1)+I$4*_xlfn.NORM.S.INV(RAND())*SQRT(1))</f>
        <v>147.41118769468687</v>
      </c>
      <c r="O172" s="30">
        <f ca="1">Acciones!$D$751*EXP((J$2-J$3/2)*(1)+J$4*_xlfn.NORM.S.INV(RAND())*SQRT(1))</f>
        <v>960.30197194551533</v>
      </c>
      <c r="P172" s="30">
        <f ca="1">Acciones!$E$751*EXP((K$2-K$3/2)*(1)+K$4*_xlfn.NORM.S.INV(RAND())*SQRT(1))</f>
        <v>0.13340813897764175</v>
      </c>
      <c r="Q172" s="30"/>
      <c r="R172">
        <f ca="1">M172/Acciones!$B$751*$I$10 + N172/Acciones!$C$751*$I$11 + O172/Acciones!$D$751*$I$12 + P172/Acciones!$D$751*$I$13</f>
        <v>22423.506390579136</v>
      </c>
      <c r="T172" s="14">
        <f t="shared" ca="1" si="5"/>
        <v>-6076.4936094208642</v>
      </c>
      <c r="V172">
        <v>-5996.8748871793432</v>
      </c>
    </row>
    <row r="173" spans="1:22" x14ac:dyDescent="0.2">
      <c r="A173" s="1">
        <f>Acciones!A173</f>
        <v>45244</v>
      </c>
      <c r="B173" s="29">
        <f>LN(Acciones!B173/Acciones!B172)</f>
        <v>2.5984801631310284E-2</v>
      </c>
      <c r="C173" s="29">
        <f>LN(Acciones!C173/Acciones!C172)</f>
        <v>-1.0492341155689049E-2</v>
      </c>
      <c r="D173" s="29">
        <f>LN(Acciones!D173/Acciones!D172)</f>
        <v>1.3595692851369819E-3</v>
      </c>
      <c r="E173" s="29">
        <f>LN(Acciones!E173/Acciones!E172)</f>
        <v>4.8661851346016799E-3</v>
      </c>
      <c r="M173" s="30">
        <f ca="1">Acciones!$B$751*EXP((H$2-H$3/2)*(1)+H$4*_xlfn.NORM.S.INV(RAND())*SQRT(1))</f>
        <v>10.828435965379228</v>
      </c>
      <c r="N173" s="30">
        <f ca="1">Acciones!$C$751*EXP((I$2-I$3/2)*(1)+I$4*_xlfn.NORM.S.INV(RAND())*SQRT(1))</f>
        <v>170.49125797661952</v>
      </c>
      <c r="O173" s="30">
        <f ca="1">Acciones!$D$751*EXP((J$2-J$3/2)*(1)+J$4*_xlfn.NORM.S.INV(RAND())*SQRT(1))</f>
        <v>1030.7504108302805</v>
      </c>
      <c r="P173" s="30">
        <f ca="1">Acciones!$E$751*EXP((K$2-K$3/2)*(1)+K$4*_xlfn.NORM.S.INV(RAND())*SQRT(1))</f>
        <v>0.12783229138469129</v>
      </c>
      <c r="Q173" s="30"/>
      <c r="R173">
        <f ca="1">M173/Acciones!$B$751*$I$10 + N173/Acciones!$C$751*$I$11 + O173/Acciones!$D$751*$I$12 + P173/Acciones!$D$751*$I$13</f>
        <v>24444.1732561647</v>
      </c>
      <c r="T173" s="14">
        <f t="shared" ca="1" si="5"/>
        <v>-4055.8267438352996</v>
      </c>
      <c r="V173">
        <v>-5995.616051058063</v>
      </c>
    </row>
    <row r="174" spans="1:22" x14ac:dyDescent="0.2">
      <c r="A174" s="1">
        <f>Acciones!A174</f>
        <v>45245</v>
      </c>
      <c r="B174" s="29">
        <f>LN(Acciones!B174/Acciones!B173)</f>
        <v>-3.926539468020563E-3</v>
      </c>
      <c r="C174" s="29">
        <f>LN(Acciones!C174/Acciones!C173)</f>
        <v>0.11361287739757815</v>
      </c>
      <c r="D174" s="29">
        <f>LN(Acciones!D174/Acciones!D173)</f>
        <v>1.8843181996638737E-2</v>
      </c>
      <c r="E174" s="29">
        <f>LN(Acciones!E174/Acciones!E173)</f>
        <v>-9.7561658679423229E-3</v>
      </c>
      <c r="M174" s="30">
        <f ca="1">Acciones!$B$751*EXP((H$2-H$3/2)*(1)+H$4*_xlfn.NORM.S.INV(RAND())*SQRT(1))</f>
        <v>10.954186117019798</v>
      </c>
      <c r="N174" s="30">
        <f ca="1">Acciones!$C$751*EXP((I$2-I$3/2)*(1)+I$4*_xlfn.NORM.S.INV(RAND())*SQRT(1))</f>
        <v>156.94188117413245</v>
      </c>
      <c r="O174" s="30">
        <f ca="1">Acciones!$D$751*EXP((J$2-J$3/2)*(1)+J$4*_xlfn.NORM.S.INV(RAND())*SQRT(1))</f>
        <v>994.72839748043964</v>
      </c>
      <c r="P174" s="30">
        <f ca="1">Acciones!$E$751*EXP((K$2-K$3/2)*(1)+K$4*_xlfn.NORM.S.INV(RAND())*SQRT(1))</f>
        <v>0.12641738810339986</v>
      </c>
      <c r="Q174" s="30"/>
      <c r="R174">
        <f ca="1">M174/Acciones!$B$751*$I$10 + N174/Acciones!$C$751*$I$11 + O174/Acciones!$D$751*$I$12 + P174/Acciones!$D$751*$I$13</f>
        <v>23277.693855747752</v>
      </c>
      <c r="T174" s="14">
        <f t="shared" ca="1" si="5"/>
        <v>-5222.3061442522485</v>
      </c>
      <c r="V174">
        <v>-5995.1701818369438</v>
      </c>
    </row>
    <row r="175" spans="1:22" x14ac:dyDescent="0.2">
      <c r="A175" s="1">
        <f>Acciones!A175</f>
        <v>45246</v>
      </c>
      <c r="B175" s="29">
        <f>LN(Acciones!B175/Acciones!B174)</f>
        <v>-3.6791559169550063E-2</v>
      </c>
      <c r="C175" s="29">
        <f>LN(Acciones!C175/Acciones!C174)</f>
        <v>-5.581957562392479E-2</v>
      </c>
      <c r="D175" s="29">
        <f>LN(Acciones!D175/Acciones!D174)</f>
        <v>-1.1263327592649227E-2</v>
      </c>
      <c r="E175" s="29">
        <f>LN(Acciones!E175/Acciones!E174)</f>
        <v>3.3738108613728127E-2</v>
      </c>
      <c r="M175" s="30">
        <f ca="1">Acciones!$B$751*EXP((H$2-H$3/2)*(1)+H$4*_xlfn.NORM.S.INV(RAND())*SQRT(1))</f>
        <v>10.708776970537201</v>
      </c>
      <c r="N175" s="30">
        <f ca="1">Acciones!$C$751*EXP((I$2-I$3/2)*(1)+I$4*_xlfn.NORM.S.INV(RAND())*SQRT(1))</f>
        <v>176.60933230909566</v>
      </c>
      <c r="O175" s="30">
        <f ca="1">Acciones!$D$751*EXP((J$2-J$3/2)*(1)+J$4*_xlfn.NORM.S.INV(RAND())*SQRT(1))</f>
        <v>1029.9117445356842</v>
      </c>
      <c r="P175" s="30">
        <f ca="1">Acciones!$E$751*EXP((K$2-K$3/2)*(1)+K$4*_xlfn.NORM.S.INV(RAND())*SQRT(1))</f>
        <v>0.14056617542878549</v>
      </c>
      <c r="Q175" s="30"/>
      <c r="R175">
        <f ca="1">M175/Acciones!$B$751*$I$10 + N175/Acciones!$C$751*$I$11 + O175/Acciones!$D$751*$I$12 + P175/Acciones!$D$751*$I$13</f>
        <v>24779.458256805538</v>
      </c>
      <c r="T175" s="14">
        <f t="shared" ca="1" si="5"/>
        <v>-3720.5417431944625</v>
      </c>
      <c r="V175">
        <v>-5994.5812070832362</v>
      </c>
    </row>
    <row r="176" spans="1:22" x14ac:dyDescent="0.2">
      <c r="A176" s="1">
        <f>Acciones!A176</f>
        <v>45247</v>
      </c>
      <c r="B176" s="29">
        <f>LN(Acciones!B176/Acciones!B175)</f>
        <v>5.9194523137498425E-3</v>
      </c>
      <c r="C176" s="29">
        <f>LN(Acciones!C176/Acciones!C175)</f>
        <v>2.2691446770339335E-2</v>
      </c>
      <c r="D176" s="29">
        <f>LN(Acciones!D176/Acciones!D175)</f>
        <v>-1.1970017827331004E-2</v>
      </c>
      <c r="E176" s="29">
        <f>LN(Acciones!E176/Acciones!E175)</f>
        <v>-2.8848127880387538E-2</v>
      </c>
      <c r="M176" s="30">
        <f ca="1">Acciones!$B$751*EXP((H$2-H$3/2)*(1)+H$4*_xlfn.NORM.S.INV(RAND())*SQRT(1))</f>
        <v>11.33837467329829</v>
      </c>
      <c r="N176" s="30">
        <f ca="1">Acciones!$C$751*EXP((I$2-I$3/2)*(1)+I$4*_xlfn.NORM.S.INV(RAND())*SQRT(1))</f>
        <v>145.80185814951756</v>
      </c>
      <c r="O176" s="30">
        <f ca="1">Acciones!$D$751*EXP((J$2-J$3/2)*(1)+J$4*_xlfn.NORM.S.INV(RAND())*SQRT(1))</f>
        <v>1001.8684158459399</v>
      </c>
      <c r="P176" s="30">
        <f ca="1">Acciones!$E$751*EXP((K$2-K$3/2)*(1)+K$4*_xlfn.NORM.S.INV(RAND())*SQRT(1))</f>
        <v>0.14123374963297836</v>
      </c>
      <c r="Q176" s="30"/>
      <c r="R176">
        <f ca="1">M176/Acciones!$B$751*$I$10 + N176/Acciones!$C$751*$I$11 + O176/Acciones!$D$751*$I$12 + P176/Acciones!$D$751*$I$13</f>
        <v>22776.978124884205</v>
      </c>
      <c r="T176" s="14">
        <f t="shared" ca="1" si="5"/>
        <v>-5723.0218751157954</v>
      </c>
      <c r="V176">
        <v>-5993.1779681415719</v>
      </c>
    </row>
    <row r="177" spans="1:22" x14ac:dyDescent="0.2">
      <c r="A177" s="1">
        <f>Acciones!A177</f>
        <v>45251</v>
      </c>
      <c r="B177" s="29">
        <f>LN(Acciones!B177/Acciones!B176)</f>
        <v>1.8999345639118422E-2</v>
      </c>
      <c r="C177" s="29">
        <f>LN(Acciones!C177/Acciones!C176)</f>
        <v>2.85512171731102E-2</v>
      </c>
      <c r="D177" s="29">
        <f>LN(Acciones!D177/Acciones!D176)</f>
        <v>3.8356152760317245E-3</v>
      </c>
      <c r="E177" s="29">
        <f>LN(Acciones!E177/Acciones!E176)</f>
        <v>-1.9705052563632697E-2</v>
      </c>
      <c r="M177" s="30">
        <f ca="1">Acciones!$B$751*EXP((H$2-H$3/2)*(1)+H$4*_xlfn.NORM.S.INV(RAND())*SQRT(1))</f>
        <v>10.536686044576165</v>
      </c>
      <c r="N177" s="30">
        <f ca="1">Acciones!$C$751*EXP((I$2-I$3/2)*(1)+I$4*_xlfn.NORM.S.INV(RAND())*SQRT(1))</f>
        <v>141.07904083904356</v>
      </c>
      <c r="O177" s="30">
        <f ca="1">Acciones!$D$751*EXP((J$2-J$3/2)*(1)+J$4*_xlfn.NORM.S.INV(RAND())*SQRT(1))</f>
        <v>1055.0293879086714</v>
      </c>
      <c r="P177" s="30">
        <f ca="1">Acciones!$E$751*EXP((K$2-K$3/2)*(1)+K$4*_xlfn.NORM.S.INV(RAND())*SQRT(1))</f>
        <v>0.13277153368862843</v>
      </c>
      <c r="Q177" s="30"/>
      <c r="R177">
        <f ca="1">M177/Acciones!$B$751*$I$10 + N177/Acciones!$C$751*$I$11 + O177/Acciones!$D$751*$I$12 + P177/Acciones!$D$751*$I$13</f>
        <v>22757.342411670481</v>
      </c>
      <c r="T177" s="14">
        <f t="shared" ca="1" si="5"/>
        <v>-5742.6575883295191</v>
      </c>
      <c r="V177">
        <v>-5987.8792042319365</v>
      </c>
    </row>
    <row r="178" spans="1:22" x14ac:dyDescent="0.2">
      <c r="A178" s="1">
        <f>Acciones!A178</f>
        <v>45252</v>
      </c>
      <c r="B178" s="29">
        <f>LN(Acciones!B178/Acciones!B177)</f>
        <v>-1.5801573682261226E-2</v>
      </c>
      <c r="C178" s="29">
        <f>LN(Acciones!C178/Acciones!C177)</f>
        <v>6.4584526747985496E-2</v>
      </c>
      <c r="D178" s="29">
        <f>LN(Acciones!D178/Acciones!D177)</f>
        <v>2.2587193081636928E-2</v>
      </c>
      <c r="E178" s="29">
        <f>LN(Acciones!E178/Acciones!E177)</f>
        <v>2.4571237698234445E-2</v>
      </c>
      <c r="M178" s="30">
        <f ca="1">Acciones!$B$751*EXP((H$2-H$3/2)*(1)+H$4*_xlfn.NORM.S.INV(RAND())*SQRT(1))</f>
        <v>11.138411208797139</v>
      </c>
      <c r="N178" s="30">
        <f ca="1">Acciones!$C$751*EXP((I$2-I$3/2)*(1)+I$4*_xlfn.NORM.S.INV(RAND())*SQRT(1))</f>
        <v>174.51516742806379</v>
      </c>
      <c r="O178" s="30">
        <f ca="1">Acciones!$D$751*EXP((J$2-J$3/2)*(1)+J$4*_xlfn.NORM.S.INV(RAND())*SQRT(1))</f>
        <v>1004.108370206623</v>
      </c>
      <c r="P178" s="30">
        <f ca="1">Acciones!$E$751*EXP((K$2-K$3/2)*(1)+K$4*_xlfn.NORM.S.INV(RAND())*SQRT(1))</f>
        <v>0.13417044940157744</v>
      </c>
      <c r="Q178" s="30"/>
      <c r="R178">
        <f ca="1">M178/Acciones!$B$751*$I$10 + N178/Acciones!$C$751*$I$11 + O178/Acciones!$D$751*$I$12 + P178/Acciones!$D$751*$I$13</f>
        <v>24528.03863135165</v>
      </c>
      <c r="T178" s="14">
        <f t="shared" ca="1" si="5"/>
        <v>-3971.9613686483499</v>
      </c>
      <c r="V178">
        <v>-5985.8356330649876</v>
      </c>
    </row>
    <row r="179" spans="1:22" x14ac:dyDescent="0.2">
      <c r="A179" s="1">
        <f>Acciones!A179</f>
        <v>45253</v>
      </c>
      <c r="B179" s="29">
        <f>LN(Acciones!B179/Acciones!B178)</f>
        <v>2.360977533944067E-2</v>
      </c>
      <c r="C179" s="29">
        <f>LN(Acciones!C179/Acciones!C178)</f>
        <v>-1.2286495347708461E-2</v>
      </c>
      <c r="D179" s="29">
        <f>LN(Acciones!D179/Acciones!D178)</f>
        <v>-1.3913555101612079E-2</v>
      </c>
      <c r="E179" s="29">
        <f>LN(Acciones!E179/Acciones!E178)</f>
        <v>0</v>
      </c>
      <c r="M179" s="30">
        <f ca="1">Acciones!$B$751*EXP((H$2-H$3/2)*(1)+H$4*_xlfn.NORM.S.INV(RAND())*SQRT(1))</f>
        <v>10.495278495781887</v>
      </c>
      <c r="N179" s="30">
        <f ca="1">Acciones!$C$751*EXP((I$2-I$3/2)*(1)+I$4*_xlfn.NORM.S.INV(RAND())*SQRT(1))</f>
        <v>152.38555432673988</v>
      </c>
      <c r="O179" s="30">
        <f ca="1">Acciones!$D$751*EXP((J$2-J$3/2)*(1)+J$4*_xlfn.NORM.S.INV(RAND())*SQRT(1))</f>
        <v>983.27608528731616</v>
      </c>
      <c r="P179" s="30">
        <f ca="1">Acciones!$E$751*EXP((K$2-K$3/2)*(1)+K$4*_xlfn.NORM.S.INV(RAND())*SQRT(1))</f>
        <v>0.14508668608388431</v>
      </c>
      <c r="Q179" s="30"/>
      <c r="R179">
        <f ca="1">M179/Acciones!$B$751*$I$10 + N179/Acciones!$C$751*$I$11 + O179/Acciones!$D$751*$I$12 + P179/Acciones!$D$751*$I$13</f>
        <v>22731.375167032002</v>
      </c>
      <c r="T179" s="14">
        <f t="shared" ca="1" si="5"/>
        <v>-5768.6248329679984</v>
      </c>
      <c r="V179">
        <v>-5974.8532124120575</v>
      </c>
    </row>
    <row r="180" spans="1:22" x14ac:dyDescent="0.2">
      <c r="A180" s="1">
        <f>Acciones!A180</f>
        <v>45254</v>
      </c>
      <c r="B180" s="29">
        <f>LN(Acciones!B180/Acciones!B179)</f>
        <v>-2.7409198779006761E-2</v>
      </c>
      <c r="C180" s="29">
        <f>LN(Acciones!C180/Acciones!C179)</f>
        <v>4.4930729920800758E-2</v>
      </c>
      <c r="D180" s="29">
        <f>LN(Acciones!D180/Acciones!D179)</f>
        <v>-1.0834743101835811E-2</v>
      </c>
      <c r="E180" s="29">
        <f>LN(Acciones!E180/Acciones!E179)</f>
        <v>2.87100796777865E-2</v>
      </c>
      <c r="M180" s="30">
        <f ca="1">Acciones!$B$751*EXP((H$2-H$3/2)*(1)+H$4*_xlfn.NORM.S.INV(RAND())*SQRT(1))</f>
        <v>10.825497254783068</v>
      </c>
      <c r="N180" s="30">
        <f ca="1">Acciones!$C$751*EXP((I$2-I$3/2)*(1)+I$4*_xlfn.NORM.S.INV(RAND())*SQRT(1))</f>
        <v>148.1262054658385</v>
      </c>
      <c r="O180" s="30">
        <f ca="1">Acciones!$D$751*EXP((J$2-J$3/2)*(1)+J$4*_xlfn.NORM.S.INV(RAND())*SQRT(1))</f>
        <v>985.45622263545965</v>
      </c>
      <c r="P180" s="30">
        <f ca="1">Acciones!$E$751*EXP((K$2-K$3/2)*(1)+K$4*_xlfn.NORM.S.INV(RAND())*SQRT(1))</f>
        <v>0.13505318591440829</v>
      </c>
      <c r="Q180" s="30"/>
      <c r="R180">
        <f ca="1">M180/Acciones!$B$751*$I$10 + N180/Acciones!$C$751*$I$11 + O180/Acciones!$D$751*$I$12 + P180/Acciones!$D$751*$I$13</f>
        <v>22593.146570629164</v>
      </c>
      <c r="T180" s="14">
        <f t="shared" ca="1" si="5"/>
        <v>-5906.8534293708362</v>
      </c>
      <c r="V180">
        <v>-5972.9966568648342</v>
      </c>
    </row>
    <row r="181" spans="1:22" x14ac:dyDescent="0.2">
      <c r="A181" s="1">
        <f>Acciones!A181</f>
        <v>45257</v>
      </c>
      <c r="B181" s="29">
        <f>LN(Acciones!B181/Acciones!B180)</f>
        <v>3.040692723634518E-3</v>
      </c>
      <c r="C181" s="29">
        <f>LN(Acciones!C181/Acciones!C180)</f>
        <v>-3.5005076776904211E-3</v>
      </c>
      <c r="D181" s="29">
        <f>LN(Acciones!D181/Acciones!D180)</f>
        <v>2.5279863317386506E-2</v>
      </c>
      <c r="E181" s="29">
        <f>LN(Acciones!E181/Acciones!E180)</f>
        <v>0</v>
      </c>
      <c r="M181" s="30">
        <f ca="1">Acciones!$B$751*EXP((H$2-H$3/2)*(1)+H$4*_xlfn.NORM.S.INV(RAND())*SQRT(1))</f>
        <v>10.759882723291163</v>
      </c>
      <c r="N181" s="30">
        <f ca="1">Acciones!$C$751*EXP((I$2-I$3/2)*(1)+I$4*_xlfn.NORM.S.INV(RAND())*SQRT(1))</f>
        <v>143.93135408787833</v>
      </c>
      <c r="O181" s="30">
        <f ca="1">Acciones!$D$751*EXP((J$2-J$3/2)*(1)+J$4*_xlfn.NORM.S.INV(RAND())*SQRT(1))</f>
        <v>1026.9696812264394</v>
      </c>
      <c r="P181" s="30">
        <f ca="1">Acciones!$E$751*EXP((K$2-K$3/2)*(1)+K$4*_xlfn.NORM.S.INV(RAND())*SQRT(1))</f>
        <v>0.12561621677394441</v>
      </c>
      <c r="Q181" s="30"/>
      <c r="R181">
        <f ca="1">M181/Acciones!$B$751*$I$10 + N181/Acciones!$C$751*$I$11 + O181/Acciones!$D$751*$I$12 + P181/Acciones!$D$751*$I$13</f>
        <v>22725.941789927801</v>
      </c>
      <c r="T181" s="14">
        <f t="shared" ca="1" si="5"/>
        <v>-5774.0582100721986</v>
      </c>
      <c r="V181">
        <v>-5972.7324175093963</v>
      </c>
    </row>
    <row r="182" spans="1:22" x14ac:dyDescent="0.2">
      <c r="A182" s="1">
        <f>Acciones!A182</f>
        <v>45258</v>
      </c>
      <c r="B182" s="29">
        <f>LN(Acciones!B182/Acciones!B181)</f>
        <v>3.5052086424249451E-2</v>
      </c>
      <c r="C182" s="29">
        <f>LN(Acciones!C182/Acciones!C181)</f>
        <v>8.9423548546211776E-2</v>
      </c>
      <c r="D182" s="29">
        <f>LN(Acciones!D182/Acciones!D181)</f>
        <v>-5.8566657219467633E-3</v>
      </c>
      <c r="E182" s="29">
        <f>LN(Acciones!E182/Acciones!E181)</f>
        <v>3.7041347336330077E-2</v>
      </c>
      <c r="M182" s="30">
        <f ca="1">Acciones!$B$751*EXP((H$2-H$3/2)*(1)+H$4*_xlfn.NORM.S.INV(RAND())*SQRT(1))</f>
        <v>10.625348530604905</v>
      </c>
      <c r="N182" s="30">
        <f ca="1">Acciones!$C$751*EXP((I$2-I$3/2)*(1)+I$4*_xlfn.NORM.S.INV(RAND())*SQRT(1))</f>
        <v>151.38810568070195</v>
      </c>
      <c r="O182" s="30">
        <f ca="1">Acciones!$D$751*EXP((J$2-J$3/2)*(1)+J$4*_xlfn.NORM.S.INV(RAND())*SQRT(1))</f>
        <v>1025.0082446995909</v>
      </c>
      <c r="P182" s="30">
        <f ca="1">Acciones!$E$751*EXP((K$2-K$3/2)*(1)+K$4*_xlfn.NORM.S.INV(RAND())*SQRT(1))</f>
        <v>0.12901805990187409</v>
      </c>
      <c r="Q182" s="30"/>
      <c r="R182">
        <f ca="1">M182/Acciones!$B$751*$I$10 + N182/Acciones!$C$751*$I$11 + O182/Acciones!$D$751*$I$12 + P182/Acciones!$D$751*$I$13</f>
        <v>23128.742019240875</v>
      </c>
      <c r="T182" s="14">
        <f t="shared" ca="1" si="5"/>
        <v>-5371.2579807591246</v>
      </c>
      <c r="V182">
        <v>-5970.9469638960545</v>
      </c>
    </row>
    <row r="183" spans="1:22" x14ac:dyDescent="0.2">
      <c r="A183" s="1">
        <f>Acciones!A183</f>
        <v>45259</v>
      </c>
      <c r="B183" s="29">
        <f>LN(Acciones!B183/Acciones!B182)</f>
        <v>-3.2020685745338381E-2</v>
      </c>
      <c r="C183" s="29">
        <f>LN(Acciones!C183/Acciones!C182)</f>
        <v>9.1067730370117672E-3</v>
      </c>
      <c r="D183" s="29">
        <f>LN(Acciones!D183/Acciones!D182)</f>
        <v>2.0106351053809327E-2</v>
      </c>
      <c r="E183" s="29">
        <f>LN(Acciones!E183/Acciones!E182)</f>
        <v>9.0498267329910155E-3</v>
      </c>
      <c r="M183" s="30">
        <f ca="1">Acciones!$B$751*EXP((H$2-H$3/2)*(1)+H$4*_xlfn.NORM.S.INV(RAND())*SQRT(1))</f>
        <v>10.760905027860895</v>
      </c>
      <c r="N183" s="30">
        <f ca="1">Acciones!$C$751*EXP((I$2-I$3/2)*(1)+I$4*_xlfn.NORM.S.INV(RAND())*SQRT(1))</f>
        <v>149.60148256652104</v>
      </c>
      <c r="O183" s="30">
        <f ca="1">Acciones!$D$751*EXP((J$2-J$3/2)*(1)+J$4*_xlfn.NORM.S.INV(RAND())*SQRT(1))</f>
        <v>1004.295473656505</v>
      </c>
      <c r="P183" s="30">
        <f ca="1">Acciones!$E$751*EXP((K$2-K$3/2)*(1)+K$4*_xlfn.NORM.S.INV(RAND())*SQRT(1))</f>
        <v>0.11288187080829061</v>
      </c>
      <c r="Q183" s="30"/>
      <c r="R183">
        <f ca="1">M183/Acciones!$B$751*$I$10 + N183/Acciones!$C$751*$I$11 + O183/Acciones!$D$751*$I$12 + P183/Acciones!$D$751*$I$13</f>
        <v>22853.118719945807</v>
      </c>
      <c r="T183" s="14">
        <f t="shared" ca="1" si="5"/>
        <v>-5646.8812800541928</v>
      </c>
      <c r="V183">
        <v>-5963.8474375842998</v>
      </c>
    </row>
    <row r="184" spans="1:22" x14ac:dyDescent="0.2">
      <c r="A184" s="1">
        <f>Acciones!A184</f>
        <v>45260</v>
      </c>
      <c r="B184" s="29">
        <f>LN(Acciones!B184/Acciones!B183)</f>
        <v>2.6449860787049768E-3</v>
      </c>
      <c r="C184" s="29">
        <f>LN(Acciones!C184/Acciones!C183)</f>
        <v>-2.8870703652639881E-2</v>
      </c>
      <c r="D184" s="29">
        <f>LN(Acciones!D184/Acciones!D183)</f>
        <v>5.2383182760740415E-4</v>
      </c>
      <c r="E184" s="29">
        <f>LN(Acciones!E184/Acciones!E183)</f>
        <v>8.9686613527471867E-3</v>
      </c>
      <c r="M184" s="30">
        <f ca="1">Acciones!$B$751*EXP((H$2-H$3/2)*(1)+H$4*_xlfn.NORM.S.INV(RAND())*SQRT(1))</f>
        <v>10.979811842935369</v>
      </c>
      <c r="N184" s="30">
        <f ca="1">Acciones!$C$751*EXP((I$2-I$3/2)*(1)+I$4*_xlfn.NORM.S.INV(RAND())*SQRT(1))</f>
        <v>156.76893372086153</v>
      </c>
      <c r="O184" s="30">
        <f ca="1">Acciones!$D$751*EXP((J$2-J$3/2)*(1)+J$4*_xlfn.NORM.S.INV(RAND())*SQRT(1))</f>
        <v>1015.1490202615936</v>
      </c>
      <c r="P184" s="30">
        <f ca="1">Acciones!$E$751*EXP((K$2-K$3/2)*(1)+K$4*_xlfn.NORM.S.INV(RAND())*SQRT(1))</f>
        <v>0.13498499736828273</v>
      </c>
      <c r="Q184" s="30"/>
      <c r="R184">
        <f ca="1">M184/Acciones!$B$751*$I$10 + N184/Acciones!$C$751*$I$11 + O184/Acciones!$D$751*$I$12 + P184/Acciones!$D$751*$I$13</f>
        <v>23479.705076482587</v>
      </c>
      <c r="T184" s="14">
        <f t="shared" ca="1" si="5"/>
        <v>-5020.2949235174128</v>
      </c>
      <c r="V184">
        <v>-5962.6025889845441</v>
      </c>
    </row>
    <row r="185" spans="1:22" x14ac:dyDescent="0.2">
      <c r="A185" s="1">
        <f>Acciones!A185</f>
        <v>45261</v>
      </c>
      <c r="B185" s="29">
        <f>LN(Acciones!B185/Acciones!B184)</f>
        <v>7.5451168900834379E-4</v>
      </c>
      <c r="C185" s="29">
        <f>LN(Acciones!C185/Acciones!C184)</f>
        <v>0.11988108070354914</v>
      </c>
      <c r="D185" s="29">
        <f>LN(Acciones!D185/Acciones!D184)</f>
        <v>2.0406891497609159E-2</v>
      </c>
      <c r="E185" s="29">
        <f>LN(Acciones!E185/Acciones!E184)</f>
        <v>0.1098148617497334</v>
      </c>
      <c r="M185" s="30">
        <f ca="1">Acciones!$B$751*EXP((H$2-H$3/2)*(1)+H$4*_xlfn.NORM.S.INV(RAND())*SQRT(1))</f>
        <v>10.632671584500288</v>
      </c>
      <c r="N185" s="30">
        <f ca="1">Acciones!$C$751*EXP((I$2-I$3/2)*(1)+I$4*_xlfn.NORM.S.INV(RAND())*SQRT(1))</f>
        <v>143.32345157943112</v>
      </c>
      <c r="O185" s="30">
        <f ca="1">Acciones!$D$751*EXP((J$2-J$3/2)*(1)+J$4*_xlfn.NORM.S.INV(RAND())*SQRT(1))</f>
        <v>980.79293448834892</v>
      </c>
      <c r="P185" s="30">
        <f ca="1">Acciones!$E$751*EXP((K$2-K$3/2)*(1)+K$4*_xlfn.NORM.S.INV(RAND())*SQRT(1))</f>
        <v>0.13036686295146563</v>
      </c>
      <c r="Q185" s="30"/>
      <c r="R185">
        <f ca="1">M185/Acciones!$B$751*$I$10 + N185/Acciones!$C$751*$I$11 + O185/Acciones!$D$751*$I$12 + P185/Acciones!$D$751*$I$13</f>
        <v>22184.675319883365</v>
      </c>
      <c r="T185" s="14">
        <f t="shared" ca="1" si="5"/>
        <v>-6315.3246801166351</v>
      </c>
      <c r="V185">
        <v>-5960.8068637469041</v>
      </c>
    </row>
    <row r="186" spans="1:22" x14ac:dyDescent="0.2">
      <c r="A186" s="1">
        <f>Acciones!A186</f>
        <v>45264</v>
      </c>
      <c r="B186" s="29">
        <f>LN(Acciones!B186/Acciones!B185)</f>
        <v>-4.9141609834847215E-3</v>
      </c>
      <c r="C186" s="29">
        <f>LN(Acciones!C186/Acciones!C185)</f>
        <v>0.10768729294644812</v>
      </c>
      <c r="D186" s="29">
        <f>LN(Acciones!D186/Acciones!D185)</f>
        <v>3.1370453343713613E-2</v>
      </c>
      <c r="E186" s="29">
        <f>LN(Acciones!E186/Acciones!E185)</f>
        <v>-1.2072569651184173E-2</v>
      </c>
      <c r="M186" s="30">
        <f ca="1">Acciones!$B$751*EXP((H$2-H$3/2)*(1)+H$4*_xlfn.NORM.S.INV(RAND())*SQRT(1))</f>
        <v>10.987138202362658</v>
      </c>
      <c r="N186" s="30">
        <f ca="1">Acciones!$C$751*EXP((I$2-I$3/2)*(1)+I$4*_xlfn.NORM.S.INV(RAND())*SQRT(1))</f>
        <v>178.31837179460217</v>
      </c>
      <c r="O186" s="30">
        <f ca="1">Acciones!$D$751*EXP((J$2-J$3/2)*(1)+J$4*_xlfn.NORM.S.INV(RAND())*SQRT(1))</f>
        <v>982.11784581230859</v>
      </c>
      <c r="P186" s="30">
        <f ca="1">Acciones!$E$751*EXP((K$2-K$3/2)*(1)+K$4*_xlfn.NORM.S.INV(RAND())*SQRT(1))</f>
        <v>0.12920866332451617</v>
      </c>
      <c r="Q186" s="30"/>
      <c r="R186">
        <f ca="1">M186/Acciones!$B$751*$I$10 + N186/Acciones!$C$751*$I$11 + O186/Acciones!$D$751*$I$12 + P186/Acciones!$D$751*$I$13</f>
        <v>24496.681374088461</v>
      </c>
      <c r="T186" s="14">
        <f t="shared" ca="1" si="5"/>
        <v>-4003.3186259115391</v>
      </c>
      <c r="V186">
        <v>-5959.386931245801</v>
      </c>
    </row>
    <row r="187" spans="1:22" x14ac:dyDescent="0.2">
      <c r="A187" s="1">
        <f>Acciones!A187</f>
        <v>45265</v>
      </c>
      <c r="B187" s="29">
        <f>LN(Acciones!B187/Acciones!B186)</f>
        <v>-4.1768002426169739E-3</v>
      </c>
      <c r="C187" s="29">
        <f>LN(Acciones!C187/Acciones!C186)</f>
        <v>2.006240593841924E-2</v>
      </c>
      <c r="D187" s="29">
        <f>LN(Acciones!D187/Acciones!D186)</f>
        <v>-9.2541441513178133E-4</v>
      </c>
      <c r="E187" s="29">
        <f>LN(Acciones!E187/Acciones!E186)</f>
        <v>3.1875178247865767E-2</v>
      </c>
      <c r="M187" s="30">
        <f ca="1">Acciones!$B$751*EXP((H$2-H$3/2)*(1)+H$4*_xlfn.NORM.S.INV(RAND())*SQRT(1))</f>
        <v>10.383182881322083</v>
      </c>
      <c r="N187" s="30">
        <f ca="1">Acciones!$C$751*EXP((I$2-I$3/2)*(1)+I$4*_xlfn.NORM.S.INV(RAND())*SQRT(1))</f>
        <v>173.26579999518003</v>
      </c>
      <c r="O187" s="30">
        <f ca="1">Acciones!$D$751*EXP((J$2-J$3/2)*(1)+J$4*_xlfn.NORM.S.INV(RAND())*SQRT(1))</f>
        <v>1036.0353034342295</v>
      </c>
      <c r="P187" s="30">
        <f ca="1">Acciones!$E$751*EXP((K$2-K$3/2)*(1)+K$4*_xlfn.NORM.S.INV(RAND())*SQRT(1))</f>
        <v>0.11892173203954422</v>
      </c>
      <c r="Q187" s="30"/>
      <c r="R187">
        <f ca="1">M187/Acciones!$B$751*$I$10 + N187/Acciones!$C$751*$I$11 + O187/Acciones!$D$751*$I$12 + P187/Acciones!$D$751*$I$13</f>
        <v>24527.457703862474</v>
      </c>
      <c r="T187" s="14">
        <f t="shared" ca="1" si="5"/>
        <v>-3972.5422961375261</v>
      </c>
      <c r="V187">
        <v>-5957.634083508121</v>
      </c>
    </row>
    <row r="188" spans="1:22" x14ac:dyDescent="0.2">
      <c r="A188" s="1">
        <f>Acciones!A188</f>
        <v>45266</v>
      </c>
      <c r="B188" s="29">
        <f>LN(Acciones!B188/Acciones!B187)</f>
        <v>-6.4898941920212075E-3</v>
      </c>
      <c r="C188" s="29">
        <f>LN(Acciones!C188/Acciones!C187)</f>
        <v>1.609035973403394E-2</v>
      </c>
      <c r="D188" s="29">
        <f>LN(Acciones!D188/Acciones!D187)</f>
        <v>5.4845636091198592E-3</v>
      </c>
      <c r="E188" s="29">
        <f>LN(Acciones!E188/Acciones!E187)</f>
        <v>7.8125324607233853E-3</v>
      </c>
      <c r="M188" s="30">
        <f ca="1">Acciones!$B$751*EXP((H$2-H$3/2)*(1)+H$4*_xlfn.NORM.S.INV(RAND())*SQRT(1))</f>
        <v>10.731443546035308</v>
      </c>
      <c r="N188" s="30">
        <f ca="1">Acciones!$C$751*EXP((I$2-I$3/2)*(1)+I$4*_xlfn.NORM.S.INV(RAND())*SQRT(1))</f>
        <v>153.75718351068039</v>
      </c>
      <c r="O188" s="30">
        <f ca="1">Acciones!$D$751*EXP((J$2-J$3/2)*(1)+J$4*_xlfn.NORM.S.INV(RAND())*SQRT(1))</f>
        <v>996.55255280300264</v>
      </c>
      <c r="P188" s="30">
        <f ca="1">Acciones!$E$751*EXP((K$2-K$3/2)*(1)+K$4*_xlfn.NORM.S.INV(RAND())*SQRT(1))</f>
        <v>0.12149125924143882</v>
      </c>
      <c r="Q188" s="30"/>
      <c r="R188">
        <f ca="1">M188/Acciones!$B$751*$I$10 + N188/Acciones!$C$751*$I$11 + O188/Acciones!$D$751*$I$12 + P188/Acciones!$D$751*$I$13</f>
        <v>23025.633567583991</v>
      </c>
      <c r="T188" s="14">
        <f t="shared" ca="1" si="5"/>
        <v>-5474.366432416009</v>
      </c>
      <c r="V188">
        <v>-5952.8098732349645</v>
      </c>
    </row>
    <row r="189" spans="1:22" x14ac:dyDescent="0.2">
      <c r="A189" s="1">
        <f>Acciones!A189</f>
        <v>45267</v>
      </c>
      <c r="B189" s="29">
        <f>LN(Acciones!B189/Acciones!B188)</f>
        <v>-1.6995356673176223E-2</v>
      </c>
      <c r="C189" s="29">
        <f>LN(Acciones!C189/Acciones!C188)</f>
        <v>-4.4435610086463288E-3</v>
      </c>
      <c r="D189" s="29">
        <f>LN(Acciones!D189/Acciones!D188)</f>
        <v>-5.1112752203235868E-3</v>
      </c>
      <c r="E189" s="29">
        <f>LN(Acciones!E189/Acciones!E188)</f>
        <v>-2.7615141057404865E-2</v>
      </c>
      <c r="M189" s="30">
        <f ca="1">Acciones!$B$751*EXP((H$2-H$3/2)*(1)+H$4*_xlfn.NORM.S.INV(RAND())*SQRT(1))</f>
        <v>10.964539972856322</v>
      </c>
      <c r="N189" s="30">
        <f ca="1">Acciones!$C$751*EXP((I$2-I$3/2)*(1)+I$4*_xlfn.NORM.S.INV(RAND())*SQRT(1))</f>
        <v>153.21384593188117</v>
      </c>
      <c r="O189" s="30">
        <f ca="1">Acciones!$D$751*EXP((J$2-J$3/2)*(1)+J$4*_xlfn.NORM.S.INV(RAND())*SQRT(1))</f>
        <v>1024.5032382260927</v>
      </c>
      <c r="P189" s="30">
        <f ca="1">Acciones!$E$751*EXP((K$2-K$3/2)*(1)+K$4*_xlfn.NORM.S.INV(RAND())*SQRT(1))</f>
        <v>0.13291861785950432</v>
      </c>
      <c r="Q189" s="30"/>
      <c r="R189">
        <f ca="1">M189/Acciones!$B$751*$I$10 + N189/Acciones!$C$751*$I$11 + O189/Acciones!$D$751*$I$12 + P189/Acciones!$D$751*$I$13</f>
        <v>23346.516275656784</v>
      </c>
      <c r="T189" s="14">
        <f t="shared" ca="1" si="5"/>
        <v>-5153.4837243432157</v>
      </c>
      <c r="V189">
        <v>-5947.6166527581699</v>
      </c>
    </row>
    <row r="190" spans="1:22" x14ac:dyDescent="0.2">
      <c r="A190" s="1">
        <f>Acciones!A190</f>
        <v>45268</v>
      </c>
      <c r="B190" s="29">
        <f>LN(Acciones!B190/Acciones!B189)</f>
        <v>-2.3401112397579294E-3</v>
      </c>
      <c r="C190" s="29">
        <f>LN(Acciones!C190/Acciones!C189)</f>
        <v>7.2290386787578542E-2</v>
      </c>
      <c r="D190" s="29">
        <f>LN(Acciones!D190/Acciones!D189)</f>
        <v>9.9447115868210459E-4</v>
      </c>
      <c r="E190" s="29">
        <f>LN(Acciones!E190/Acciones!E189)</f>
        <v>0</v>
      </c>
      <c r="M190" s="30">
        <f ca="1">Acciones!$B$751*EXP((H$2-H$3/2)*(1)+H$4*_xlfn.NORM.S.INV(RAND())*SQRT(1))</f>
        <v>11.334863557650259</v>
      </c>
      <c r="N190" s="30">
        <f ca="1">Acciones!$C$751*EXP((I$2-I$3/2)*(1)+I$4*_xlfn.NORM.S.INV(RAND())*SQRT(1))</f>
        <v>132.54037855845263</v>
      </c>
      <c r="O190" s="30">
        <f ca="1">Acciones!$D$751*EXP((J$2-J$3/2)*(1)+J$4*_xlfn.NORM.S.INV(RAND())*SQRT(1))</f>
        <v>984.64483424849436</v>
      </c>
      <c r="P190" s="30">
        <f ca="1">Acciones!$E$751*EXP((K$2-K$3/2)*(1)+K$4*_xlfn.NORM.S.INV(RAND())*SQRT(1))</f>
        <v>0.13063540372836133</v>
      </c>
      <c r="Q190" s="30"/>
      <c r="R190">
        <f ca="1">M190/Acciones!$B$751*$I$10 + N190/Acciones!$C$751*$I$11 + O190/Acciones!$D$751*$I$12 + P190/Acciones!$D$751*$I$13</f>
        <v>21775.249222505274</v>
      </c>
      <c r="T190" s="14">
        <f t="shared" ca="1" si="5"/>
        <v>-6724.7507774947262</v>
      </c>
      <c r="V190">
        <v>-5943.8597303160022</v>
      </c>
    </row>
    <row r="191" spans="1:22" x14ac:dyDescent="0.2">
      <c r="A191" s="1">
        <f>Acciones!A191</f>
        <v>45271</v>
      </c>
      <c r="B191" s="29">
        <f>LN(Acciones!B191/Acciones!B190)</f>
        <v>5.4516892224506673E-3</v>
      </c>
      <c r="C191" s="29">
        <f>LN(Acciones!C191/Acciones!C190)</f>
        <v>-0.12545086682683509</v>
      </c>
      <c r="D191" s="29">
        <f>LN(Acciones!D191/Acciones!D190)</f>
        <v>2.8404746197948326E-2</v>
      </c>
      <c r="E191" s="29">
        <f>LN(Acciones!E191/Acciones!E190)</f>
        <v>-4.4997322037778578E-2</v>
      </c>
      <c r="M191" s="30">
        <f ca="1">Acciones!$B$751*EXP((H$2-H$3/2)*(1)+H$4*_xlfn.NORM.S.INV(RAND())*SQRT(1))</f>
        <v>10.951086638161769</v>
      </c>
      <c r="N191" s="30">
        <f ca="1">Acciones!$C$751*EXP((I$2-I$3/2)*(1)+I$4*_xlfn.NORM.S.INV(RAND())*SQRT(1))</f>
        <v>151.99056332711623</v>
      </c>
      <c r="O191" s="30">
        <f ca="1">Acciones!$D$751*EXP((J$2-J$3/2)*(1)+J$4*_xlfn.NORM.S.INV(RAND())*SQRT(1))</f>
        <v>963.46446693470978</v>
      </c>
      <c r="P191" s="30">
        <f ca="1">Acciones!$E$751*EXP((K$2-K$3/2)*(1)+K$4*_xlfn.NORM.S.INV(RAND())*SQRT(1))</f>
        <v>0.12645813261246222</v>
      </c>
      <c r="Q191" s="30"/>
      <c r="R191">
        <f ca="1">M191/Acciones!$B$751*$I$10 + N191/Acciones!$C$751*$I$11 + O191/Acciones!$D$751*$I$12 + P191/Acciones!$D$751*$I$13</f>
        <v>22654.394572802885</v>
      </c>
      <c r="T191" s="14">
        <f t="shared" ca="1" si="5"/>
        <v>-5845.6054271971152</v>
      </c>
      <c r="V191">
        <v>-5941.7003708697484</v>
      </c>
    </row>
    <row r="192" spans="1:22" x14ac:dyDescent="0.2">
      <c r="A192" s="1">
        <f>Acciones!A192</f>
        <v>45273</v>
      </c>
      <c r="B192" s="29">
        <f>LN(Acciones!B192/Acciones!B191)</f>
        <v>4.8512852815749311E-2</v>
      </c>
      <c r="C192" s="29">
        <f>LN(Acciones!C192/Acciones!C191)</f>
        <v>0.11629468273980825</v>
      </c>
      <c r="D192" s="29">
        <f>LN(Acciones!D192/Acciones!D191)</f>
        <v>1.0968944947760961E-2</v>
      </c>
      <c r="E192" s="29">
        <f>LN(Acciones!E192/Acciones!E191)</f>
        <v>-2.5425175002952435E-2</v>
      </c>
      <c r="M192" s="30">
        <f ca="1">Acciones!$B$751*EXP((H$2-H$3/2)*(1)+H$4*_xlfn.NORM.S.INV(RAND())*SQRT(1))</f>
        <v>10.911485587167471</v>
      </c>
      <c r="N192" s="30">
        <f ca="1">Acciones!$C$751*EXP((I$2-I$3/2)*(1)+I$4*_xlfn.NORM.S.INV(RAND())*SQRT(1))</f>
        <v>151.65102373062996</v>
      </c>
      <c r="O192" s="30">
        <f ca="1">Acciones!$D$751*EXP((J$2-J$3/2)*(1)+J$4*_xlfn.NORM.S.INV(RAND())*SQRT(1))</f>
        <v>945.40991819851706</v>
      </c>
      <c r="P192" s="30">
        <f ca="1">Acciones!$E$751*EXP((K$2-K$3/2)*(1)+K$4*_xlfn.NORM.S.INV(RAND())*SQRT(1))</f>
        <v>0.11860293933229682</v>
      </c>
      <c r="Q192" s="30"/>
      <c r="R192">
        <f ca="1">M192/Acciones!$B$751*$I$10 + N192/Acciones!$C$751*$I$11 + O192/Acciones!$D$751*$I$12 + P192/Acciones!$D$751*$I$13</f>
        <v>22439.604644300951</v>
      </c>
      <c r="T192" s="14">
        <f t="shared" ca="1" si="5"/>
        <v>-6060.3953556990491</v>
      </c>
      <c r="V192">
        <v>-5939.2147962939925</v>
      </c>
    </row>
    <row r="193" spans="1:22" x14ac:dyDescent="0.2">
      <c r="A193" s="1">
        <f>Acciones!A193</f>
        <v>45274</v>
      </c>
      <c r="B193" s="29">
        <f>LN(Acciones!B193/Acciones!B192)</f>
        <v>1.2134709378681602E-2</v>
      </c>
      <c r="C193" s="29">
        <f>LN(Acciones!C193/Acciones!C192)</f>
        <v>6.0893036040575325E-2</v>
      </c>
      <c r="D193" s="29">
        <f>LN(Acciones!D193/Acciones!D192)</f>
        <v>-4.6938049607076187E-3</v>
      </c>
      <c r="E193" s="29">
        <f>LN(Acciones!E193/Acciones!E192)</f>
        <v>4.2826578564033593E-3</v>
      </c>
      <c r="M193" s="30">
        <f ca="1">Acciones!$B$751*EXP((H$2-H$3/2)*(1)+H$4*_xlfn.NORM.S.INV(RAND())*SQRT(1))</f>
        <v>11.000465230248833</v>
      </c>
      <c r="N193" s="30">
        <f ca="1">Acciones!$C$751*EXP((I$2-I$3/2)*(1)+I$4*_xlfn.NORM.S.INV(RAND())*SQRT(1))</f>
        <v>146.56647840962887</v>
      </c>
      <c r="O193" s="30">
        <f ca="1">Acciones!$D$751*EXP((J$2-J$3/2)*(1)+J$4*_xlfn.NORM.S.INV(RAND())*SQRT(1))</f>
        <v>991.73781015965267</v>
      </c>
      <c r="P193" s="30">
        <f ca="1">Acciones!$E$751*EXP((K$2-K$3/2)*(1)+K$4*_xlfn.NORM.S.INV(RAND())*SQRT(1))</f>
        <v>0.13866152893108177</v>
      </c>
      <c r="Q193" s="30"/>
      <c r="R193">
        <f ca="1">M193/Acciones!$B$751*$I$10 + N193/Acciones!$C$751*$I$11 + O193/Acciones!$D$751*$I$12 + P193/Acciones!$D$751*$I$13</f>
        <v>22614.829555061329</v>
      </c>
      <c r="T193" s="14">
        <f t="shared" ca="1" si="5"/>
        <v>-5885.1704449386707</v>
      </c>
      <c r="V193">
        <v>-5937.5774024044222</v>
      </c>
    </row>
    <row r="194" spans="1:22" x14ac:dyDescent="0.2">
      <c r="A194" s="1">
        <f>Acciones!A194</f>
        <v>45275</v>
      </c>
      <c r="B194" s="29">
        <f>LN(Acciones!B194/Acciones!B193)</f>
        <v>-6.2329141498689662E-3</v>
      </c>
      <c r="C194" s="29">
        <f>LN(Acciones!C194/Acciones!C193)</f>
        <v>2.1566868530864758E-2</v>
      </c>
      <c r="D194" s="29">
        <f>LN(Acciones!D194/Acciones!D193)</f>
        <v>1.0220844752402175E-3</v>
      </c>
      <c r="E194" s="29">
        <f>LN(Acciones!E194/Acciones!E193)</f>
        <v>-2.5975462271824613E-2</v>
      </c>
      <c r="M194" s="30">
        <f ca="1">Acciones!$B$751*EXP((H$2-H$3/2)*(1)+H$4*_xlfn.NORM.S.INV(RAND())*SQRT(1))</f>
        <v>10.908412212790557</v>
      </c>
      <c r="N194" s="30">
        <f ca="1">Acciones!$C$751*EXP((I$2-I$3/2)*(1)+I$4*_xlfn.NORM.S.INV(RAND())*SQRT(1))</f>
        <v>155.14266740610924</v>
      </c>
      <c r="O194" s="30">
        <f ca="1">Acciones!$D$751*EXP((J$2-J$3/2)*(1)+J$4*_xlfn.NORM.S.INV(RAND())*SQRT(1))</f>
        <v>981.17866214818571</v>
      </c>
      <c r="P194" s="30">
        <f ca="1">Acciones!$E$751*EXP((K$2-K$3/2)*(1)+K$4*_xlfn.NORM.S.INV(RAND())*SQRT(1))</f>
        <v>0.1314056998475468</v>
      </c>
      <c r="Q194" s="30"/>
      <c r="R194">
        <f ca="1">M194/Acciones!$B$751*$I$10 + N194/Acciones!$C$751*$I$11 + O194/Acciones!$D$751*$I$12 + P194/Acciones!$D$751*$I$13</f>
        <v>23014.976826593647</v>
      </c>
      <c r="T194" s="14">
        <f t="shared" ca="1" si="5"/>
        <v>-5485.0231734063527</v>
      </c>
      <c r="V194">
        <v>-5936.9166293803319</v>
      </c>
    </row>
    <row r="195" spans="1:22" x14ac:dyDescent="0.2">
      <c r="A195" s="1">
        <f>Acciones!A195</f>
        <v>45278</v>
      </c>
      <c r="B195" s="29">
        <f>LN(Acciones!B195/Acciones!B194)</f>
        <v>-7.3576820802201143E-4</v>
      </c>
      <c r="C195" s="29">
        <f>LN(Acciones!C195/Acciones!C194)</f>
        <v>9.2833740107597637E-2</v>
      </c>
      <c r="D195" s="29">
        <f>LN(Acciones!D195/Acciones!D194)</f>
        <v>-2.4536774851549935E-3</v>
      </c>
      <c r="E195" s="29">
        <f>LN(Acciones!E195/Acciones!E194)</f>
        <v>0</v>
      </c>
      <c r="M195" s="30">
        <f ca="1">Acciones!$B$751*EXP((H$2-H$3/2)*(1)+H$4*_xlfn.NORM.S.INV(RAND())*SQRT(1))</f>
        <v>10.701622209842407</v>
      </c>
      <c r="N195" s="30">
        <f ca="1">Acciones!$C$751*EXP((I$2-I$3/2)*(1)+I$4*_xlfn.NORM.S.INV(RAND())*SQRT(1))</f>
        <v>139.59697025801327</v>
      </c>
      <c r="O195" s="30">
        <f ca="1">Acciones!$D$751*EXP((J$2-J$3/2)*(1)+J$4*_xlfn.NORM.S.INV(RAND())*SQRT(1))</f>
        <v>988.8590144444297</v>
      </c>
      <c r="P195" s="30">
        <f ca="1">Acciones!$E$751*EXP((K$2-K$3/2)*(1)+K$4*_xlfn.NORM.S.INV(RAND())*SQRT(1))</f>
        <v>0.13943868031611314</v>
      </c>
      <c r="Q195" s="30"/>
      <c r="R195">
        <f ca="1">M195/Acciones!$B$751*$I$10 + N195/Acciones!$C$751*$I$11 + O195/Acciones!$D$751*$I$12 + P195/Acciones!$D$751*$I$13</f>
        <v>22054.962936583222</v>
      </c>
      <c r="T195" s="14">
        <f t="shared" ca="1" si="5"/>
        <v>-6445.0370634167775</v>
      </c>
      <c r="V195">
        <v>-5935.0196977570122</v>
      </c>
    </row>
    <row r="196" spans="1:22" x14ac:dyDescent="0.2">
      <c r="A196" s="1">
        <f>Acciones!A196</f>
        <v>45279</v>
      </c>
      <c r="B196" s="29">
        <f>LN(Acciones!B196/Acciones!B195)</f>
        <v>-2.120224789386526E-2</v>
      </c>
      <c r="C196" s="29">
        <f>LN(Acciones!C196/Acciones!C195)</f>
        <v>9.1608487328492458E-2</v>
      </c>
      <c r="D196" s="29">
        <f>LN(Acciones!D196/Acciones!D195)</f>
        <v>4.4275936642297455E-3</v>
      </c>
      <c r="E196" s="29">
        <f>LN(Acciones!E196/Acciones!E195)</f>
        <v>2.5975462271824474E-2</v>
      </c>
      <c r="M196" s="30">
        <f ca="1">Acciones!$B$751*EXP((H$2-H$3/2)*(1)+H$4*_xlfn.NORM.S.INV(RAND())*SQRT(1))</f>
        <v>11.158687738276662</v>
      </c>
      <c r="N196" s="30">
        <f ca="1">Acciones!$C$751*EXP((I$2-I$3/2)*(1)+I$4*_xlfn.NORM.S.INV(RAND())*SQRT(1))</f>
        <v>139.32478544895599</v>
      </c>
      <c r="O196" s="30">
        <f ca="1">Acciones!$D$751*EXP((J$2-J$3/2)*(1)+J$4*_xlfn.NORM.S.INV(RAND())*SQRT(1))</f>
        <v>996.32489410463791</v>
      </c>
      <c r="P196" s="30">
        <f ca="1">Acciones!$E$751*EXP((K$2-K$3/2)*(1)+K$4*_xlfn.NORM.S.INV(RAND())*SQRT(1))</f>
        <v>0.12791968159481315</v>
      </c>
      <c r="Q196" s="30"/>
      <c r="R196">
        <f ca="1">M196/Acciones!$B$751*$I$10 + N196/Acciones!$C$751*$I$11 + O196/Acciones!$D$751*$I$12 + P196/Acciones!$D$751*$I$13</f>
        <v>22259.315777144835</v>
      </c>
      <c r="T196" s="14">
        <f t="shared" ca="1" si="5"/>
        <v>-6240.684222855165</v>
      </c>
      <c r="V196">
        <v>-5934.8276408543752</v>
      </c>
    </row>
    <row r="197" spans="1:22" x14ac:dyDescent="0.2">
      <c r="A197" s="1">
        <f>Acciones!A197</f>
        <v>45280</v>
      </c>
      <c r="B197" s="29">
        <f>LN(Acciones!B197/Acciones!B196)</f>
        <v>-2.2581289498700683E-3</v>
      </c>
      <c r="C197" s="29">
        <f>LN(Acciones!C197/Acciones!C196)</f>
        <v>4.5887996507543757E-2</v>
      </c>
      <c r="D197" s="29">
        <f>LN(Acciones!D197/Acciones!D196)</f>
        <v>-3.4761054897515724E-3</v>
      </c>
      <c r="E197" s="29">
        <f>LN(Acciones!E197/Acciones!E196)</f>
        <v>4.2643948843498862E-3</v>
      </c>
      <c r="M197" s="30">
        <f ca="1">Acciones!$B$751*EXP((H$2-H$3/2)*(1)+H$4*_xlfn.NORM.S.INV(RAND())*SQRT(1))</f>
        <v>10.808485000223373</v>
      </c>
      <c r="N197" s="30">
        <f ca="1">Acciones!$C$751*EXP((I$2-I$3/2)*(1)+I$4*_xlfn.NORM.S.INV(RAND())*SQRT(1))</f>
        <v>150.81598672415612</v>
      </c>
      <c r="O197" s="30">
        <f ca="1">Acciones!$D$751*EXP((J$2-J$3/2)*(1)+J$4*_xlfn.NORM.S.INV(RAND())*SQRT(1))</f>
        <v>1021.777184257217</v>
      </c>
      <c r="P197" s="30">
        <f ca="1">Acciones!$E$751*EXP((K$2-K$3/2)*(1)+K$4*_xlfn.NORM.S.INV(RAND())*SQRT(1))</f>
        <v>0.122257401501804</v>
      </c>
      <c r="Q197" s="30"/>
      <c r="R197">
        <f ca="1">M197/Acciones!$B$751*$I$10 + N197/Acciones!$C$751*$I$11 + O197/Acciones!$D$751*$I$12 + P197/Acciones!$D$751*$I$13</f>
        <v>23119.370298014692</v>
      </c>
      <c r="T197" s="14">
        <f t="shared" ca="1" si="5"/>
        <v>-5380.6297019853082</v>
      </c>
      <c r="V197">
        <v>-5934.2419366439353</v>
      </c>
    </row>
    <row r="198" spans="1:22" x14ac:dyDescent="0.2">
      <c r="A198" s="1">
        <f>Acciones!A198</f>
        <v>45281</v>
      </c>
      <c r="B198" s="29">
        <f>LN(Acciones!B198/Acciones!B197)</f>
        <v>6.2440402355719883E-2</v>
      </c>
      <c r="C198" s="29">
        <f>LN(Acciones!C198/Acciones!C197)</f>
        <v>7.900520744733483E-2</v>
      </c>
      <c r="D198" s="29">
        <f>LN(Acciones!D198/Acciones!D197)</f>
        <v>2.4609628298994869E-3</v>
      </c>
      <c r="E198" s="29">
        <f>LN(Acciones!E198/Acciones!E197)</f>
        <v>-6.5957905535493772E-2</v>
      </c>
      <c r="M198" s="30">
        <f ca="1">Acciones!$B$751*EXP((H$2-H$3/2)*(1)+H$4*_xlfn.NORM.S.INV(RAND())*SQRT(1))</f>
        <v>11.169045561365905</v>
      </c>
      <c r="N198" s="30">
        <f ca="1">Acciones!$C$751*EXP((I$2-I$3/2)*(1)+I$4*_xlfn.NORM.S.INV(RAND())*SQRT(1))</f>
        <v>159.37530024922302</v>
      </c>
      <c r="O198" s="30">
        <f ca="1">Acciones!$D$751*EXP((J$2-J$3/2)*(1)+J$4*_xlfn.NORM.S.INV(RAND())*SQRT(1))</f>
        <v>1002.379326585164</v>
      </c>
      <c r="P198" s="30">
        <f ca="1">Acciones!$E$751*EXP((K$2-K$3/2)*(1)+K$4*_xlfn.NORM.S.INV(RAND())*SQRT(1))</f>
        <v>0.12912055551101473</v>
      </c>
      <c r="Q198" s="30"/>
      <c r="R198">
        <f ca="1">M198/Acciones!$B$751*$I$10 + N198/Acciones!$C$751*$I$11 + O198/Acciones!$D$751*$I$12 + P198/Acciones!$D$751*$I$13</f>
        <v>23575.210808511867</v>
      </c>
      <c r="T198" s="14">
        <f t="shared" ref="T198:T261" ca="1" si="6">R198-$I$14</f>
        <v>-4924.7891914881329</v>
      </c>
      <c r="V198">
        <v>-5933.7720210491825</v>
      </c>
    </row>
    <row r="199" spans="1:22" x14ac:dyDescent="0.2">
      <c r="A199" s="1">
        <f>Acciones!A199</f>
        <v>45282</v>
      </c>
      <c r="B199" s="29">
        <f>LN(Acciones!B199/Acciones!B198)</f>
        <v>4.2957662431259119E-2</v>
      </c>
      <c r="C199" s="29">
        <f>LN(Acciones!C199/Acciones!C198)</f>
        <v>7.1487383705933105E-2</v>
      </c>
      <c r="D199" s="29">
        <f>LN(Acciones!D199/Acciones!D198)</f>
        <v>-0.12869104552975613</v>
      </c>
      <c r="E199" s="29">
        <f>LN(Acciones!E199/Acciones!E198)</f>
        <v>0</v>
      </c>
      <c r="M199" s="30">
        <f ca="1">Acciones!$B$751*EXP((H$2-H$3/2)*(1)+H$4*_xlfn.NORM.S.INV(RAND())*SQRT(1))</f>
        <v>10.709611086429113</v>
      </c>
      <c r="N199" s="30">
        <f ca="1">Acciones!$C$751*EXP((I$2-I$3/2)*(1)+I$4*_xlfn.NORM.S.INV(RAND())*SQRT(1))</f>
        <v>151.29288776584602</v>
      </c>
      <c r="O199" s="30">
        <f ca="1">Acciones!$D$751*EXP((J$2-J$3/2)*(1)+J$4*_xlfn.NORM.S.INV(RAND())*SQRT(1))</f>
        <v>1012.0226194304345</v>
      </c>
      <c r="P199" s="30">
        <f ca="1">Acciones!$E$751*EXP((K$2-K$3/2)*(1)+K$4*_xlfn.NORM.S.INV(RAND())*SQRT(1))</f>
        <v>0.14533826941868852</v>
      </c>
      <c r="Q199" s="30"/>
      <c r="R199">
        <f ca="1">M199/Acciones!$B$751*$I$10 + N199/Acciones!$C$751*$I$11 + O199/Acciones!$D$751*$I$12 + P199/Acciones!$D$751*$I$13</f>
        <v>23019.84909063677</v>
      </c>
      <c r="T199" s="14">
        <f t="shared" ca="1" si="6"/>
        <v>-5480.1509093632303</v>
      </c>
      <c r="V199">
        <v>-5930.1932216358</v>
      </c>
    </row>
    <row r="200" spans="1:22" x14ac:dyDescent="0.2">
      <c r="A200" s="1">
        <f>Acciones!A200</f>
        <v>45286</v>
      </c>
      <c r="B200" s="29">
        <f>LN(Acciones!B200/Acciones!B199)</f>
        <v>-1.6968411236415798E-3</v>
      </c>
      <c r="C200" s="29">
        <f>LN(Acciones!C200/Acciones!C199)</f>
        <v>9.6408966017592207E-4</v>
      </c>
      <c r="D200" s="29">
        <f>LN(Acciones!D200/Acciones!D199)</f>
        <v>-7.9048320823551436E-4</v>
      </c>
      <c r="E200" s="29">
        <f>LN(Acciones!E200/Acciones!E199)</f>
        <v>0</v>
      </c>
      <c r="M200" s="30">
        <f ca="1">Acciones!$B$751*EXP((H$2-H$3/2)*(1)+H$4*_xlfn.NORM.S.INV(RAND())*SQRT(1))</f>
        <v>10.946265229821247</v>
      </c>
      <c r="N200" s="30">
        <f ca="1">Acciones!$C$751*EXP((I$2-I$3/2)*(1)+I$4*_xlfn.NORM.S.INV(RAND())*SQRT(1))</f>
        <v>147.24399510399687</v>
      </c>
      <c r="O200" s="30">
        <f ca="1">Acciones!$D$751*EXP((J$2-J$3/2)*(1)+J$4*_xlfn.NORM.S.INV(RAND())*SQRT(1))</f>
        <v>991.10579977776069</v>
      </c>
      <c r="P200" s="30">
        <f ca="1">Acciones!$E$751*EXP((K$2-K$3/2)*(1)+K$4*_xlfn.NORM.S.INV(RAND())*SQRT(1))</f>
        <v>0.12711695940342424</v>
      </c>
      <c r="Q200" s="30"/>
      <c r="R200">
        <f ca="1">M200/Acciones!$B$751*$I$10 + N200/Acciones!$C$751*$I$11 + O200/Acciones!$D$751*$I$12 + P200/Acciones!$D$751*$I$13</f>
        <v>22633.350800312888</v>
      </c>
      <c r="T200" s="14">
        <f t="shared" ca="1" si="6"/>
        <v>-5866.6491996871118</v>
      </c>
      <c r="V200">
        <v>-5927.5640693481</v>
      </c>
    </row>
    <row r="201" spans="1:22" x14ac:dyDescent="0.2">
      <c r="A201" s="1">
        <f>Acciones!A201</f>
        <v>45287</v>
      </c>
      <c r="B201" s="29">
        <f>LN(Acciones!B201/Acciones!B200)</f>
        <v>1.0138586471685831E-2</v>
      </c>
      <c r="C201" s="29">
        <f>LN(Acciones!C201/Acciones!C200)</f>
        <v>0.13932960369429503</v>
      </c>
      <c r="D201" s="29">
        <f>LN(Acciones!D201/Acciones!D200)</f>
        <v>-1.1877265563169256E-2</v>
      </c>
      <c r="E201" s="29">
        <f>LN(Acciones!E201/Acciones!E200)</f>
        <v>2.6907427025710039E-2</v>
      </c>
      <c r="M201" s="30">
        <f ca="1">Acciones!$B$751*EXP((H$2-H$3/2)*(1)+H$4*_xlfn.NORM.S.INV(RAND())*SQRT(1))</f>
        <v>10.797649611328936</v>
      </c>
      <c r="N201" s="30">
        <f ca="1">Acciones!$C$751*EXP((I$2-I$3/2)*(1)+I$4*_xlfn.NORM.S.INV(RAND())*SQRT(1))</f>
        <v>160.66113403897768</v>
      </c>
      <c r="O201" s="30">
        <f ca="1">Acciones!$D$751*EXP((J$2-J$3/2)*(1)+J$4*_xlfn.NORM.S.INV(RAND())*SQRT(1))</f>
        <v>1015.2743129642084</v>
      </c>
      <c r="P201" s="30">
        <f ca="1">Acciones!$E$751*EXP((K$2-K$3/2)*(1)+K$4*_xlfn.NORM.S.INV(RAND())*SQRT(1))</f>
        <v>0.12504380124831729</v>
      </c>
      <c r="Q201" s="30"/>
      <c r="R201">
        <f ca="1">M201/Acciones!$B$751*$I$10 + N201/Acciones!$C$751*$I$11 + O201/Acciones!$D$751*$I$12 + P201/Acciones!$D$751*$I$13</f>
        <v>23665.489153022638</v>
      </c>
      <c r="T201" s="14">
        <f t="shared" ca="1" si="6"/>
        <v>-4834.5108469773622</v>
      </c>
      <c r="V201">
        <v>-5924.6118012954103</v>
      </c>
    </row>
    <row r="202" spans="1:22" x14ac:dyDescent="0.2">
      <c r="A202" s="1">
        <f>Acciones!A202</f>
        <v>45288</v>
      </c>
      <c r="B202" s="29">
        <f>LN(Acciones!B202/Acciones!B201)</f>
        <v>-2.2098459110780729E-2</v>
      </c>
      <c r="C202" s="29">
        <f>LN(Acciones!C202/Acciones!C201)</f>
        <v>-8.9953438388410675E-2</v>
      </c>
      <c r="D202" s="29">
        <f>LN(Acciones!D202/Acciones!D201)</f>
        <v>2.0749046029498043E-2</v>
      </c>
      <c r="E202" s="29">
        <f>LN(Acciones!E202/Acciones!E201)</f>
        <v>-2.6907427025710123E-2</v>
      </c>
      <c r="M202" s="30">
        <f ca="1">Acciones!$B$751*EXP((H$2-H$3/2)*(1)+H$4*_xlfn.NORM.S.INV(RAND())*SQRT(1))</f>
        <v>10.967056670152736</v>
      </c>
      <c r="N202" s="30">
        <f ca="1">Acciones!$C$751*EXP((I$2-I$3/2)*(1)+I$4*_xlfn.NORM.S.INV(RAND())*SQRT(1))</f>
        <v>137.9735550244757</v>
      </c>
      <c r="O202" s="30">
        <f ca="1">Acciones!$D$751*EXP((J$2-J$3/2)*(1)+J$4*_xlfn.NORM.S.INV(RAND())*SQRT(1))</f>
        <v>989.60726676920376</v>
      </c>
      <c r="P202" s="30">
        <f ca="1">Acciones!$E$751*EXP((K$2-K$3/2)*(1)+K$4*_xlfn.NORM.S.INV(RAND())*SQRT(1))</f>
        <v>0.12321944668372621</v>
      </c>
      <c r="Q202" s="30"/>
      <c r="R202">
        <f ca="1">M202/Acciones!$B$751*$I$10 + N202/Acciones!$C$751*$I$11 + O202/Acciones!$D$751*$I$12 + P202/Acciones!$D$751*$I$13</f>
        <v>22046.158100423847</v>
      </c>
      <c r="T202" s="14">
        <f t="shared" ca="1" si="6"/>
        <v>-6453.8418995761531</v>
      </c>
      <c r="V202">
        <v>-5923.7944278314681</v>
      </c>
    </row>
    <row r="203" spans="1:22" x14ac:dyDescent="0.2">
      <c r="A203" s="1">
        <f>Acciones!A203</f>
        <v>45289</v>
      </c>
      <c r="B203" s="29">
        <f>LN(Acciones!B203/Acciones!B202)</f>
        <v>3.8440345010177963E-2</v>
      </c>
      <c r="C203" s="29">
        <f>LN(Acciones!C203/Acciones!C202)</f>
        <v>-0.18553297168216018</v>
      </c>
      <c r="D203" s="29">
        <f>LN(Acciones!D203/Acciones!D202)</f>
        <v>-2.7009091700208364E-3</v>
      </c>
      <c r="E203" s="29">
        <f>LN(Acciones!E203/Acciones!E202)</f>
        <v>1.8018488085738225E-2</v>
      </c>
      <c r="M203" s="30">
        <f ca="1">Acciones!$B$751*EXP((H$2-H$3/2)*(1)+H$4*_xlfn.NORM.S.INV(RAND())*SQRT(1))</f>
        <v>11.186023257689083</v>
      </c>
      <c r="N203" s="30">
        <f ca="1">Acciones!$C$751*EXP((I$2-I$3/2)*(1)+I$4*_xlfn.NORM.S.INV(RAND())*SQRT(1))</f>
        <v>133.10914682998569</v>
      </c>
      <c r="O203" s="30">
        <f ca="1">Acciones!$D$751*EXP((J$2-J$3/2)*(1)+J$4*_xlfn.NORM.S.INV(RAND())*SQRT(1))</f>
        <v>982.7148137629589</v>
      </c>
      <c r="P203" s="30">
        <f ca="1">Acciones!$E$751*EXP((K$2-K$3/2)*(1)+K$4*_xlfn.NORM.S.INV(RAND())*SQRT(1))</f>
        <v>0.12411768361832987</v>
      </c>
      <c r="Q203" s="30"/>
      <c r="R203">
        <f ca="1">M203/Acciones!$B$751*$I$10 + N203/Acciones!$C$751*$I$11 + O203/Acciones!$D$751*$I$12 + P203/Acciones!$D$751*$I$13</f>
        <v>21743.645428228258</v>
      </c>
      <c r="T203" s="14">
        <f t="shared" ca="1" si="6"/>
        <v>-6756.3545717717425</v>
      </c>
      <c r="V203">
        <v>-5923.5623234584673</v>
      </c>
    </row>
    <row r="204" spans="1:22" x14ac:dyDescent="0.2">
      <c r="A204" s="1">
        <f>Acciones!A204</f>
        <v>45293</v>
      </c>
      <c r="B204" s="29">
        <f>LN(Acciones!B204/Acciones!B203)</f>
        <v>-2.6140820415092771E-2</v>
      </c>
      <c r="C204" s="29">
        <f>LN(Acciones!C204/Acciones!C203)</f>
        <v>-2.1716815001312815E-2</v>
      </c>
      <c r="D204" s="29">
        <f>LN(Acciones!D204/Acciones!D203)</f>
        <v>-1.5837601714959747E-2</v>
      </c>
      <c r="E204" s="29">
        <f>LN(Acciones!E204/Acciones!E203)</f>
        <v>8.8889389399720124E-3</v>
      </c>
      <c r="M204" s="30">
        <f ca="1">Acciones!$B$751*EXP((H$2-H$3/2)*(1)+H$4*_xlfn.NORM.S.INV(RAND())*SQRT(1))</f>
        <v>10.901321078635833</v>
      </c>
      <c r="N204" s="30">
        <f ca="1">Acciones!$C$751*EXP((I$2-I$3/2)*(1)+I$4*_xlfn.NORM.S.INV(RAND())*SQRT(1))</f>
        <v>157.56874127140392</v>
      </c>
      <c r="O204" s="30">
        <f ca="1">Acciones!$D$751*EXP((J$2-J$3/2)*(1)+J$4*_xlfn.NORM.S.INV(RAND())*SQRT(1))</f>
        <v>1002.1346446960719</v>
      </c>
      <c r="P204" s="30">
        <f ca="1">Acciones!$E$751*EXP((K$2-K$3/2)*(1)+K$4*_xlfn.NORM.S.INV(RAND())*SQRT(1))</f>
        <v>0.12188778998489665</v>
      </c>
      <c r="Q204" s="30"/>
      <c r="R204">
        <f ca="1">M204/Acciones!$B$751*$I$10 + N204/Acciones!$C$751*$I$11 + O204/Acciones!$D$751*$I$12 + P204/Acciones!$D$751*$I$13</f>
        <v>23374.033716347818</v>
      </c>
      <c r="T204" s="14">
        <f t="shared" ca="1" si="6"/>
        <v>-5125.966283652182</v>
      </c>
      <c r="V204">
        <v>-5917.0498364880441</v>
      </c>
    </row>
    <row r="205" spans="1:22" x14ac:dyDescent="0.2">
      <c r="A205" s="1">
        <f>Acciones!A205</f>
        <v>45294</v>
      </c>
      <c r="B205" s="29">
        <f>LN(Acciones!B205/Acciones!B204)</f>
        <v>-5.7892283102360066E-3</v>
      </c>
      <c r="C205" s="29">
        <f>LN(Acciones!C205/Acciones!C204)</f>
        <v>3.2425741722587276E-2</v>
      </c>
      <c r="D205" s="29">
        <f>LN(Acciones!D205/Acciones!D204)</f>
        <v>-2.0961454983946626E-2</v>
      </c>
      <c r="E205" s="29">
        <f>LN(Acciones!E205/Acciones!E204)</f>
        <v>-7.8200784154990585E-2</v>
      </c>
      <c r="M205" s="30">
        <f ca="1">Acciones!$B$751*EXP((H$2-H$3/2)*(1)+H$4*_xlfn.NORM.S.INV(RAND())*SQRT(1))</f>
        <v>11.162571757609024</v>
      </c>
      <c r="N205" s="30">
        <f ca="1">Acciones!$C$751*EXP((I$2-I$3/2)*(1)+I$4*_xlfn.NORM.S.INV(RAND())*SQRT(1))</f>
        <v>169.79456764600613</v>
      </c>
      <c r="O205" s="30">
        <f ca="1">Acciones!$D$751*EXP((J$2-J$3/2)*(1)+J$4*_xlfn.NORM.S.INV(RAND())*SQRT(1))</f>
        <v>1007.5158385418075</v>
      </c>
      <c r="P205" s="30">
        <f ca="1">Acciones!$E$751*EXP((K$2-K$3/2)*(1)+K$4*_xlfn.NORM.S.INV(RAND())*SQRT(1))</f>
        <v>0.13248087545432105</v>
      </c>
      <c r="Q205" s="30"/>
      <c r="R205">
        <f ca="1">M205/Acciones!$B$751*$I$10 + N205/Acciones!$C$751*$I$11 + O205/Acciones!$D$751*$I$12 + P205/Acciones!$D$751*$I$13</f>
        <v>24275.164215345183</v>
      </c>
      <c r="T205" s="14">
        <f t="shared" ca="1" si="6"/>
        <v>-4224.835784654817</v>
      </c>
      <c r="V205">
        <v>-5912.861926727408</v>
      </c>
    </row>
    <row r="206" spans="1:22" x14ac:dyDescent="0.2">
      <c r="A206" s="1">
        <f>Acciones!A206</f>
        <v>45295</v>
      </c>
      <c r="B206" s="29">
        <f>LN(Acciones!B206/Acciones!B205)</f>
        <v>-4.7203333109985909E-2</v>
      </c>
      <c r="C206" s="29">
        <f>LN(Acciones!C206/Acciones!C205)</f>
        <v>0.11521126231880409</v>
      </c>
      <c r="D206" s="29">
        <f>LN(Acciones!D206/Acciones!D205)</f>
        <v>-1.5304860647551181E-2</v>
      </c>
      <c r="E206" s="29">
        <f>LN(Acciones!E206/Acciones!E205)</f>
        <v>1.4252009792950411E-2</v>
      </c>
      <c r="M206" s="30">
        <f ca="1">Acciones!$B$751*EXP((H$2-H$3/2)*(1)+H$4*_xlfn.NORM.S.INV(RAND())*SQRT(1))</f>
        <v>10.919614149839745</v>
      </c>
      <c r="N206" s="30">
        <f ca="1">Acciones!$C$751*EXP((I$2-I$3/2)*(1)+I$4*_xlfn.NORM.S.INV(RAND())*SQRT(1))</f>
        <v>162.25668427727166</v>
      </c>
      <c r="O206" s="30">
        <f ca="1">Acciones!$D$751*EXP((J$2-J$3/2)*(1)+J$4*_xlfn.NORM.S.INV(RAND())*SQRT(1))</f>
        <v>983.7861279529169</v>
      </c>
      <c r="P206" s="30">
        <f ca="1">Acciones!$E$751*EXP((K$2-K$3/2)*(1)+K$4*_xlfn.NORM.S.INV(RAND())*SQRT(1))</f>
        <v>0.13742269068662277</v>
      </c>
      <c r="Q206" s="30"/>
      <c r="R206">
        <f ca="1">M206/Acciones!$B$751*$I$10 + N206/Acciones!$C$751*$I$11 + O206/Acciones!$D$751*$I$12 + P206/Acciones!$D$751*$I$13</f>
        <v>23488.90885003388</v>
      </c>
      <c r="T206" s="14">
        <f t="shared" ca="1" si="6"/>
        <v>-5011.0911499661197</v>
      </c>
      <c r="V206">
        <v>-5905.2154827645354</v>
      </c>
    </row>
    <row r="207" spans="1:22" x14ac:dyDescent="0.2">
      <c r="A207" s="1">
        <f>Acciones!A207</f>
        <v>45296</v>
      </c>
      <c r="B207" s="29">
        <f>LN(Acciones!B207/Acciones!B206)</f>
        <v>6.2118769957454668E-2</v>
      </c>
      <c r="C207" s="29">
        <f>LN(Acciones!C207/Acciones!C206)</f>
        <v>-0.11104863411478516</v>
      </c>
      <c r="D207" s="29">
        <f>LN(Acciones!D207/Acciones!D206)</f>
        <v>-1.3978064490516024E-2</v>
      </c>
      <c r="E207" s="29">
        <f>LN(Acciones!E207/Acciones!E206)</f>
        <v>3.2485535254115072E-2</v>
      </c>
      <c r="M207" s="30">
        <f ca="1">Acciones!$B$751*EXP((H$2-H$3/2)*(1)+H$4*_xlfn.NORM.S.INV(RAND())*SQRT(1))</f>
        <v>11.097233821969226</v>
      </c>
      <c r="N207" s="30">
        <f ca="1">Acciones!$C$751*EXP((I$2-I$3/2)*(1)+I$4*_xlfn.NORM.S.INV(RAND())*SQRT(1))</f>
        <v>156.33208965543338</v>
      </c>
      <c r="O207" s="30">
        <f ca="1">Acciones!$D$751*EXP((J$2-J$3/2)*(1)+J$4*_xlfn.NORM.S.INV(RAND())*SQRT(1))</f>
        <v>913.56699870920704</v>
      </c>
      <c r="P207" s="30">
        <f ca="1">Acciones!$E$751*EXP((K$2-K$3/2)*(1)+K$4*_xlfn.NORM.S.INV(RAND())*SQRT(1))</f>
        <v>0.13315975110095674</v>
      </c>
      <c r="Q207" s="30"/>
      <c r="R207">
        <f ca="1">M207/Acciones!$B$751*$I$10 + N207/Acciones!$C$751*$I$11 + O207/Acciones!$D$751*$I$12 + P207/Acciones!$D$751*$I$13</f>
        <v>22472.60001697515</v>
      </c>
      <c r="T207" s="14">
        <f t="shared" ca="1" si="6"/>
        <v>-6027.3999830248504</v>
      </c>
      <c r="V207">
        <v>-5904.0314232695564</v>
      </c>
    </row>
    <row r="208" spans="1:22" x14ac:dyDescent="0.2">
      <c r="A208" s="1">
        <f>Acciones!A208</f>
        <v>45299</v>
      </c>
      <c r="B208" s="29">
        <f>LN(Acciones!B208/Acciones!B207)</f>
        <v>-2.6249968249593525E-2</v>
      </c>
      <c r="C208" s="29">
        <f>LN(Acciones!C208/Acciones!C207)</f>
        <v>8.179293252669205E-2</v>
      </c>
      <c r="D208" s="29">
        <f>LN(Acciones!D208/Acciones!D207)</f>
        <v>9.7208743039895306E-3</v>
      </c>
      <c r="E208" s="29">
        <f>LN(Acciones!E208/Acciones!E207)</f>
        <v>0</v>
      </c>
      <c r="M208" s="30">
        <f ca="1">Acciones!$B$751*EXP((H$2-H$3/2)*(1)+H$4*_xlfn.NORM.S.INV(RAND())*SQRT(1))</f>
        <v>11.156594182047836</v>
      </c>
      <c r="N208" s="30">
        <f ca="1">Acciones!$C$751*EXP((I$2-I$3/2)*(1)+I$4*_xlfn.NORM.S.INV(RAND())*SQRT(1))</f>
        <v>157.48304389464468</v>
      </c>
      <c r="O208" s="30">
        <f ca="1">Acciones!$D$751*EXP((J$2-J$3/2)*(1)+J$4*_xlfn.NORM.S.INV(RAND())*SQRT(1))</f>
        <v>1017.8783616032247</v>
      </c>
      <c r="P208" s="30">
        <f ca="1">Acciones!$E$751*EXP((K$2-K$3/2)*(1)+K$4*_xlfn.NORM.S.INV(RAND())*SQRT(1))</f>
        <v>0.12616397273627247</v>
      </c>
      <c r="Q208" s="30"/>
      <c r="R208">
        <f ca="1">M208/Acciones!$B$751*$I$10 + N208/Acciones!$C$751*$I$11 + O208/Acciones!$D$751*$I$12 + P208/Acciones!$D$751*$I$13</f>
        <v>23608.295557989259</v>
      </c>
      <c r="T208" s="14">
        <f t="shared" ca="1" si="6"/>
        <v>-4891.7044420107413</v>
      </c>
      <c r="V208">
        <v>-5902.0025132421652</v>
      </c>
    </row>
    <row r="209" spans="1:22" x14ac:dyDescent="0.2">
      <c r="A209" s="1">
        <f>Acciones!A209</f>
        <v>45300</v>
      </c>
      <c r="B209" s="29">
        <f>LN(Acciones!B209/Acciones!B208)</f>
        <v>-3.0868825986092752E-2</v>
      </c>
      <c r="C209" s="29">
        <f>LN(Acciones!C209/Acciones!C208)</f>
        <v>-1.0559049394870177E-2</v>
      </c>
      <c r="D209" s="29">
        <f>LN(Acciones!D209/Acciones!D208)</f>
        <v>-2.9229697394025189E-3</v>
      </c>
      <c r="E209" s="29">
        <f>LN(Acciones!E209/Acciones!E208)</f>
        <v>-6.6061800066503112E-2</v>
      </c>
      <c r="M209" s="30">
        <f ca="1">Acciones!$B$751*EXP((H$2-H$3/2)*(1)+H$4*_xlfn.NORM.S.INV(RAND())*SQRT(1))</f>
        <v>11.278471980640326</v>
      </c>
      <c r="N209" s="30">
        <f ca="1">Acciones!$C$751*EXP((I$2-I$3/2)*(1)+I$4*_xlfn.NORM.S.INV(RAND())*SQRT(1))</f>
        <v>163.03010328008153</v>
      </c>
      <c r="O209" s="30">
        <f ca="1">Acciones!$D$751*EXP((J$2-J$3/2)*(1)+J$4*_xlfn.NORM.S.INV(RAND())*SQRT(1))</f>
        <v>970.67206643492841</v>
      </c>
      <c r="P209" s="30">
        <f ca="1">Acciones!$E$751*EXP((K$2-K$3/2)*(1)+K$4*_xlfn.NORM.S.INV(RAND())*SQRT(1))</f>
        <v>0.12541625808887494</v>
      </c>
      <c r="Q209" s="30"/>
      <c r="R209">
        <f ca="1">M209/Acciones!$B$751*$I$10 + N209/Acciones!$C$751*$I$11 + O209/Acciones!$D$751*$I$12 + P209/Acciones!$D$751*$I$13</f>
        <v>23520.901661150765</v>
      </c>
      <c r="T209" s="14">
        <f t="shared" ca="1" si="6"/>
        <v>-4979.098338849235</v>
      </c>
      <c r="V209">
        <v>-5898.3394057910155</v>
      </c>
    </row>
    <row r="210" spans="1:22" x14ac:dyDescent="0.2">
      <c r="A210" s="1">
        <f>Acciones!A210</f>
        <v>45301</v>
      </c>
      <c r="B210" s="29">
        <f>LN(Acciones!B210/Acciones!B209)</f>
        <v>9.2199193225620986E-3</v>
      </c>
      <c r="C210" s="29">
        <f>LN(Acciones!C210/Acciones!C209)</f>
        <v>-4.9628896779676203E-3</v>
      </c>
      <c r="D210" s="29">
        <f>LN(Acciones!D210/Acciones!D209)</f>
        <v>1.4201587511606025E-2</v>
      </c>
      <c r="E210" s="29">
        <f>LN(Acciones!E210/Acciones!E209)</f>
        <v>-3.4742915550450802E-2</v>
      </c>
      <c r="M210" s="30">
        <f ca="1">Acciones!$B$751*EXP((H$2-H$3/2)*(1)+H$4*_xlfn.NORM.S.INV(RAND())*SQRT(1))</f>
        <v>11.096641713578864</v>
      </c>
      <c r="N210" s="30">
        <f ca="1">Acciones!$C$751*EXP((I$2-I$3/2)*(1)+I$4*_xlfn.NORM.S.INV(RAND())*SQRT(1))</f>
        <v>157.82298625577724</v>
      </c>
      <c r="O210" s="30">
        <f ca="1">Acciones!$D$751*EXP((J$2-J$3/2)*(1)+J$4*_xlfn.NORM.S.INV(RAND())*SQRT(1))</f>
        <v>971.08637512155633</v>
      </c>
      <c r="P210" s="30">
        <f ca="1">Acciones!$E$751*EXP((K$2-K$3/2)*(1)+K$4*_xlfn.NORM.S.INV(RAND())*SQRT(1))</f>
        <v>0.12572610660954539</v>
      </c>
      <c r="Q210" s="30"/>
      <c r="R210">
        <f ca="1">M210/Acciones!$B$751*$I$10 + N210/Acciones!$C$751*$I$11 + O210/Acciones!$D$751*$I$12 + P210/Acciones!$D$751*$I$13</f>
        <v>23141.596929358981</v>
      </c>
      <c r="T210" s="14">
        <f t="shared" ca="1" si="6"/>
        <v>-5358.4030706410194</v>
      </c>
      <c r="V210">
        <v>-5897.3631458308882</v>
      </c>
    </row>
    <row r="211" spans="1:22" x14ac:dyDescent="0.2">
      <c r="A211" s="1">
        <f>Acciones!A211</f>
        <v>45302</v>
      </c>
      <c r="B211" s="29">
        <f>LN(Acciones!B211/Acciones!B210)</f>
        <v>4.5203502454891131E-2</v>
      </c>
      <c r="C211" s="29">
        <f>LN(Acciones!C211/Acciones!C210)</f>
        <v>-0.12870994647117059</v>
      </c>
      <c r="D211" s="29">
        <f>LN(Acciones!D211/Acciones!D210)</f>
        <v>1.8159510939474321E-2</v>
      </c>
      <c r="E211" s="29">
        <f>LN(Acciones!E211/Acciones!E210)</f>
        <v>-4.65200328368102E-2</v>
      </c>
      <c r="M211" s="30">
        <f ca="1">Acciones!$B$751*EXP((H$2-H$3/2)*(1)+H$4*_xlfn.NORM.S.INV(RAND())*SQRT(1))</f>
        <v>10.72118970510407</v>
      </c>
      <c r="N211" s="30">
        <f ca="1">Acciones!$C$751*EXP((I$2-I$3/2)*(1)+I$4*_xlfn.NORM.S.INV(RAND())*SQRT(1))</f>
        <v>145.83600064085573</v>
      </c>
      <c r="O211" s="30">
        <f ca="1">Acciones!$D$751*EXP((J$2-J$3/2)*(1)+J$4*_xlfn.NORM.S.INV(RAND())*SQRT(1))</f>
        <v>991.30365246595909</v>
      </c>
      <c r="P211" s="30">
        <f ca="1">Acciones!$E$751*EXP((K$2-K$3/2)*(1)+K$4*_xlfn.NORM.S.INV(RAND())*SQRT(1))</f>
        <v>0.13062964965078663</v>
      </c>
      <c r="Q211" s="30"/>
      <c r="R211">
        <f ca="1">M211/Acciones!$B$751*$I$10 + N211/Acciones!$C$751*$I$11 + O211/Acciones!$D$751*$I$12 + P211/Acciones!$D$751*$I$13</f>
        <v>22475.233312833741</v>
      </c>
      <c r="T211" s="14">
        <f t="shared" ca="1" si="6"/>
        <v>-6024.7666871662586</v>
      </c>
      <c r="V211">
        <v>-5892.2017413699723</v>
      </c>
    </row>
    <row r="212" spans="1:22" x14ac:dyDescent="0.2">
      <c r="A212" s="1">
        <f>Acciones!A212</f>
        <v>45303</v>
      </c>
      <c r="B212" s="29">
        <f>LN(Acciones!B212/Acciones!B211)</f>
        <v>2.2022872097883596E-2</v>
      </c>
      <c r="C212" s="29">
        <f>LN(Acciones!C212/Acciones!C211)</f>
        <v>-0.16909715215919457</v>
      </c>
      <c r="D212" s="29">
        <f>LN(Acciones!D212/Acciones!D211)</f>
        <v>-1.2071626186622626E-2</v>
      </c>
      <c r="E212" s="29">
        <f>LN(Acciones!E212/Acciones!E211)</f>
        <v>5.2770521213430796E-3</v>
      </c>
      <c r="M212" s="30">
        <f ca="1">Acciones!$B$751*EXP((H$2-H$3/2)*(1)+H$4*_xlfn.NORM.S.INV(RAND())*SQRT(1))</f>
        <v>10.54485824695103</v>
      </c>
      <c r="N212" s="30">
        <f ca="1">Acciones!$C$751*EXP((I$2-I$3/2)*(1)+I$4*_xlfn.NORM.S.INV(RAND())*SQRT(1))</f>
        <v>158.63412738332639</v>
      </c>
      <c r="O212" s="30">
        <f ca="1">Acciones!$D$751*EXP((J$2-J$3/2)*(1)+J$4*_xlfn.NORM.S.INV(RAND())*SQRT(1))</f>
        <v>1030.4124561203967</v>
      </c>
      <c r="P212" s="30">
        <f ca="1">Acciones!$E$751*EXP((K$2-K$3/2)*(1)+K$4*_xlfn.NORM.S.INV(RAND())*SQRT(1))</f>
        <v>0.11522235093902365</v>
      </c>
      <c r="Q212" s="30"/>
      <c r="R212">
        <f ca="1">M212/Acciones!$B$751*$I$10 + N212/Acciones!$C$751*$I$11 + O212/Acciones!$D$751*$I$12 + P212/Acciones!$D$751*$I$13</f>
        <v>23609.404991018353</v>
      </c>
      <c r="T212" s="14">
        <f t="shared" ca="1" si="6"/>
        <v>-4890.595008981647</v>
      </c>
      <c r="V212">
        <v>-5887.9217565538202</v>
      </c>
    </row>
    <row r="213" spans="1:22" x14ac:dyDescent="0.2">
      <c r="A213" s="1">
        <f>Acciones!A213</f>
        <v>45306</v>
      </c>
      <c r="B213" s="29">
        <f>LN(Acciones!B213/Acciones!B212)</f>
        <v>-2.4387322248281482E-2</v>
      </c>
      <c r="C213" s="29">
        <f>LN(Acciones!C213/Acciones!C212)</f>
        <v>-4.3640032177594837E-4</v>
      </c>
      <c r="D213" s="29">
        <f>LN(Acciones!D213/Acciones!D212)</f>
        <v>0</v>
      </c>
      <c r="E213" s="29">
        <f>LN(Acciones!E213/Acciones!E212)</f>
        <v>1.0471290063897723E-2</v>
      </c>
      <c r="M213" s="30">
        <f ca="1">Acciones!$B$751*EXP((H$2-H$3/2)*(1)+H$4*_xlfn.NORM.S.INV(RAND())*SQRT(1))</f>
        <v>10.572886656781495</v>
      </c>
      <c r="N213" s="30">
        <f ca="1">Acciones!$C$751*EXP((I$2-I$3/2)*(1)+I$4*_xlfn.NORM.S.INV(RAND())*SQRT(1))</f>
        <v>147.15550029670874</v>
      </c>
      <c r="O213" s="30">
        <f ca="1">Acciones!$D$751*EXP((J$2-J$3/2)*(1)+J$4*_xlfn.NORM.S.INV(RAND())*SQRT(1))</f>
        <v>1010.6178071382932</v>
      </c>
      <c r="P213" s="30">
        <f ca="1">Acciones!$E$751*EXP((K$2-K$3/2)*(1)+K$4*_xlfn.NORM.S.INV(RAND())*SQRT(1))</f>
        <v>0.12248684444357398</v>
      </c>
      <c r="Q213" s="30"/>
      <c r="R213">
        <f ca="1">M213/Acciones!$B$751*$I$10 + N213/Acciones!$C$751*$I$11 + O213/Acciones!$D$751*$I$12 + P213/Acciones!$D$751*$I$13</f>
        <v>22703.458106990922</v>
      </c>
      <c r="T213" s="14">
        <f t="shared" ca="1" si="6"/>
        <v>-5796.5418930090782</v>
      </c>
      <c r="V213">
        <v>-5887.8689152739353</v>
      </c>
    </row>
    <row r="214" spans="1:22" x14ac:dyDescent="0.2">
      <c r="A214" s="1">
        <f>Acciones!A214</f>
        <v>45307</v>
      </c>
      <c r="B214" s="29">
        <f>LN(Acciones!B214/Acciones!B213)</f>
        <v>0</v>
      </c>
      <c r="C214" s="29">
        <f>LN(Acciones!C214/Acciones!C213)</f>
        <v>-4.980101891363406E-2</v>
      </c>
      <c r="D214" s="29">
        <f>LN(Acciones!D214/Acciones!D213)</f>
        <v>-9.6036118686346449E-3</v>
      </c>
      <c r="E214" s="29">
        <f>LN(Acciones!E214/Acciones!E213)</f>
        <v>0</v>
      </c>
      <c r="M214" s="30">
        <f ca="1">Acciones!$B$751*EXP((H$2-H$3/2)*(1)+H$4*_xlfn.NORM.S.INV(RAND())*SQRT(1))</f>
        <v>10.550162805137857</v>
      </c>
      <c r="N214" s="30">
        <f ca="1">Acciones!$C$751*EXP((I$2-I$3/2)*(1)+I$4*_xlfn.NORM.S.INV(RAND())*SQRT(1))</f>
        <v>143.44001659764976</v>
      </c>
      <c r="O214" s="30">
        <f ca="1">Acciones!$D$751*EXP((J$2-J$3/2)*(1)+J$4*_xlfn.NORM.S.INV(RAND())*SQRT(1))</f>
        <v>986.74406437056177</v>
      </c>
      <c r="P214" s="30">
        <f ca="1">Acciones!$E$751*EXP((K$2-K$3/2)*(1)+K$4*_xlfn.NORM.S.INV(RAND())*SQRT(1))</f>
        <v>0.12370233257160859</v>
      </c>
      <c r="Q214" s="30"/>
      <c r="R214">
        <f ca="1">M214/Acciones!$B$751*$I$10 + N214/Acciones!$C$751*$I$11 + O214/Acciones!$D$751*$I$12 + P214/Acciones!$D$751*$I$13</f>
        <v>22225.05643356626</v>
      </c>
      <c r="T214" s="14">
        <f t="shared" ca="1" si="6"/>
        <v>-6274.9435664337398</v>
      </c>
      <c r="V214">
        <v>-5887.5209666131959</v>
      </c>
    </row>
    <row r="215" spans="1:22" x14ac:dyDescent="0.2">
      <c r="A215" s="1">
        <f>Acciones!A215</f>
        <v>45308</v>
      </c>
      <c r="B215" s="29">
        <f>LN(Acciones!B215/Acciones!B214)</f>
        <v>-7.5123007985548523E-2</v>
      </c>
      <c r="C215" s="29">
        <f>LN(Acciones!C215/Acciones!C214)</f>
        <v>-2.6838287213454257E-2</v>
      </c>
      <c r="D215" s="29">
        <f>LN(Acciones!D215/Acciones!D214)</f>
        <v>-1.2320504817250064E-2</v>
      </c>
      <c r="E215" s="29">
        <f>LN(Acciones!E215/Acciones!E214)</f>
        <v>0</v>
      </c>
      <c r="M215" s="30">
        <f ca="1">Acciones!$B$751*EXP((H$2-H$3/2)*(1)+H$4*_xlfn.NORM.S.INV(RAND())*SQRT(1))</f>
        <v>10.804320086164923</v>
      </c>
      <c r="N215" s="30">
        <f ca="1">Acciones!$C$751*EXP((I$2-I$3/2)*(1)+I$4*_xlfn.NORM.S.INV(RAND())*SQRT(1))</f>
        <v>158.21094712933592</v>
      </c>
      <c r="O215" s="30">
        <f ca="1">Acciones!$D$751*EXP((J$2-J$3/2)*(1)+J$4*_xlfn.NORM.S.INV(RAND())*SQRT(1))</f>
        <v>996.71998280967955</v>
      </c>
      <c r="P215" s="30">
        <f ca="1">Acciones!$E$751*EXP((K$2-K$3/2)*(1)+K$4*_xlfn.NORM.S.INV(RAND())*SQRT(1))</f>
        <v>0.13009735389466184</v>
      </c>
      <c r="Q215" s="30"/>
      <c r="R215">
        <f ca="1">M215/Acciones!$B$751*$I$10 + N215/Acciones!$C$751*$I$11 + O215/Acciones!$D$751*$I$12 + P215/Acciones!$D$751*$I$13</f>
        <v>23328.823115205203</v>
      </c>
      <c r="T215" s="14">
        <f t="shared" ca="1" si="6"/>
        <v>-5171.1768847947969</v>
      </c>
      <c r="V215">
        <v>-5886.3411383341154</v>
      </c>
    </row>
    <row r="216" spans="1:22" x14ac:dyDescent="0.2">
      <c r="A216" s="1">
        <f>Acciones!A216</f>
        <v>45309</v>
      </c>
      <c r="B216" s="29">
        <f>LN(Acciones!B216/Acciones!B215)</f>
        <v>7.2074686577598773E-2</v>
      </c>
      <c r="C216" s="29">
        <f>LN(Acciones!C216/Acciones!C215)</f>
        <v>-6.6929420631180597E-2</v>
      </c>
      <c r="D216" s="29">
        <f>LN(Acciones!D216/Acciones!D215)</f>
        <v>-5.7053906698755548E-4</v>
      </c>
      <c r="E216" s="29">
        <f>LN(Acciones!E216/Acciones!E215)</f>
        <v>0</v>
      </c>
      <c r="M216" s="30">
        <f ca="1">Acciones!$B$751*EXP((H$2-H$3/2)*(1)+H$4*_xlfn.NORM.S.INV(RAND())*SQRT(1))</f>
        <v>11.214391655612197</v>
      </c>
      <c r="N216" s="30">
        <f ca="1">Acciones!$C$751*EXP((I$2-I$3/2)*(1)+I$4*_xlfn.NORM.S.INV(RAND())*SQRT(1))</f>
        <v>150.54434014652901</v>
      </c>
      <c r="O216" s="30">
        <f ca="1">Acciones!$D$751*EXP((J$2-J$3/2)*(1)+J$4*_xlfn.NORM.S.INV(RAND())*SQRT(1))</f>
        <v>989.52094201471687</v>
      </c>
      <c r="P216" s="30">
        <f ca="1">Acciones!$E$751*EXP((K$2-K$3/2)*(1)+K$4*_xlfn.NORM.S.INV(RAND())*SQRT(1))</f>
        <v>0.12279815958499732</v>
      </c>
      <c r="Q216" s="30"/>
      <c r="R216">
        <f ca="1">M216/Acciones!$B$751*$I$10 + N216/Acciones!$C$751*$I$11 + O216/Acciones!$D$751*$I$12 + P216/Acciones!$D$751*$I$13</f>
        <v>22909.537340390802</v>
      </c>
      <c r="T216" s="14">
        <f t="shared" ca="1" si="6"/>
        <v>-5590.4626596091985</v>
      </c>
      <c r="V216">
        <v>-5881.8856855564918</v>
      </c>
    </row>
    <row r="217" spans="1:22" x14ac:dyDescent="0.2">
      <c r="A217" s="1">
        <f>Acciones!A217</f>
        <v>45310</v>
      </c>
      <c r="B217" s="29">
        <f>LN(Acciones!B217/Acciones!B216)</f>
        <v>-1.7796492171795426E-2</v>
      </c>
      <c r="C217" s="29">
        <f>LN(Acciones!C217/Acciones!C216)</f>
        <v>-6.5365522873971462E-3</v>
      </c>
      <c r="D217" s="29">
        <f>LN(Acciones!D217/Acciones!D216)</f>
        <v>2.1188234752835748E-3</v>
      </c>
      <c r="E217" s="29">
        <f>LN(Acciones!E217/Acciones!E216)</f>
        <v>0</v>
      </c>
      <c r="M217" s="30">
        <f ca="1">Acciones!$B$751*EXP((H$2-H$3/2)*(1)+H$4*_xlfn.NORM.S.INV(RAND())*SQRT(1))</f>
        <v>11.102265213362257</v>
      </c>
      <c r="N217" s="30">
        <f ca="1">Acciones!$C$751*EXP((I$2-I$3/2)*(1)+I$4*_xlfn.NORM.S.INV(RAND())*SQRT(1))</f>
        <v>138.00366744829014</v>
      </c>
      <c r="O217" s="30">
        <f ca="1">Acciones!$D$751*EXP((J$2-J$3/2)*(1)+J$4*_xlfn.NORM.S.INV(RAND())*SQRT(1))</f>
        <v>1007.1473573458428</v>
      </c>
      <c r="P217" s="30">
        <f ca="1">Acciones!$E$751*EXP((K$2-K$3/2)*(1)+K$4*_xlfn.NORM.S.INV(RAND())*SQRT(1))</f>
        <v>0.14074321194170739</v>
      </c>
      <c r="Q217" s="30"/>
      <c r="R217">
        <f ca="1">M217/Acciones!$B$751*$I$10 + N217/Acciones!$C$751*$I$11 + O217/Acciones!$D$751*$I$12 + P217/Acciones!$D$751*$I$13</f>
        <v>22267.199642523228</v>
      </c>
      <c r="T217" s="14">
        <f t="shared" ca="1" si="6"/>
        <v>-6232.8003574767718</v>
      </c>
      <c r="V217">
        <v>-5880.3593625408721</v>
      </c>
    </row>
    <row r="218" spans="1:22" x14ac:dyDescent="0.2">
      <c r="A218" s="1">
        <f>Acciones!A218</f>
        <v>45313</v>
      </c>
      <c r="B218" s="29">
        <f>LN(Acciones!B218/Acciones!B217)</f>
        <v>-9.0183724514889627E-3</v>
      </c>
      <c r="C218" s="29">
        <f>LN(Acciones!C218/Acciones!C217)</f>
        <v>2.934772474148829E-2</v>
      </c>
      <c r="D218" s="29">
        <f>LN(Acciones!D218/Acciones!D217)</f>
        <v>-2.0957586681516816E-3</v>
      </c>
      <c r="E218" s="29">
        <f>LN(Acciones!E218/Acciones!E217)</f>
        <v>0</v>
      </c>
      <c r="M218" s="30">
        <f ca="1">Acciones!$B$751*EXP((H$2-H$3/2)*(1)+H$4*_xlfn.NORM.S.INV(RAND())*SQRT(1))</f>
        <v>10.720611074252801</v>
      </c>
      <c r="N218" s="30">
        <f ca="1">Acciones!$C$751*EXP((I$2-I$3/2)*(1)+I$4*_xlfn.NORM.S.INV(RAND())*SQRT(1))</f>
        <v>151.10130335633863</v>
      </c>
      <c r="O218" s="30">
        <f ca="1">Acciones!$D$751*EXP((J$2-J$3/2)*(1)+J$4*_xlfn.NORM.S.INV(RAND())*SQRT(1))</f>
        <v>993.26215295390693</v>
      </c>
      <c r="P218" s="30">
        <f ca="1">Acciones!$E$751*EXP((K$2-K$3/2)*(1)+K$4*_xlfn.NORM.S.INV(RAND())*SQRT(1))</f>
        <v>0.12540437013039937</v>
      </c>
      <c r="Q218" s="30"/>
      <c r="R218">
        <f ca="1">M218/Acciones!$B$751*$I$10 + N218/Acciones!$C$751*$I$11 + O218/Acciones!$D$751*$I$12 + P218/Acciones!$D$751*$I$13</f>
        <v>22823.393076993034</v>
      </c>
      <c r="T218" s="14">
        <f t="shared" ca="1" si="6"/>
        <v>-5676.6069230069661</v>
      </c>
      <c r="V218">
        <v>-5879.7374723016546</v>
      </c>
    </row>
    <row r="219" spans="1:22" x14ac:dyDescent="0.2">
      <c r="A219" s="1">
        <f>Acciones!A219</f>
        <v>45314</v>
      </c>
      <c r="B219" s="29">
        <f>LN(Acciones!B219/Acciones!B218)</f>
        <v>-2.148352980082581E-2</v>
      </c>
      <c r="C219" s="29">
        <f>LN(Acciones!C219/Acciones!C218)</f>
        <v>-1.3139180693649218E-2</v>
      </c>
      <c r="D219" s="29">
        <f>LN(Acciones!D219/Acciones!D218)</f>
        <v>1.7703835102362137E-2</v>
      </c>
      <c r="E219" s="29">
        <f>LN(Acciones!E219/Acciones!E218)</f>
        <v>1.0362838882368615E-2</v>
      </c>
      <c r="M219" s="30">
        <f ca="1">Acciones!$B$751*EXP((H$2-H$3/2)*(1)+H$4*_xlfn.NORM.S.INV(RAND())*SQRT(1))</f>
        <v>11.036705981833093</v>
      </c>
      <c r="N219" s="30">
        <f ca="1">Acciones!$C$751*EXP((I$2-I$3/2)*(1)+I$4*_xlfn.NORM.S.INV(RAND())*SQRT(1))</f>
        <v>151.51807044647944</v>
      </c>
      <c r="O219" s="30">
        <f ca="1">Acciones!$D$751*EXP((J$2-J$3/2)*(1)+J$4*_xlfn.NORM.S.INV(RAND())*SQRT(1))</f>
        <v>1011.3708639714284</v>
      </c>
      <c r="P219" s="30">
        <f ca="1">Acciones!$E$751*EXP((K$2-K$3/2)*(1)+K$4*_xlfn.NORM.S.INV(RAND())*SQRT(1))</f>
        <v>0.12646217505937471</v>
      </c>
      <c r="Q219" s="30"/>
      <c r="R219">
        <f ca="1">M219/Acciones!$B$751*$I$10 + N219/Acciones!$C$751*$I$11 + O219/Acciones!$D$751*$I$12 + P219/Acciones!$D$751*$I$13</f>
        <v>23132.211086161729</v>
      </c>
      <c r="T219" s="14">
        <f t="shared" ca="1" si="6"/>
        <v>-5367.7889138382707</v>
      </c>
      <c r="V219">
        <v>-5875.3545968723411</v>
      </c>
    </row>
    <row r="220" spans="1:22" x14ac:dyDescent="0.2">
      <c r="A220" s="1">
        <f>Acciones!A220</f>
        <v>45315</v>
      </c>
      <c r="B220" s="29">
        <f>LN(Acciones!B220/Acciones!B219)</f>
        <v>1.3788370263027918E-2</v>
      </c>
      <c r="C220" s="29">
        <f>LN(Acciones!C220/Acciones!C219)</f>
        <v>-4.1860819830834797E-2</v>
      </c>
      <c r="D220" s="29">
        <f>LN(Acciones!D220/Acciones!D219)</f>
        <v>-1.4372086456419306E-2</v>
      </c>
      <c r="E220" s="29">
        <f>LN(Acciones!E220/Acciones!E219)</f>
        <v>5.1413944585261065E-3</v>
      </c>
      <c r="M220" s="30">
        <f ca="1">Acciones!$B$751*EXP((H$2-H$3/2)*(1)+H$4*_xlfn.NORM.S.INV(RAND())*SQRT(1))</f>
        <v>11.298472148604459</v>
      </c>
      <c r="N220" s="30">
        <f ca="1">Acciones!$C$751*EXP((I$2-I$3/2)*(1)+I$4*_xlfn.NORM.S.INV(RAND())*SQRT(1))</f>
        <v>167.34236474798959</v>
      </c>
      <c r="O220" s="30">
        <f ca="1">Acciones!$D$751*EXP((J$2-J$3/2)*(1)+J$4*_xlfn.NORM.S.INV(RAND())*SQRT(1))</f>
        <v>976.79914926289632</v>
      </c>
      <c r="P220" s="30">
        <f ca="1">Acciones!$E$751*EXP((K$2-K$3/2)*(1)+K$4*_xlfn.NORM.S.INV(RAND())*SQRT(1))</f>
        <v>0.14856159743711439</v>
      </c>
      <c r="Q220" s="30"/>
      <c r="R220">
        <f ca="1">M220/Acciones!$B$751*$I$10 + N220/Acciones!$C$751*$I$11 + O220/Acciones!$D$751*$I$12 + P220/Acciones!$D$751*$I$13</f>
        <v>23858.067478681845</v>
      </c>
      <c r="T220" s="14">
        <f t="shared" ca="1" si="6"/>
        <v>-4641.9325213181546</v>
      </c>
      <c r="V220">
        <v>-5866.3078288425822</v>
      </c>
    </row>
    <row r="221" spans="1:22" x14ac:dyDescent="0.2">
      <c r="A221" s="1">
        <f>Acciones!A221</f>
        <v>45316</v>
      </c>
      <c r="B221" s="29">
        <f>LN(Acciones!B221/Acciones!B220)</f>
        <v>-3.1650350865055172E-3</v>
      </c>
      <c r="C221" s="29">
        <f>LN(Acciones!C221/Acciones!C220)</f>
        <v>3.7573677430387704E-2</v>
      </c>
      <c r="D221" s="29">
        <f>LN(Acciones!D221/Acciones!D220)</f>
        <v>-9.1178356484095269E-3</v>
      </c>
      <c r="E221" s="29">
        <f>LN(Acciones!E221/Acciones!E220)</f>
        <v>-2.5975523404792446E-2</v>
      </c>
      <c r="M221" s="30">
        <f ca="1">Acciones!$B$751*EXP((H$2-H$3/2)*(1)+H$4*_xlfn.NORM.S.INV(RAND())*SQRT(1))</f>
        <v>10.586928407127093</v>
      </c>
      <c r="N221" s="30">
        <f ca="1">Acciones!$C$751*EXP((I$2-I$3/2)*(1)+I$4*_xlfn.NORM.S.INV(RAND())*SQRT(1))</f>
        <v>146.86897702904432</v>
      </c>
      <c r="O221" s="30">
        <f ca="1">Acciones!$D$751*EXP((J$2-J$3/2)*(1)+J$4*_xlfn.NORM.S.INV(RAND())*SQRT(1))</f>
        <v>984.39332776809078</v>
      </c>
      <c r="P221" s="30">
        <f ca="1">Acciones!$E$751*EXP((K$2-K$3/2)*(1)+K$4*_xlfn.NORM.S.INV(RAND())*SQRT(1))</f>
        <v>0.1345246823310573</v>
      </c>
      <c r="Q221" s="30"/>
      <c r="R221">
        <f ca="1">M221/Acciones!$B$751*$I$10 + N221/Acciones!$C$751*$I$11 + O221/Acciones!$D$751*$I$12 + P221/Acciones!$D$751*$I$13</f>
        <v>22427.463474299089</v>
      </c>
      <c r="T221" s="14">
        <f t="shared" ca="1" si="6"/>
        <v>-6072.5365257009107</v>
      </c>
      <c r="V221">
        <v>-5864.1142818410262</v>
      </c>
    </row>
    <row r="222" spans="1:22" x14ac:dyDescent="0.2">
      <c r="A222" s="1">
        <f>Acciones!A222</f>
        <v>45317</v>
      </c>
      <c r="B222" s="29">
        <f>LN(Acciones!B222/Acciones!B221)</f>
        <v>1.4079651471732154E-3</v>
      </c>
      <c r="C222" s="29">
        <f>LN(Acciones!C222/Acciones!C221)</f>
        <v>8.4738360360210888E-2</v>
      </c>
      <c r="D222" s="29">
        <f>LN(Acciones!D222/Acciones!D221)</f>
        <v>2.2917996998462586E-2</v>
      </c>
      <c r="E222" s="29">
        <f>LN(Acciones!E222/Acciones!E221)</f>
        <v>-5.2770521213430076E-3</v>
      </c>
      <c r="M222" s="30">
        <f ca="1">Acciones!$B$751*EXP((H$2-H$3/2)*(1)+H$4*_xlfn.NORM.S.INV(RAND())*SQRT(1))</f>
        <v>10.832227549836722</v>
      </c>
      <c r="N222" s="30">
        <f ca="1">Acciones!$C$751*EXP((I$2-I$3/2)*(1)+I$4*_xlfn.NORM.S.INV(RAND())*SQRT(1))</f>
        <v>154.86477566030825</v>
      </c>
      <c r="O222" s="30">
        <f ca="1">Acciones!$D$751*EXP((J$2-J$3/2)*(1)+J$4*_xlfn.NORM.S.INV(RAND())*SQRT(1))</f>
        <v>975.23096325550864</v>
      </c>
      <c r="P222" s="30">
        <f ca="1">Acciones!$E$751*EXP((K$2-K$3/2)*(1)+K$4*_xlfn.NORM.S.INV(RAND())*SQRT(1))</f>
        <v>0.1291668087322719</v>
      </c>
      <c r="Q222" s="30"/>
      <c r="R222">
        <f ca="1">M222/Acciones!$B$751*$I$10 + N222/Acciones!$C$751*$I$11 + O222/Acciones!$D$751*$I$12 + P222/Acciones!$D$751*$I$13</f>
        <v>22913.598145173859</v>
      </c>
      <c r="T222" s="14">
        <f t="shared" ca="1" si="6"/>
        <v>-5586.4018548261411</v>
      </c>
      <c r="V222">
        <v>-5863.5321900630006</v>
      </c>
    </row>
    <row r="223" spans="1:22" x14ac:dyDescent="0.2">
      <c r="A223" s="1">
        <f>Acciones!A223</f>
        <v>45320</v>
      </c>
      <c r="B223" s="29">
        <f>LN(Acciones!B223/Acciones!B222)</f>
        <v>-1.7743531840459497E-2</v>
      </c>
      <c r="C223" s="29">
        <f>LN(Acciones!C223/Acciones!C222)</f>
        <v>4.7660164178804247E-2</v>
      </c>
      <c r="D223" s="29">
        <f>LN(Acciones!D223/Acciones!D222)</f>
        <v>1.2113398592747066E-2</v>
      </c>
      <c r="E223" s="29">
        <f>LN(Acciones!E223/Acciones!E222)</f>
        <v>1.5748342185240755E-2</v>
      </c>
      <c r="M223" s="30">
        <f ca="1">Acciones!$B$751*EXP((H$2-H$3/2)*(1)+H$4*_xlfn.NORM.S.INV(RAND())*SQRT(1))</f>
        <v>10.351148515490486</v>
      </c>
      <c r="N223" s="30">
        <f ca="1">Acciones!$C$751*EXP((I$2-I$3/2)*(1)+I$4*_xlfn.NORM.S.INV(RAND())*SQRT(1))</f>
        <v>147.81105966290943</v>
      </c>
      <c r="O223" s="30">
        <f ca="1">Acciones!$D$751*EXP((J$2-J$3/2)*(1)+J$4*_xlfn.NORM.S.INV(RAND())*SQRT(1))</f>
        <v>979.61647553313003</v>
      </c>
      <c r="P223" s="30">
        <f ca="1">Acciones!$E$751*EXP((K$2-K$3/2)*(1)+K$4*_xlfn.NORM.S.INV(RAND())*SQRT(1))</f>
        <v>0.12017062031564534</v>
      </c>
      <c r="Q223" s="30"/>
      <c r="R223">
        <f ca="1">M223/Acciones!$B$751*$I$10 + N223/Acciones!$C$751*$I$11 + O223/Acciones!$D$751*$I$12 + P223/Acciones!$D$751*$I$13</f>
        <v>22362.719777675378</v>
      </c>
      <c r="T223" s="14">
        <f t="shared" ca="1" si="6"/>
        <v>-6137.2802223246217</v>
      </c>
      <c r="V223">
        <v>-5851.4787514455638</v>
      </c>
    </row>
    <row r="224" spans="1:22" x14ac:dyDescent="0.2">
      <c r="A224" s="1">
        <f>Acciones!A224</f>
        <v>45321</v>
      </c>
      <c r="B224" s="29">
        <f>LN(Acciones!B224/Acciones!B223)</f>
        <v>7.4906198162059782E-3</v>
      </c>
      <c r="C224" s="29">
        <f>LN(Acciones!C224/Acciones!C223)</f>
        <v>-1.7112829918257088E-2</v>
      </c>
      <c r="D224" s="29">
        <f>LN(Acciones!D224/Acciones!D223)</f>
        <v>1.7342912436282474E-4</v>
      </c>
      <c r="E224" s="29">
        <f>LN(Acciones!E224/Acciones!E223)</f>
        <v>2.5708393584906192E-2</v>
      </c>
      <c r="M224" s="30">
        <f ca="1">Acciones!$B$751*EXP((H$2-H$3/2)*(1)+H$4*_xlfn.NORM.S.INV(RAND())*SQRT(1))</f>
        <v>11.172319139644232</v>
      </c>
      <c r="N224" s="30">
        <f ca="1">Acciones!$C$751*EXP((I$2-I$3/2)*(1)+I$4*_xlfn.NORM.S.INV(RAND())*SQRT(1))</f>
        <v>145.77070606250336</v>
      </c>
      <c r="O224" s="30">
        <f ca="1">Acciones!$D$751*EXP((J$2-J$3/2)*(1)+J$4*_xlfn.NORM.S.INV(RAND())*SQRT(1))</f>
        <v>1007.0921885680967</v>
      </c>
      <c r="P224" s="30">
        <f ca="1">Acciones!$E$751*EXP((K$2-K$3/2)*(1)+K$4*_xlfn.NORM.S.INV(RAND())*SQRT(1))</f>
        <v>0.12350309765410923</v>
      </c>
      <c r="Q224" s="30"/>
      <c r="R224">
        <f ca="1">M224/Acciones!$B$751*$I$10 + N224/Acciones!$C$751*$I$11 + O224/Acciones!$D$751*$I$12 + P224/Acciones!$D$751*$I$13</f>
        <v>22773.987186854818</v>
      </c>
      <c r="T224" s="14">
        <f t="shared" ca="1" si="6"/>
        <v>-5726.012813145182</v>
      </c>
      <c r="V224">
        <v>-5847.7701596098595</v>
      </c>
    </row>
    <row r="225" spans="1:22" x14ac:dyDescent="0.2">
      <c r="A225" s="1">
        <f>Acciones!A225</f>
        <v>45322</v>
      </c>
      <c r="B225" s="29">
        <f>LN(Acciones!B225/Acciones!B224)</f>
        <v>-1.3595872032020093E-2</v>
      </c>
      <c r="C225" s="29">
        <f>LN(Acciones!C225/Acciones!C224)</f>
        <v>-2.7460093213221022E-2</v>
      </c>
      <c r="D225" s="29">
        <f>LN(Acciones!D225/Acciones!D224)</f>
        <v>-2.6541013766183341E-2</v>
      </c>
      <c r="E225" s="29">
        <f>LN(Acciones!E225/Acciones!E224)</f>
        <v>-3.0930332690024969E-2</v>
      </c>
      <c r="M225" s="30">
        <f ca="1">Acciones!$B$751*EXP((H$2-H$3/2)*(1)+H$4*_xlfn.NORM.S.INV(RAND())*SQRT(1))</f>
        <v>11.386648222096374</v>
      </c>
      <c r="N225" s="30">
        <f ca="1">Acciones!$C$751*EXP((I$2-I$3/2)*(1)+I$4*_xlfn.NORM.S.INV(RAND())*SQRT(1))</f>
        <v>161.98931644064092</v>
      </c>
      <c r="O225" s="30">
        <f ca="1">Acciones!$D$751*EXP((J$2-J$3/2)*(1)+J$4*_xlfn.NORM.S.INV(RAND())*SQRT(1))</f>
        <v>974.55888942406239</v>
      </c>
      <c r="P225" s="30">
        <f ca="1">Acciones!$E$751*EXP((K$2-K$3/2)*(1)+K$4*_xlfn.NORM.S.INV(RAND())*SQRT(1))</f>
        <v>0.12768803255182173</v>
      </c>
      <c r="Q225" s="30"/>
      <c r="R225">
        <f ca="1">M225/Acciones!$B$751*$I$10 + N225/Acciones!$C$751*$I$11 + O225/Acciones!$D$751*$I$12 + P225/Acciones!$D$751*$I$13</f>
        <v>23529.564858064186</v>
      </c>
      <c r="T225" s="14">
        <f t="shared" ca="1" si="6"/>
        <v>-4970.4351419358136</v>
      </c>
      <c r="V225">
        <v>-5847.0352104058948</v>
      </c>
    </row>
    <row r="226" spans="1:22" x14ac:dyDescent="0.2">
      <c r="A226" s="1">
        <f>Acciones!A226</f>
        <v>45323</v>
      </c>
      <c r="B226" s="29">
        <f>LN(Acciones!B226/Acciones!B225)</f>
        <v>-7.2307407967162453E-3</v>
      </c>
      <c r="C226" s="29">
        <f>LN(Acciones!C226/Acciones!C225)</f>
        <v>4.4478834406314852E-2</v>
      </c>
      <c r="D226" s="29">
        <f>LN(Acciones!D226/Acciones!D225)</f>
        <v>-2.8777239469224732E-3</v>
      </c>
      <c r="E226" s="29">
        <f>LN(Acciones!E226/Acciones!E225)</f>
        <v>5.2219391051187584E-3</v>
      </c>
      <c r="M226" s="30">
        <f ca="1">Acciones!$B$751*EXP((H$2-H$3/2)*(1)+H$4*_xlfn.NORM.S.INV(RAND())*SQRT(1))</f>
        <v>11.187679515983927</v>
      </c>
      <c r="N226" s="30">
        <f ca="1">Acciones!$C$751*EXP((I$2-I$3/2)*(1)+I$4*_xlfn.NORM.S.INV(RAND())*SQRT(1))</f>
        <v>169.23000784789991</v>
      </c>
      <c r="O226" s="30">
        <f ca="1">Acciones!$D$751*EXP((J$2-J$3/2)*(1)+J$4*_xlfn.NORM.S.INV(RAND())*SQRT(1))</f>
        <v>1019.3110924616809</v>
      </c>
      <c r="P226" s="30">
        <f ca="1">Acciones!$E$751*EXP((K$2-K$3/2)*(1)+K$4*_xlfn.NORM.S.INV(RAND())*SQRT(1))</f>
        <v>0.12293344457039766</v>
      </c>
      <c r="Q226" s="30"/>
      <c r="R226">
        <f ca="1">M226/Acciones!$B$751*$I$10 + N226/Acciones!$C$751*$I$11 + O226/Acciones!$D$751*$I$12 + P226/Acciones!$D$751*$I$13</f>
        <v>24366.062451361642</v>
      </c>
      <c r="T226" s="14">
        <f t="shared" ca="1" si="6"/>
        <v>-4133.9375486383578</v>
      </c>
      <c r="V226">
        <v>-5846.5767526896016</v>
      </c>
    </row>
    <row r="227" spans="1:22" x14ac:dyDescent="0.2">
      <c r="A227" s="1">
        <f>Acciones!A227</f>
        <v>45324</v>
      </c>
      <c r="B227" s="29">
        <f>LN(Acciones!B227/Acciones!B226)</f>
        <v>-1.0578217064876381E-2</v>
      </c>
      <c r="C227" s="29">
        <f>LN(Acciones!C227/Acciones!C226)</f>
        <v>-2.7602847510700215E-2</v>
      </c>
      <c r="D227" s="29">
        <f>LN(Acciones!D227/Acciones!D226)</f>
        <v>-5.7860870024665856E-3</v>
      </c>
      <c r="E227" s="29">
        <f>LN(Acciones!E227/Acciones!E226)</f>
        <v>-2.638673027151938E-2</v>
      </c>
      <c r="M227" s="30">
        <f ca="1">Acciones!$B$751*EXP((H$2-H$3/2)*(1)+H$4*_xlfn.NORM.S.INV(RAND())*SQRT(1))</f>
        <v>10.935931063696158</v>
      </c>
      <c r="N227" s="30">
        <f ca="1">Acciones!$C$751*EXP((I$2-I$3/2)*(1)+I$4*_xlfn.NORM.S.INV(RAND())*SQRT(1))</f>
        <v>140.72468769767258</v>
      </c>
      <c r="O227" s="30">
        <f ca="1">Acciones!$D$751*EXP((J$2-J$3/2)*(1)+J$4*_xlfn.NORM.S.INV(RAND())*SQRT(1))</f>
        <v>972.55174932027649</v>
      </c>
      <c r="P227" s="30">
        <f ca="1">Acciones!$E$751*EXP((K$2-K$3/2)*(1)+K$4*_xlfn.NORM.S.INV(RAND())*SQRT(1))</f>
        <v>0.1269277219013909</v>
      </c>
      <c r="Q227" s="30"/>
      <c r="R227">
        <f ca="1">M227/Acciones!$B$751*$I$10 + N227/Acciones!$C$751*$I$11 + O227/Acciones!$D$751*$I$12 + P227/Acciones!$D$751*$I$13</f>
        <v>22037.134165281634</v>
      </c>
      <c r="T227" s="14">
        <f t="shared" ca="1" si="6"/>
        <v>-6462.8658347183664</v>
      </c>
      <c r="V227">
        <v>-5845.3305454082983</v>
      </c>
    </row>
    <row r="228" spans="1:22" x14ac:dyDescent="0.2">
      <c r="A228" s="1">
        <f>Acciones!A228</f>
        <v>45328</v>
      </c>
      <c r="B228" s="29">
        <f>LN(Acciones!B228/Acciones!B227)</f>
        <v>4.7557427313365454E-3</v>
      </c>
      <c r="C228" s="29">
        <f>LN(Acciones!C228/Acciones!C227)</f>
        <v>-6.4594492258375186E-2</v>
      </c>
      <c r="D228" s="29">
        <f>LN(Acciones!D228/Acciones!D227)</f>
        <v>1.2758881555667892E-2</v>
      </c>
      <c r="E228" s="29">
        <f>LN(Acciones!E228/Acciones!E227)</f>
        <v>-5.3619380003965336E-3</v>
      </c>
      <c r="M228" s="30">
        <f ca="1">Acciones!$B$751*EXP((H$2-H$3/2)*(1)+H$4*_xlfn.NORM.S.INV(RAND())*SQRT(1))</f>
        <v>11.006557893458842</v>
      </c>
      <c r="N228" s="30">
        <f ca="1">Acciones!$C$751*EXP((I$2-I$3/2)*(1)+I$4*_xlfn.NORM.S.INV(RAND())*SQRT(1))</f>
        <v>162.61783876594177</v>
      </c>
      <c r="O228" s="30">
        <f ca="1">Acciones!$D$751*EXP((J$2-J$3/2)*(1)+J$4*_xlfn.NORM.S.INV(RAND())*SQRT(1))</f>
        <v>1005.8640463984025</v>
      </c>
      <c r="P228" s="30">
        <f ca="1">Acciones!$E$751*EXP((K$2-K$3/2)*(1)+K$4*_xlfn.NORM.S.INV(RAND())*SQRT(1))</f>
        <v>0.12650941342667441</v>
      </c>
      <c r="Q228" s="30"/>
      <c r="R228">
        <f ca="1">M228/Acciones!$B$751*$I$10 + N228/Acciones!$C$751*$I$11 + O228/Acciones!$D$751*$I$12 + P228/Acciones!$D$751*$I$13</f>
        <v>23760.432619131177</v>
      </c>
      <c r="T228" s="14">
        <f t="shared" ca="1" si="6"/>
        <v>-4739.5673808688225</v>
      </c>
      <c r="V228">
        <v>-5844.8925642831673</v>
      </c>
    </row>
    <row r="229" spans="1:22" x14ac:dyDescent="0.2">
      <c r="A229" s="1">
        <f>Acciones!A229</f>
        <v>45329</v>
      </c>
      <c r="B229" s="29">
        <f>LN(Acciones!B229/Acciones!B228)</f>
        <v>2.1304406054042487E-2</v>
      </c>
      <c r="C229" s="29">
        <f>LN(Acciones!C229/Acciones!C228)</f>
        <v>3.1253110315965914E-2</v>
      </c>
      <c r="D229" s="29">
        <f>LN(Acciones!D229/Acciones!D228)</f>
        <v>7.333581260415104E-3</v>
      </c>
      <c r="E229" s="29">
        <f>LN(Acciones!E229/Acciones!E228)</f>
        <v>-2.7249681751809238E-2</v>
      </c>
      <c r="M229" s="30">
        <f ca="1">Acciones!$B$751*EXP((H$2-H$3/2)*(1)+H$4*_xlfn.NORM.S.INV(RAND())*SQRT(1))</f>
        <v>10.743826681315328</v>
      </c>
      <c r="N229" s="30">
        <f ca="1">Acciones!$C$751*EXP((I$2-I$3/2)*(1)+I$4*_xlfn.NORM.S.INV(RAND())*SQRT(1))</f>
        <v>157.80804811940516</v>
      </c>
      <c r="O229" s="30">
        <f ca="1">Acciones!$D$751*EXP((J$2-J$3/2)*(1)+J$4*_xlfn.NORM.S.INV(RAND())*SQRT(1))</f>
        <v>972.45409332383804</v>
      </c>
      <c r="P229" s="30">
        <f ca="1">Acciones!$E$751*EXP((K$2-K$3/2)*(1)+K$4*_xlfn.NORM.S.INV(RAND())*SQRT(1))</f>
        <v>0.12927495484114063</v>
      </c>
      <c r="Q229" s="30"/>
      <c r="R229">
        <f ca="1">M229/Acciones!$B$751*$I$10 + N229/Acciones!$C$751*$I$11 + O229/Acciones!$D$751*$I$12 + P229/Acciones!$D$751*$I$13</f>
        <v>23041.198024298188</v>
      </c>
      <c r="T229" s="14">
        <f t="shared" ca="1" si="6"/>
        <v>-5458.8019757018119</v>
      </c>
      <c r="V229">
        <v>-5844.0325281833757</v>
      </c>
    </row>
    <row r="230" spans="1:22" x14ac:dyDescent="0.2">
      <c r="A230" s="1">
        <f>Acciones!A230</f>
        <v>45330</v>
      </c>
      <c r="B230" s="29">
        <f>LN(Acciones!B230/Acciones!B229)</f>
        <v>-1.6571030827795916E-2</v>
      </c>
      <c r="C230" s="29">
        <f>LN(Acciones!C230/Acciones!C229)</f>
        <v>0.2041830860027245</v>
      </c>
      <c r="D230" s="29">
        <f>LN(Acciones!D230/Acciones!D229)</f>
        <v>9.3256604580908026E-3</v>
      </c>
      <c r="E230" s="29">
        <f>LN(Acciones!E230/Acciones!E229)</f>
        <v>5.5097162443077143E-3</v>
      </c>
      <c r="M230" s="30">
        <f ca="1">Acciones!$B$751*EXP((H$2-H$3/2)*(1)+H$4*_xlfn.NORM.S.INV(RAND())*SQRT(1))</f>
        <v>10.415729960828813</v>
      </c>
      <c r="N230" s="30">
        <f ca="1">Acciones!$C$751*EXP((I$2-I$3/2)*(1)+I$4*_xlfn.NORM.S.INV(RAND())*SQRT(1))</f>
        <v>149.0076005718891</v>
      </c>
      <c r="O230" s="30">
        <f ca="1">Acciones!$D$751*EXP((J$2-J$3/2)*(1)+J$4*_xlfn.NORM.S.INV(RAND())*SQRT(1))</f>
        <v>1063.3752552461565</v>
      </c>
      <c r="P230" s="30">
        <f ca="1">Acciones!$E$751*EXP((K$2-K$3/2)*(1)+K$4*_xlfn.NORM.S.INV(RAND())*SQRT(1))</f>
        <v>0.12223974722447496</v>
      </c>
      <c r="Q230" s="30"/>
      <c r="R230">
        <f ca="1">M230/Acciones!$B$751*$I$10 + N230/Acciones!$C$751*$I$11 + O230/Acciones!$D$751*$I$12 + P230/Acciones!$D$751*$I$13</f>
        <v>23297.123123383906</v>
      </c>
      <c r="T230" s="14">
        <f t="shared" ca="1" si="6"/>
        <v>-5202.8768766160938</v>
      </c>
      <c r="V230">
        <v>-5841.6135017408305</v>
      </c>
    </row>
    <row r="231" spans="1:22" x14ac:dyDescent="0.2">
      <c r="A231" s="1">
        <f>Acciones!A231</f>
        <v>45331</v>
      </c>
      <c r="B231" s="29">
        <f>LN(Acciones!B231/Acciones!B230)</f>
        <v>-3.0238289363719622E-2</v>
      </c>
      <c r="C231" s="29">
        <f>LN(Acciones!C231/Acciones!C230)</f>
        <v>0.10217537295290813</v>
      </c>
      <c r="D231" s="29">
        <f>LN(Acciones!D231/Acciones!D230)</f>
        <v>5.3333386470209828E-3</v>
      </c>
      <c r="E231" s="29">
        <f>LN(Acciones!E231/Acciones!E230)</f>
        <v>-3.3522726277075407E-2</v>
      </c>
      <c r="M231" s="30">
        <f ca="1">Acciones!$B$751*EXP((H$2-H$3/2)*(1)+H$4*_xlfn.NORM.S.INV(RAND())*SQRT(1))</f>
        <v>11.017895720018087</v>
      </c>
      <c r="N231" s="30">
        <f ca="1">Acciones!$C$751*EXP((I$2-I$3/2)*(1)+I$4*_xlfn.NORM.S.INV(RAND())*SQRT(1))</f>
        <v>166.52882668615496</v>
      </c>
      <c r="O231" s="30">
        <f ca="1">Acciones!$D$751*EXP((J$2-J$3/2)*(1)+J$4*_xlfn.NORM.S.INV(RAND())*SQRT(1))</f>
        <v>1008.7695294608651</v>
      </c>
      <c r="P231" s="30">
        <f ca="1">Acciones!$E$751*EXP((K$2-K$3/2)*(1)+K$4*_xlfn.NORM.S.INV(RAND())*SQRT(1))</f>
        <v>0.11579964788124675</v>
      </c>
      <c r="Q231" s="30"/>
      <c r="R231">
        <f ca="1">M231/Acciones!$B$751*$I$10 + N231/Acciones!$C$751*$I$11 + O231/Acciones!$D$751*$I$12 + P231/Acciones!$D$751*$I$13</f>
        <v>24037.309199690684</v>
      </c>
      <c r="T231" s="14">
        <f t="shared" ca="1" si="6"/>
        <v>-4462.6908003093158</v>
      </c>
      <c r="V231">
        <v>-5840.0617664284691</v>
      </c>
    </row>
    <row r="232" spans="1:22" x14ac:dyDescent="0.2">
      <c r="A232" s="1">
        <f>Acciones!A232</f>
        <v>45334</v>
      </c>
      <c r="B232" s="29">
        <f>LN(Acciones!B232/Acciones!B231)</f>
        <v>5.392930216582454E-2</v>
      </c>
      <c r="C232" s="29">
        <f>LN(Acciones!C232/Acciones!C231)</f>
        <v>0.13594564601877057</v>
      </c>
      <c r="D232" s="29">
        <f>LN(Acciones!D232/Acciones!D231)</f>
        <v>2.5096779044545482E-2</v>
      </c>
      <c r="E232" s="29">
        <f>LN(Acciones!E232/Acciones!E231)</f>
        <v>0</v>
      </c>
      <c r="M232" s="30">
        <f ca="1">Acciones!$B$751*EXP((H$2-H$3/2)*(1)+H$4*_xlfn.NORM.S.INV(RAND())*SQRT(1))</f>
        <v>11.052735203033869</v>
      </c>
      <c r="N232" s="30">
        <f ca="1">Acciones!$C$751*EXP((I$2-I$3/2)*(1)+I$4*_xlfn.NORM.S.INV(RAND())*SQRT(1))</f>
        <v>147.25597520233927</v>
      </c>
      <c r="O232" s="30">
        <f ca="1">Acciones!$D$751*EXP((J$2-J$3/2)*(1)+J$4*_xlfn.NORM.S.INV(RAND())*SQRT(1))</f>
        <v>988.47226250202175</v>
      </c>
      <c r="P232" s="30">
        <f ca="1">Acciones!$E$751*EXP((K$2-K$3/2)*(1)+K$4*_xlfn.NORM.S.INV(RAND())*SQRT(1))</f>
        <v>0.13258151706413593</v>
      </c>
      <c r="Q232" s="30"/>
      <c r="R232">
        <f ca="1">M232/Acciones!$B$751*$I$10 + N232/Acciones!$C$751*$I$11 + O232/Acciones!$D$751*$I$12 + P232/Acciones!$D$751*$I$13</f>
        <v>22641.906559176383</v>
      </c>
      <c r="T232" s="14">
        <f t="shared" ca="1" si="6"/>
        <v>-5858.0934408236171</v>
      </c>
      <c r="V232">
        <v>-5831.1057826565229</v>
      </c>
    </row>
    <row r="233" spans="1:22" x14ac:dyDescent="0.2">
      <c r="A233" s="1">
        <f>Acciones!A233</f>
        <v>45335</v>
      </c>
      <c r="B233" s="29">
        <f>LN(Acciones!B233/Acciones!B232)</f>
        <v>2.8328553043716207E-2</v>
      </c>
      <c r="C233" s="29">
        <f>LN(Acciones!C233/Acciones!C232)</f>
        <v>-6.0098641797708192E-2</v>
      </c>
      <c r="D233" s="29">
        <f>LN(Acciones!D233/Acciones!D232)</f>
        <v>-1.561776812047593E-2</v>
      </c>
      <c r="E233" s="29">
        <f>LN(Acciones!E233/Acciones!E232)</f>
        <v>0</v>
      </c>
      <c r="M233" s="30">
        <f ca="1">Acciones!$B$751*EXP((H$2-H$3/2)*(1)+H$4*_xlfn.NORM.S.INV(RAND())*SQRT(1))</f>
        <v>11.818957902549959</v>
      </c>
      <c r="N233" s="30">
        <f ca="1">Acciones!$C$751*EXP((I$2-I$3/2)*(1)+I$4*_xlfn.NORM.S.INV(RAND())*SQRT(1))</f>
        <v>157.14710135754825</v>
      </c>
      <c r="O233" s="30">
        <f ca="1">Acciones!$D$751*EXP((J$2-J$3/2)*(1)+J$4*_xlfn.NORM.S.INV(RAND())*SQRT(1))</f>
        <v>1017.5856070489524</v>
      </c>
      <c r="P233" s="30">
        <f ca="1">Acciones!$E$751*EXP((K$2-K$3/2)*(1)+K$4*_xlfn.NORM.S.INV(RAND())*SQRT(1))</f>
        <v>0.12633460721546247</v>
      </c>
      <c r="Q233" s="30"/>
      <c r="R233">
        <f ca="1">M233/Acciones!$B$751*$I$10 + N233/Acciones!$C$751*$I$11 + O233/Acciones!$D$751*$I$12 + P233/Acciones!$D$751*$I$13</f>
        <v>23796.879089421251</v>
      </c>
      <c r="T233" s="14">
        <f t="shared" ca="1" si="6"/>
        <v>-4703.1209105787493</v>
      </c>
      <c r="V233">
        <v>-5826.914583332742</v>
      </c>
    </row>
    <row r="234" spans="1:22" x14ac:dyDescent="0.2">
      <c r="A234" s="1">
        <f>Acciones!A234</f>
        <v>45336</v>
      </c>
      <c r="B234" s="29">
        <f>LN(Acciones!B234/Acciones!B233)</f>
        <v>4.2530847153604487E-2</v>
      </c>
      <c r="C234" s="29">
        <f>LN(Acciones!C234/Acciones!C233)</f>
        <v>0.13344895337374291</v>
      </c>
      <c r="D234" s="29">
        <f>LN(Acciones!D234/Acciones!D233)</f>
        <v>6.0768868708741602E-3</v>
      </c>
      <c r="E234" s="29">
        <f>LN(Acciones!E234/Acciones!E233)</f>
        <v>-2.2989496172242097E-2</v>
      </c>
      <c r="M234" s="30">
        <f ca="1">Acciones!$B$751*EXP((H$2-H$3/2)*(1)+H$4*_xlfn.NORM.S.INV(RAND())*SQRT(1))</f>
        <v>10.580109723159351</v>
      </c>
      <c r="N234" s="30">
        <f ca="1">Acciones!$C$751*EXP((I$2-I$3/2)*(1)+I$4*_xlfn.NORM.S.INV(RAND())*SQRT(1))</f>
        <v>158.85068333363895</v>
      </c>
      <c r="O234" s="30">
        <f ca="1">Acciones!$D$751*EXP((J$2-J$3/2)*(1)+J$4*_xlfn.NORM.S.INV(RAND())*SQRT(1))</f>
        <v>1010.4557922964335</v>
      </c>
      <c r="P234" s="30">
        <f ca="1">Acciones!$E$751*EXP((K$2-K$3/2)*(1)+K$4*_xlfn.NORM.S.INV(RAND())*SQRT(1))</f>
        <v>0.11796844335623093</v>
      </c>
      <c r="Q234" s="30"/>
      <c r="R234">
        <f ca="1">M234/Acciones!$B$751*$I$10 + N234/Acciones!$C$751*$I$11 + O234/Acciones!$D$751*$I$12 + P234/Acciones!$D$751*$I$13</f>
        <v>23434.355961554764</v>
      </c>
      <c r="T234" s="14">
        <f t="shared" ca="1" si="6"/>
        <v>-5065.6440384452362</v>
      </c>
      <c r="V234">
        <v>-5824.8077866912754</v>
      </c>
    </row>
    <row r="235" spans="1:22" x14ac:dyDescent="0.2">
      <c r="A235" s="1">
        <f>Acciones!A235</f>
        <v>45337</v>
      </c>
      <c r="B235" s="29">
        <f>LN(Acciones!B235/Acciones!B234)</f>
        <v>4.1746827550273521E-2</v>
      </c>
      <c r="C235" s="29">
        <f>LN(Acciones!C235/Acciones!C234)</f>
        <v>-8.7567070162535593E-2</v>
      </c>
      <c r="D235" s="29">
        <f>LN(Acciones!D235/Acciones!D234)</f>
        <v>-3.8663132771006204E-3</v>
      </c>
      <c r="E235" s="29">
        <f>LN(Acciones!E235/Acciones!E234)</f>
        <v>1.729148047621239E-2</v>
      </c>
      <c r="M235" s="30">
        <f ca="1">Acciones!$B$751*EXP((H$2-H$3/2)*(1)+H$4*_xlfn.NORM.S.INV(RAND())*SQRT(1))</f>
        <v>10.838900538173192</v>
      </c>
      <c r="N235" s="30">
        <f ca="1">Acciones!$C$751*EXP((I$2-I$3/2)*(1)+I$4*_xlfn.NORM.S.INV(RAND())*SQRT(1))</f>
        <v>148.4139600649643</v>
      </c>
      <c r="O235" s="30">
        <f ca="1">Acciones!$D$751*EXP((J$2-J$3/2)*(1)+J$4*_xlfn.NORM.S.INV(RAND())*SQRT(1))</f>
        <v>975.71430447714397</v>
      </c>
      <c r="P235" s="30">
        <f ca="1">Acciones!$E$751*EXP((K$2-K$3/2)*(1)+K$4*_xlfn.NORM.S.INV(RAND())*SQRT(1))</f>
        <v>0.13968360144775774</v>
      </c>
      <c r="Q235" s="30"/>
      <c r="R235">
        <f ca="1">M235/Acciones!$B$751*$I$10 + N235/Acciones!$C$751*$I$11 + O235/Acciones!$D$751*$I$12 + P235/Acciones!$D$751*$I$13</f>
        <v>22517.859661295373</v>
      </c>
      <c r="T235" s="14">
        <f t="shared" ca="1" si="6"/>
        <v>-5982.1403387046266</v>
      </c>
      <c r="V235">
        <v>-5824.5949488187362</v>
      </c>
    </row>
    <row r="236" spans="1:22" x14ac:dyDescent="0.2">
      <c r="A236" s="1">
        <f>Acciones!A236</f>
        <v>45338</v>
      </c>
      <c r="B236" s="29">
        <f>LN(Acciones!B236/Acciones!B235)</f>
        <v>-3.8447560098280188E-2</v>
      </c>
      <c r="C236" s="29">
        <f>LN(Acciones!C236/Acciones!C235)</f>
        <v>-1.1472401162236807E-2</v>
      </c>
      <c r="D236" s="29">
        <f>LN(Acciones!D236/Acciones!D235)</f>
        <v>-2.1819121591958212E-2</v>
      </c>
      <c r="E236" s="29">
        <f>LN(Acciones!E236/Acciones!E235)</f>
        <v>-4.0822025741737766E-2</v>
      </c>
      <c r="M236" s="30">
        <f ca="1">Acciones!$B$751*EXP((H$2-H$3/2)*(1)+H$4*_xlfn.NORM.S.INV(RAND())*SQRT(1))</f>
        <v>10.917421186916668</v>
      </c>
      <c r="N236" s="30">
        <f ca="1">Acciones!$C$751*EXP((I$2-I$3/2)*(1)+I$4*_xlfn.NORM.S.INV(RAND())*SQRT(1))</f>
        <v>153.33605754255791</v>
      </c>
      <c r="O236" s="30">
        <f ca="1">Acciones!$D$751*EXP((J$2-J$3/2)*(1)+J$4*_xlfn.NORM.S.INV(RAND())*SQRT(1))</f>
        <v>981.93246711510915</v>
      </c>
      <c r="P236" s="30">
        <f ca="1">Acciones!$E$751*EXP((K$2-K$3/2)*(1)+K$4*_xlfn.NORM.S.INV(RAND())*SQRT(1))</f>
        <v>0.12178282715221776</v>
      </c>
      <c r="Q236" s="30"/>
      <c r="R236">
        <f ca="1">M236/Acciones!$B$751*$I$10 + N236/Acciones!$C$751*$I$11 + O236/Acciones!$D$751*$I$12 + P236/Acciones!$D$751*$I$13</f>
        <v>22912.562581303315</v>
      </c>
      <c r="T236" s="14">
        <f t="shared" ca="1" si="6"/>
        <v>-5587.4374186966852</v>
      </c>
      <c r="V236">
        <v>-5822.4258567988145</v>
      </c>
    </row>
    <row r="237" spans="1:22" x14ac:dyDescent="0.2">
      <c r="A237" s="1">
        <f>Acciones!A237</f>
        <v>45341</v>
      </c>
      <c r="B237" s="29">
        <f>LN(Acciones!B237/Acciones!B236)</f>
        <v>3.0172595051118481E-2</v>
      </c>
      <c r="C237" s="29">
        <f>LN(Acciones!C237/Acciones!C236)</f>
        <v>-2.2002209096024235E-3</v>
      </c>
      <c r="D237" s="29">
        <f>LN(Acciones!D237/Acciones!D236)</f>
        <v>0</v>
      </c>
      <c r="E237" s="29">
        <f>LN(Acciones!E237/Acciones!E236)</f>
        <v>5.9348005995511826E-3</v>
      </c>
      <c r="M237" s="30">
        <f ca="1">Acciones!$B$751*EXP((H$2-H$3/2)*(1)+H$4*_xlfn.NORM.S.INV(RAND())*SQRT(1))</f>
        <v>10.943071230131011</v>
      </c>
      <c r="N237" s="30">
        <f ca="1">Acciones!$C$751*EXP((I$2-I$3/2)*(1)+I$4*_xlfn.NORM.S.INV(RAND())*SQRT(1))</f>
        <v>143.79195217918772</v>
      </c>
      <c r="O237" s="30">
        <f ca="1">Acciones!$D$751*EXP((J$2-J$3/2)*(1)+J$4*_xlfn.NORM.S.INV(RAND())*SQRT(1))</f>
        <v>954.21897568995712</v>
      </c>
      <c r="P237" s="30">
        <f ca="1">Acciones!$E$751*EXP((K$2-K$3/2)*(1)+K$4*_xlfn.NORM.S.INV(RAND())*SQRT(1))</f>
        <v>0.12856827438190094</v>
      </c>
      <c r="Q237" s="30"/>
      <c r="R237">
        <f ca="1">M237/Acciones!$B$751*$I$10 + N237/Acciones!$C$751*$I$11 + O237/Acciones!$D$751*$I$12 + P237/Acciones!$D$751*$I$13</f>
        <v>22047.319967991752</v>
      </c>
      <c r="T237" s="14">
        <f t="shared" ca="1" si="6"/>
        <v>-6452.6800320082475</v>
      </c>
      <c r="V237">
        <v>-5820.8250816488289</v>
      </c>
    </row>
    <row r="238" spans="1:22" x14ac:dyDescent="0.2">
      <c r="A238" s="1">
        <f>Acciones!A238</f>
        <v>45342</v>
      </c>
      <c r="B238" s="29">
        <f>LN(Acciones!B238/Acciones!B237)</f>
        <v>1.616769098188349E-2</v>
      </c>
      <c r="C238" s="29">
        <f>LN(Acciones!C238/Acciones!C237)</f>
        <v>-8.1754927169235658E-2</v>
      </c>
      <c r="D238" s="29">
        <f>LN(Acciones!D238/Acciones!D237)</f>
        <v>-6.8787112486651501E-3</v>
      </c>
      <c r="E238" s="29">
        <f>LN(Acciones!E238/Acciones!E237)</f>
        <v>-5.9348005995511878E-3</v>
      </c>
      <c r="M238" s="30">
        <f ca="1">Acciones!$B$751*EXP((H$2-H$3/2)*(1)+H$4*_xlfn.NORM.S.INV(RAND())*SQRT(1))</f>
        <v>11.115071723227405</v>
      </c>
      <c r="N238" s="30">
        <f ca="1">Acciones!$C$751*EXP((I$2-I$3/2)*(1)+I$4*_xlfn.NORM.S.INV(RAND())*SQRT(1))</f>
        <v>154.13748080246404</v>
      </c>
      <c r="O238" s="30">
        <f ca="1">Acciones!$D$751*EXP((J$2-J$3/2)*(1)+J$4*_xlfn.NORM.S.INV(RAND())*SQRT(1))</f>
        <v>1028.3287251661261</v>
      </c>
      <c r="P238" s="30">
        <f ca="1">Acciones!$E$751*EXP((K$2-K$3/2)*(1)+K$4*_xlfn.NORM.S.INV(RAND())*SQRT(1))</f>
        <v>0.11792508873924412</v>
      </c>
      <c r="Q238" s="30"/>
      <c r="R238">
        <f ca="1">M238/Acciones!$B$751*$I$10 + N238/Acciones!$C$751*$I$11 + O238/Acciones!$D$751*$I$12 + P238/Acciones!$D$751*$I$13</f>
        <v>23490.713236686748</v>
      </c>
      <c r="T238" s="14">
        <f t="shared" ca="1" si="6"/>
        <v>-5009.2867633132519</v>
      </c>
      <c r="V238">
        <v>-5818.5153997373855</v>
      </c>
    </row>
    <row r="239" spans="1:22" x14ac:dyDescent="0.2">
      <c r="A239" s="1">
        <f>Acciones!A239</f>
        <v>45343</v>
      </c>
      <c r="B239" s="29">
        <f>LN(Acciones!B239/Acciones!B238)</f>
        <v>-2.1294363518568005E-2</v>
      </c>
      <c r="C239" s="29">
        <f>LN(Acciones!C239/Acciones!C238)</f>
        <v>-6.9477843760127639E-2</v>
      </c>
      <c r="D239" s="29">
        <f>LN(Acciones!D239/Acciones!D238)</f>
        <v>1.9245253121466015E-2</v>
      </c>
      <c r="E239" s="29">
        <f>LN(Acciones!E239/Acciones!E238)</f>
        <v>0</v>
      </c>
      <c r="M239" s="30">
        <f ca="1">Acciones!$B$751*EXP((H$2-H$3/2)*(1)+H$4*_xlfn.NORM.S.INV(RAND())*SQRT(1))</f>
        <v>10.88574216242213</v>
      </c>
      <c r="N239" s="30">
        <f ca="1">Acciones!$C$751*EXP((I$2-I$3/2)*(1)+I$4*_xlfn.NORM.S.INV(RAND())*SQRT(1))</f>
        <v>151.98718067858536</v>
      </c>
      <c r="O239" s="30">
        <f ca="1">Acciones!$D$751*EXP((J$2-J$3/2)*(1)+J$4*_xlfn.NORM.S.INV(RAND())*SQRT(1))</f>
        <v>1004.2677861152806</v>
      </c>
      <c r="P239" s="30">
        <f ca="1">Acciones!$E$751*EXP((K$2-K$3/2)*(1)+K$4*_xlfn.NORM.S.INV(RAND())*SQRT(1))</f>
        <v>0.13831729084680158</v>
      </c>
      <c r="Q239" s="30"/>
      <c r="R239">
        <f ca="1">M239/Acciones!$B$751*$I$10 + N239/Acciones!$C$751*$I$11 + O239/Acciones!$D$751*$I$12 + P239/Acciones!$D$751*$I$13</f>
        <v>23041.989230343617</v>
      </c>
      <c r="T239" s="14">
        <f t="shared" ca="1" si="6"/>
        <v>-5458.0107696563828</v>
      </c>
      <c r="V239">
        <v>-5817.4914450342949</v>
      </c>
    </row>
    <row r="240" spans="1:22" x14ac:dyDescent="0.2">
      <c r="A240" s="1">
        <f>Acciones!A240</f>
        <v>45344</v>
      </c>
      <c r="B240" s="29">
        <f>LN(Acciones!B240/Acciones!B239)</f>
        <v>4.7060214504710589E-2</v>
      </c>
      <c r="C240" s="29">
        <f>LN(Acciones!C240/Acciones!C239)</f>
        <v>7.5126896776502791E-2</v>
      </c>
      <c r="D240" s="29">
        <f>LN(Acciones!D240/Acciones!D239)</f>
        <v>-1.1178084322779694E-3</v>
      </c>
      <c r="E240" s="29">
        <f>LN(Acciones!E240/Acciones!E239)</f>
        <v>5.9348005995511826E-3</v>
      </c>
      <c r="M240" s="30">
        <f ca="1">Acciones!$B$751*EXP((H$2-H$3/2)*(1)+H$4*_xlfn.NORM.S.INV(RAND())*SQRT(1))</f>
        <v>10.958278373354631</v>
      </c>
      <c r="N240" s="30">
        <f ca="1">Acciones!$C$751*EXP((I$2-I$3/2)*(1)+I$4*_xlfn.NORM.S.INV(RAND())*SQRT(1))</f>
        <v>157.9927807753869</v>
      </c>
      <c r="O240" s="30">
        <f ca="1">Acciones!$D$751*EXP((J$2-J$3/2)*(1)+J$4*_xlfn.NORM.S.INV(RAND())*SQRT(1))</f>
        <v>993.05016931496607</v>
      </c>
      <c r="P240" s="30">
        <f ca="1">Acciones!$E$751*EXP((K$2-K$3/2)*(1)+K$4*_xlfn.NORM.S.INV(RAND())*SQRT(1))</f>
        <v>0.12911771178945275</v>
      </c>
      <c r="Q240" s="30"/>
      <c r="R240">
        <f ca="1">M240/Acciones!$B$751*$I$10 + N240/Acciones!$C$751*$I$11 + O240/Acciones!$D$751*$I$12 + P240/Acciones!$D$751*$I$13</f>
        <v>23327.828179340599</v>
      </c>
      <c r="T240" s="14">
        <f t="shared" ca="1" si="6"/>
        <v>-5172.1718206594014</v>
      </c>
      <c r="V240">
        <v>-5815.3417239451192</v>
      </c>
    </row>
    <row r="241" spans="1:22" x14ac:dyDescent="0.2">
      <c r="A241" s="1">
        <f>Acciones!A241</f>
        <v>45345</v>
      </c>
      <c r="B241" s="29">
        <f>LN(Acciones!B241/Acciones!B240)</f>
        <v>-2.3880822924650439E-2</v>
      </c>
      <c r="C241" s="29">
        <f>LN(Acciones!C241/Acciones!C240)</f>
        <v>-2.8153955771176378E-2</v>
      </c>
      <c r="D241" s="29">
        <f>LN(Acciones!D241/Acciones!D240)</f>
        <v>1.2063393899132566E-2</v>
      </c>
      <c r="E241" s="29">
        <f>LN(Acciones!E241/Acciones!E240)</f>
        <v>-5.9348005995511878E-3</v>
      </c>
      <c r="M241" s="30">
        <f ca="1">Acciones!$B$751*EXP((H$2-H$3/2)*(1)+H$4*_xlfn.NORM.S.INV(RAND())*SQRT(1))</f>
        <v>11.061101058411239</v>
      </c>
      <c r="N241" s="30">
        <f ca="1">Acciones!$C$751*EXP((I$2-I$3/2)*(1)+I$4*_xlfn.NORM.S.INV(RAND())*SQRT(1))</f>
        <v>151.38267934241995</v>
      </c>
      <c r="O241" s="30">
        <f ca="1">Acciones!$D$751*EXP((J$2-J$3/2)*(1)+J$4*_xlfn.NORM.S.INV(RAND())*SQRT(1))</f>
        <v>1011.3105602111755</v>
      </c>
      <c r="P241" s="30">
        <f ca="1">Acciones!$E$751*EXP((K$2-K$3/2)*(1)+K$4*_xlfn.NORM.S.INV(RAND())*SQRT(1))</f>
        <v>0.12372986509982302</v>
      </c>
      <c r="Q241" s="30"/>
      <c r="R241">
        <f ca="1">M241/Acciones!$B$751*$I$10 + N241/Acciones!$C$751*$I$11 + O241/Acciones!$D$751*$I$12 + P241/Acciones!$D$751*$I$13</f>
        <v>23130.964505250169</v>
      </c>
      <c r="T241" s="14">
        <f t="shared" ca="1" si="6"/>
        <v>-5369.0354947498308</v>
      </c>
      <c r="V241">
        <v>-5813.6818585961591</v>
      </c>
    </row>
    <row r="242" spans="1:22" x14ac:dyDescent="0.2">
      <c r="A242" s="1">
        <f>Acciones!A242</f>
        <v>45348</v>
      </c>
      <c r="B242" s="29">
        <f>LN(Acciones!B242/Acciones!B241)</f>
        <v>6.8815270963145901E-3</v>
      </c>
      <c r="C242" s="29">
        <f>LN(Acciones!C242/Acciones!C241)</f>
        <v>0.20185016459584965</v>
      </c>
      <c r="D242" s="29">
        <f>LN(Acciones!D242/Acciones!D241)</f>
        <v>-1.1923573831520854E-2</v>
      </c>
      <c r="E242" s="29">
        <f>LN(Acciones!E242/Acciones!E241)</f>
        <v>0</v>
      </c>
      <c r="M242" s="30">
        <f ca="1">Acciones!$B$751*EXP((H$2-H$3/2)*(1)+H$4*_xlfn.NORM.S.INV(RAND())*SQRT(1))</f>
        <v>11.169877486905763</v>
      </c>
      <c r="N242" s="30">
        <f ca="1">Acciones!$C$751*EXP((I$2-I$3/2)*(1)+I$4*_xlfn.NORM.S.INV(RAND())*SQRT(1))</f>
        <v>155.26487012300777</v>
      </c>
      <c r="O242" s="30">
        <f ca="1">Acciones!$D$751*EXP((J$2-J$3/2)*(1)+J$4*_xlfn.NORM.S.INV(RAND())*SQRT(1))</f>
        <v>1007.9081524405076</v>
      </c>
      <c r="P242" s="30">
        <f ca="1">Acciones!$E$751*EXP((K$2-K$3/2)*(1)+K$4*_xlfn.NORM.S.INV(RAND())*SQRT(1))</f>
        <v>0.1160866722257972</v>
      </c>
      <c r="Q242" s="30"/>
      <c r="R242">
        <f ca="1">M242/Acciones!$B$751*$I$10 + N242/Acciones!$C$751*$I$11 + O242/Acciones!$D$751*$I$12 + P242/Acciones!$D$751*$I$13</f>
        <v>23374.13635113063</v>
      </c>
      <c r="T242" s="14">
        <f t="shared" ca="1" si="6"/>
        <v>-5125.8636488693701</v>
      </c>
      <c r="V242">
        <v>-5813.1727927131906</v>
      </c>
    </row>
    <row r="243" spans="1:22" x14ac:dyDescent="0.2">
      <c r="A243" s="1">
        <f>Acciones!A243</f>
        <v>45349</v>
      </c>
      <c r="B243" s="29">
        <f>LN(Acciones!B243/Acciones!B242)</f>
        <v>-4.8540911745342856E-2</v>
      </c>
      <c r="C243" s="29">
        <f>LN(Acciones!C243/Acciones!C242)</f>
        <v>3.8025892285164245E-2</v>
      </c>
      <c r="D243" s="29">
        <f>LN(Acciones!D243/Acciones!D242)</f>
        <v>-1.8191189723724653E-3</v>
      </c>
      <c r="E243" s="29">
        <f>LN(Acciones!E243/Acciones!E242)</f>
        <v>0</v>
      </c>
      <c r="M243" s="30">
        <f ca="1">Acciones!$B$751*EXP((H$2-H$3/2)*(1)+H$4*_xlfn.NORM.S.INV(RAND())*SQRT(1))</f>
        <v>10.545215899632703</v>
      </c>
      <c r="N243" s="30">
        <f ca="1">Acciones!$C$751*EXP((I$2-I$3/2)*(1)+I$4*_xlfn.NORM.S.INV(RAND())*SQRT(1))</f>
        <v>148.40603279125722</v>
      </c>
      <c r="O243" s="30">
        <f ca="1">Acciones!$D$751*EXP((J$2-J$3/2)*(1)+J$4*_xlfn.NORM.S.INV(RAND())*SQRT(1))</f>
        <v>984.86501951637308</v>
      </c>
      <c r="P243" s="30">
        <f ca="1">Acciones!$E$751*EXP((K$2-K$3/2)*(1)+K$4*_xlfn.NORM.S.INV(RAND())*SQRT(1))</f>
        <v>0.11987965509328158</v>
      </c>
      <c r="Q243" s="30"/>
      <c r="R243">
        <f ca="1">M243/Acciones!$B$751*$I$10 + N243/Acciones!$C$751*$I$11 + O243/Acciones!$D$751*$I$12 + P243/Acciones!$D$751*$I$13</f>
        <v>22514.697092957791</v>
      </c>
      <c r="T243" s="14">
        <f t="shared" ca="1" si="6"/>
        <v>-5985.302907042209</v>
      </c>
      <c r="V243">
        <v>-5810.5276043662598</v>
      </c>
    </row>
    <row r="244" spans="1:22" x14ac:dyDescent="0.2">
      <c r="A244" s="1">
        <f>Acciones!A244</f>
        <v>45350</v>
      </c>
      <c r="B244" s="29">
        <f>LN(Acciones!B244/Acciones!B243)</f>
        <v>-3.1917568949639187E-2</v>
      </c>
      <c r="C244" s="29">
        <f>LN(Acciones!C244/Acciones!C243)</f>
        <v>1.5837282400892196E-2</v>
      </c>
      <c r="D244" s="29">
        <f>LN(Acciones!D244/Acciones!D243)</f>
        <v>1.1198230557645751E-3</v>
      </c>
      <c r="E244" s="29">
        <f>LN(Acciones!E244/Acciones!E243)</f>
        <v>-4.879011804679325E-2</v>
      </c>
      <c r="M244" s="30">
        <f ca="1">Acciones!$B$751*EXP((H$2-H$3/2)*(1)+H$4*_xlfn.NORM.S.INV(RAND())*SQRT(1))</f>
        <v>10.455245071780308</v>
      </c>
      <c r="N244" s="30">
        <f ca="1">Acciones!$C$751*EXP((I$2-I$3/2)*(1)+I$4*_xlfn.NORM.S.INV(RAND())*SQRT(1))</f>
        <v>157.98684934323521</v>
      </c>
      <c r="O244" s="30">
        <f ca="1">Acciones!$D$751*EXP((J$2-J$3/2)*(1)+J$4*_xlfn.NORM.S.INV(RAND())*SQRT(1))</f>
        <v>1004.8880307825642</v>
      </c>
      <c r="P244" s="30">
        <f ca="1">Acciones!$E$751*EXP((K$2-K$3/2)*(1)+K$4*_xlfn.NORM.S.INV(RAND())*SQRT(1))</f>
        <v>0.12872737311557281</v>
      </c>
      <c r="Q244" s="30"/>
      <c r="R244">
        <f ca="1">M244/Acciones!$B$751*$I$10 + N244/Acciones!$C$751*$I$11 + O244/Acciones!$D$751*$I$12 + P244/Acciones!$D$751*$I$13</f>
        <v>23284.652351015651</v>
      </c>
      <c r="T244" s="14">
        <f t="shared" ca="1" si="6"/>
        <v>-5215.3476489843488</v>
      </c>
      <c r="V244">
        <v>-5808.9423595761727</v>
      </c>
    </row>
    <row r="245" spans="1:22" x14ac:dyDescent="0.2">
      <c r="A245" s="1">
        <f>Acciones!A245</f>
        <v>45351</v>
      </c>
      <c r="B245" s="29">
        <f>LN(Acciones!B245/Acciones!B244)</f>
        <v>-1.3948108027209912E-2</v>
      </c>
      <c r="C245" s="29">
        <f>LN(Acciones!C245/Acciones!C244)</f>
        <v>-0.18034709778437144</v>
      </c>
      <c r="D245" s="29">
        <f>LN(Acciones!D245/Acciones!D244)</f>
        <v>-1.063270838143191E-2</v>
      </c>
      <c r="E245" s="29">
        <f>LN(Acciones!E245/Acciones!E244)</f>
        <v>-4.4735927442044465E-2</v>
      </c>
      <c r="M245" s="30">
        <f ca="1">Acciones!$B$751*EXP((H$2-H$3/2)*(1)+H$4*_xlfn.NORM.S.INV(RAND())*SQRT(1))</f>
        <v>10.963332183123615</v>
      </c>
      <c r="N245" s="30">
        <f ca="1">Acciones!$C$751*EXP((I$2-I$3/2)*(1)+I$4*_xlfn.NORM.S.INV(RAND())*SQRT(1))</f>
        <v>139.68755894561389</v>
      </c>
      <c r="O245" s="30">
        <f ca="1">Acciones!$D$751*EXP((J$2-J$3/2)*(1)+J$4*_xlfn.NORM.S.INV(RAND())*SQRT(1))</f>
        <v>1034.1835288131044</v>
      </c>
      <c r="P245" s="30">
        <f ca="1">Acciones!$E$751*EXP((K$2-K$3/2)*(1)+K$4*_xlfn.NORM.S.INV(RAND())*SQRT(1))</f>
        <v>0.12596802285171868</v>
      </c>
      <c r="Q245" s="30"/>
      <c r="R245">
        <f ca="1">M245/Acciones!$B$751*$I$10 + N245/Acciones!$C$751*$I$11 + O245/Acciones!$D$751*$I$12 + P245/Acciones!$D$751*$I$13</f>
        <v>22598.49291885471</v>
      </c>
      <c r="T245" s="14">
        <f t="shared" ca="1" si="6"/>
        <v>-5901.5070811452897</v>
      </c>
      <c r="V245">
        <v>-5804.6822004371315</v>
      </c>
    </row>
    <row r="246" spans="1:22" x14ac:dyDescent="0.2">
      <c r="A246" s="1">
        <f>Acciones!A246</f>
        <v>45352</v>
      </c>
      <c r="B246" s="29">
        <f>LN(Acciones!B246/Acciones!B245)</f>
        <v>1.3948108027210034E-2</v>
      </c>
      <c r="C246" s="29">
        <f>LN(Acciones!C246/Acciones!C245)</f>
        <v>2.7482869935687517E-2</v>
      </c>
      <c r="D246" s="29">
        <f>LN(Acciones!D246/Acciones!D245)</f>
        <v>-1.8688847324612821E-2</v>
      </c>
      <c r="E246" s="29">
        <f>LN(Acciones!E246/Acciones!E245)</f>
        <v>-7.4610875313755848E-2</v>
      </c>
      <c r="M246" s="30">
        <f ca="1">Acciones!$B$751*EXP((H$2-H$3/2)*(1)+H$4*_xlfn.NORM.S.INV(RAND())*SQRT(1))</f>
        <v>11.06366937029469</v>
      </c>
      <c r="N246" s="30">
        <f ca="1">Acciones!$C$751*EXP((I$2-I$3/2)*(1)+I$4*_xlfn.NORM.S.INV(RAND())*SQRT(1))</f>
        <v>166.55768322512014</v>
      </c>
      <c r="O246" s="30">
        <f ca="1">Acciones!$D$751*EXP((J$2-J$3/2)*(1)+J$4*_xlfn.NORM.S.INV(RAND())*SQRT(1))</f>
        <v>973.45026827664753</v>
      </c>
      <c r="P246" s="30">
        <f ca="1">Acciones!$E$751*EXP((K$2-K$3/2)*(1)+K$4*_xlfn.NORM.S.INV(RAND())*SQRT(1))</f>
        <v>0.1253977230266915</v>
      </c>
      <c r="Q246" s="30"/>
      <c r="R246">
        <f ca="1">M246/Acciones!$B$751*$I$10 + N246/Acciones!$C$751*$I$11 + O246/Acciones!$D$751*$I$12 + P246/Acciones!$D$751*$I$13</f>
        <v>23700.075516402274</v>
      </c>
      <c r="T246" s="14">
        <f t="shared" ca="1" si="6"/>
        <v>-4799.9244835977261</v>
      </c>
      <c r="V246">
        <v>-5801.9185024235339</v>
      </c>
    </row>
    <row r="247" spans="1:22" x14ac:dyDescent="0.2">
      <c r="A247" s="1">
        <f>Acciones!A247</f>
        <v>45355</v>
      </c>
      <c r="B247" s="29">
        <f>LN(Acciones!B247/Acciones!B246)</f>
        <v>1.1421032675675416E-2</v>
      </c>
      <c r="C247" s="29">
        <f>LN(Acciones!C247/Acciones!C246)</f>
        <v>-3.6181365651821583E-2</v>
      </c>
      <c r="D247" s="29">
        <f>LN(Acciones!D247/Acciones!D246)</f>
        <v>-1.8915415737198207E-2</v>
      </c>
      <c r="E247" s="29">
        <f>LN(Acciones!E247/Acciones!E246)</f>
        <v>-8.8292613603385639E-2</v>
      </c>
      <c r="M247" s="30">
        <f ca="1">Acciones!$B$751*EXP((H$2-H$3/2)*(1)+H$4*_xlfn.NORM.S.INV(RAND())*SQRT(1))</f>
        <v>10.966028580284641</v>
      </c>
      <c r="N247" s="30">
        <f ca="1">Acciones!$C$751*EXP((I$2-I$3/2)*(1)+I$4*_xlfn.NORM.S.INV(RAND())*SQRT(1))</f>
        <v>149.37378589513426</v>
      </c>
      <c r="O247" s="30">
        <f ca="1">Acciones!$D$751*EXP((J$2-J$3/2)*(1)+J$4*_xlfn.NORM.S.INV(RAND())*SQRT(1))</f>
        <v>1039.180122987965</v>
      </c>
      <c r="P247" s="30">
        <f ca="1">Acciones!$E$751*EXP((K$2-K$3/2)*(1)+K$4*_xlfn.NORM.S.INV(RAND())*SQRT(1))</f>
        <v>0.12226437513651295</v>
      </c>
      <c r="Q247" s="30"/>
      <c r="R247">
        <f ca="1">M247/Acciones!$B$751*$I$10 + N247/Acciones!$C$751*$I$11 + O247/Acciones!$D$751*$I$12 + P247/Acciones!$D$751*$I$13</f>
        <v>23254.17793263348</v>
      </c>
      <c r="T247" s="14">
        <f t="shared" ca="1" si="6"/>
        <v>-5245.8220673665201</v>
      </c>
      <c r="V247">
        <v>-5797.2326939283994</v>
      </c>
    </row>
    <row r="248" spans="1:22" x14ac:dyDescent="0.2">
      <c r="A248" s="1">
        <f>Acciones!A248</f>
        <v>45356</v>
      </c>
      <c r="B248" s="29">
        <f>LN(Acciones!B248/Acciones!B247)</f>
        <v>4.5380695531046823E-2</v>
      </c>
      <c r="C248" s="29">
        <f>LN(Acciones!C248/Acciones!C247)</f>
        <v>-0.14709349177101771</v>
      </c>
      <c r="D248" s="29">
        <f>LN(Acciones!D248/Acciones!D247)</f>
        <v>-1.9699502015412127E-2</v>
      </c>
      <c r="E248" s="29">
        <f>LN(Acciones!E248/Acciones!E247)</f>
        <v>-6.3513345591540898E-2</v>
      </c>
      <c r="M248" s="30">
        <f ca="1">Acciones!$B$751*EXP((H$2-H$3/2)*(1)+H$4*_xlfn.NORM.S.INV(RAND())*SQRT(1))</f>
        <v>10.870268543209034</v>
      </c>
      <c r="N248" s="30">
        <f ca="1">Acciones!$C$751*EXP((I$2-I$3/2)*(1)+I$4*_xlfn.NORM.S.INV(RAND())*SQRT(1))</f>
        <v>145.96552757997458</v>
      </c>
      <c r="O248" s="30">
        <f ca="1">Acciones!$D$751*EXP((J$2-J$3/2)*(1)+J$4*_xlfn.NORM.S.INV(RAND())*SQRT(1))</f>
        <v>1041.4869355294766</v>
      </c>
      <c r="P248" s="30">
        <f ca="1">Acciones!$E$751*EXP((K$2-K$3/2)*(1)+K$4*_xlfn.NORM.S.INV(RAND())*SQRT(1))</f>
        <v>0.12033033383038544</v>
      </c>
      <c r="Q248" s="30"/>
      <c r="R248">
        <f ca="1">M248/Acciones!$B$751*$I$10 + N248/Acciones!$C$751*$I$11 + O248/Acciones!$D$751*$I$12 + P248/Acciones!$D$751*$I$13</f>
        <v>23033.746698094747</v>
      </c>
      <c r="T248" s="14">
        <f t="shared" ca="1" si="6"/>
        <v>-5466.2533019052535</v>
      </c>
      <c r="V248">
        <v>-5795.2258447887143</v>
      </c>
    </row>
    <row r="249" spans="1:22" x14ac:dyDescent="0.2">
      <c r="A249" s="1">
        <f>Acciones!A249</f>
        <v>45357</v>
      </c>
      <c r="B249" s="29">
        <f>LN(Acciones!B249/Acciones!B248)</f>
        <v>-1.7061441749192337E-2</v>
      </c>
      <c r="C249" s="29">
        <f>LN(Acciones!C249/Acciones!C248)</f>
        <v>1.0804094775549642E-2</v>
      </c>
      <c r="D249" s="29">
        <f>LN(Acciones!D249/Acciones!D248)</f>
        <v>-1.222339613219443E-2</v>
      </c>
      <c r="E249" s="29">
        <f>LN(Acciones!E249/Acciones!E248)</f>
        <v>0</v>
      </c>
      <c r="M249" s="30">
        <f ca="1">Acciones!$B$751*EXP((H$2-H$3/2)*(1)+H$4*_xlfn.NORM.S.INV(RAND())*SQRT(1))</f>
        <v>10.848434422040169</v>
      </c>
      <c r="N249" s="30">
        <f ca="1">Acciones!$C$751*EXP((I$2-I$3/2)*(1)+I$4*_xlfn.NORM.S.INV(RAND())*SQRT(1))</f>
        <v>166.2828332667595</v>
      </c>
      <c r="O249" s="30">
        <f ca="1">Acciones!$D$751*EXP((J$2-J$3/2)*(1)+J$4*_xlfn.NORM.S.INV(RAND())*SQRT(1))</f>
        <v>990.1842224513349</v>
      </c>
      <c r="P249" s="30">
        <f ca="1">Acciones!$E$751*EXP((K$2-K$3/2)*(1)+K$4*_xlfn.NORM.S.INV(RAND())*SQRT(1))</f>
        <v>0.13111770480401003</v>
      </c>
      <c r="Q249" s="30"/>
      <c r="R249">
        <f ca="1">M249/Acciones!$B$751*$I$10 + N249/Acciones!$C$751*$I$11 + O249/Acciones!$D$751*$I$12 + P249/Acciones!$D$751*$I$13</f>
        <v>23781.511479349829</v>
      </c>
      <c r="T249" s="14">
        <f t="shared" ca="1" si="6"/>
        <v>-4718.4885206501713</v>
      </c>
      <c r="V249">
        <v>-5787.6200933171604</v>
      </c>
    </row>
    <row r="250" spans="1:22" x14ac:dyDescent="0.2">
      <c r="A250" s="1">
        <f>Acciones!A250</f>
        <v>45358</v>
      </c>
      <c r="B250" s="29">
        <f>LN(Acciones!B250/Acciones!B249)</f>
        <v>-3.2463475211254338E-4</v>
      </c>
      <c r="C250" s="29">
        <f>LN(Acciones!C250/Acciones!C249)</f>
        <v>-3.7438007855601488E-2</v>
      </c>
      <c r="D250" s="29">
        <f>LN(Acciones!D250/Acciones!D249)</f>
        <v>1.1414250031903548E-2</v>
      </c>
      <c r="E250" s="29">
        <f>LN(Acciones!E250/Acciones!E249)</f>
        <v>5.5791306606113172E-2</v>
      </c>
      <c r="M250" s="30">
        <f ca="1">Acciones!$B$751*EXP((H$2-H$3/2)*(1)+H$4*_xlfn.NORM.S.INV(RAND())*SQRT(1))</f>
        <v>11.156481585640201</v>
      </c>
      <c r="N250" s="30">
        <f ca="1">Acciones!$C$751*EXP((I$2-I$3/2)*(1)+I$4*_xlfn.NORM.S.INV(RAND())*SQRT(1))</f>
        <v>158.10011173901646</v>
      </c>
      <c r="O250" s="30">
        <f ca="1">Acciones!$D$751*EXP((J$2-J$3/2)*(1)+J$4*_xlfn.NORM.S.INV(RAND())*SQRT(1))</f>
        <v>945.97160665651597</v>
      </c>
      <c r="P250" s="30">
        <f ca="1">Acciones!$E$751*EXP((K$2-K$3/2)*(1)+K$4*_xlfn.NORM.S.INV(RAND())*SQRT(1))</f>
        <v>0.13618704464967191</v>
      </c>
      <c r="Q250" s="30"/>
      <c r="R250">
        <f ca="1">M250/Acciones!$B$751*$I$10 + N250/Acciones!$C$751*$I$11 + O250/Acciones!$D$751*$I$12 + P250/Acciones!$D$751*$I$13</f>
        <v>22926.594605831073</v>
      </c>
      <c r="T250" s="14">
        <f t="shared" ca="1" si="6"/>
        <v>-5573.4053941689272</v>
      </c>
      <c r="V250">
        <v>-5787.1584511680885</v>
      </c>
    </row>
    <row r="251" spans="1:22" x14ac:dyDescent="0.2">
      <c r="A251" s="1">
        <f>Acciones!A251</f>
        <v>45359</v>
      </c>
      <c r="B251" s="29">
        <f>LN(Acciones!B251/Acciones!B250)</f>
        <v>-2.4327409089111969E-2</v>
      </c>
      <c r="C251" s="29">
        <f>LN(Acciones!C251/Acciones!C250)</f>
        <v>7.4131293279408303E-2</v>
      </c>
      <c r="D251" s="29">
        <f>LN(Acciones!D251/Acciones!D250)</f>
        <v>-3.8372079332431769E-4</v>
      </c>
      <c r="E251" s="29">
        <f>LN(Acciones!E251/Acciones!E250)</f>
        <v>7.4661548048869125E-2</v>
      </c>
      <c r="M251" s="30">
        <f ca="1">Acciones!$B$751*EXP((H$2-H$3/2)*(1)+H$4*_xlfn.NORM.S.INV(RAND())*SQRT(1))</f>
        <v>11.112079426056749</v>
      </c>
      <c r="N251" s="30">
        <f ca="1">Acciones!$C$751*EXP((I$2-I$3/2)*(1)+I$4*_xlfn.NORM.S.INV(RAND())*SQRT(1))</f>
        <v>167.97583483854663</v>
      </c>
      <c r="O251" s="30">
        <f ca="1">Acciones!$D$751*EXP((J$2-J$3/2)*(1)+J$4*_xlfn.NORM.S.INV(RAND())*SQRT(1))</f>
        <v>998.43341375158809</v>
      </c>
      <c r="P251" s="30">
        <f ca="1">Acciones!$E$751*EXP((K$2-K$3/2)*(1)+K$4*_xlfn.NORM.S.INV(RAND())*SQRT(1))</f>
        <v>0.12522114942750412</v>
      </c>
      <c r="Q251" s="30"/>
      <c r="R251">
        <f ca="1">M251/Acciones!$B$751*$I$10 + N251/Acciones!$C$751*$I$11 + O251/Acciones!$D$751*$I$12 + P251/Acciones!$D$751*$I$13</f>
        <v>24054.39376168566</v>
      </c>
      <c r="T251" s="14">
        <f t="shared" ca="1" si="6"/>
        <v>-4445.6062383143399</v>
      </c>
      <c r="V251">
        <v>-5786.8636491352736</v>
      </c>
    </row>
    <row r="252" spans="1:22" x14ac:dyDescent="0.2">
      <c r="A252" s="1">
        <f>Acciones!A252</f>
        <v>45362</v>
      </c>
      <c r="B252" s="29">
        <f>LN(Acciones!B252/Acciones!B251)</f>
        <v>-5.6732428828900261E-3</v>
      </c>
      <c r="C252" s="29">
        <f>LN(Acciones!C252/Acciones!C251)</f>
        <v>-0.12744294636968329</v>
      </c>
      <c r="D252" s="29">
        <f>LN(Acciones!D252/Acciones!D251)</f>
        <v>2.2066185910485828E-2</v>
      </c>
      <c r="E252" s="29">
        <f>LN(Acciones!E252/Acciones!E251)</f>
        <v>4.22598524666528E-2</v>
      </c>
      <c r="M252" s="30">
        <f ca="1">Acciones!$B$751*EXP((H$2-H$3/2)*(1)+H$4*_xlfn.NORM.S.INV(RAND())*SQRT(1))</f>
        <v>10.60344825570264</v>
      </c>
      <c r="N252" s="30">
        <f ca="1">Acciones!$C$751*EXP((I$2-I$3/2)*(1)+I$4*_xlfn.NORM.S.INV(RAND())*SQRT(1))</f>
        <v>151.76921202784587</v>
      </c>
      <c r="O252" s="30">
        <f ca="1">Acciones!$D$751*EXP((J$2-J$3/2)*(1)+J$4*_xlfn.NORM.S.INV(RAND())*SQRT(1))</f>
        <v>1010.0400568166174</v>
      </c>
      <c r="P252" s="30">
        <f ca="1">Acciones!$E$751*EXP((K$2-K$3/2)*(1)+K$4*_xlfn.NORM.S.INV(RAND())*SQRT(1))</f>
        <v>0.12519475025837146</v>
      </c>
      <c r="Q252" s="30"/>
      <c r="R252">
        <f ca="1">M252/Acciones!$B$751*$I$10 + N252/Acciones!$C$751*$I$11 + O252/Acciones!$D$751*$I$12 + P252/Acciones!$D$751*$I$13</f>
        <v>22995.563106209182</v>
      </c>
      <c r="T252" s="14">
        <f t="shared" ca="1" si="6"/>
        <v>-5504.4368937908184</v>
      </c>
      <c r="V252">
        <v>-5786.1725599614256</v>
      </c>
    </row>
    <row r="253" spans="1:22" x14ac:dyDescent="0.2">
      <c r="A253" s="1">
        <f>Acciones!A253</f>
        <v>45363</v>
      </c>
      <c r="B253" s="29">
        <f>LN(Acciones!B253/Acciones!B252)</f>
        <v>-1.4155983742432271E-2</v>
      </c>
      <c r="C253" s="29">
        <f>LN(Acciones!C253/Acciones!C252)</f>
        <v>-2.566819867929155E-2</v>
      </c>
      <c r="D253" s="29">
        <f>LN(Acciones!D253/Acciones!D252)</f>
        <v>-1.2093830877984288E-2</v>
      </c>
      <c r="E253" s="29">
        <f>LN(Acciones!E253/Acciones!E252)</f>
        <v>9.8440054829091878E-2</v>
      </c>
      <c r="M253" s="30">
        <f ca="1">Acciones!$B$751*EXP((H$2-H$3/2)*(1)+H$4*_xlfn.NORM.S.INV(RAND())*SQRT(1))</f>
        <v>11.063079627980793</v>
      </c>
      <c r="N253" s="30">
        <f ca="1">Acciones!$C$751*EXP((I$2-I$3/2)*(1)+I$4*_xlfn.NORM.S.INV(RAND())*SQRT(1))</f>
        <v>160.35529831445749</v>
      </c>
      <c r="O253" s="30">
        <f ca="1">Acciones!$D$751*EXP((J$2-J$3/2)*(1)+J$4*_xlfn.NORM.S.INV(RAND())*SQRT(1))</f>
        <v>1017.1763036859153</v>
      </c>
      <c r="P253" s="30">
        <f ca="1">Acciones!$E$751*EXP((K$2-K$3/2)*(1)+K$4*_xlfn.NORM.S.INV(RAND())*SQRT(1))</f>
        <v>0.13010467943619336</v>
      </c>
      <c r="Q253" s="30"/>
      <c r="R253">
        <f ca="1">M253/Acciones!$B$751*$I$10 + N253/Acciones!$C$751*$I$11 + O253/Acciones!$D$751*$I$12 + P253/Acciones!$D$751*$I$13</f>
        <v>23750.623998264513</v>
      </c>
      <c r="T253" s="14">
        <f t="shared" ca="1" si="6"/>
        <v>-4749.3760017354871</v>
      </c>
      <c r="V253">
        <v>-5784.4568194600542</v>
      </c>
    </row>
    <row r="254" spans="1:22" x14ac:dyDescent="0.2">
      <c r="A254" s="1">
        <f>Acciones!A254</f>
        <v>45364</v>
      </c>
      <c r="B254" s="29">
        <f>LN(Acciones!B254/Acciones!B253)</f>
        <v>4.4156635714434289E-2</v>
      </c>
      <c r="C254" s="29">
        <f>LN(Acciones!C254/Acciones!C253)</f>
        <v>-2.8826448182386607E-2</v>
      </c>
      <c r="D254" s="29">
        <f>LN(Acciones!D254/Acciones!D253)</f>
        <v>7.6900315141737599E-3</v>
      </c>
      <c r="E254" s="29">
        <f>LN(Acciones!E254/Acciones!E253)</f>
        <v>2.4692588966581164E-2</v>
      </c>
      <c r="M254" s="30">
        <f ca="1">Acciones!$B$751*EXP((H$2-H$3/2)*(1)+H$4*_xlfn.NORM.S.INV(RAND())*SQRT(1))</f>
        <v>10.611934099301857</v>
      </c>
      <c r="N254" s="30">
        <f ca="1">Acciones!$C$751*EXP((I$2-I$3/2)*(1)+I$4*_xlfn.NORM.S.INV(RAND())*SQRT(1))</f>
        <v>156.79857890666182</v>
      </c>
      <c r="O254" s="30">
        <f ca="1">Acciones!$D$751*EXP((J$2-J$3/2)*(1)+J$4*_xlfn.NORM.S.INV(RAND())*SQRT(1))</f>
        <v>1015.8008907021535</v>
      </c>
      <c r="P254" s="30">
        <f ca="1">Acciones!$E$751*EXP((K$2-K$3/2)*(1)+K$4*_xlfn.NORM.S.INV(RAND())*SQRT(1))</f>
        <v>0.12410529436141927</v>
      </c>
      <c r="Q254" s="30"/>
      <c r="R254">
        <f ca="1">M254/Acciones!$B$751*$I$10 + N254/Acciones!$C$751*$I$11 + O254/Acciones!$D$751*$I$12 + P254/Acciones!$D$751*$I$13</f>
        <v>23370.007940502685</v>
      </c>
      <c r="T254" s="14">
        <f t="shared" ca="1" si="6"/>
        <v>-5129.9920594973155</v>
      </c>
      <c r="V254">
        <v>-5780.4152891270205</v>
      </c>
    </row>
    <row r="255" spans="1:22" x14ac:dyDescent="0.2">
      <c r="A255" s="1">
        <f>Acciones!A255</f>
        <v>45365</v>
      </c>
      <c r="B255" s="29">
        <f>LN(Acciones!B255/Acciones!B254)</f>
        <v>-1.3734715661307245E-2</v>
      </c>
      <c r="C255" s="29">
        <f>LN(Acciones!C255/Acciones!C254)</f>
        <v>-0.10301950125168285</v>
      </c>
      <c r="D255" s="29">
        <f>LN(Acciones!D255/Acciones!D254)</f>
        <v>-1.4482687269714968E-2</v>
      </c>
      <c r="E255" s="29">
        <f>LN(Acciones!E255/Acciones!E254)</f>
        <v>-1.2270080925741781E-2</v>
      </c>
      <c r="M255" s="30">
        <f ca="1">Acciones!$B$751*EXP((H$2-H$3/2)*(1)+H$4*_xlfn.NORM.S.INV(RAND())*SQRT(1))</f>
        <v>10.904999691050955</v>
      </c>
      <c r="N255" s="30">
        <f ca="1">Acciones!$C$751*EXP((I$2-I$3/2)*(1)+I$4*_xlfn.NORM.S.INV(RAND())*SQRT(1))</f>
        <v>131.37710710686437</v>
      </c>
      <c r="O255" s="30">
        <f ca="1">Acciones!$D$751*EXP((J$2-J$3/2)*(1)+J$4*_xlfn.NORM.S.INV(RAND())*SQRT(1))</f>
        <v>979.18866586275931</v>
      </c>
      <c r="P255" s="30">
        <f ca="1">Acciones!$E$751*EXP((K$2-K$3/2)*(1)+K$4*_xlfn.NORM.S.INV(RAND())*SQRT(1))</f>
        <v>0.11542031126603658</v>
      </c>
      <c r="Q255" s="30"/>
      <c r="R255">
        <f ca="1">M255/Acciones!$B$751*$I$10 + N255/Acciones!$C$751*$I$11 + O255/Acciones!$D$751*$I$12 + P255/Acciones!$D$751*$I$13</f>
        <v>21509.978130476218</v>
      </c>
      <c r="T255" s="14">
        <f t="shared" ca="1" si="6"/>
        <v>-6990.0218695237818</v>
      </c>
      <c r="V255">
        <v>-5779.9752864898364</v>
      </c>
    </row>
    <row r="256" spans="1:22" x14ac:dyDescent="0.2">
      <c r="A256" s="1">
        <f>Acciones!A256</f>
        <v>45366</v>
      </c>
      <c r="B256" s="29">
        <f>LN(Acciones!B256/Acciones!B255)</f>
        <v>-1.2591310516024568E-2</v>
      </c>
      <c r="C256" s="29">
        <f>LN(Acciones!C256/Acciones!C255)</f>
        <v>8.2659699881556151E-2</v>
      </c>
      <c r="D256" s="29">
        <f>LN(Acciones!D256/Acciones!D255)</f>
        <v>-4.5482790783367656E-3</v>
      </c>
      <c r="E256" s="29">
        <f>LN(Acciones!E256/Acciones!E255)</f>
        <v>-7.6961044079566582E-2</v>
      </c>
      <c r="M256" s="30">
        <f ca="1">Acciones!$B$751*EXP((H$2-H$3/2)*(1)+H$4*_xlfn.NORM.S.INV(RAND())*SQRT(1))</f>
        <v>11.265486836597981</v>
      </c>
      <c r="N256" s="30">
        <f ca="1">Acciones!$C$751*EXP((I$2-I$3/2)*(1)+I$4*_xlfn.NORM.S.INV(RAND())*SQRT(1))</f>
        <v>138.88799578046994</v>
      </c>
      <c r="O256" s="30">
        <f ca="1">Acciones!$D$751*EXP((J$2-J$3/2)*(1)+J$4*_xlfn.NORM.S.INV(RAND())*SQRT(1))</f>
        <v>981.56798131446624</v>
      </c>
      <c r="P256" s="30">
        <f ca="1">Acciones!$E$751*EXP((K$2-K$3/2)*(1)+K$4*_xlfn.NORM.S.INV(RAND())*SQRT(1))</f>
        <v>0.13506152826187695</v>
      </c>
      <c r="Q256" s="30"/>
      <c r="R256">
        <f ca="1">M256/Acciones!$B$751*$I$10 + N256/Acciones!$C$751*$I$11 + O256/Acciones!$D$751*$I$12 + P256/Acciones!$D$751*$I$13</f>
        <v>22118.53299508756</v>
      </c>
      <c r="T256" s="14">
        <f t="shared" ca="1" si="6"/>
        <v>-6381.4670049124397</v>
      </c>
      <c r="V256">
        <v>-5778.2725070159686</v>
      </c>
    </row>
    <row r="257" spans="1:22" x14ac:dyDescent="0.2">
      <c r="A257" s="1">
        <f>Acciones!A257</f>
        <v>45370</v>
      </c>
      <c r="B257" s="29">
        <f>LN(Acciones!B257/Acciones!B256)</f>
        <v>5.6525578644532962E-3</v>
      </c>
      <c r="C257" s="29">
        <f>LN(Acciones!C257/Acciones!C256)</f>
        <v>4.9674317834677061E-3</v>
      </c>
      <c r="D257" s="29">
        <f>LN(Acciones!D257/Acciones!D256)</f>
        <v>3.0285248395557122E-3</v>
      </c>
      <c r="E257" s="29">
        <f>LN(Acciones!E257/Acciones!E256)</f>
        <v>0</v>
      </c>
      <c r="M257" s="30">
        <f ca="1">Acciones!$B$751*EXP((H$2-H$3/2)*(1)+H$4*_xlfn.NORM.S.INV(RAND())*SQRT(1))</f>
        <v>11.063905049738583</v>
      </c>
      <c r="N257" s="30">
        <f ca="1">Acciones!$C$751*EXP((I$2-I$3/2)*(1)+I$4*_xlfn.NORM.S.INV(RAND())*SQRT(1))</f>
        <v>177.06517307244249</v>
      </c>
      <c r="O257" s="30">
        <f ca="1">Acciones!$D$751*EXP((J$2-J$3/2)*(1)+J$4*_xlfn.NORM.S.INV(RAND())*SQRT(1))</f>
        <v>941.95590440043338</v>
      </c>
      <c r="P257" s="30">
        <f ca="1">Acciones!$E$751*EXP((K$2-K$3/2)*(1)+K$4*_xlfn.NORM.S.INV(RAND())*SQRT(1))</f>
        <v>0.12801302630934849</v>
      </c>
      <c r="Q257" s="30"/>
      <c r="R257">
        <f ca="1">M257/Acciones!$B$751*$I$10 + N257/Acciones!$C$751*$I$11 + O257/Acciones!$D$751*$I$12 + P257/Acciones!$D$751*$I$13</f>
        <v>24040.77523590676</v>
      </c>
      <c r="T257" s="14">
        <f t="shared" ca="1" si="6"/>
        <v>-4459.2247640932401</v>
      </c>
      <c r="V257">
        <v>-5778.1492907759675</v>
      </c>
    </row>
    <row r="258" spans="1:22" x14ac:dyDescent="0.2">
      <c r="A258" s="1">
        <f>Acciones!A258</f>
        <v>45371</v>
      </c>
      <c r="B258" s="29">
        <f>LN(Acciones!B258/Acciones!B257)</f>
        <v>-4.319659172678382E-3</v>
      </c>
      <c r="C258" s="29">
        <f>LN(Acciones!C258/Acciones!C257)</f>
        <v>0.13396982464878435</v>
      </c>
      <c r="D258" s="29">
        <f>LN(Acciones!D258/Acciones!D257)</f>
        <v>1.5496722593821763E-3</v>
      </c>
      <c r="E258" s="29">
        <f>LN(Acciones!E258/Acciones!E257)</f>
        <v>0</v>
      </c>
      <c r="M258" s="30">
        <f ca="1">Acciones!$B$751*EXP((H$2-H$3/2)*(1)+H$4*_xlfn.NORM.S.INV(RAND())*SQRT(1))</f>
        <v>10.821754807832805</v>
      </c>
      <c r="N258" s="30">
        <f ca="1">Acciones!$C$751*EXP((I$2-I$3/2)*(1)+I$4*_xlfn.NORM.S.INV(RAND())*SQRT(1))</f>
        <v>139.53575715194449</v>
      </c>
      <c r="O258" s="30">
        <f ca="1">Acciones!$D$751*EXP((J$2-J$3/2)*(1)+J$4*_xlfn.NORM.S.INV(RAND())*SQRT(1))</f>
        <v>1004.1428960585616</v>
      </c>
      <c r="P258" s="30">
        <f ca="1">Acciones!$E$751*EXP((K$2-K$3/2)*(1)+K$4*_xlfn.NORM.S.INV(RAND())*SQRT(1))</f>
        <v>0.14348748905105821</v>
      </c>
      <c r="Q258" s="30"/>
      <c r="R258">
        <f ca="1">M258/Acciones!$B$751*$I$10 + N258/Acciones!$C$751*$I$11 + O258/Acciones!$D$751*$I$12 + P258/Acciones!$D$751*$I$13</f>
        <v>22242.792410666461</v>
      </c>
      <c r="T258" s="14">
        <f t="shared" ca="1" si="6"/>
        <v>-6257.2075893335386</v>
      </c>
      <c r="V258">
        <v>-5776.7056331752319</v>
      </c>
    </row>
    <row r="259" spans="1:22" x14ac:dyDescent="0.2">
      <c r="A259" s="1">
        <f>Acciones!A259</f>
        <v>45372</v>
      </c>
      <c r="B259" s="29">
        <f>LN(Acciones!B259/Acciones!B258)</f>
        <v>1.1587535364261856E-2</v>
      </c>
      <c r="C259" s="29">
        <f>LN(Acciones!C259/Acciones!C258)</f>
        <v>-1.1832842092356414E-2</v>
      </c>
      <c r="D259" s="29">
        <f>LN(Acciones!D259/Acciones!D258)</f>
        <v>1.0177285101120296E-2</v>
      </c>
      <c r="E259" s="29">
        <f>LN(Acciones!E259/Acciones!E258)</f>
        <v>0</v>
      </c>
      <c r="M259" s="30">
        <f ca="1">Acciones!$B$751*EXP((H$2-H$3/2)*(1)+H$4*_xlfn.NORM.S.INV(RAND())*SQRT(1))</f>
        <v>11.329040660968142</v>
      </c>
      <c r="N259" s="30">
        <f ca="1">Acciones!$C$751*EXP((I$2-I$3/2)*(1)+I$4*_xlfn.NORM.S.INV(RAND())*SQRT(1))</f>
        <v>137.2584639468532</v>
      </c>
      <c r="O259" s="30">
        <f ca="1">Acciones!$D$751*EXP((J$2-J$3/2)*(1)+J$4*_xlfn.NORM.S.INV(RAND())*SQRT(1))</f>
        <v>977.39869575468504</v>
      </c>
      <c r="P259" s="30">
        <f ca="1">Acciones!$E$751*EXP((K$2-K$3/2)*(1)+K$4*_xlfn.NORM.S.INV(RAND())*SQRT(1))</f>
        <v>0.11058271581825743</v>
      </c>
      <c r="Q259" s="30"/>
      <c r="R259">
        <f ca="1">M259/Acciones!$B$751*$I$10 + N259/Acciones!$C$751*$I$11 + O259/Acciones!$D$751*$I$12 + P259/Acciones!$D$751*$I$13</f>
        <v>21995.279945099952</v>
      </c>
      <c r="T259" s="14">
        <f t="shared" ca="1" si="6"/>
        <v>-6504.7200549000481</v>
      </c>
      <c r="V259">
        <v>-5774.1151221789514</v>
      </c>
    </row>
    <row r="260" spans="1:22" x14ac:dyDescent="0.2">
      <c r="A260" s="1">
        <f>Acciones!A260</f>
        <v>45373</v>
      </c>
      <c r="B260" s="29">
        <f>LN(Acciones!B260/Acciones!B259)</f>
        <v>-1.7934654288448773E-2</v>
      </c>
      <c r="C260" s="29">
        <f>LN(Acciones!C260/Acciones!C259)</f>
        <v>-4.2653224460783616E-2</v>
      </c>
      <c r="D260" s="29">
        <f>LN(Acciones!D260/Acciones!D259)</f>
        <v>-6.8054456553022197E-2</v>
      </c>
      <c r="E260" s="29">
        <f>LN(Acciones!E260/Acciones!E259)</f>
        <v>0</v>
      </c>
      <c r="M260" s="30">
        <f ca="1">Acciones!$B$751*EXP((H$2-H$3/2)*(1)+H$4*_xlfn.NORM.S.INV(RAND())*SQRT(1))</f>
        <v>11.251003216143953</v>
      </c>
      <c r="N260" s="30">
        <f ca="1">Acciones!$C$751*EXP((I$2-I$3/2)*(1)+I$4*_xlfn.NORM.S.INV(RAND())*SQRT(1))</f>
        <v>139.79893272182809</v>
      </c>
      <c r="O260" s="30">
        <f ca="1">Acciones!$D$751*EXP((J$2-J$3/2)*(1)+J$4*_xlfn.NORM.S.INV(RAND())*SQRT(1))</f>
        <v>1022.4816054764816</v>
      </c>
      <c r="P260" s="30">
        <f ca="1">Acciones!$E$751*EXP((K$2-K$3/2)*(1)+K$4*_xlfn.NORM.S.INV(RAND())*SQRT(1))</f>
        <v>0.13654357310601981</v>
      </c>
      <c r="Q260" s="30"/>
      <c r="R260">
        <f ca="1">M260/Acciones!$B$751*$I$10 + N260/Acciones!$C$751*$I$11 + O260/Acciones!$D$751*$I$12 + P260/Acciones!$D$751*$I$13</f>
        <v>22580.580483997528</v>
      </c>
      <c r="T260" s="14">
        <f t="shared" ca="1" si="6"/>
        <v>-5919.4195160024719</v>
      </c>
      <c r="V260">
        <v>-5768.342830163132</v>
      </c>
    </row>
    <row r="261" spans="1:22" x14ac:dyDescent="0.2">
      <c r="A261" s="1">
        <f>Acciones!A261</f>
        <v>45376</v>
      </c>
      <c r="B261" s="29">
        <f>LN(Acciones!B261/Acciones!B260)</f>
        <v>3.7814775071848848E-2</v>
      </c>
      <c r="C261" s="29">
        <f>LN(Acciones!C261/Acciones!C260)</f>
        <v>-1.5930749161620929E-3</v>
      </c>
      <c r="D261" s="29">
        <f>LN(Acciones!D261/Acciones!D260)</f>
        <v>-4.6670061380915794E-3</v>
      </c>
      <c r="E261" s="29">
        <f>LN(Acciones!E261/Acciones!E260)</f>
        <v>-1.3423007444654172E-2</v>
      </c>
      <c r="M261" s="30">
        <f ca="1">Acciones!$B$751*EXP((H$2-H$3/2)*(1)+H$4*_xlfn.NORM.S.INV(RAND())*SQRT(1))</f>
        <v>10.540577556960447</v>
      </c>
      <c r="N261" s="30">
        <f ca="1">Acciones!$C$751*EXP((I$2-I$3/2)*(1)+I$4*_xlfn.NORM.S.INV(RAND())*SQRT(1))</f>
        <v>152.85032324496504</v>
      </c>
      <c r="O261" s="30">
        <f ca="1">Acciones!$D$751*EXP((J$2-J$3/2)*(1)+J$4*_xlfn.NORM.S.INV(RAND())*SQRT(1))</f>
        <v>966.44715947051031</v>
      </c>
      <c r="P261" s="30">
        <f ca="1">Acciones!$E$751*EXP((K$2-K$3/2)*(1)+K$4*_xlfn.NORM.S.INV(RAND())*SQRT(1))</f>
        <v>0.13557249618658299</v>
      </c>
      <c r="Q261" s="30"/>
      <c r="R261">
        <f ca="1">M261/Acciones!$B$751*$I$10 + N261/Acciones!$C$751*$I$11 + O261/Acciones!$D$751*$I$12 + P261/Acciones!$D$751*$I$13</f>
        <v>22606.308703574854</v>
      </c>
      <c r="T261" s="14">
        <f t="shared" ca="1" si="6"/>
        <v>-5893.691296425146</v>
      </c>
      <c r="V261">
        <v>-5766.6864714668372</v>
      </c>
    </row>
    <row r="262" spans="1:22" x14ac:dyDescent="0.2">
      <c r="A262" s="1">
        <f>Acciones!A262</f>
        <v>45377</v>
      </c>
      <c r="B262" s="29">
        <f>LN(Acciones!B262/Acciones!B261)</f>
        <v>-3.2467196280302479E-2</v>
      </c>
      <c r="C262" s="29">
        <f>LN(Acciones!C262/Acciones!C261)</f>
        <v>-2.9469925176076814E-2</v>
      </c>
      <c r="D262" s="29">
        <f>LN(Acciones!D262/Acciones!D261)</f>
        <v>-1.9407486542685062E-2</v>
      </c>
      <c r="E262" s="29">
        <f>LN(Acciones!E262/Acciones!E261)</f>
        <v>-5.5569881072197264E-2</v>
      </c>
      <c r="M262" s="30">
        <f ca="1">Acciones!$B$751*EXP((H$2-H$3/2)*(1)+H$4*_xlfn.NORM.S.INV(RAND())*SQRT(1))</f>
        <v>11.132770138749477</v>
      </c>
      <c r="N262" s="30">
        <f ca="1">Acciones!$C$751*EXP((I$2-I$3/2)*(1)+I$4*_xlfn.NORM.S.INV(RAND())*SQRT(1))</f>
        <v>146.50413036530389</v>
      </c>
      <c r="O262" s="30">
        <f ca="1">Acciones!$D$751*EXP((J$2-J$3/2)*(1)+J$4*_xlfn.NORM.S.INV(RAND())*SQRT(1))</f>
        <v>1039.3771626547325</v>
      </c>
      <c r="P262" s="30">
        <f ca="1">Acciones!$E$751*EXP((K$2-K$3/2)*(1)+K$4*_xlfn.NORM.S.INV(RAND())*SQRT(1))</f>
        <v>0.11991491263338734</v>
      </c>
      <c r="Q262" s="30"/>
      <c r="R262">
        <f ca="1">M262/Acciones!$B$751*$I$10 + N262/Acciones!$C$751*$I$11 + O262/Acciones!$D$751*$I$12 + P262/Acciones!$D$751*$I$13</f>
        <v>23130.453757186195</v>
      </c>
      <c r="T262" s="14">
        <f t="shared" ref="T262:T325" ca="1" si="7">R262-$I$14</f>
        <v>-5369.5462428138053</v>
      </c>
      <c r="V262">
        <v>-5765.7023932907468</v>
      </c>
    </row>
    <row r="263" spans="1:22" x14ac:dyDescent="0.2">
      <c r="A263" s="1">
        <f>Acciones!A263</f>
        <v>45378</v>
      </c>
      <c r="B263" s="29">
        <f>LN(Acciones!B263/Acciones!B262)</f>
        <v>3.3278137821255304E-3</v>
      </c>
      <c r="C263" s="29">
        <f>LN(Acciones!C263/Acciones!C262)</f>
        <v>6.1521085070706007E-2</v>
      </c>
      <c r="D263" s="29">
        <f>LN(Acciones!D263/Acciones!D262)</f>
        <v>1.0438122050716639E-2</v>
      </c>
      <c r="E263" s="29">
        <f>LN(Acciones!E263/Acciones!E262)</f>
        <v>1.4184621799778491E-2</v>
      </c>
      <c r="M263" s="30">
        <f ca="1">Acciones!$B$751*EXP((H$2-H$3/2)*(1)+H$4*_xlfn.NORM.S.INV(RAND())*SQRT(1))</f>
        <v>11.006682829725095</v>
      </c>
      <c r="N263" s="30">
        <f ca="1">Acciones!$C$751*EXP((I$2-I$3/2)*(1)+I$4*_xlfn.NORM.S.INV(RAND())*SQRT(1))</f>
        <v>142.68876305481189</v>
      </c>
      <c r="O263" s="30">
        <f ca="1">Acciones!$D$751*EXP((J$2-J$3/2)*(1)+J$4*_xlfn.NORM.S.INV(RAND())*SQRT(1))</f>
        <v>980.40381346663378</v>
      </c>
      <c r="P263" s="30">
        <f ca="1">Acciones!$E$751*EXP((K$2-K$3/2)*(1)+K$4*_xlfn.NORM.S.INV(RAND())*SQRT(1))</f>
        <v>0.1311620830391079</v>
      </c>
      <c r="Q263" s="30"/>
      <c r="R263">
        <f ca="1">M263/Acciones!$B$751*$I$10 + N263/Acciones!$C$751*$I$11 + O263/Acciones!$D$751*$I$12 + P263/Acciones!$D$751*$I$13</f>
        <v>22261.13844896491</v>
      </c>
      <c r="T263" s="14">
        <f t="shared" ca="1" si="7"/>
        <v>-6238.8615510350901</v>
      </c>
      <c r="V263">
        <v>-5765.2269705445724</v>
      </c>
    </row>
    <row r="264" spans="1:22" x14ac:dyDescent="0.2">
      <c r="A264" s="1">
        <f>Acciones!A264</f>
        <v>45383</v>
      </c>
      <c r="B264" s="29">
        <f>LN(Acciones!B264/Acciones!B263)</f>
        <v>-9.3457975240151241E-3</v>
      </c>
      <c r="C264" s="29">
        <f>LN(Acciones!C264/Acciones!C263)</f>
        <v>-5.03085169612241E-3</v>
      </c>
      <c r="D264" s="29">
        <f>LN(Acciones!D264/Acciones!D263)</f>
        <v>-1.1249631920916579E-2</v>
      </c>
      <c r="E264" s="29">
        <f>LN(Acciones!E264/Acciones!E263)</f>
        <v>2.0906747926708276E-2</v>
      </c>
      <c r="M264" s="30">
        <f ca="1">Acciones!$B$751*EXP((H$2-H$3/2)*(1)+H$4*_xlfn.NORM.S.INV(RAND())*SQRT(1))</f>
        <v>10.91023369227792</v>
      </c>
      <c r="N264" s="30">
        <f ca="1">Acciones!$C$751*EXP((I$2-I$3/2)*(1)+I$4*_xlfn.NORM.S.INV(RAND())*SQRT(1))</f>
        <v>139.01352093977934</v>
      </c>
      <c r="O264" s="30">
        <f ca="1">Acciones!$D$751*EXP((J$2-J$3/2)*(1)+J$4*_xlfn.NORM.S.INV(RAND())*SQRT(1))</f>
        <v>1032.3392490506521</v>
      </c>
      <c r="P264" s="30">
        <f ca="1">Acciones!$E$751*EXP((K$2-K$3/2)*(1)+K$4*_xlfn.NORM.S.INV(RAND())*SQRT(1))</f>
        <v>0.13923417063928117</v>
      </c>
      <c r="Q264" s="30"/>
      <c r="R264">
        <f ca="1">M264/Acciones!$B$751*$I$10 + N264/Acciones!$C$751*$I$11 + O264/Acciones!$D$751*$I$12 + P264/Acciones!$D$751*$I$13</f>
        <v>22520.972717263794</v>
      </c>
      <c r="T264" s="14">
        <f t="shared" ca="1" si="7"/>
        <v>-5979.027282736206</v>
      </c>
      <c r="V264">
        <v>-5762.0624290120359</v>
      </c>
    </row>
    <row r="265" spans="1:22" x14ac:dyDescent="0.2">
      <c r="A265" s="1">
        <f>Acciones!A265</f>
        <v>45384</v>
      </c>
      <c r="B265" s="29">
        <f>LN(Acciones!B265/Acciones!B264)</f>
        <v>-1.0065826423895587E-3</v>
      </c>
      <c r="C265" s="29">
        <f>LN(Acciones!C265/Acciones!C264)</f>
        <v>-0.10006008217053265</v>
      </c>
      <c r="D265" s="29">
        <f>LN(Acciones!D265/Acciones!D264)</f>
        <v>-1.9589428002748356E-2</v>
      </c>
      <c r="E265" s="29">
        <f>LN(Acciones!E265/Acciones!E264)</f>
        <v>-2.0906747926708304E-2</v>
      </c>
      <c r="M265" s="30">
        <f ca="1">Acciones!$B$751*EXP((H$2-H$3/2)*(1)+H$4*_xlfn.NORM.S.INV(RAND())*SQRT(1))</f>
        <v>11.007635410951501</v>
      </c>
      <c r="N265" s="30">
        <f ca="1">Acciones!$C$751*EXP((I$2-I$3/2)*(1)+I$4*_xlfn.NORM.S.INV(RAND())*SQRT(1))</f>
        <v>139.01558436009663</v>
      </c>
      <c r="O265" s="30">
        <f ca="1">Acciones!$D$751*EXP((J$2-J$3/2)*(1)+J$4*_xlfn.NORM.S.INV(RAND())*SQRT(1))</f>
        <v>1043.7269982507262</v>
      </c>
      <c r="P265" s="30">
        <f ca="1">Acciones!$E$751*EXP((K$2-K$3/2)*(1)+K$4*_xlfn.NORM.S.INV(RAND())*SQRT(1))</f>
        <v>0.12107327101210624</v>
      </c>
      <c r="Q265" s="30"/>
      <c r="R265">
        <f ca="1">M265/Acciones!$B$751*$I$10 + N265/Acciones!$C$751*$I$11 + O265/Acciones!$D$751*$I$12 + P265/Acciones!$D$751*$I$13</f>
        <v>22666.313179002118</v>
      </c>
      <c r="T265" s="14">
        <f t="shared" ca="1" si="7"/>
        <v>-5833.686820997882</v>
      </c>
      <c r="V265">
        <v>-5760.3409247956442</v>
      </c>
    </row>
    <row r="266" spans="1:22" x14ac:dyDescent="0.2">
      <c r="A266" s="1">
        <f>Acciones!A266</f>
        <v>45385</v>
      </c>
      <c r="B266" s="29">
        <f>LN(Acciones!B266/Acciones!B265)</f>
        <v>-1.3436442555325807E-3</v>
      </c>
      <c r="C266" s="29">
        <f>LN(Acciones!C266/Acciones!C265)</f>
        <v>-1.0994389927396037E-2</v>
      </c>
      <c r="D266" s="29">
        <f>LN(Acciones!D266/Acciones!D265)</f>
        <v>-9.114679079909118E-3</v>
      </c>
      <c r="E266" s="29">
        <f>LN(Acciones!E266/Acciones!E265)</f>
        <v>-1.4184621799778531E-2</v>
      </c>
      <c r="M266" s="30">
        <f ca="1">Acciones!$B$751*EXP((H$2-H$3/2)*(1)+H$4*_xlfn.NORM.S.INV(RAND())*SQRT(1))</f>
        <v>10.954672393966122</v>
      </c>
      <c r="N266" s="30">
        <f ca="1">Acciones!$C$751*EXP((I$2-I$3/2)*(1)+I$4*_xlfn.NORM.S.INV(RAND())*SQRT(1))</f>
        <v>135.42171140814068</v>
      </c>
      <c r="O266" s="30">
        <f ca="1">Acciones!$D$751*EXP((J$2-J$3/2)*(1)+J$4*_xlfn.NORM.S.INV(RAND())*SQRT(1))</f>
        <v>976.16218337967689</v>
      </c>
      <c r="P266" s="30">
        <f ca="1">Acciones!$E$751*EXP((K$2-K$3/2)*(1)+K$4*_xlfn.NORM.S.INV(RAND())*SQRT(1))</f>
        <v>0.12406071870269611</v>
      </c>
      <c r="Q266" s="30"/>
      <c r="R266">
        <f ca="1">M266/Acciones!$B$751*$I$10 + N266/Acciones!$C$751*$I$11 + O266/Acciones!$D$751*$I$12 + P266/Acciones!$D$751*$I$13</f>
        <v>21748.185084073502</v>
      </c>
      <c r="T266" s="14">
        <f t="shared" ca="1" si="7"/>
        <v>-6751.8149159264976</v>
      </c>
      <c r="V266">
        <v>-5760.1042308112155</v>
      </c>
    </row>
    <row r="267" spans="1:22" x14ac:dyDescent="0.2">
      <c r="A267" s="1">
        <f>Acciones!A267</f>
        <v>45386</v>
      </c>
      <c r="B267" s="29">
        <f>LN(Acciones!B267/Acciones!B266)</f>
        <v>-1.6949545345823498E-2</v>
      </c>
      <c r="C267" s="29">
        <f>LN(Acciones!C267/Acciones!C266)</f>
        <v>-5.0522702527791556E-2</v>
      </c>
      <c r="D267" s="29">
        <f>LN(Acciones!D267/Acciones!D266)</f>
        <v>-1.0811947162133583E-2</v>
      </c>
      <c r="E267" s="29">
        <f>LN(Acciones!E267/Acciones!E266)</f>
        <v>0</v>
      </c>
      <c r="M267" s="30">
        <f ca="1">Acciones!$B$751*EXP((H$2-H$3/2)*(1)+H$4*_xlfn.NORM.S.INV(RAND())*SQRT(1))</f>
        <v>10.9528225854379</v>
      </c>
      <c r="N267" s="30">
        <f ca="1">Acciones!$C$751*EXP((I$2-I$3/2)*(1)+I$4*_xlfn.NORM.S.INV(RAND())*SQRT(1))</f>
        <v>150.7105009637651</v>
      </c>
      <c r="O267" s="30">
        <f ca="1">Acciones!$D$751*EXP((J$2-J$3/2)*(1)+J$4*_xlfn.NORM.S.INV(RAND())*SQRT(1))</f>
        <v>1015.8756496457016</v>
      </c>
      <c r="P267" s="30">
        <f ca="1">Acciones!$E$751*EXP((K$2-K$3/2)*(1)+K$4*_xlfn.NORM.S.INV(RAND())*SQRT(1))</f>
        <v>0.12259139514878116</v>
      </c>
      <c r="Q267" s="30"/>
      <c r="R267">
        <f ca="1">M267/Acciones!$B$751*$I$10 + N267/Acciones!$C$751*$I$11 + O267/Acciones!$D$751*$I$12 + P267/Acciones!$D$751*$I$13</f>
        <v>23099.977936800988</v>
      </c>
      <c r="T267" s="14">
        <f t="shared" ca="1" si="7"/>
        <v>-5400.0220631990123</v>
      </c>
      <c r="V267">
        <v>-5759.1129525196993</v>
      </c>
    </row>
    <row r="268" spans="1:22" x14ac:dyDescent="0.2">
      <c r="A268" s="1">
        <f>Acciones!A268</f>
        <v>45387</v>
      </c>
      <c r="B268" s="29">
        <f>LN(Acciones!B268/Acciones!B267)</f>
        <v>1.1218863054380426E-2</v>
      </c>
      <c r="C268" s="29">
        <f>LN(Acciones!C268/Acciones!C267)</f>
        <v>-1.1992685481951117E-2</v>
      </c>
      <c r="D268" s="29">
        <f>LN(Acciones!D268/Acciones!D267)</f>
        <v>-1.0670586683473883E-2</v>
      </c>
      <c r="E268" s="29">
        <f>LN(Acciones!E268/Acciones!E267)</f>
        <v>0</v>
      </c>
      <c r="M268" s="30">
        <f ca="1">Acciones!$B$751*EXP((H$2-H$3/2)*(1)+H$4*_xlfn.NORM.S.INV(RAND())*SQRT(1))</f>
        <v>11.017783493453297</v>
      </c>
      <c r="N268" s="30">
        <f ca="1">Acciones!$C$751*EXP((I$2-I$3/2)*(1)+I$4*_xlfn.NORM.S.INV(RAND())*SQRT(1))</f>
        <v>151.1890651694319</v>
      </c>
      <c r="O268" s="30">
        <f ca="1">Acciones!$D$751*EXP((J$2-J$3/2)*(1)+J$4*_xlfn.NORM.S.INV(RAND())*SQRT(1))</f>
        <v>1041.4735362691338</v>
      </c>
      <c r="P268" s="30">
        <f ca="1">Acciones!$E$751*EXP((K$2-K$3/2)*(1)+K$4*_xlfn.NORM.S.INV(RAND())*SQRT(1))</f>
        <v>0.124003506954314</v>
      </c>
      <c r="Q268" s="30"/>
      <c r="R268">
        <f ca="1">M268/Acciones!$B$751*$I$10 + N268/Acciones!$C$751*$I$11 + O268/Acciones!$D$751*$I$12 + P268/Acciones!$D$751*$I$13</f>
        <v>23407.105745857658</v>
      </c>
      <c r="T268" s="14">
        <f t="shared" ca="1" si="7"/>
        <v>-5092.8942541423421</v>
      </c>
      <c r="V268">
        <v>-5757.5146748613952</v>
      </c>
    </row>
    <row r="269" spans="1:22" x14ac:dyDescent="0.2">
      <c r="A269" s="1">
        <f>Acciones!A269</f>
        <v>45390</v>
      </c>
      <c r="B269" s="29">
        <f>LN(Acciones!B269/Acciones!B268)</f>
        <v>-1.1218863054380322E-2</v>
      </c>
      <c r="C269" s="29">
        <f>LN(Acciones!C269/Acciones!C268)</f>
        <v>-3.4440454187812712E-2</v>
      </c>
      <c r="D269" s="29">
        <f>LN(Acciones!D269/Acciones!D268)</f>
        <v>3.0135867694393963E-3</v>
      </c>
      <c r="E269" s="29">
        <f>LN(Acciones!E269/Acciones!E268)</f>
        <v>0</v>
      </c>
      <c r="M269" s="30">
        <f ca="1">Acciones!$B$751*EXP((H$2-H$3/2)*(1)+H$4*_xlfn.NORM.S.INV(RAND())*SQRT(1))</f>
        <v>10.750611217234059</v>
      </c>
      <c r="N269" s="30">
        <f ca="1">Acciones!$C$751*EXP((I$2-I$3/2)*(1)+I$4*_xlfn.NORM.S.INV(RAND())*SQRT(1))</f>
        <v>143.5725190568414</v>
      </c>
      <c r="O269" s="30">
        <f ca="1">Acciones!$D$751*EXP((J$2-J$3/2)*(1)+J$4*_xlfn.NORM.S.INV(RAND())*SQRT(1))</f>
        <v>960.26047190659972</v>
      </c>
      <c r="P269" s="30">
        <f ca="1">Acciones!$E$751*EXP((K$2-K$3/2)*(1)+K$4*_xlfn.NORM.S.INV(RAND())*SQRT(1))</f>
        <v>0.12444015398819183</v>
      </c>
      <c r="Q269" s="30"/>
      <c r="R269">
        <f ca="1">M269/Acciones!$B$751*$I$10 + N269/Acciones!$C$751*$I$11 + O269/Acciones!$D$751*$I$12 + P269/Acciones!$D$751*$I$13</f>
        <v>22032.367939328749</v>
      </c>
      <c r="T269" s="14">
        <f t="shared" ca="1" si="7"/>
        <v>-6467.6320606712507</v>
      </c>
      <c r="V269">
        <v>-5751.5222141026497</v>
      </c>
    </row>
    <row r="270" spans="1:22" x14ac:dyDescent="0.2">
      <c r="A270" s="1">
        <f>Acciones!A270</f>
        <v>45391</v>
      </c>
      <c r="B270" s="29">
        <f>LN(Acciones!B270/Acciones!B269)</f>
        <v>-1.0309375221145903E-2</v>
      </c>
      <c r="C270" s="29">
        <f>LN(Acciones!C270/Acciones!C269)</f>
        <v>5.953107308884909E-3</v>
      </c>
      <c r="D270" s="29">
        <f>LN(Acciones!D270/Acciones!D269)</f>
        <v>1.6984064715619095E-2</v>
      </c>
      <c r="E270" s="29">
        <f>LN(Acciones!E270/Acciones!E269)</f>
        <v>0</v>
      </c>
      <c r="M270" s="30">
        <f ca="1">Acciones!$B$751*EXP((H$2-H$3/2)*(1)+H$4*_xlfn.NORM.S.INV(RAND())*SQRT(1))</f>
        <v>10.651862713332104</v>
      </c>
      <c r="N270" s="30">
        <f ca="1">Acciones!$C$751*EXP((I$2-I$3/2)*(1)+I$4*_xlfn.NORM.S.INV(RAND())*SQRT(1))</f>
        <v>166.48228320064365</v>
      </c>
      <c r="O270" s="30">
        <f ca="1">Acciones!$D$751*EXP((J$2-J$3/2)*(1)+J$4*_xlfn.NORM.S.INV(RAND())*SQRT(1))</f>
        <v>970.11322397743561</v>
      </c>
      <c r="P270" s="30">
        <f ca="1">Acciones!$E$751*EXP((K$2-K$3/2)*(1)+K$4*_xlfn.NORM.S.INV(RAND())*SQRT(1))</f>
        <v>0.13308907623280003</v>
      </c>
      <c r="Q270" s="30"/>
      <c r="R270">
        <f ca="1">M270/Acciones!$B$751*$I$10 + N270/Acciones!$C$751*$I$11 + O270/Acciones!$D$751*$I$12 + P270/Acciones!$D$751*$I$13</f>
        <v>23529.874476518609</v>
      </c>
      <c r="T270" s="14">
        <f t="shared" ca="1" si="7"/>
        <v>-4970.1255234813907</v>
      </c>
      <c r="V270">
        <v>-5748.8070117800344</v>
      </c>
    </row>
    <row r="271" spans="1:22" x14ac:dyDescent="0.2">
      <c r="A271" s="1">
        <f>Acciones!A271</f>
        <v>45392</v>
      </c>
      <c r="B271" s="29">
        <f>LN(Acciones!B271/Acciones!B270)</f>
        <v>-3.3008642289073867E-2</v>
      </c>
      <c r="C271" s="29">
        <f>LN(Acciones!C271/Acciones!C270)</f>
        <v>-3.3417487702451634E-2</v>
      </c>
      <c r="D271" s="29">
        <f>LN(Acciones!D271/Acciones!D270)</f>
        <v>-1.9144476664429807E-2</v>
      </c>
      <c r="E271" s="29">
        <f>LN(Acciones!E271/Acciones!E270)</f>
        <v>-1.4388723877547424E-2</v>
      </c>
      <c r="M271" s="30">
        <f ca="1">Acciones!$B$751*EXP((H$2-H$3/2)*(1)+H$4*_xlfn.NORM.S.INV(RAND())*SQRT(1))</f>
        <v>10.759804324541363</v>
      </c>
      <c r="N271" s="30">
        <f ca="1">Acciones!$C$751*EXP((I$2-I$3/2)*(1)+I$4*_xlfn.NORM.S.INV(RAND())*SQRT(1))</f>
        <v>150.61565316729479</v>
      </c>
      <c r="O271" s="30">
        <f ca="1">Acciones!$D$751*EXP((J$2-J$3/2)*(1)+J$4*_xlfn.NORM.S.INV(RAND())*SQRT(1))</f>
        <v>953.39029613580897</v>
      </c>
      <c r="P271" s="30">
        <f ca="1">Acciones!$E$751*EXP((K$2-K$3/2)*(1)+K$4*_xlfn.NORM.S.INV(RAND())*SQRT(1))</f>
        <v>0.12824844032226534</v>
      </c>
      <c r="Q271" s="30"/>
      <c r="R271">
        <f ca="1">M271/Acciones!$B$751*$I$10 + N271/Acciones!$C$751*$I$11 + O271/Acciones!$D$751*$I$12 + P271/Acciones!$D$751*$I$13</f>
        <v>22406.285438140912</v>
      </c>
      <c r="T271" s="14">
        <f t="shared" ca="1" si="7"/>
        <v>-6093.7145618590876</v>
      </c>
      <c r="V271">
        <v>-5746.5281143197644</v>
      </c>
    </row>
    <row r="272" spans="1:22" x14ac:dyDescent="0.2">
      <c r="A272" s="1">
        <f>Acciones!A272</f>
        <v>45393</v>
      </c>
      <c r="B272" s="29">
        <f>LN(Acciones!B272/Acciones!B271)</f>
        <v>3.5638907617874913E-3</v>
      </c>
      <c r="C272" s="29">
        <f>LN(Acciones!C272/Acciones!C271)</f>
        <v>1.3411351914464671E-2</v>
      </c>
      <c r="D272" s="29">
        <f>LN(Acciones!D272/Acciones!D271)</f>
        <v>3.2224657298516049E-2</v>
      </c>
      <c r="E272" s="29">
        <f>LN(Acciones!E272/Acciones!E271)</f>
        <v>0</v>
      </c>
      <c r="M272" s="30">
        <f ca="1">Acciones!$B$751*EXP((H$2-H$3/2)*(1)+H$4*_xlfn.NORM.S.INV(RAND())*SQRT(1))</f>
        <v>10.921624165904985</v>
      </c>
      <c r="N272" s="30">
        <f ca="1">Acciones!$C$751*EXP((I$2-I$3/2)*(1)+I$4*_xlfn.NORM.S.INV(RAND())*SQRT(1))</f>
        <v>144.19947653176402</v>
      </c>
      <c r="O272" s="30">
        <f ca="1">Acciones!$D$751*EXP((J$2-J$3/2)*(1)+J$4*_xlfn.NORM.S.INV(RAND())*SQRT(1))</f>
        <v>1001.0538043532704</v>
      </c>
      <c r="P272" s="30">
        <f ca="1">Acciones!$E$751*EXP((K$2-K$3/2)*(1)+K$4*_xlfn.NORM.S.INV(RAND())*SQRT(1))</f>
        <v>0.13827187297975377</v>
      </c>
      <c r="Q272" s="30"/>
      <c r="R272">
        <f ca="1">M272/Acciones!$B$751*$I$10 + N272/Acciones!$C$751*$I$11 + O272/Acciones!$D$751*$I$12 + P272/Acciones!$D$751*$I$13</f>
        <v>22535.055874761274</v>
      </c>
      <c r="T272" s="14">
        <f t="shared" ca="1" si="7"/>
        <v>-5964.944125238726</v>
      </c>
      <c r="V272">
        <v>-5741.5795939380514</v>
      </c>
    </row>
    <row r="273" spans="1:22" x14ac:dyDescent="0.2">
      <c r="A273" s="1">
        <f>Acciones!A273</f>
        <v>45394</v>
      </c>
      <c r="B273" s="29">
        <f>LN(Acciones!B273/Acciones!B272)</f>
        <v>-2.5217510594301391E-2</v>
      </c>
      <c r="C273" s="29">
        <f>LN(Acciones!C273/Acciones!C272)</f>
        <v>-7.6372978784573969E-2</v>
      </c>
      <c r="D273" s="29">
        <f>LN(Acciones!D273/Acciones!D272)</f>
        <v>9.422533700637982E-3</v>
      </c>
      <c r="E273" s="29">
        <f>LN(Acciones!E273/Acciones!E272)</f>
        <v>0</v>
      </c>
      <c r="M273" s="30">
        <f ca="1">Acciones!$B$751*EXP((H$2-H$3/2)*(1)+H$4*_xlfn.NORM.S.INV(RAND())*SQRT(1))</f>
        <v>10.773565889624541</v>
      </c>
      <c r="N273" s="30">
        <f ca="1">Acciones!$C$751*EXP((I$2-I$3/2)*(1)+I$4*_xlfn.NORM.S.INV(RAND())*SQRT(1))</f>
        <v>156.17122786337927</v>
      </c>
      <c r="O273" s="30">
        <f ca="1">Acciones!$D$751*EXP((J$2-J$3/2)*(1)+J$4*_xlfn.NORM.S.INV(RAND())*SQRT(1))</f>
        <v>977.37352761537591</v>
      </c>
      <c r="P273" s="30">
        <f ca="1">Acciones!$E$751*EXP((K$2-K$3/2)*(1)+K$4*_xlfn.NORM.S.INV(RAND())*SQRT(1))</f>
        <v>0.12931822418155603</v>
      </c>
      <c r="Q273" s="30"/>
      <c r="R273">
        <f ca="1">M273/Acciones!$B$751*$I$10 + N273/Acciones!$C$751*$I$11 + O273/Acciones!$D$751*$I$12 + P273/Acciones!$D$751*$I$13</f>
        <v>22997.813537549835</v>
      </c>
      <c r="T273" s="14">
        <f t="shared" ca="1" si="7"/>
        <v>-5502.186462450165</v>
      </c>
      <c r="V273">
        <v>-5740.0659423473116</v>
      </c>
    </row>
    <row r="274" spans="1:22" x14ac:dyDescent="0.2">
      <c r="A274" s="1">
        <f>Acciones!A274</f>
        <v>45397</v>
      </c>
      <c r="B274" s="29">
        <f>LN(Acciones!B274/Acciones!B273)</f>
        <v>9.8021828763178182E-3</v>
      </c>
      <c r="C274" s="29">
        <f>LN(Acciones!C274/Acciones!C273)</f>
        <v>-5.2719442309321608E-2</v>
      </c>
      <c r="D274" s="29">
        <f>LN(Acciones!D274/Acciones!D273)</f>
        <v>1.8698359390568551E-2</v>
      </c>
      <c r="E274" s="29">
        <f>LN(Acciones!E274/Acciones!E273)</f>
        <v>-8.3066610261761792E-2</v>
      </c>
      <c r="M274" s="30">
        <f ca="1">Acciones!$B$751*EXP((H$2-H$3/2)*(1)+H$4*_xlfn.NORM.S.INV(RAND())*SQRT(1))</f>
        <v>10.808809783436567</v>
      </c>
      <c r="N274" s="30">
        <f ca="1">Acciones!$C$751*EXP((I$2-I$3/2)*(1)+I$4*_xlfn.NORM.S.INV(RAND())*SQRT(1))</f>
        <v>161.27748076743168</v>
      </c>
      <c r="O274" s="30">
        <f ca="1">Acciones!$D$751*EXP((J$2-J$3/2)*(1)+J$4*_xlfn.NORM.S.INV(RAND())*SQRT(1))</f>
        <v>1013.7089402848578</v>
      </c>
      <c r="P274" s="30">
        <f ca="1">Acciones!$E$751*EXP((K$2-K$3/2)*(1)+K$4*_xlfn.NORM.S.INV(RAND())*SQRT(1))</f>
        <v>0.14290325499744813</v>
      </c>
      <c r="Q274" s="30"/>
      <c r="R274">
        <f ca="1">M274/Acciones!$B$751*$I$10 + N274/Acciones!$C$751*$I$11 + O274/Acciones!$D$751*$I$12 + P274/Acciones!$D$751*$I$13</f>
        <v>23691.97205172621</v>
      </c>
      <c r="T274" s="14">
        <f t="shared" ca="1" si="7"/>
        <v>-4808.0279482737897</v>
      </c>
      <c r="V274">
        <v>-5733.1819011847547</v>
      </c>
    </row>
    <row r="275" spans="1:22" x14ac:dyDescent="0.2">
      <c r="A275" s="1">
        <f>Acciones!A275</f>
        <v>45398</v>
      </c>
      <c r="B275" s="29">
        <f>LN(Acciones!B275/Acciones!B274)</f>
        <v>-1.6023619900195383E-2</v>
      </c>
      <c r="C275" s="29">
        <f>LN(Acciones!C275/Acciones!C274)</f>
        <v>-1.7354425877891485E-2</v>
      </c>
      <c r="D275" s="29">
        <f>LN(Acciones!D275/Acciones!D274)</f>
        <v>2.1107351202187923E-2</v>
      </c>
      <c r="E275" s="29">
        <f>LN(Acciones!E275/Acciones!E274)</f>
        <v>0</v>
      </c>
      <c r="M275" s="30">
        <f ca="1">Acciones!$B$751*EXP((H$2-H$3/2)*(1)+H$4*_xlfn.NORM.S.INV(RAND())*SQRT(1))</f>
        <v>11.443042332932826</v>
      </c>
      <c r="N275" s="30">
        <f ca="1">Acciones!$C$751*EXP((I$2-I$3/2)*(1)+I$4*_xlfn.NORM.S.INV(RAND())*SQRT(1))</f>
        <v>147.95677732324131</v>
      </c>
      <c r="O275" s="30">
        <f ca="1">Acciones!$D$751*EXP((J$2-J$3/2)*(1)+J$4*_xlfn.NORM.S.INV(RAND())*SQRT(1))</f>
        <v>989.98997756004223</v>
      </c>
      <c r="P275" s="30">
        <f ca="1">Acciones!$E$751*EXP((K$2-K$3/2)*(1)+K$4*_xlfn.NORM.S.INV(RAND())*SQRT(1))</f>
        <v>0.14229206854571402</v>
      </c>
      <c r="Q275" s="30"/>
      <c r="R275">
        <f ca="1">M275/Acciones!$B$751*$I$10 + N275/Acciones!$C$751*$I$11 + O275/Acciones!$D$751*$I$12 + P275/Acciones!$D$751*$I$13</f>
        <v>22826.132195106034</v>
      </c>
      <c r="T275" s="14">
        <f t="shared" ca="1" si="7"/>
        <v>-5673.8678048939655</v>
      </c>
      <c r="V275">
        <v>-5733.0063015991145</v>
      </c>
    </row>
    <row r="276" spans="1:22" x14ac:dyDescent="0.2">
      <c r="A276" s="1">
        <f>Acciones!A276</f>
        <v>45399</v>
      </c>
      <c r="B276" s="29">
        <f>LN(Acciones!B276/Acciones!B275)</f>
        <v>-4.0464194066225263E-3</v>
      </c>
      <c r="C276" s="29">
        <f>LN(Acciones!C276/Acciones!C275)</f>
        <v>-5.9061269553686369E-3</v>
      </c>
      <c r="D276" s="29">
        <f>LN(Acciones!D276/Acciones!D275)</f>
        <v>9.4082041041994718E-3</v>
      </c>
      <c r="E276" s="29">
        <f>LN(Acciones!E276/Acciones!E275)</f>
        <v>0</v>
      </c>
      <c r="M276" s="30">
        <f ca="1">Acciones!$B$751*EXP((H$2-H$3/2)*(1)+H$4*_xlfn.NORM.S.INV(RAND())*SQRT(1))</f>
        <v>10.657168734787751</v>
      </c>
      <c r="N276" s="30">
        <f ca="1">Acciones!$C$751*EXP((I$2-I$3/2)*(1)+I$4*_xlfn.NORM.S.INV(RAND())*SQRT(1))</f>
        <v>148.46027190615493</v>
      </c>
      <c r="O276" s="30">
        <f ca="1">Acciones!$D$751*EXP((J$2-J$3/2)*(1)+J$4*_xlfn.NORM.S.INV(RAND())*SQRT(1))</f>
        <v>1014.01347647665</v>
      </c>
      <c r="P276" s="30">
        <f ca="1">Acciones!$E$751*EXP((K$2-K$3/2)*(1)+K$4*_xlfn.NORM.S.INV(RAND())*SQRT(1))</f>
        <v>0.11992342225172457</v>
      </c>
      <c r="Q276" s="30"/>
      <c r="R276">
        <f ca="1">M276/Acciones!$B$751*$I$10 + N276/Acciones!$C$751*$I$11 + O276/Acciones!$D$751*$I$12 + P276/Acciones!$D$751*$I$13</f>
        <v>22845.962539540153</v>
      </c>
      <c r="T276" s="14">
        <f t="shared" ca="1" si="7"/>
        <v>-5654.0374604598474</v>
      </c>
      <c r="V276">
        <v>-5732.0012829134539</v>
      </c>
    </row>
    <row r="277" spans="1:22" x14ac:dyDescent="0.2">
      <c r="A277" s="1">
        <f>Acciones!A277</f>
        <v>45400</v>
      </c>
      <c r="B277" s="29">
        <f>LN(Acciones!B277/Acciones!B276)</f>
        <v>2.2595731273739528E-2</v>
      </c>
      <c r="C277" s="29">
        <f>LN(Acciones!C277/Acciones!C276)</f>
        <v>3.8032789055908331E-2</v>
      </c>
      <c r="D277" s="29">
        <f>LN(Acciones!D277/Acciones!D276)</f>
        <v>1.6589666025067156E-2</v>
      </c>
      <c r="E277" s="29">
        <f>LN(Acciones!E277/Acciones!E276)</f>
        <v>0</v>
      </c>
      <c r="M277" s="30">
        <f ca="1">Acciones!$B$751*EXP((H$2-H$3/2)*(1)+H$4*_xlfn.NORM.S.INV(RAND())*SQRT(1))</f>
        <v>11.297749190321914</v>
      </c>
      <c r="N277" s="30">
        <f ca="1">Acciones!$C$751*EXP((I$2-I$3/2)*(1)+I$4*_xlfn.NORM.S.INV(RAND())*SQRT(1))</f>
        <v>145.08150213454567</v>
      </c>
      <c r="O277" s="30">
        <f ca="1">Acciones!$D$751*EXP((J$2-J$3/2)*(1)+J$4*_xlfn.NORM.S.INV(RAND())*SQRT(1))</f>
        <v>1021.6374823907793</v>
      </c>
      <c r="P277" s="30">
        <f ca="1">Acciones!$E$751*EXP((K$2-K$3/2)*(1)+K$4*_xlfn.NORM.S.INV(RAND())*SQRT(1))</f>
        <v>0.12983357863233302</v>
      </c>
      <c r="Q277" s="30"/>
      <c r="R277">
        <f ca="1">M277/Acciones!$B$751*$I$10 + N277/Acciones!$C$751*$I$11 + O277/Acciones!$D$751*$I$12 + P277/Acciones!$D$751*$I$13</f>
        <v>22916.919944655569</v>
      </c>
      <c r="T277" s="14">
        <f t="shared" ca="1" si="7"/>
        <v>-5583.0800553444315</v>
      </c>
      <c r="V277">
        <v>-5730.990066295115</v>
      </c>
    </row>
    <row r="278" spans="1:22" x14ac:dyDescent="0.2">
      <c r="A278" s="1">
        <f>Acciones!A278</f>
        <v>45401</v>
      </c>
      <c r="B278" s="29">
        <f>LN(Acciones!B278/Acciones!B277)</f>
        <v>3.5972221694974779E-3</v>
      </c>
      <c r="C278" s="29">
        <f>LN(Acciones!C278/Acciones!C277)</f>
        <v>9.1925988606959622E-2</v>
      </c>
      <c r="D278" s="29">
        <f>LN(Acciones!D278/Acciones!D277)</f>
        <v>-3.6403488836678224E-3</v>
      </c>
      <c r="E278" s="29">
        <f>LN(Acciones!E278/Acciones!E277)</f>
        <v>0</v>
      </c>
      <c r="M278" s="30">
        <f ca="1">Acciones!$B$751*EXP((H$2-H$3/2)*(1)+H$4*_xlfn.NORM.S.INV(RAND())*SQRT(1))</f>
        <v>10.71783844826801</v>
      </c>
      <c r="N278" s="30">
        <f ca="1">Acciones!$C$751*EXP((I$2-I$3/2)*(1)+I$4*_xlfn.NORM.S.INV(RAND())*SQRT(1))</f>
        <v>161.78885298340211</v>
      </c>
      <c r="O278" s="30">
        <f ca="1">Acciones!$D$751*EXP((J$2-J$3/2)*(1)+J$4*_xlfn.NORM.S.INV(RAND())*SQRT(1))</f>
        <v>1039.8981623831214</v>
      </c>
      <c r="P278" s="30">
        <f ca="1">Acciones!$E$751*EXP((K$2-K$3/2)*(1)+K$4*_xlfn.NORM.S.INV(RAND())*SQRT(1))</f>
        <v>0.12683134219140693</v>
      </c>
      <c r="Q278" s="30"/>
      <c r="R278">
        <f ca="1">M278/Acciones!$B$751*$I$10 + N278/Acciones!$C$751*$I$11 + O278/Acciones!$D$751*$I$12 + P278/Acciones!$D$751*$I$13</f>
        <v>23956.950995169438</v>
      </c>
      <c r="T278" s="14">
        <f t="shared" ca="1" si="7"/>
        <v>-4543.0490048305619</v>
      </c>
      <c r="V278">
        <v>-5728.4424377618707</v>
      </c>
    </row>
    <row r="279" spans="1:22" x14ac:dyDescent="0.2">
      <c r="A279" s="1">
        <f>Acciones!A279</f>
        <v>45404</v>
      </c>
      <c r="B279" s="29">
        <f>LN(Acciones!B279/Acciones!B278)</f>
        <v>5.3714762282712682E-3</v>
      </c>
      <c r="C279" s="29">
        <f>LN(Acciones!C279/Acciones!C278)</f>
        <v>5.7180053320747756E-2</v>
      </c>
      <c r="D279" s="29">
        <f>LN(Acciones!D279/Acciones!D278)</f>
        <v>-4.3143088690910797E-3</v>
      </c>
      <c r="E279" s="29">
        <f>LN(Acciones!E279/Acciones!E278)</f>
        <v>0</v>
      </c>
      <c r="M279" s="30">
        <f ca="1">Acciones!$B$751*EXP((H$2-H$3/2)*(1)+H$4*_xlfn.NORM.S.INV(RAND())*SQRT(1))</f>
        <v>11.105217379053338</v>
      </c>
      <c r="N279" s="30">
        <f ca="1">Acciones!$C$751*EXP((I$2-I$3/2)*(1)+I$4*_xlfn.NORM.S.INV(RAND())*SQRT(1))</f>
        <v>149.75102418252058</v>
      </c>
      <c r="O279" s="30">
        <f ca="1">Acciones!$D$751*EXP((J$2-J$3/2)*(1)+J$4*_xlfn.NORM.S.INV(RAND())*SQRT(1))</f>
        <v>988.09384474452145</v>
      </c>
      <c r="P279" s="30">
        <f ca="1">Acciones!$E$751*EXP((K$2-K$3/2)*(1)+K$4*_xlfn.NORM.S.INV(RAND())*SQRT(1))</f>
        <v>0.1318854782655067</v>
      </c>
      <c r="Q279" s="30"/>
      <c r="R279">
        <f ca="1">M279/Acciones!$B$751*$I$10 + N279/Acciones!$C$751*$I$11 + O279/Acciones!$D$751*$I$12 + P279/Acciones!$D$751*$I$13</f>
        <v>22810.735789967006</v>
      </c>
      <c r="T279" s="14">
        <f t="shared" ca="1" si="7"/>
        <v>-5689.264210032994</v>
      </c>
      <c r="V279">
        <v>-5728.2904769723209</v>
      </c>
    </row>
    <row r="280" spans="1:22" x14ac:dyDescent="0.2">
      <c r="A280" s="1">
        <f>Acciones!A280</f>
        <v>45405</v>
      </c>
      <c r="B280" s="29">
        <f>LN(Acciones!B280/Acciones!B279)</f>
        <v>-3.5778467210953635E-3</v>
      </c>
      <c r="C280" s="29">
        <f>LN(Acciones!C280/Acciones!C279)</f>
        <v>9.7425479003898197E-2</v>
      </c>
      <c r="D280" s="29">
        <f>LN(Acciones!D280/Acciones!D279)</f>
        <v>-1.1398867888142376E-2</v>
      </c>
      <c r="E280" s="29">
        <f>LN(Acciones!E280/Acciones!E279)</f>
        <v>0</v>
      </c>
      <c r="M280" s="30">
        <f ca="1">Acciones!$B$751*EXP((H$2-H$3/2)*(1)+H$4*_xlfn.NORM.S.INV(RAND())*SQRT(1))</f>
        <v>10.714919123555941</v>
      </c>
      <c r="N280" s="30">
        <f ca="1">Acciones!$C$751*EXP((I$2-I$3/2)*(1)+I$4*_xlfn.NORM.S.INV(RAND())*SQRT(1))</f>
        <v>148.82966993295472</v>
      </c>
      <c r="O280" s="30">
        <f ca="1">Acciones!$D$751*EXP((J$2-J$3/2)*(1)+J$4*_xlfn.NORM.S.INV(RAND())*SQRT(1))</f>
        <v>987.81949737916693</v>
      </c>
      <c r="P280" s="30">
        <f ca="1">Acciones!$E$751*EXP((K$2-K$3/2)*(1)+K$4*_xlfn.NORM.S.INV(RAND())*SQRT(1))</f>
        <v>0.11061855502584807</v>
      </c>
      <c r="Q280" s="30"/>
      <c r="R280">
        <f ca="1">M280/Acciones!$B$751*$I$10 + N280/Acciones!$C$751*$I$11 + O280/Acciones!$D$751*$I$12 + P280/Acciones!$D$751*$I$13</f>
        <v>22625.132519512896</v>
      </c>
      <c r="T280" s="14">
        <f t="shared" ca="1" si="7"/>
        <v>-5874.8674804871043</v>
      </c>
      <c r="V280">
        <v>-5727.8849766413477</v>
      </c>
    </row>
    <row r="281" spans="1:22" x14ac:dyDescent="0.2">
      <c r="A281" s="1">
        <f>Acciones!A281</f>
        <v>45406</v>
      </c>
      <c r="B281" s="29">
        <f>LN(Acciones!B281/Acciones!B280)</f>
        <v>-3.2310082887425933E-3</v>
      </c>
      <c r="C281" s="29">
        <f>LN(Acciones!C281/Acciones!C280)</f>
        <v>-1.1801960678844096E-2</v>
      </c>
      <c r="D281" s="29">
        <f>LN(Acciones!D281/Acciones!D280)</f>
        <v>5.4454492502632786E-3</v>
      </c>
      <c r="E281" s="29">
        <f>LN(Acciones!E281/Acciones!E280)</f>
        <v>-7.905172057466275E-3</v>
      </c>
      <c r="M281" s="30">
        <f ca="1">Acciones!$B$751*EXP((H$2-H$3/2)*(1)+H$4*_xlfn.NORM.S.INV(RAND())*SQRT(1))</f>
        <v>11.297613846206971</v>
      </c>
      <c r="N281" s="30">
        <f ca="1">Acciones!$C$751*EXP((I$2-I$3/2)*(1)+I$4*_xlfn.NORM.S.INV(RAND())*SQRT(1))</f>
        <v>140.99143595741356</v>
      </c>
      <c r="O281" s="30">
        <f ca="1">Acciones!$D$751*EXP((J$2-J$3/2)*(1)+J$4*_xlfn.NORM.S.INV(RAND())*SQRT(1))</f>
        <v>1005.0784986943976</v>
      </c>
      <c r="P281" s="30">
        <f ca="1">Acciones!$E$751*EXP((K$2-K$3/2)*(1)+K$4*_xlfn.NORM.S.INV(RAND())*SQRT(1))</f>
        <v>0.11963101606044124</v>
      </c>
      <c r="Q281" s="30"/>
      <c r="R281">
        <f ca="1">M281/Acciones!$B$751*$I$10 + N281/Acciones!$C$751*$I$11 + O281/Acciones!$D$751*$I$12 + P281/Acciones!$D$751*$I$13</f>
        <v>22495.581336843035</v>
      </c>
      <c r="T281" s="14">
        <f t="shared" ca="1" si="7"/>
        <v>-6004.4186631569646</v>
      </c>
      <c r="V281">
        <v>-5724.6329585105486</v>
      </c>
    </row>
    <row r="282" spans="1:22" x14ac:dyDescent="0.2">
      <c r="A282" s="1">
        <f>Acciones!A282</f>
        <v>45407</v>
      </c>
      <c r="B282" s="29">
        <f>LN(Acciones!B282/Acciones!B281)</f>
        <v>1.0373876526030107E-2</v>
      </c>
      <c r="C282" s="29">
        <f>LN(Acciones!C282/Acciones!C281)</f>
        <v>6.1317872761188931E-5</v>
      </c>
      <c r="D282" s="29">
        <f>LN(Acciones!D282/Acciones!D281)</f>
        <v>5.2737948949568795E-3</v>
      </c>
      <c r="E282" s="29">
        <f>LN(Acciones!E282/Acciones!E281)</f>
        <v>0</v>
      </c>
      <c r="M282" s="30">
        <f ca="1">Acciones!$B$751*EXP((H$2-H$3/2)*(1)+H$4*_xlfn.NORM.S.INV(RAND())*SQRT(1))</f>
        <v>10.647480454362775</v>
      </c>
      <c r="N282" s="30">
        <f ca="1">Acciones!$C$751*EXP((I$2-I$3/2)*(1)+I$4*_xlfn.NORM.S.INV(RAND())*SQRT(1))</f>
        <v>143.10490806218931</v>
      </c>
      <c r="O282" s="30">
        <f ca="1">Acciones!$D$751*EXP((J$2-J$3/2)*(1)+J$4*_xlfn.NORM.S.INV(RAND())*SQRT(1))</f>
        <v>992.90911935310021</v>
      </c>
      <c r="P282" s="30">
        <f ca="1">Acciones!$E$751*EXP((K$2-K$3/2)*(1)+K$4*_xlfn.NORM.S.INV(RAND())*SQRT(1))</f>
        <v>0.13830039600558555</v>
      </c>
      <c r="Q282" s="30"/>
      <c r="R282">
        <f ca="1">M282/Acciones!$B$751*$I$10 + N282/Acciones!$C$751*$I$11 + O282/Acciones!$D$751*$I$12 + P282/Acciones!$D$751*$I$13</f>
        <v>22297.185187097501</v>
      </c>
      <c r="T282" s="14">
        <f t="shared" ca="1" si="7"/>
        <v>-6202.8148129024994</v>
      </c>
      <c r="V282">
        <v>-5718.9355371841484</v>
      </c>
    </row>
    <row r="283" spans="1:22" x14ac:dyDescent="0.2">
      <c r="A283" s="1">
        <f>Acciones!A283</f>
        <v>45408</v>
      </c>
      <c r="B283" s="29">
        <f>LN(Acciones!B283/Acciones!B282)</f>
        <v>2.0779097544538608E-2</v>
      </c>
      <c r="C283" s="29">
        <f>LN(Acciones!C283/Acciones!C282)</f>
        <v>1.4284006659389529E-2</v>
      </c>
      <c r="D283" s="29">
        <f>LN(Acciones!D283/Acciones!D282)</f>
        <v>-4.5533534247030952E-3</v>
      </c>
      <c r="E283" s="29">
        <f>LN(Acciones!E283/Acciones!E282)</f>
        <v>0</v>
      </c>
      <c r="M283" s="30">
        <f ca="1">Acciones!$B$751*EXP((H$2-H$3/2)*(1)+H$4*_xlfn.NORM.S.INV(RAND())*SQRT(1))</f>
        <v>10.657822537104771</v>
      </c>
      <c r="N283" s="30">
        <f ca="1">Acciones!$C$751*EXP((I$2-I$3/2)*(1)+I$4*_xlfn.NORM.S.INV(RAND())*SQRT(1))</f>
        <v>143.95326842976638</v>
      </c>
      <c r="O283" s="30">
        <f ca="1">Acciones!$D$751*EXP((J$2-J$3/2)*(1)+J$4*_xlfn.NORM.S.INV(RAND())*SQRT(1))</f>
        <v>1011.1781176903282</v>
      </c>
      <c r="P283" s="30">
        <f ca="1">Acciones!$E$751*EXP((K$2-K$3/2)*(1)+K$4*_xlfn.NORM.S.INV(RAND())*SQRT(1))</f>
        <v>0.13986097330119052</v>
      </c>
      <c r="Q283" s="30"/>
      <c r="R283">
        <f ca="1">M283/Acciones!$B$751*$I$10 + N283/Acciones!$C$751*$I$11 + O283/Acciones!$D$751*$I$12 + P283/Acciones!$D$751*$I$13</f>
        <v>22536.471934440193</v>
      </c>
      <c r="T283" s="14">
        <f t="shared" ca="1" si="7"/>
        <v>-5963.5280655598071</v>
      </c>
      <c r="V283">
        <v>-5718.7198216643301</v>
      </c>
    </row>
    <row r="284" spans="1:22" x14ac:dyDescent="0.2">
      <c r="A284" s="1">
        <f>Acciones!A284</f>
        <v>45411</v>
      </c>
      <c r="B284" s="29">
        <f>LN(Acciones!B284/Acciones!B283)</f>
        <v>2.9196684739473039E-2</v>
      </c>
      <c r="C284" s="29">
        <f>LN(Acciones!C284/Acciones!C283)</f>
        <v>-8.1164724920690115E-2</v>
      </c>
      <c r="D284" s="29">
        <f>LN(Acciones!D284/Acciones!D283)</f>
        <v>-5.0544059612375597E-3</v>
      </c>
      <c r="E284" s="29">
        <f>LN(Acciones!E284/Acciones!E283)</f>
        <v>0</v>
      </c>
      <c r="M284" s="30">
        <f ca="1">Acciones!$B$751*EXP((H$2-H$3/2)*(1)+H$4*_xlfn.NORM.S.INV(RAND())*SQRT(1))</f>
        <v>10.718752526111738</v>
      </c>
      <c r="N284" s="30">
        <f ca="1">Acciones!$C$751*EXP((I$2-I$3/2)*(1)+I$4*_xlfn.NORM.S.INV(RAND())*SQRT(1))</f>
        <v>155.1804063333185</v>
      </c>
      <c r="O284" s="30">
        <f ca="1">Acciones!$D$751*EXP((J$2-J$3/2)*(1)+J$4*_xlfn.NORM.S.INV(RAND())*SQRT(1))</f>
        <v>975.81448678607171</v>
      </c>
      <c r="P284" s="30">
        <f ca="1">Acciones!$E$751*EXP((K$2-K$3/2)*(1)+K$4*_xlfn.NORM.S.INV(RAND())*SQRT(1))</f>
        <v>0.13306879025671856</v>
      </c>
      <c r="Q284" s="30"/>
      <c r="R284">
        <f ca="1">M284/Acciones!$B$751*$I$10 + N284/Acciones!$C$751*$I$11 + O284/Acciones!$D$751*$I$12 + P284/Acciones!$D$751*$I$13</f>
        <v>22902.768394924507</v>
      </c>
      <c r="T284" s="14">
        <f t="shared" ca="1" si="7"/>
        <v>-5597.2316050754926</v>
      </c>
      <c r="V284">
        <v>-5717.4981021419771</v>
      </c>
    </row>
    <row r="285" spans="1:22" x14ac:dyDescent="0.2">
      <c r="A285" s="1">
        <f>Acciones!A285</f>
        <v>45412</v>
      </c>
      <c r="B285" s="29">
        <f>LN(Acciones!B285/Acciones!B284)</f>
        <v>-2.9894039776343476E-2</v>
      </c>
      <c r="C285" s="29">
        <f>LN(Acciones!C285/Acciones!C284)</f>
        <v>-9.5890863939740875E-2</v>
      </c>
      <c r="D285" s="29">
        <f>LN(Acciones!D285/Acciones!D284)</f>
        <v>-1.2825217926868899E-2</v>
      </c>
      <c r="E285" s="29">
        <f>LN(Acciones!E285/Acciones!E284)</f>
        <v>-7.9681620803275979E-3</v>
      </c>
      <c r="M285" s="30">
        <f ca="1">Acciones!$B$751*EXP((H$2-H$3/2)*(1)+H$4*_xlfn.NORM.S.INV(RAND())*SQRT(1))</f>
        <v>11.17023727356411</v>
      </c>
      <c r="N285" s="30">
        <f ca="1">Acciones!$C$751*EXP((I$2-I$3/2)*(1)+I$4*_xlfn.NORM.S.INV(RAND())*SQRT(1))</f>
        <v>141.44208746737192</v>
      </c>
      <c r="O285" s="30">
        <f ca="1">Acciones!$D$751*EXP((J$2-J$3/2)*(1)+J$4*_xlfn.NORM.S.INV(RAND())*SQRT(1))</f>
        <v>1002.1828420129949</v>
      </c>
      <c r="P285" s="30">
        <f ca="1">Acciones!$E$751*EXP((K$2-K$3/2)*(1)+K$4*_xlfn.NORM.S.INV(RAND())*SQRT(1))</f>
        <v>0.11128811638548321</v>
      </c>
      <c r="Q285" s="30"/>
      <c r="R285">
        <f ca="1">M285/Acciones!$B$751*$I$10 + N285/Acciones!$C$751*$I$11 + O285/Acciones!$D$751*$I$12 + P285/Acciones!$D$751*$I$13</f>
        <v>22453.805948593923</v>
      </c>
      <c r="T285" s="14">
        <f t="shared" ca="1" si="7"/>
        <v>-6046.1940514060771</v>
      </c>
      <c r="V285">
        <v>-5713.638335800304</v>
      </c>
    </row>
    <row r="286" spans="1:22" x14ac:dyDescent="0.2">
      <c r="A286" s="1">
        <f>Acciones!A286</f>
        <v>45414</v>
      </c>
      <c r="B286" s="29">
        <f>LN(Acciones!B286/Acciones!B285)</f>
        <v>3.1342410093400984E-3</v>
      </c>
      <c r="C286" s="29">
        <f>LN(Acciones!C286/Acciones!C285)</f>
        <v>4.5720606785958198E-2</v>
      </c>
      <c r="D286" s="29">
        <f>LN(Acciones!D286/Acciones!D285)</f>
        <v>-3.1781898799546509E-3</v>
      </c>
      <c r="E286" s="29">
        <f>LN(Acciones!E286/Acciones!E285)</f>
        <v>-8.0321640063449346E-3</v>
      </c>
      <c r="M286" s="30">
        <f ca="1">Acciones!$B$751*EXP((H$2-H$3/2)*(1)+H$4*_xlfn.NORM.S.INV(RAND())*SQRT(1))</f>
        <v>11.476610215002031</v>
      </c>
      <c r="N286" s="30">
        <f ca="1">Acciones!$C$751*EXP((I$2-I$3/2)*(1)+I$4*_xlfn.NORM.S.INV(RAND())*SQRT(1))</f>
        <v>158.86282347837403</v>
      </c>
      <c r="O286" s="30">
        <f ca="1">Acciones!$D$751*EXP((J$2-J$3/2)*(1)+J$4*_xlfn.NORM.S.INV(RAND())*SQRT(1))</f>
        <v>1002.2982858939846</v>
      </c>
      <c r="P286" s="30">
        <f ca="1">Acciones!$E$751*EXP((K$2-K$3/2)*(1)+K$4*_xlfn.NORM.S.INV(RAND())*SQRT(1))</f>
        <v>0.13580083422158507</v>
      </c>
      <c r="Q286" s="30"/>
      <c r="R286">
        <f ca="1">M286/Acciones!$B$751*$I$10 + N286/Acciones!$C$751*$I$11 + O286/Acciones!$D$751*$I$12 + P286/Acciones!$D$751*$I$13</f>
        <v>23641.106421980232</v>
      </c>
      <c r="T286" s="14">
        <f t="shared" ca="1" si="7"/>
        <v>-4858.893578019768</v>
      </c>
      <c r="V286">
        <v>-5711.5931085469019</v>
      </c>
    </row>
    <row r="287" spans="1:22" x14ac:dyDescent="0.2">
      <c r="A287" s="1">
        <f>Acciones!A287</f>
        <v>45415</v>
      </c>
      <c r="B287" s="29">
        <f>LN(Acciones!B287/Acciones!B286)</f>
        <v>2.0307055782400184E-2</v>
      </c>
      <c r="C287" s="29">
        <f>LN(Acciones!C287/Acciones!C286)</f>
        <v>2.3683700462108628E-2</v>
      </c>
      <c r="D287" s="29">
        <f>LN(Acciones!D287/Acciones!D286)</f>
        <v>-7.1274170197419577E-3</v>
      </c>
      <c r="E287" s="29">
        <f>LN(Acciones!E287/Acciones!E286)</f>
        <v>0</v>
      </c>
      <c r="M287" s="30">
        <f ca="1">Acciones!$B$751*EXP((H$2-H$3/2)*(1)+H$4*_xlfn.NORM.S.INV(RAND())*SQRT(1))</f>
        <v>10.510540730360885</v>
      </c>
      <c r="N287" s="30">
        <f ca="1">Acciones!$C$751*EXP((I$2-I$3/2)*(1)+I$4*_xlfn.NORM.S.INV(RAND())*SQRT(1))</f>
        <v>145.82510770892452</v>
      </c>
      <c r="O287" s="30">
        <f ca="1">Acciones!$D$751*EXP((J$2-J$3/2)*(1)+J$4*_xlfn.NORM.S.INV(RAND())*SQRT(1))</f>
        <v>996.72467139959258</v>
      </c>
      <c r="P287" s="30">
        <f ca="1">Acciones!$E$751*EXP((K$2-K$3/2)*(1)+K$4*_xlfn.NORM.S.INV(RAND())*SQRT(1))</f>
        <v>0.1352276914879367</v>
      </c>
      <c r="Q287" s="30"/>
      <c r="R287">
        <f ca="1">M287/Acciones!$B$751*$I$10 + N287/Acciones!$C$751*$I$11 + O287/Acciones!$D$751*$I$12 + P287/Acciones!$D$751*$I$13</f>
        <v>22461.300165198234</v>
      </c>
      <c r="T287" s="14">
        <f t="shared" ca="1" si="7"/>
        <v>-6038.699834801766</v>
      </c>
      <c r="V287">
        <v>-5710.9474551067651</v>
      </c>
    </row>
    <row r="288" spans="1:22" x14ac:dyDescent="0.2">
      <c r="A288" s="1">
        <f>Acciones!A288</f>
        <v>45418</v>
      </c>
      <c r="B288" s="29">
        <f>LN(Acciones!B288/Acciones!B287)</f>
        <v>-2.868698399710902E-2</v>
      </c>
      <c r="C288" s="29">
        <f>LN(Acciones!C288/Acciones!C287)</f>
        <v>0.16334536000861213</v>
      </c>
      <c r="D288" s="29">
        <f>LN(Acciones!D288/Acciones!D287)</f>
        <v>3.3219212517616569E-3</v>
      </c>
      <c r="E288" s="29">
        <f>LN(Acciones!E288/Acciones!E287)</f>
        <v>-2.4490996172794148E-2</v>
      </c>
      <c r="M288" s="30">
        <f ca="1">Acciones!$B$751*EXP((H$2-H$3/2)*(1)+H$4*_xlfn.NORM.S.INV(RAND())*SQRT(1))</f>
        <v>10.677439667990026</v>
      </c>
      <c r="N288" s="30">
        <f ca="1">Acciones!$C$751*EXP((I$2-I$3/2)*(1)+I$4*_xlfn.NORM.S.INV(RAND())*SQRT(1))</f>
        <v>158.10308495614214</v>
      </c>
      <c r="O288" s="30">
        <f ca="1">Acciones!$D$751*EXP((J$2-J$3/2)*(1)+J$4*_xlfn.NORM.S.INV(RAND())*SQRT(1))</f>
        <v>1015.071477598515</v>
      </c>
      <c r="P288" s="30">
        <f ca="1">Acciones!$E$751*EXP((K$2-K$3/2)*(1)+K$4*_xlfn.NORM.S.INV(RAND())*SQRT(1))</f>
        <v>0.1373697909729861</v>
      </c>
      <c r="Q288" s="30"/>
      <c r="R288">
        <f ca="1">M288/Acciones!$B$751*$I$10 + N288/Acciones!$C$751*$I$11 + O288/Acciones!$D$751*$I$12 + P288/Acciones!$D$751*$I$13</f>
        <v>23465.240772776557</v>
      </c>
      <c r="T288" s="14">
        <f t="shared" ca="1" si="7"/>
        <v>-5034.7592272234433</v>
      </c>
      <c r="V288">
        <v>-5710.7946456693026</v>
      </c>
    </row>
    <row r="289" spans="1:22" x14ac:dyDescent="0.2">
      <c r="A289" s="1">
        <f>Acciones!A289</f>
        <v>45419</v>
      </c>
      <c r="B289" s="29">
        <f>LN(Acciones!B289/Acciones!B288)</f>
        <v>3.4123598422195013E-2</v>
      </c>
      <c r="C289" s="29">
        <f>LN(Acciones!C289/Acciones!C288)</f>
        <v>-2.9460398958644871E-2</v>
      </c>
      <c r="D289" s="29">
        <f>LN(Acciones!D289/Acciones!D288)</f>
        <v>7.5399082106778134E-3</v>
      </c>
      <c r="E289" s="29">
        <f>LN(Acciones!E289/Acciones!E288)</f>
        <v>-1.6667035927221987E-2</v>
      </c>
      <c r="M289" s="30">
        <f ca="1">Acciones!$B$751*EXP((H$2-H$3/2)*(1)+H$4*_xlfn.NORM.S.INV(RAND())*SQRT(1))</f>
        <v>10.676270775323351</v>
      </c>
      <c r="N289" s="30">
        <f ca="1">Acciones!$C$751*EXP((I$2-I$3/2)*(1)+I$4*_xlfn.NORM.S.INV(RAND())*SQRT(1))</f>
        <v>147.91533140762803</v>
      </c>
      <c r="O289" s="30">
        <f ca="1">Acciones!$D$751*EXP((J$2-J$3/2)*(1)+J$4*_xlfn.NORM.S.INV(RAND())*SQRT(1))</f>
        <v>1002.443944731021</v>
      </c>
      <c r="P289" s="30">
        <f ca="1">Acciones!$E$751*EXP((K$2-K$3/2)*(1)+K$4*_xlfn.NORM.S.INV(RAND())*SQRT(1))</f>
        <v>0.13016897028524971</v>
      </c>
      <c r="Q289" s="30"/>
      <c r="R289">
        <f ca="1">M289/Acciones!$B$751*$I$10 + N289/Acciones!$C$751*$I$11 + O289/Acciones!$D$751*$I$12 + P289/Acciones!$D$751*$I$13</f>
        <v>22702.236467192524</v>
      </c>
      <c r="T289" s="14">
        <f t="shared" ca="1" si="7"/>
        <v>-5797.7635328074757</v>
      </c>
      <c r="V289">
        <v>-5709.1353851928579</v>
      </c>
    </row>
    <row r="290" spans="1:22" x14ac:dyDescent="0.2">
      <c r="A290" s="1">
        <f>Acciones!A290</f>
        <v>45420</v>
      </c>
      <c r="B290" s="29">
        <f>LN(Acciones!B290/Acciones!B289)</f>
        <v>-2.7483755465272163E-2</v>
      </c>
      <c r="C290" s="29">
        <f>LN(Acciones!C290/Acciones!C289)</f>
        <v>6.2254123181470613E-3</v>
      </c>
      <c r="D290" s="29">
        <f>LN(Acciones!D290/Acciones!D289)</f>
        <v>-2.5682878877337483E-3</v>
      </c>
      <c r="E290" s="29">
        <f>LN(Acciones!E290/Acciones!E289)</f>
        <v>-8.4389611812001209E-3</v>
      </c>
      <c r="M290" s="30">
        <f ca="1">Acciones!$B$751*EXP((H$2-H$3/2)*(1)+H$4*_xlfn.NORM.S.INV(RAND())*SQRT(1))</f>
        <v>10.785703207056516</v>
      </c>
      <c r="N290" s="30">
        <f ca="1">Acciones!$C$751*EXP((I$2-I$3/2)*(1)+I$4*_xlfn.NORM.S.INV(RAND())*SQRT(1))</f>
        <v>165.53038786814938</v>
      </c>
      <c r="O290" s="30">
        <f ca="1">Acciones!$D$751*EXP((J$2-J$3/2)*(1)+J$4*_xlfn.NORM.S.INV(RAND())*SQRT(1))</f>
        <v>998.71881527148935</v>
      </c>
      <c r="P290" s="30">
        <f ca="1">Acciones!$E$751*EXP((K$2-K$3/2)*(1)+K$4*_xlfn.NORM.S.INV(RAND())*SQRT(1))</f>
        <v>0.11984811358556152</v>
      </c>
      <c r="Q290" s="30"/>
      <c r="R290">
        <f ca="1">M290/Acciones!$B$751*$I$10 + N290/Acciones!$C$751*$I$11 + O290/Acciones!$D$751*$I$12 + P290/Acciones!$D$751*$I$13</f>
        <v>23799.82945743938</v>
      </c>
      <c r="T290" s="14">
        <f t="shared" ca="1" si="7"/>
        <v>-4700.1705425606197</v>
      </c>
      <c r="V290">
        <v>-5708.9649687397796</v>
      </c>
    </row>
    <row r="291" spans="1:22" x14ac:dyDescent="0.2">
      <c r="A291" s="1">
        <f>Acciones!A291</f>
        <v>45421</v>
      </c>
      <c r="B291" s="29">
        <f>LN(Acciones!B291/Acciones!B290)</f>
        <v>3.0191052071348878E-2</v>
      </c>
      <c r="C291" s="29">
        <f>LN(Acciones!C291/Acciones!C290)</f>
        <v>-3.694466072541748E-2</v>
      </c>
      <c r="D291" s="29">
        <f>LN(Acciones!D291/Acciones!D290)</f>
        <v>-1.1597625837829013E-3</v>
      </c>
      <c r="E291" s="29">
        <f>LN(Acciones!E291/Acciones!E290)</f>
        <v>-8.5106818967709136E-3</v>
      </c>
      <c r="M291" s="30">
        <f ca="1">Acciones!$B$751*EXP((H$2-H$3/2)*(1)+H$4*_xlfn.NORM.S.INV(RAND())*SQRT(1))</f>
        <v>10.82824633770745</v>
      </c>
      <c r="N291" s="30">
        <f ca="1">Acciones!$C$751*EXP((I$2-I$3/2)*(1)+I$4*_xlfn.NORM.S.INV(RAND())*SQRT(1))</f>
        <v>155.48861250790665</v>
      </c>
      <c r="O291" s="30">
        <f ca="1">Acciones!$D$751*EXP((J$2-J$3/2)*(1)+J$4*_xlfn.NORM.S.INV(RAND())*SQRT(1))</f>
        <v>1005.5203585618158</v>
      </c>
      <c r="P291" s="30">
        <f ca="1">Acciones!$E$751*EXP((K$2-K$3/2)*(1)+K$4*_xlfn.NORM.S.INV(RAND())*SQRT(1))</f>
        <v>0.13579865902223201</v>
      </c>
      <c r="Q291" s="30"/>
      <c r="R291">
        <f ca="1">M291/Acciones!$B$751*$I$10 + N291/Acciones!$C$751*$I$11 + O291/Acciones!$D$751*$I$12 + P291/Acciones!$D$751*$I$13</f>
        <v>23254.700366416488</v>
      </c>
      <c r="T291" s="14">
        <f t="shared" ca="1" si="7"/>
        <v>-5245.2996335835123</v>
      </c>
      <c r="V291">
        <v>-5703.6951460186683</v>
      </c>
    </row>
    <row r="292" spans="1:22" x14ac:dyDescent="0.2">
      <c r="A292" s="1">
        <f>Acciones!A292</f>
        <v>45422</v>
      </c>
      <c r="B292" s="29">
        <f>LN(Acciones!B292/Acciones!B291)</f>
        <v>-3.5429343176263083E-2</v>
      </c>
      <c r="C292" s="29">
        <f>LN(Acciones!C292/Acciones!C291)</f>
        <v>-0.12936984765012755</v>
      </c>
      <c r="D292" s="29">
        <f>LN(Acciones!D292/Acciones!D291)</f>
        <v>-3.1113065671544329E-2</v>
      </c>
      <c r="E292" s="29">
        <f>LN(Acciones!E292/Acciones!E291)</f>
        <v>2.5317884400501207E-2</v>
      </c>
      <c r="M292" s="30">
        <f ca="1">Acciones!$B$751*EXP((H$2-H$3/2)*(1)+H$4*_xlfn.NORM.S.INV(RAND())*SQRT(1))</f>
        <v>10.912392644876009</v>
      </c>
      <c r="N292" s="30">
        <f ca="1">Acciones!$C$751*EXP((I$2-I$3/2)*(1)+I$4*_xlfn.NORM.S.INV(RAND())*SQRT(1))</f>
        <v>136.63079280149705</v>
      </c>
      <c r="O292" s="30">
        <f ca="1">Acciones!$D$751*EXP((J$2-J$3/2)*(1)+J$4*_xlfn.NORM.S.INV(RAND())*SQRT(1))</f>
        <v>1005.8158154381714</v>
      </c>
      <c r="P292" s="30">
        <f ca="1">Acciones!$E$751*EXP((K$2-K$3/2)*(1)+K$4*_xlfn.NORM.S.INV(RAND())*SQRT(1))</f>
        <v>0.1518515456301065</v>
      </c>
      <c r="Q292" s="30"/>
      <c r="R292">
        <f ca="1">M292/Acciones!$B$751*$I$10 + N292/Acciones!$C$751*$I$11 + O292/Acciones!$D$751*$I$12 + P292/Acciones!$D$751*$I$13</f>
        <v>22107.291095726967</v>
      </c>
      <c r="T292" s="14">
        <f t="shared" ca="1" si="7"/>
        <v>-6392.7089042730331</v>
      </c>
      <c r="V292">
        <v>-5702.0586726959809</v>
      </c>
    </row>
    <row r="293" spans="1:22" x14ac:dyDescent="0.2">
      <c r="A293" s="1">
        <f>Acciones!A293</f>
        <v>45425</v>
      </c>
      <c r="B293" s="29">
        <f>LN(Acciones!B293/Acciones!B292)</f>
        <v>2.25039684597176E-2</v>
      </c>
      <c r="C293" s="29">
        <f>LN(Acciones!C293/Acciones!C292)</f>
        <v>-3.9489283322908242E-3</v>
      </c>
      <c r="D293" s="29">
        <f>LN(Acciones!D293/Acciones!D292)</f>
        <v>1.7128607052120156E-2</v>
      </c>
      <c r="E293" s="29">
        <f>LN(Acciones!E293/Acciones!E292)</f>
        <v>0</v>
      </c>
      <c r="M293" s="30">
        <f ca="1">Acciones!$B$751*EXP((H$2-H$3/2)*(1)+H$4*_xlfn.NORM.S.INV(RAND())*SQRT(1))</f>
        <v>11.160196180885725</v>
      </c>
      <c r="N293" s="30">
        <f ca="1">Acciones!$C$751*EXP((I$2-I$3/2)*(1)+I$4*_xlfn.NORM.S.INV(RAND())*SQRT(1))</f>
        <v>151.21219171210768</v>
      </c>
      <c r="O293" s="30">
        <f ca="1">Acciones!$D$751*EXP((J$2-J$3/2)*(1)+J$4*_xlfn.NORM.S.INV(RAND())*SQRT(1))</f>
        <v>1001.2369143245444</v>
      </c>
      <c r="P293" s="30">
        <f ca="1">Acciones!$E$751*EXP((K$2-K$3/2)*(1)+K$4*_xlfn.NORM.S.INV(RAND())*SQRT(1))</f>
        <v>0.12516358666747007</v>
      </c>
      <c r="Q293" s="30"/>
      <c r="R293">
        <f ca="1">M293/Acciones!$B$751*$I$10 + N293/Acciones!$C$751*$I$11 + O293/Acciones!$D$751*$I$12 + P293/Acciones!$D$751*$I$13</f>
        <v>23051.215861439909</v>
      </c>
      <c r="T293" s="14">
        <f t="shared" ca="1" si="7"/>
        <v>-5448.7841385600914</v>
      </c>
      <c r="V293">
        <v>-5699.4319442765664</v>
      </c>
    </row>
    <row r="294" spans="1:22" x14ac:dyDescent="0.2">
      <c r="A294" s="1">
        <f>Acciones!A294</f>
        <v>45426</v>
      </c>
      <c r="B294" s="29">
        <f>LN(Acciones!B294/Acciones!B293)</f>
        <v>-2.355491375398051E-2</v>
      </c>
      <c r="C294" s="29">
        <f>LN(Acciones!C294/Acciones!C293)</f>
        <v>5.3650658332210117E-2</v>
      </c>
      <c r="D294" s="29">
        <f>LN(Acciones!D294/Acciones!D293)</f>
        <v>3.7805307483485297E-3</v>
      </c>
      <c r="E294" s="29">
        <f>LN(Acciones!E294/Acciones!E293)</f>
        <v>-3.3901620186769801E-2</v>
      </c>
      <c r="M294" s="30">
        <f ca="1">Acciones!$B$751*EXP((H$2-H$3/2)*(1)+H$4*_xlfn.NORM.S.INV(RAND())*SQRT(1))</f>
        <v>11.038160239917181</v>
      </c>
      <c r="N294" s="30">
        <f ca="1">Acciones!$C$751*EXP((I$2-I$3/2)*(1)+I$4*_xlfn.NORM.S.INV(RAND())*SQRT(1))</f>
        <v>145.37371901112024</v>
      </c>
      <c r="O294" s="30">
        <f ca="1">Acciones!$D$751*EXP((J$2-J$3/2)*(1)+J$4*_xlfn.NORM.S.INV(RAND())*SQRT(1))</f>
        <v>961.95902490254605</v>
      </c>
      <c r="P294" s="30">
        <f ca="1">Acciones!$E$751*EXP((K$2-K$3/2)*(1)+K$4*_xlfn.NORM.S.INV(RAND())*SQRT(1))</f>
        <v>0.12651963971840016</v>
      </c>
      <c r="Q294" s="30"/>
      <c r="R294">
        <f ca="1">M294/Acciones!$B$751*$I$10 + N294/Acciones!$C$751*$I$11 + O294/Acciones!$D$751*$I$12 + P294/Acciones!$D$751*$I$13</f>
        <v>22254.104470388756</v>
      </c>
      <c r="T294" s="14">
        <f t="shared" ca="1" si="7"/>
        <v>-6245.8955296112435</v>
      </c>
      <c r="V294">
        <v>-5699.1352004492801</v>
      </c>
    </row>
    <row r="295" spans="1:22" x14ac:dyDescent="0.2">
      <c r="A295" s="1">
        <f>Acciones!A295</f>
        <v>45427</v>
      </c>
      <c r="B295" s="29">
        <f>LN(Acciones!B295/Acciones!B294)</f>
        <v>4.1972389673185792E-3</v>
      </c>
      <c r="C295" s="29">
        <f>LN(Acciones!C295/Acciones!C294)</f>
        <v>9.5878189323266291E-2</v>
      </c>
      <c r="D295" s="29">
        <f>LN(Acciones!D295/Acciones!D294)</f>
        <v>-2.4493751669264801E-2</v>
      </c>
      <c r="E295" s="29">
        <f>LN(Acciones!E295/Acciones!E294)</f>
        <v>2.5533378864239537E-2</v>
      </c>
      <c r="M295" s="30">
        <f ca="1">Acciones!$B$751*EXP((H$2-H$3/2)*(1)+H$4*_xlfn.NORM.S.INV(RAND())*SQRT(1))</f>
        <v>11.013170409754689</v>
      </c>
      <c r="N295" s="30">
        <f ca="1">Acciones!$C$751*EXP((I$2-I$3/2)*(1)+I$4*_xlfn.NORM.S.INV(RAND())*SQRT(1))</f>
        <v>158.35249767050357</v>
      </c>
      <c r="O295" s="30">
        <f ca="1">Acciones!$D$751*EXP((J$2-J$3/2)*(1)+J$4*_xlfn.NORM.S.INV(RAND())*SQRT(1))</f>
        <v>1016.2073173539731</v>
      </c>
      <c r="P295" s="30">
        <f ca="1">Acciones!$E$751*EXP((K$2-K$3/2)*(1)+K$4*_xlfn.NORM.S.INV(RAND())*SQRT(1))</f>
        <v>0.14065051883811261</v>
      </c>
      <c r="Q295" s="30"/>
      <c r="R295">
        <f ca="1">M295/Acciones!$B$751*$I$10 + N295/Acciones!$C$751*$I$11 + O295/Acciones!$D$751*$I$12 + P295/Acciones!$D$751*$I$13</f>
        <v>23599.913468869414</v>
      </c>
      <c r="T295" s="14">
        <f t="shared" ca="1" si="7"/>
        <v>-4900.0865311305861</v>
      </c>
      <c r="V295">
        <v>-5698.2336969236712</v>
      </c>
    </row>
    <row r="296" spans="1:22" x14ac:dyDescent="0.2">
      <c r="A296" s="1">
        <f>Acciones!A296</f>
        <v>45428</v>
      </c>
      <c r="B296" s="29">
        <f>LN(Acciones!B296/Acciones!B295)</f>
        <v>-1.7606144786558503E-2</v>
      </c>
      <c r="C296" s="29">
        <f>LN(Acciones!C296/Acciones!C295)</f>
        <v>-2.1112520119575762E-2</v>
      </c>
      <c r="D296" s="29">
        <f>LN(Acciones!D296/Acciones!D295)</f>
        <v>1.0942774415794051E-2</v>
      </c>
      <c r="E296" s="29">
        <f>LN(Acciones!E296/Acciones!E295)</f>
        <v>4.9190196106361071E-2</v>
      </c>
      <c r="M296" s="30">
        <f ca="1">Acciones!$B$751*EXP((H$2-H$3/2)*(1)+H$4*_xlfn.NORM.S.INV(RAND())*SQRT(1))</f>
        <v>10.661894124456147</v>
      </c>
      <c r="N296" s="30">
        <f ca="1">Acciones!$C$751*EXP((I$2-I$3/2)*(1)+I$4*_xlfn.NORM.S.INV(RAND())*SQRT(1))</f>
        <v>172.32379317760825</v>
      </c>
      <c r="O296" s="30">
        <f ca="1">Acciones!$D$751*EXP((J$2-J$3/2)*(1)+J$4*_xlfn.NORM.S.INV(RAND())*SQRT(1))</f>
        <v>992.87155816597442</v>
      </c>
      <c r="P296" s="30">
        <f ca="1">Acciones!$E$751*EXP((K$2-K$3/2)*(1)+K$4*_xlfn.NORM.S.INV(RAND())*SQRT(1))</f>
        <v>0.12500946476771219</v>
      </c>
      <c r="Q296" s="30"/>
      <c r="R296">
        <f ca="1">M296/Acciones!$B$751*$I$10 + N296/Acciones!$C$751*$I$11 + O296/Acciones!$D$751*$I$12 + P296/Acciones!$D$751*$I$13</f>
        <v>24125.739756507668</v>
      </c>
      <c r="T296" s="14">
        <f t="shared" ca="1" si="7"/>
        <v>-4374.2602434923319</v>
      </c>
      <c r="V296">
        <v>-5697.2056172707162</v>
      </c>
    </row>
    <row r="297" spans="1:22" x14ac:dyDescent="0.2">
      <c r="A297" s="1">
        <f>Acciones!A297</f>
        <v>45429</v>
      </c>
      <c r="B297" s="29">
        <f>LN(Acciones!B297/Acciones!B296)</f>
        <v>3.9000852086401795E-3</v>
      </c>
      <c r="C297" s="29">
        <f>LN(Acciones!C297/Acciones!C296)</f>
        <v>-1.7956400146795642E-2</v>
      </c>
      <c r="D297" s="29">
        <f>LN(Acciones!D297/Acciones!D296)</f>
        <v>-7.8948699962486362E-3</v>
      </c>
      <c r="E297" s="29">
        <f>LN(Acciones!E297/Acciones!E296)</f>
        <v>0</v>
      </c>
      <c r="M297" s="30">
        <f ca="1">Acciones!$B$751*EXP((H$2-H$3/2)*(1)+H$4*_xlfn.NORM.S.INV(RAND())*SQRT(1))</f>
        <v>10.675257866045138</v>
      </c>
      <c r="N297" s="30">
        <f ca="1">Acciones!$C$751*EXP((I$2-I$3/2)*(1)+I$4*_xlfn.NORM.S.INV(RAND())*SQRT(1))</f>
        <v>130.25166377084591</v>
      </c>
      <c r="O297" s="30">
        <f ca="1">Acciones!$D$751*EXP((J$2-J$3/2)*(1)+J$4*_xlfn.NORM.S.INV(RAND())*SQRT(1))</f>
        <v>991.33942479769746</v>
      </c>
      <c r="P297" s="30">
        <f ca="1">Acciones!$E$751*EXP((K$2-K$3/2)*(1)+K$4*_xlfn.NORM.S.INV(RAND())*SQRT(1))</f>
        <v>0.11735059341041576</v>
      </c>
      <c r="Q297" s="30"/>
      <c r="R297">
        <f ca="1">M297/Acciones!$B$751*$I$10 + N297/Acciones!$C$751*$I$11 + O297/Acciones!$D$751*$I$12 + P297/Acciones!$D$751*$I$13</f>
        <v>21487.722395656427</v>
      </c>
      <c r="T297" s="14">
        <f t="shared" ca="1" si="7"/>
        <v>-7012.2776043435733</v>
      </c>
      <c r="V297">
        <v>-5695.9750221869253</v>
      </c>
    </row>
    <row r="298" spans="1:22" x14ac:dyDescent="0.2">
      <c r="A298" s="1">
        <f>Acciones!A298</f>
        <v>45432</v>
      </c>
      <c r="B298" s="29">
        <f>LN(Acciones!B298/Acciones!B297)</f>
        <v>2.2048121861540194E-2</v>
      </c>
      <c r="C298" s="29">
        <f>LN(Acciones!C298/Acciones!C297)</f>
        <v>0.14333493261762481</v>
      </c>
      <c r="D298" s="29">
        <f>LN(Acciones!D298/Acciones!D297)</f>
        <v>-8.6834643084673264E-3</v>
      </c>
      <c r="E298" s="29">
        <f>LN(Acciones!E298/Acciones!E297)</f>
        <v>1.587333413779398E-2</v>
      </c>
      <c r="M298" s="30">
        <f ca="1">Acciones!$B$751*EXP((H$2-H$3/2)*(1)+H$4*_xlfn.NORM.S.INV(RAND())*SQRT(1))</f>
        <v>10.905660706416015</v>
      </c>
      <c r="N298" s="30">
        <f ca="1">Acciones!$C$751*EXP((I$2-I$3/2)*(1)+I$4*_xlfn.NORM.S.INV(RAND())*SQRT(1))</f>
        <v>151.36485703102775</v>
      </c>
      <c r="O298" s="30">
        <f ca="1">Acciones!$D$751*EXP((J$2-J$3/2)*(1)+J$4*_xlfn.NORM.S.INV(RAND())*SQRT(1))</f>
        <v>984.46724228374887</v>
      </c>
      <c r="P298" s="30">
        <f ca="1">Acciones!$E$751*EXP((K$2-K$3/2)*(1)+K$4*_xlfn.NORM.S.INV(RAND())*SQRT(1))</f>
        <v>0.11249316615220299</v>
      </c>
      <c r="Q298" s="30"/>
      <c r="R298">
        <f ca="1">M298/Acciones!$B$751*$I$10 + N298/Acciones!$C$751*$I$11 + O298/Acciones!$D$751*$I$12 + P298/Acciones!$D$751*$I$13</f>
        <v>22811.049377295589</v>
      </c>
      <c r="T298" s="14">
        <f t="shared" ca="1" si="7"/>
        <v>-5688.9506227044112</v>
      </c>
      <c r="V298">
        <v>-5695.0803124361846</v>
      </c>
    </row>
    <row r="299" spans="1:22" x14ac:dyDescent="0.2">
      <c r="A299" s="1">
        <f>Acciones!A299</f>
        <v>45433</v>
      </c>
      <c r="B299" s="29">
        <f>LN(Acciones!B299/Acciones!B298)</f>
        <v>-6.5983361368687045E-3</v>
      </c>
      <c r="C299" s="29">
        <f>LN(Acciones!C299/Acciones!C298)</f>
        <v>-4.1454967943321791E-2</v>
      </c>
      <c r="D299" s="29">
        <f>LN(Acciones!D299/Acciones!D298)</f>
        <v>1.4966746812924099E-2</v>
      </c>
      <c r="E299" s="29">
        <f>LN(Acciones!E299/Acciones!E298)</f>
        <v>-7.905172057466275E-3</v>
      </c>
      <c r="M299" s="30">
        <f ca="1">Acciones!$B$751*EXP((H$2-H$3/2)*(1)+H$4*_xlfn.NORM.S.INV(RAND())*SQRT(1))</f>
        <v>11.321679015230846</v>
      </c>
      <c r="N299" s="30">
        <f ca="1">Acciones!$C$751*EXP((I$2-I$3/2)*(1)+I$4*_xlfn.NORM.S.INV(RAND())*SQRT(1))</f>
        <v>163.18933150087713</v>
      </c>
      <c r="O299" s="30">
        <f ca="1">Acciones!$D$751*EXP((J$2-J$3/2)*(1)+J$4*_xlfn.NORM.S.INV(RAND())*SQRT(1))</f>
        <v>998.53920678337954</v>
      </c>
      <c r="P299" s="30">
        <f ca="1">Acciones!$E$751*EXP((K$2-K$3/2)*(1)+K$4*_xlfn.NORM.S.INV(RAND())*SQRT(1))</f>
        <v>0.12681155102203598</v>
      </c>
      <c r="Q299" s="30"/>
      <c r="R299">
        <f ca="1">M299/Acciones!$B$751*$I$10 + N299/Acciones!$C$751*$I$11 + O299/Acciones!$D$751*$I$12 + P299/Acciones!$D$751*$I$13</f>
        <v>23823.841582390025</v>
      </c>
      <c r="T299" s="14">
        <f t="shared" ca="1" si="7"/>
        <v>-4676.158417609975</v>
      </c>
      <c r="V299">
        <v>-5691.6960750636099</v>
      </c>
    </row>
    <row r="300" spans="1:22" x14ac:dyDescent="0.2">
      <c r="A300" s="1">
        <f>Acciones!A300</f>
        <v>45434</v>
      </c>
      <c r="B300" s="29">
        <f>LN(Acciones!B300/Acciones!B299)</f>
        <v>-3.4852942957785304E-4</v>
      </c>
      <c r="C300" s="29">
        <f>LN(Acciones!C300/Acciones!C299)</f>
        <v>-9.0223130156790229E-3</v>
      </c>
      <c r="D300" s="29">
        <f>LN(Acciones!D300/Acciones!D299)</f>
        <v>2.1763958486501231E-3</v>
      </c>
      <c r="E300" s="29">
        <f>LN(Acciones!E300/Acciones!E299)</f>
        <v>0</v>
      </c>
      <c r="M300" s="30">
        <f ca="1">Acciones!$B$751*EXP((H$2-H$3/2)*(1)+H$4*_xlfn.NORM.S.INV(RAND())*SQRT(1))</f>
        <v>10.843197181865381</v>
      </c>
      <c r="N300" s="30">
        <f ca="1">Acciones!$C$751*EXP((I$2-I$3/2)*(1)+I$4*_xlfn.NORM.S.INV(RAND())*SQRT(1))</f>
        <v>147.3178956110676</v>
      </c>
      <c r="O300" s="30">
        <f ca="1">Acciones!$D$751*EXP((J$2-J$3/2)*(1)+J$4*_xlfn.NORM.S.INV(RAND())*SQRT(1))</f>
        <v>994.78006735837596</v>
      </c>
      <c r="P300" s="30">
        <f ca="1">Acciones!$E$751*EXP((K$2-K$3/2)*(1)+K$4*_xlfn.NORM.S.INV(RAND())*SQRT(1))</f>
        <v>0.12909409541567149</v>
      </c>
      <c r="Q300" s="30"/>
      <c r="R300">
        <f ca="1">M300/Acciones!$B$751*$I$10 + N300/Acciones!$C$751*$I$11 + O300/Acciones!$D$751*$I$12 + P300/Acciones!$D$751*$I$13</f>
        <v>22641.714043667333</v>
      </c>
      <c r="T300" s="14">
        <f t="shared" ca="1" si="7"/>
        <v>-5858.2859563326674</v>
      </c>
      <c r="V300">
        <v>-5682.5075150440171</v>
      </c>
    </row>
    <row r="301" spans="1:22" x14ac:dyDescent="0.2">
      <c r="A301" s="1">
        <f>Acciones!A301</f>
        <v>45435</v>
      </c>
      <c r="B301" s="29">
        <f>LN(Acciones!B301/Acciones!B300)</f>
        <v>3.8267501181494788E-3</v>
      </c>
      <c r="C301" s="29">
        <f>LN(Acciones!C301/Acciones!C300)</f>
        <v>-4.9137151363815676E-2</v>
      </c>
      <c r="D301" s="29">
        <f>LN(Acciones!D301/Acciones!D300)</f>
        <v>-8.4925115198582323E-3</v>
      </c>
      <c r="E301" s="29">
        <f>LN(Acciones!E301/Acciones!E300)</f>
        <v>7.9051720574662421E-3</v>
      </c>
      <c r="M301" s="30">
        <f ca="1">Acciones!$B$751*EXP((H$2-H$3/2)*(1)+H$4*_xlfn.NORM.S.INV(RAND())*SQRT(1))</f>
        <v>11.098339317356492</v>
      </c>
      <c r="N301" s="30">
        <f ca="1">Acciones!$C$751*EXP((I$2-I$3/2)*(1)+I$4*_xlfn.NORM.S.INV(RAND())*SQRT(1))</f>
        <v>149.24453156094378</v>
      </c>
      <c r="O301" s="30">
        <f ca="1">Acciones!$D$751*EXP((J$2-J$3/2)*(1)+J$4*_xlfn.NORM.S.INV(RAND())*SQRT(1))</f>
        <v>992.72597374884981</v>
      </c>
      <c r="P301" s="30">
        <f ca="1">Acciones!$E$751*EXP((K$2-K$3/2)*(1)+K$4*_xlfn.NORM.S.INV(RAND())*SQRT(1))</f>
        <v>0.12882245108515966</v>
      </c>
      <c r="Q301" s="30"/>
      <c r="R301">
        <f ca="1">M301/Acciones!$B$751*$I$10 + N301/Acciones!$C$751*$I$11 + O301/Acciones!$D$751*$I$12 + P301/Acciones!$D$751*$I$13</f>
        <v>22823.285188809168</v>
      </c>
      <c r="T301" s="14">
        <f t="shared" ca="1" si="7"/>
        <v>-5676.7148111908318</v>
      </c>
      <c r="V301">
        <v>-5682.4466098332559</v>
      </c>
    </row>
    <row r="302" spans="1:22" x14ac:dyDescent="0.2">
      <c r="A302" s="1">
        <f>Acciones!A302</f>
        <v>45436</v>
      </c>
      <c r="B302" s="29">
        <f>LN(Acciones!B302/Acciones!B301)</f>
        <v>-8.7184787268666884E-3</v>
      </c>
      <c r="C302" s="29">
        <f>LN(Acciones!C302/Acciones!C301)</f>
        <v>4.7776816515870089E-2</v>
      </c>
      <c r="D302" s="29">
        <f>LN(Acciones!D302/Acciones!D301)</f>
        <v>3.1370197996331839E-3</v>
      </c>
      <c r="E302" s="29">
        <f>LN(Acciones!E302/Acciones!E301)</f>
        <v>0</v>
      </c>
      <c r="M302" s="30">
        <f ca="1">Acciones!$B$751*EXP((H$2-H$3/2)*(1)+H$4*_xlfn.NORM.S.INV(RAND())*SQRT(1))</f>
        <v>11.402642655294633</v>
      </c>
      <c r="N302" s="30">
        <f ca="1">Acciones!$C$751*EXP((I$2-I$3/2)*(1)+I$4*_xlfn.NORM.S.INV(RAND())*SQRT(1))</f>
        <v>144.83906118925745</v>
      </c>
      <c r="O302" s="30">
        <f ca="1">Acciones!$D$751*EXP((J$2-J$3/2)*(1)+J$4*_xlfn.NORM.S.INV(RAND())*SQRT(1))</f>
        <v>964.71450703085861</v>
      </c>
      <c r="P302" s="30">
        <f ca="1">Acciones!$E$751*EXP((K$2-K$3/2)*(1)+K$4*_xlfn.NORM.S.INV(RAND())*SQRT(1))</f>
        <v>0.12464449404762631</v>
      </c>
      <c r="Q302" s="30"/>
      <c r="R302">
        <f ca="1">M302/Acciones!$B$751*$I$10 + N302/Acciones!$C$751*$I$11 + O302/Acciones!$D$751*$I$12 + P302/Acciones!$D$751*$I$13</f>
        <v>22365.239420558064</v>
      </c>
      <c r="T302" s="14">
        <f t="shared" ca="1" si="7"/>
        <v>-6134.760579441936</v>
      </c>
      <c r="V302">
        <v>-5682.0318693784393</v>
      </c>
    </row>
    <row r="303" spans="1:22" x14ac:dyDescent="0.2">
      <c r="A303" s="1">
        <f>Acciones!A303</f>
        <v>45439</v>
      </c>
      <c r="B303" s="29">
        <f>LN(Acciones!B303/Acciones!B302)</f>
        <v>1.3567847071918925E-2</v>
      </c>
      <c r="C303" s="29">
        <f>LN(Acciones!C303/Acciones!C302)</f>
        <v>-2.8366502147191388E-4</v>
      </c>
      <c r="D303" s="29">
        <f>LN(Acciones!D303/Acciones!D302)</f>
        <v>0</v>
      </c>
      <c r="E303" s="29">
        <f>LN(Acciones!E303/Acciones!E302)</f>
        <v>2.3347342335702067E-2</v>
      </c>
      <c r="M303" s="30">
        <f ca="1">Acciones!$B$751*EXP((H$2-H$3/2)*(1)+H$4*_xlfn.NORM.S.INV(RAND())*SQRT(1))</f>
        <v>10.79516726814173</v>
      </c>
      <c r="N303" s="30">
        <f ca="1">Acciones!$C$751*EXP((I$2-I$3/2)*(1)+I$4*_xlfn.NORM.S.INV(RAND())*SQRT(1))</f>
        <v>156.71193159930033</v>
      </c>
      <c r="O303" s="30">
        <f ca="1">Acciones!$D$751*EXP((J$2-J$3/2)*(1)+J$4*_xlfn.NORM.S.INV(RAND())*SQRT(1))</f>
        <v>968.41702727108179</v>
      </c>
      <c r="P303" s="30">
        <f ca="1">Acciones!$E$751*EXP((K$2-K$3/2)*(1)+K$4*_xlfn.NORM.S.INV(RAND())*SQRT(1))</f>
        <v>0.12439546008957918</v>
      </c>
      <c r="Q303" s="30"/>
      <c r="R303">
        <f ca="1">M303/Acciones!$B$751*$I$10 + N303/Acciones!$C$751*$I$11 + O303/Acciones!$D$751*$I$12 + P303/Acciones!$D$751*$I$13</f>
        <v>22948.764818500113</v>
      </c>
      <c r="T303" s="14">
        <f t="shared" ca="1" si="7"/>
        <v>-5551.2351814998874</v>
      </c>
      <c r="V303">
        <v>-5675.8283795510724</v>
      </c>
    </row>
    <row r="304" spans="1:22" x14ac:dyDescent="0.2">
      <c r="A304" s="1">
        <f>Acciones!A304</f>
        <v>45440</v>
      </c>
      <c r="B304" s="29">
        <f>LN(Acciones!B304/Acciones!B303)</f>
        <v>-1.4969821394713818E-2</v>
      </c>
      <c r="C304" s="29">
        <f>LN(Acciones!C304/Acciones!C303)</f>
        <v>-9.3771862818908015E-3</v>
      </c>
      <c r="D304" s="29">
        <f>LN(Acciones!D304/Acciones!D303)</f>
        <v>9.7976895032095019E-3</v>
      </c>
      <c r="E304" s="29">
        <f>LN(Acciones!E304/Acciones!E303)</f>
        <v>1.5267548546997271E-2</v>
      </c>
      <c r="M304" s="30">
        <f ca="1">Acciones!$B$751*EXP((H$2-H$3/2)*(1)+H$4*_xlfn.NORM.S.INV(RAND())*SQRT(1))</f>
        <v>10.883655415496749</v>
      </c>
      <c r="N304" s="30">
        <f ca="1">Acciones!$C$751*EXP((I$2-I$3/2)*(1)+I$4*_xlfn.NORM.S.INV(RAND())*SQRT(1))</f>
        <v>132.77048916331125</v>
      </c>
      <c r="O304" s="30">
        <f ca="1">Acciones!$D$751*EXP((J$2-J$3/2)*(1)+J$4*_xlfn.NORM.S.INV(RAND())*SQRT(1))</f>
        <v>994.98606328517087</v>
      </c>
      <c r="P304" s="30">
        <f ca="1">Acciones!$E$751*EXP((K$2-K$3/2)*(1)+K$4*_xlfn.NORM.S.INV(RAND())*SQRT(1))</f>
        <v>0.11934225328265148</v>
      </c>
      <c r="Q304" s="30"/>
      <c r="R304">
        <f ca="1">M304/Acciones!$B$751*$I$10 + N304/Acciones!$C$751*$I$11 + O304/Acciones!$D$751*$I$12 + P304/Acciones!$D$751*$I$13</f>
        <v>21748.386357724841</v>
      </c>
      <c r="T304" s="14">
        <f t="shared" ca="1" si="7"/>
        <v>-6751.6136422751588</v>
      </c>
      <c r="V304">
        <v>-5673.1096617129733</v>
      </c>
    </row>
    <row r="305" spans="1:22" x14ac:dyDescent="0.2">
      <c r="A305" s="1">
        <f>Acciones!A305</f>
        <v>45441</v>
      </c>
      <c r="B305" s="29">
        <f>LN(Acciones!B305/Acciones!B304)</f>
        <v>3.8508640362561208E-3</v>
      </c>
      <c r="C305" s="29">
        <f>LN(Acciones!C305/Acciones!C304)</f>
        <v>-1.4160101080593436E-2</v>
      </c>
      <c r="D305" s="29">
        <f>LN(Acciones!D305/Acciones!D304)</f>
        <v>6.6266718602992483E-3</v>
      </c>
      <c r="E305" s="29">
        <f>LN(Acciones!E305/Acciones!E304)</f>
        <v>-7.6046828013843232E-3</v>
      </c>
      <c r="M305" s="30">
        <f ca="1">Acciones!$B$751*EXP((H$2-H$3/2)*(1)+H$4*_xlfn.NORM.S.INV(RAND())*SQRT(1))</f>
        <v>10.531018374837522</v>
      </c>
      <c r="N305" s="30">
        <f ca="1">Acciones!$C$751*EXP((I$2-I$3/2)*(1)+I$4*_xlfn.NORM.S.INV(RAND())*SQRT(1))</f>
        <v>149.02171022103849</v>
      </c>
      <c r="O305" s="30">
        <f ca="1">Acciones!$D$751*EXP((J$2-J$3/2)*(1)+J$4*_xlfn.NORM.S.INV(RAND())*SQRT(1))</f>
        <v>1020.0914643103782</v>
      </c>
      <c r="P305" s="30">
        <f ca="1">Acciones!$E$751*EXP((K$2-K$3/2)*(1)+K$4*_xlfn.NORM.S.INV(RAND())*SQRT(1))</f>
        <v>0.1232211586313459</v>
      </c>
      <c r="Q305" s="30"/>
      <c r="R305">
        <f ca="1">M305/Acciones!$B$751*$I$10 + N305/Acciones!$C$751*$I$11 + O305/Acciones!$D$751*$I$12 + P305/Acciones!$D$751*$I$13</f>
        <v>22901.445862336805</v>
      </c>
      <c r="T305" s="14">
        <f t="shared" ca="1" si="7"/>
        <v>-5598.5541376631954</v>
      </c>
      <c r="V305">
        <v>-5671.5189626542669</v>
      </c>
    </row>
    <row r="306" spans="1:22" x14ac:dyDescent="0.2">
      <c r="A306" s="1">
        <f>Acciones!A306</f>
        <v>45442</v>
      </c>
      <c r="B306" s="29">
        <f>LN(Acciones!B306/Acciones!B305)</f>
        <v>1.0427560707702149E-2</v>
      </c>
      <c r="C306" s="29">
        <f>LN(Acciones!C306/Acciones!C305)</f>
        <v>-1.5513227509388843E-2</v>
      </c>
      <c r="D306" s="29">
        <f>LN(Acciones!D306/Acciones!D305)</f>
        <v>1.7004727067919459E-2</v>
      </c>
      <c r="E306" s="29">
        <f>LN(Acciones!E306/Acciones!E305)</f>
        <v>3.0077516577648806E-2</v>
      </c>
      <c r="M306" s="30">
        <f ca="1">Acciones!$B$751*EXP((H$2-H$3/2)*(1)+H$4*_xlfn.NORM.S.INV(RAND())*SQRT(1))</f>
        <v>10.652572498807324</v>
      </c>
      <c r="N306" s="30">
        <f ca="1">Acciones!$C$751*EXP((I$2-I$3/2)*(1)+I$4*_xlfn.NORM.S.INV(RAND())*SQRT(1))</f>
        <v>158.19185373710761</v>
      </c>
      <c r="O306" s="30">
        <f ca="1">Acciones!$D$751*EXP((J$2-J$3/2)*(1)+J$4*_xlfn.NORM.S.INV(RAND())*SQRT(1))</f>
        <v>997.92134240211055</v>
      </c>
      <c r="P306" s="30">
        <f ca="1">Acciones!$E$751*EXP((K$2-K$3/2)*(1)+K$4*_xlfn.NORM.S.INV(RAND())*SQRT(1))</f>
        <v>0.116424823396619</v>
      </c>
      <c r="Q306" s="30"/>
      <c r="R306">
        <f ca="1">M306/Acciones!$B$751*$I$10 + N306/Acciones!$C$751*$I$11 + O306/Acciones!$D$751*$I$12 + P306/Acciones!$D$751*$I$13</f>
        <v>23290.907334776897</v>
      </c>
      <c r="T306" s="14">
        <f t="shared" ca="1" si="7"/>
        <v>-5209.0926652231028</v>
      </c>
      <c r="V306">
        <v>-5669.9013673032387</v>
      </c>
    </row>
    <row r="307" spans="1:22" x14ac:dyDescent="0.2">
      <c r="A307" s="1">
        <f>Acciones!A307</f>
        <v>45443</v>
      </c>
      <c r="B307" s="29">
        <f>LN(Acciones!B307/Acciones!B306)</f>
        <v>2.7625200255394686E-3</v>
      </c>
      <c r="C307" s="29">
        <f>LN(Acciones!C307/Acciones!C306)</f>
        <v>-3.417627554992797E-2</v>
      </c>
      <c r="D307" s="29">
        <f>LN(Acciones!D307/Acciones!D306)</f>
        <v>1.3867943427789148E-2</v>
      </c>
      <c r="E307" s="29">
        <f>LN(Acciones!E307/Acciones!E306)</f>
        <v>-2.2472833776264498E-2</v>
      </c>
      <c r="M307" s="30">
        <f ca="1">Acciones!$B$751*EXP((H$2-H$3/2)*(1)+H$4*_xlfn.NORM.S.INV(RAND())*SQRT(1))</f>
        <v>11.22072145040255</v>
      </c>
      <c r="N307" s="30">
        <f ca="1">Acciones!$C$751*EXP((I$2-I$3/2)*(1)+I$4*_xlfn.NORM.S.INV(RAND())*SQRT(1))</f>
        <v>153.52628240821173</v>
      </c>
      <c r="O307" s="30">
        <f ca="1">Acciones!$D$751*EXP((J$2-J$3/2)*(1)+J$4*_xlfn.NORM.S.INV(RAND())*SQRT(1))</f>
        <v>1012.800248966955</v>
      </c>
      <c r="P307" s="30">
        <f ca="1">Acciones!$E$751*EXP((K$2-K$3/2)*(1)+K$4*_xlfn.NORM.S.INV(RAND())*SQRT(1))</f>
        <v>0.12802106615477565</v>
      </c>
      <c r="Q307" s="30"/>
      <c r="R307">
        <f ca="1">M307/Acciones!$B$751*$I$10 + N307/Acciones!$C$751*$I$11 + O307/Acciones!$D$751*$I$12 + P307/Acciones!$D$751*$I$13</f>
        <v>23330.959895270222</v>
      </c>
      <c r="T307" s="14">
        <f t="shared" ca="1" si="7"/>
        <v>-5169.0401047297782</v>
      </c>
      <c r="V307">
        <v>-5669.67162940454</v>
      </c>
    </row>
    <row r="308" spans="1:22" x14ac:dyDescent="0.2">
      <c r="A308" s="1">
        <f>Acciones!A308</f>
        <v>45446</v>
      </c>
      <c r="B308" s="29">
        <f>LN(Acciones!B308/Acciones!B307)</f>
        <v>-0.10727814309914124</v>
      </c>
      <c r="C308" s="29">
        <f>LN(Acciones!C308/Acciones!C307)</f>
        <v>5.0763644661092532E-2</v>
      </c>
      <c r="D308" s="29">
        <f>LN(Acciones!D308/Acciones!D307)</f>
        <v>4.0531212012029284E-2</v>
      </c>
      <c r="E308" s="29">
        <f>LN(Acciones!E308/Acciones!E307)</f>
        <v>-1.5267548546997278E-2</v>
      </c>
      <c r="M308" s="30">
        <f ca="1">Acciones!$B$751*EXP((H$2-H$3/2)*(1)+H$4*_xlfn.NORM.S.INV(RAND())*SQRT(1))</f>
        <v>10.775313034408352</v>
      </c>
      <c r="N308" s="30">
        <f ca="1">Acciones!$C$751*EXP((I$2-I$3/2)*(1)+I$4*_xlfn.NORM.S.INV(RAND())*SQRT(1))</f>
        <v>136.4588455035522</v>
      </c>
      <c r="O308" s="30">
        <f ca="1">Acciones!$D$751*EXP((J$2-J$3/2)*(1)+J$4*_xlfn.NORM.S.INV(RAND())*SQRT(1))</f>
        <v>990.40214756500086</v>
      </c>
      <c r="P308" s="30">
        <f ca="1">Acciones!$E$751*EXP((K$2-K$3/2)*(1)+K$4*_xlfn.NORM.S.INV(RAND())*SQRT(1))</f>
        <v>0.1396138985266967</v>
      </c>
      <c r="Q308" s="30"/>
      <c r="R308">
        <f ca="1">M308/Acciones!$B$751*$I$10 + N308/Acciones!$C$751*$I$11 + O308/Acciones!$D$751*$I$12 + P308/Acciones!$D$751*$I$13</f>
        <v>21898.12164169618</v>
      </c>
      <c r="T308" s="14">
        <f t="shared" ca="1" si="7"/>
        <v>-6601.8783583038203</v>
      </c>
      <c r="V308">
        <v>-5669.1063945796668</v>
      </c>
    </row>
    <row r="309" spans="1:22" x14ac:dyDescent="0.2">
      <c r="A309" s="1">
        <f>Acciones!A309</f>
        <v>45447</v>
      </c>
      <c r="B309" s="29">
        <f>LN(Acciones!B309/Acciones!B308)</f>
        <v>1.7504301606320091E-2</v>
      </c>
      <c r="C309" s="29">
        <f>LN(Acciones!C309/Acciones!C308)</f>
        <v>6.3645946193317648E-2</v>
      </c>
      <c r="D309" s="29">
        <f>LN(Acciones!D309/Acciones!D308)</f>
        <v>8.6774435066789904E-3</v>
      </c>
      <c r="E309" s="29">
        <f>LN(Acciones!E309/Acciones!E308)</f>
        <v>0</v>
      </c>
      <c r="M309" s="30">
        <f ca="1">Acciones!$B$751*EXP((H$2-H$3/2)*(1)+H$4*_xlfn.NORM.S.INV(RAND())*SQRT(1))</f>
        <v>10.921365167274084</v>
      </c>
      <c r="N309" s="30">
        <f ca="1">Acciones!$C$751*EXP((I$2-I$3/2)*(1)+I$4*_xlfn.NORM.S.INV(RAND())*SQRT(1))</f>
        <v>149.63223184826268</v>
      </c>
      <c r="O309" s="30">
        <f ca="1">Acciones!$D$751*EXP((J$2-J$3/2)*(1)+J$4*_xlfn.NORM.S.INV(RAND())*SQRT(1))</f>
        <v>1000.9798165829136</v>
      </c>
      <c r="P309" s="30">
        <f ca="1">Acciones!$E$751*EXP((K$2-K$3/2)*(1)+K$4*_xlfn.NORM.S.INV(RAND())*SQRT(1))</f>
        <v>0.12442502531287167</v>
      </c>
      <c r="Q309" s="30"/>
      <c r="R309">
        <f ca="1">M309/Acciones!$B$751*$I$10 + N309/Acciones!$C$751*$I$11 + O309/Acciones!$D$751*$I$12 + P309/Acciones!$D$751*$I$13</f>
        <v>22873.367882168317</v>
      </c>
      <c r="T309" s="14">
        <f t="shared" ca="1" si="7"/>
        <v>-5626.632117831683</v>
      </c>
      <c r="V309">
        <v>-5664.9650370200943</v>
      </c>
    </row>
    <row r="310" spans="1:22" x14ac:dyDescent="0.2">
      <c r="A310" s="1">
        <f>Acciones!A310</f>
        <v>45448</v>
      </c>
      <c r="B310" s="29">
        <f>LN(Acciones!B310/Acciones!B309)</f>
        <v>1.3116153320259149E-2</v>
      </c>
      <c r="C310" s="29">
        <f>LN(Acciones!C310/Acciones!C309)</f>
        <v>5.0780005993490002E-3</v>
      </c>
      <c r="D310" s="29">
        <f>LN(Acciones!D310/Acciones!D309)</f>
        <v>-2.2678732664071437E-2</v>
      </c>
      <c r="E310" s="29">
        <f>LN(Acciones!E310/Acciones!E309)</f>
        <v>0</v>
      </c>
      <c r="M310" s="30">
        <f ca="1">Acciones!$B$751*EXP((H$2-H$3/2)*(1)+H$4*_xlfn.NORM.S.INV(RAND())*SQRT(1))</f>
        <v>10.956859943154415</v>
      </c>
      <c r="N310" s="30">
        <f ca="1">Acciones!$C$751*EXP((I$2-I$3/2)*(1)+I$4*_xlfn.NORM.S.INV(RAND())*SQRT(1))</f>
        <v>157.4592681912867</v>
      </c>
      <c r="O310" s="30">
        <f ca="1">Acciones!$D$751*EXP((J$2-J$3/2)*(1)+J$4*_xlfn.NORM.S.INV(RAND())*SQRT(1))</f>
        <v>990.78665361655885</v>
      </c>
      <c r="P310" s="30">
        <f ca="1">Acciones!$E$751*EXP((K$2-K$3/2)*(1)+K$4*_xlfn.NORM.S.INV(RAND())*SQRT(1))</f>
        <v>0.13231116499415016</v>
      </c>
      <c r="Q310" s="30"/>
      <c r="R310">
        <f ca="1">M310/Acciones!$B$751*$I$10 + N310/Acciones!$C$751*$I$11 + O310/Acciones!$D$751*$I$12 + P310/Acciones!$D$751*$I$13</f>
        <v>23271.406725965815</v>
      </c>
      <c r="T310" s="14">
        <f t="shared" ca="1" si="7"/>
        <v>-5228.593274034185</v>
      </c>
      <c r="V310">
        <v>-5664.1620285312856</v>
      </c>
    </row>
    <row r="311" spans="1:22" x14ac:dyDescent="0.2">
      <c r="A311" s="1">
        <f>Acciones!A311</f>
        <v>45449</v>
      </c>
      <c r="B311" s="29">
        <f>LN(Acciones!B311/Acciones!B310)</f>
        <v>-1.6895474081731199E-2</v>
      </c>
      <c r="C311" s="29">
        <f>LN(Acciones!C311/Acciones!C310)</f>
        <v>1.0836256936057104E-4</v>
      </c>
      <c r="D311" s="29">
        <f>LN(Acciones!D311/Acciones!D310)</f>
        <v>3.3458859909275301E-2</v>
      </c>
      <c r="E311" s="29">
        <f>LN(Acciones!E311/Acciones!E310)</f>
        <v>-4.7252840479840852E-2</v>
      </c>
      <c r="M311" s="30">
        <f ca="1">Acciones!$B$751*EXP((H$2-H$3/2)*(1)+H$4*_xlfn.NORM.S.INV(RAND())*SQRT(1))</f>
        <v>10.967858206766904</v>
      </c>
      <c r="N311" s="30">
        <f ca="1">Acciones!$C$751*EXP((I$2-I$3/2)*(1)+I$4*_xlfn.NORM.S.INV(RAND())*SQRT(1))</f>
        <v>146.89134373808244</v>
      </c>
      <c r="O311" s="30">
        <f ca="1">Acciones!$D$751*EXP((J$2-J$3/2)*(1)+J$4*_xlfn.NORM.S.INV(RAND())*SQRT(1))</f>
        <v>962.71977211182286</v>
      </c>
      <c r="P311" s="30">
        <f ca="1">Acciones!$E$751*EXP((K$2-K$3/2)*(1)+K$4*_xlfn.NORM.S.INV(RAND())*SQRT(1))</f>
        <v>0.14855543748044331</v>
      </c>
      <c r="Q311" s="30"/>
      <c r="R311">
        <f ca="1">M311/Acciones!$B$751*$I$10 + N311/Acciones!$C$751*$I$11 + O311/Acciones!$D$751*$I$12 + P311/Acciones!$D$751*$I$13</f>
        <v>22334.050516834701</v>
      </c>
      <c r="T311" s="14">
        <f t="shared" ca="1" si="7"/>
        <v>-6165.9494831652992</v>
      </c>
      <c r="V311">
        <v>-5664.0252424730425</v>
      </c>
    </row>
    <row r="312" spans="1:22" x14ac:dyDescent="0.2">
      <c r="A312" s="1">
        <f>Acciones!A312</f>
        <v>45450</v>
      </c>
      <c r="B312" s="29">
        <f>LN(Acciones!B312/Acciones!B311)</f>
        <v>-5.1273348189875174E-2</v>
      </c>
      <c r="C312" s="29">
        <f>LN(Acciones!C312/Acciones!C311)</f>
        <v>-3.8569842593232311E-2</v>
      </c>
      <c r="D312" s="29">
        <f>LN(Acciones!D312/Acciones!D311)</f>
        <v>4.5910630316524426E-2</v>
      </c>
      <c r="E312" s="29">
        <f>LN(Acciones!E312/Acciones!E311)</f>
        <v>8.0321640063448115E-3</v>
      </c>
      <c r="M312" s="30">
        <f ca="1">Acciones!$B$751*EXP((H$2-H$3/2)*(1)+H$4*_xlfn.NORM.S.INV(RAND())*SQRT(1))</f>
        <v>10.794547689775882</v>
      </c>
      <c r="N312" s="30">
        <f ca="1">Acciones!$C$751*EXP((I$2-I$3/2)*(1)+I$4*_xlfn.NORM.S.INV(RAND())*SQRT(1))</f>
        <v>158.6247129181246</v>
      </c>
      <c r="O312" s="30">
        <f ca="1">Acciones!$D$751*EXP((J$2-J$3/2)*(1)+J$4*_xlfn.NORM.S.INV(RAND())*SQRT(1))</f>
        <v>1010.2663722258442</v>
      </c>
      <c r="P312" s="30">
        <f ca="1">Acciones!$E$751*EXP((K$2-K$3/2)*(1)+K$4*_xlfn.NORM.S.INV(RAND())*SQRT(1))</f>
        <v>0.11243884629952192</v>
      </c>
      <c r="Q312" s="30"/>
      <c r="R312">
        <f ca="1">M312/Acciones!$B$751*$I$10 + N312/Acciones!$C$751*$I$11 + O312/Acciones!$D$751*$I$12 + P312/Acciones!$D$751*$I$13</f>
        <v>23487.1120743551</v>
      </c>
      <c r="T312" s="14">
        <f t="shared" ca="1" si="7"/>
        <v>-5012.8879256449</v>
      </c>
      <c r="V312">
        <v>-5663.9302148606366</v>
      </c>
    </row>
    <row r="313" spans="1:22" x14ac:dyDescent="0.2">
      <c r="A313" s="1">
        <f>Acciones!A313</f>
        <v>45453</v>
      </c>
      <c r="B313" s="29">
        <f>LN(Acciones!B313/Acciones!B312)</f>
        <v>3.3316785672204967E-2</v>
      </c>
      <c r="C313" s="29">
        <f>LN(Acciones!C313/Acciones!C312)</f>
        <v>1.4069772868331693E-4</v>
      </c>
      <c r="D313" s="29">
        <f>LN(Acciones!D313/Acciones!D312)</f>
        <v>-1.4631043663858973E-2</v>
      </c>
      <c r="E313" s="29">
        <f>LN(Acciones!E313/Acciones!E312)</f>
        <v>-2.4292669118044841E-2</v>
      </c>
      <c r="M313" s="30">
        <f ca="1">Acciones!$B$751*EXP((H$2-H$3/2)*(1)+H$4*_xlfn.NORM.S.INV(RAND())*SQRT(1))</f>
        <v>11.102531209002322</v>
      </c>
      <c r="N313" s="30">
        <f ca="1">Acciones!$C$751*EXP((I$2-I$3/2)*(1)+I$4*_xlfn.NORM.S.INV(RAND())*SQRT(1))</f>
        <v>158.80133449383584</v>
      </c>
      <c r="O313" s="30">
        <f ca="1">Acciones!$D$751*EXP((J$2-J$3/2)*(1)+J$4*_xlfn.NORM.S.INV(RAND())*SQRT(1))</f>
        <v>995.2718209341582</v>
      </c>
      <c r="P313" s="30">
        <f ca="1">Acciones!$E$751*EXP((K$2-K$3/2)*(1)+K$4*_xlfn.NORM.S.INV(RAND())*SQRT(1))</f>
        <v>0.12317339879011989</v>
      </c>
      <c r="Q313" s="30"/>
      <c r="R313">
        <f ca="1">M313/Acciones!$B$751*$I$10 + N313/Acciones!$C$751*$I$11 + O313/Acciones!$D$751*$I$12 + P313/Acciones!$D$751*$I$13</f>
        <v>23446.810494596804</v>
      </c>
      <c r="T313" s="14">
        <f t="shared" ca="1" si="7"/>
        <v>-5053.1895054031957</v>
      </c>
      <c r="V313">
        <v>-5663.7919050436249</v>
      </c>
    </row>
    <row r="314" spans="1:22" x14ac:dyDescent="0.2">
      <c r="A314" s="1">
        <f>Acciones!A314</f>
        <v>45454</v>
      </c>
      <c r="B314" s="29">
        <f>LN(Acciones!B314/Acciones!B313)</f>
        <v>-3.8624515467026634E-3</v>
      </c>
      <c r="C314" s="29">
        <f>LN(Acciones!C314/Acciones!C313)</f>
        <v>3.0107102119504282E-2</v>
      </c>
      <c r="D314" s="29">
        <f>LN(Acciones!D314/Acciones!D313)</f>
        <v>1.771141119657665E-3</v>
      </c>
      <c r="E314" s="29">
        <f>LN(Acciones!E314/Acciones!E313)</f>
        <v>0</v>
      </c>
      <c r="M314" s="30">
        <f ca="1">Acciones!$B$751*EXP((H$2-H$3/2)*(1)+H$4*_xlfn.NORM.S.INV(RAND())*SQRT(1))</f>
        <v>10.414361785427612</v>
      </c>
      <c r="N314" s="30">
        <f ca="1">Acciones!$C$751*EXP((I$2-I$3/2)*(1)+I$4*_xlfn.NORM.S.INV(RAND())*SQRT(1))</f>
        <v>145.75214466149237</v>
      </c>
      <c r="O314" s="30">
        <f ca="1">Acciones!$D$751*EXP((J$2-J$3/2)*(1)+J$4*_xlfn.NORM.S.INV(RAND())*SQRT(1))</f>
        <v>993.37516013954257</v>
      </c>
      <c r="P314" s="30">
        <f ca="1">Acciones!$E$751*EXP((K$2-K$3/2)*(1)+K$4*_xlfn.NORM.S.INV(RAND())*SQRT(1))</f>
        <v>0.12272178829926417</v>
      </c>
      <c r="Q314" s="30"/>
      <c r="R314">
        <f ca="1">M314/Acciones!$B$751*$I$10 + N314/Acciones!$C$751*$I$11 + O314/Acciones!$D$751*$I$12 + P314/Acciones!$D$751*$I$13</f>
        <v>22392.270598837087</v>
      </c>
      <c r="T314" s="14">
        <f t="shared" ca="1" si="7"/>
        <v>-6107.7294011629128</v>
      </c>
      <c r="V314">
        <v>-5662.6462904345972</v>
      </c>
    </row>
    <row r="315" spans="1:22" x14ac:dyDescent="0.2">
      <c r="A315" s="1">
        <f>Acciones!A315</f>
        <v>45455</v>
      </c>
      <c r="B315" s="29">
        <f>LN(Acciones!B315/Acciones!B314)</f>
        <v>-9.3313169858573828E-3</v>
      </c>
      <c r="C315" s="29">
        <f>LN(Acciones!C315/Acciones!C314)</f>
        <v>4.3840003518060965E-2</v>
      </c>
      <c r="D315" s="29">
        <f>LN(Acciones!D315/Acciones!D314)</f>
        <v>-7.4576448750364411E-3</v>
      </c>
      <c r="E315" s="29">
        <f>LN(Acciones!E315/Acciones!E314)</f>
        <v>0</v>
      </c>
      <c r="M315" s="30">
        <f ca="1">Acciones!$B$751*EXP((H$2-H$3/2)*(1)+H$4*_xlfn.NORM.S.INV(RAND())*SQRT(1))</f>
        <v>10.99289240227454</v>
      </c>
      <c r="N315" s="30">
        <f ca="1">Acciones!$C$751*EXP((I$2-I$3/2)*(1)+I$4*_xlfn.NORM.S.INV(RAND())*SQRT(1))</f>
        <v>157.58603886472204</v>
      </c>
      <c r="O315" s="30">
        <f ca="1">Acciones!$D$751*EXP((J$2-J$3/2)*(1)+J$4*_xlfn.NORM.S.INV(RAND())*SQRT(1))</f>
        <v>1011.6877388072164</v>
      </c>
      <c r="P315" s="30">
        <f ca="1">Acciones!$E$751*EXP((K$2-K$3/2)*(1)+K$4*_xlfn.NORM.S.INV(RAND())*SQRT(1))</f>
        <v>0.12911268090155387</v>
      </c>
      <c r="Q315" s="30"/>
      <c r="R315">
        <f ca="1">M315/Acciones!$B$751*$I$10 + N315/Acciones!$C$751*$I$11 + O315/Acciones!$D$751*$I$12 + P315/Acciones!$D$751*$I$13</f>
        <v>23500.218108302408</v>
      </c>
      <c r="T315" s="14">
        <f t="shared" ca="1" si="7"/>
        <v>-4999.7818916975921</v>
      </c>
      <c r="V315">
        <v>-5660.4142701124474</v>
      </c>
    </row>
    <row r="316" spans="1:22" x14ac:dyDescent="0.2">
      <c r="A316" s="1">
        <f>Acciones!A316</f>
        <v>45456</v>
      </c>
      <c r="B316" s="29">
        <f>LN(Acciones!B316/Acciones!B315)</f>
        <v>-7.8432329952109921E-3</v>
      </c>
      <c r="C316" s="29">
        <f>LN(Acciones!C316/Acciones!C315)</f>
        <v>-3.9099393632250679E-2</v>
      </c>
      <c r="D316" s="29">
        <f>LN(Acciones!D316/Acciones!D315)</f>
        <v>-2.4659658157659557E-3</v>
      </c>
      <c r="E316" s="29">
        <f>LN(Acciones!E316/Acciones!E315)</f>
        <v>0</v>
      </c>
      <c r="M316" s="30">
        <f ca="1">Acciones!$B$751*EXP((H$2-H$3/2)*(1)+H$4*_xlfn.NORM.S.INV(RAND())*SQRT(1))</f>
        <v>11.074540640805731</v>
      </c>
      <c r="N316" s="30">
        <f ca="1">Acciones!$C$751*EXP((I$2-I$3/2)*(1)+I$4*_xlfn.NORM.S.INV(RAND())*SQRT(1))</f>
        <v>150.20055216517599</v>
      </c>
      <c r="O316" s="30">
        <f ca="1">Acciones!$D$751*EXP((J$2-J$3/2)*(1)+J$4*_xlfn.NORM.S.INV(RAND())*SQRT(1))</f>
        <v>964.35888047330889</v>
      </c>
      <c r="P316" s="30">
        <f ca="1">Acciones!$E$751*EXP((K$2-K$3/2)*(1)+K$4*_xlfn.NORM.S.INV(RAND())*SQRT(1))</f>
        <v>0.13008564148428239</v>
      </c>
      <c r="Q316" s="30"/>
      <c r="R316">
        <f ca="1">M316/Acciones!$B$751*$I$10 + N316/Acciones!$C$751*$I$11 + O316/Acciones!$D$751*$I$12 + P316/Acciones!$D$751*$I$13</f>
        <v>22591.212836902272</v>
      </c>
      <c r="T316" s="14">
        <f t="shared" ca="1" si="7"/>
        <v>-5908.7871630977279</v>
      </c>
      <c r="V316">
        <v>-5659.154693747736</v>
      </c>
    </row>
    <row r="317" spans="1:22" x14ac:dyDescent="0.2">
      <c r="A317" s="1">
        <f>Acciones!A317</f>
        <v>45457</v>
      </c>
      <c r="B317" s="29">
        <f>LN(Acciones!B317/Acciones!B316)</f>
        <v>-8.3020260563274641E-3</v>
      </c>
      <c r="C317" s="29">
        <f>LN(Acciones!C317/Acciones!C316)</f>
        <v>-2.9038697881090737E-2</v>
      </c>
      <c r="D317" s="29">
        <f>LN(Acciones!D317/Acciones!D316)</f>
        <v>-9.0399084715663477E-3</v>
      </c>
      <c r="E317" s="29">
        <f>LN(Acciones!E317/Acciones!E316)</f>
        <v>0</v>
      </c>
      <c r="M317" s="30">
        <f ca="1">Acciones!$B$751*EXP((H$2-H$3/2)*(1)+H$4*_xlfn.NORM.S.INV(RAND())*SQRT(1))</f>
        <v>10.99532851048736</v>
      </c>
      <c r="N317" s="30">
        <f ca="1">Acciones!$C$751*EXP((I$2-I$3/2)*(1)+I$4*_xlfn.NORM.S.INV(RAND())*SQRT(1))</f>
        <v>171.04780344231861</v>
      </c>
      <c r="O317" s="30">
        <f ca="1">Acciones!$D$751*EXP((J$2-J$3/2)*(1)+J$4*_xlfn.NORM.S.INV(RAND())*SQRT(1))</f>
        <v>998.3022413814947</v>
      </c>
      <c r="P317" s="30">
        <f ca="1">Acciones!$E$751*EXP((K$2-K$3/2)*(1)+K$4*_xlfn.NORM.S.INV(RAND())*SQRT(1))</f>
        <v>0.13227420899703873</v>
      </c>
      <c r="Q317" s="30"/>
      <c r="R317">
        <f ca="1">M317/Acciones!$B$751*$I$10 + N317/Acciones!$C$751*$I$11 + O317/Acciones!$D$751*$I$12 + P317/Acciones!$D$751*$I$13</f>
        <v>24207.47303450252</v>
      </c>
      <c r="T317" s="14">
        <f t="shared" ca="1" si="7"/>
        <v>-4292.52696549748</v>
      </c>
      <c r="V317">
        <v>-5658.3093677143079</v>
      </c>
    </row>
    <row r="318" spans="1:22" x14ac:dyDescent="0.2">
      <c r="A318" s="1">
        <f>Acciones!A318</f>
        <v>45460</v>
      </c>
      <c r="B318" s="29">
        <f>LN(Acciones!B318/Acciones!B317)</f>
        <v>1.6926209540341134E-2</v>
      </c>
      <c r="C318" s="29">
        <f>LN(Acciones!C318/Acciones!C317)</f>
        <v>3.4514123638299747E-2</v>
      </c>
      <c r="D318" s="29">
        <f>LN(Acciones!D318/Acciones!D317)</f>
        <v>1.8447208236794192E-2</v>
      </c>
      <c r="E318" s="29">
        <f>LN(Acciones!E318/Acciones!E317)</f>
        <v>-8.2304910610941431E-3</v>
      </c>
      <c r="M318" s="30">
        <f ca="1">Acciones!$B$751*EXP((H$2-H$3/2)*(1)+H$4*_xlfn.NORM.S.INV(RAND())*SQRT(1))</f>
        <v>10.734052644012772</v>
      </c>
      <c r="N318" s="30">
        <f ca="1">Acciones!$C$751*EXP((I$2-I$3/2)*(1)+I$4*_xlfn.NORM.S.INV(RAND())*SQRT(1))</f>
        <v>169.88134746993012</v>
      </c>
      <c r="O318" s="30">
        <f ca="1">Acciones!$D$751*EXP((J$2-J$3/2)*(1)+J$4*_xlfn.NORM.S.INV(RAND())*SQRT(1))</f>
        <v>993.98618489713522</v>
      </c>
      <c r="P318" s="30">
        <f ca="1">Acciones!$E$751*EXP((K$2-K$3/2)*(1)+K$4*_xlfn.NORM.S.INV(RAND())*SQRT(1))</f>
        <v>0.12840341609601616</v>
      </c>
      <c r="Q318" s="30"/>
      <c r="R318">
        <f ca="1">M318/Acciones!$B$751*$I$10 + N318/Acciones!$C$751*$I$11 + O318/Acciones!$D$751*$I$12 + P318/Acciones!$D$751*$I$13</f>
        <v>24007.569593793542</v>
      </c>
      <c r="T318" s="14">
        <f t="shared" ca="1" si="7"/>
        <v>-4492.4304062064584</v>
      </c>
      <c r="V318">
        <v>-5657.0464343022068</v>
      </c>
    </row>
    <row r="319" spans="1:22" x14ac:dyDescent="0.2">
      <c r="A319" s="1">
        <f>Acciones!A319</f>
        <v>45461</v>
      </c>
      <c r="B319" s="29">
        <f>LN(Acciones!B319/Acciones!B318)</f>
        <v>4.1290259986434215E-2</v>
      </c>
      <c r="C319" s="29">
        <f>LN(Acciones!C319/Acciones!C318)</f>
        <v>4.0735715328637928E-3</v>
      </c>
      <c r="D319" s="29">
        <f>LN(Acciones!D319/Acciones!D318)</f>
        <v>-1.2602996754626452E-2</v>
      </c>
      <c r="E319" s="29">
        <f>LN(Acciones!E319/Acciones!E318)</f>
        <v>0</v>
      </c>
      <c r="M319" s="30">
        <f ca="1">Acciones!$B$751*EXP((H$2-H$3/2)*(1)+H$4*_xlfn.NORM.S.INV(RAND())*SQRT(1))</f>
        <v>10.513351907585816</v>
      </c>
      <c r="N319" s="30">
        <f ca="1">Acciones!$C$751*EXP((I$2-I$3/2)*(1)+I$4*_xlfn.NORM.S.INV(RAND())*SQRT(1))</f>
        <v>152.88358680588897</v>
      </c>
      <c r="O319" s="30">
        <f ca="1">Acciones!$D$751*EXP((J$2-J$3/2)*(1)+J$4*_xlfn.NORM.S.INV(RAND())*SQRT(1))</f>
        <v>1025.1231052983389</v>
      </c>
      <c r="P319" s="30">
        <f ca="1">Acciones!$E$751*EXP((K$2-K$3/2)*(1)+K$4*_xlfn.NORM.S.INV(RAND())*SQRT(1))</f>
        <v>0.12045318245366841</v>
      </c>
      <c r="Q319" s="30"/>
      <c r="R319">
        <f ca="1">M319/Acciones!$B$751*$I$10 + N319/Acciones!$C$751*$I$11 + O319/Acciones!$D$751*$I$12 + P319/Acciones!$D$751*$I$13</f>
        <v>23187.291498831939</v>
      </c>
      <c r="T319" s="14">
        <f t="shared" ca="1" si="7"/>
        <v>-5312.708501168061</v>
      </c>
      <c r="V319">
        <v>-5656.4759299500765</v>
      </c>
    </row>
    <row r="320" spans="1:22" x14ac:dyDescent="0.2">
      <c r="A320" s="1">
        <f>Acciones!A320</f>
        <v>45462</v>
      </c>
      <c r="B320" s="29">
        <f>LN(Acciones!B320/Acciones!B319)</f>
        <v>0</v>
      </c>
      <c r="C320" s="29">
        <f>LN(Acciones!C320/Acciones!C319)</f>
        <v>4.1910693593353015E-3</v>
      </c>
      <c r="D320" s="29">
        <f>LN(Acciones!D320/Acciones!D319)</f>
        <v>0</v>
      </c>
      <c r="E320" s="29">
        <f>LN(Acciones!E320/Acciones!E319)</f>
        <v>0</v>
      </c>
      <c r="M320" s="30">
        <f ca="1">Acciones!$B$751*EXP((H$2-H$3/2)*(1)+H$4*_xlfn.NORM.S.INV(RAND())*SQRT(1))</f>
        <v>11.167300363819979</v>
      </c>
      <c r="N320" s="30">
        <f ca="1">Acciones!$C$751*EXP((I$2-I$3/2)*(1)+I$4*_xlfn.NORM.S.INV(RAND())*SQRT(1))</f>
        <v>142.72783415697106</v>
      </c>
      <c r="O320" s="30">
        <f ca="1">Acciones!$D$751*EXP((J$2-J$3/2)*(1)+J$4*_xlfn.NORM.S.INV(RAND())*SQRT(1))</f>
        <v>1011.7422345731848</v>
      </c>
      <c r="P320" s="30">
        <f ca="1">Acciones!$E$751*EXP((K$2-K$3/2)*(1)+K$4*_xlfn.NORM.S.INV(RAND())*SQRT(1))</f>
        <v>0.11264639247413533</v>
      </c>
      <c r="Q320" s="30"/>
      <c r="R320">
        <f ca="1">M320/Acciones!$B$751*$I$10 + N320/Acciones!$C$751*$I$11 + O320/Acciones!$D$751*$I$12 + P320/Acciones!$D$751*$I$13</f>
        <v>22628.902157610755</v>
      </c>
      <c r="T320" s="14">
        <f t="shared" ca="1" si="7"/>
        <v>-5871.0978423892448</v>
      </c>
      <c r="V320">
        <v>-5652.0759579297846</v>
      </c>
    </row>
    <row r="321" spans="1:22" x14ac:dyDescent="0.2">
      <c r="A321" s="1">
        <f>Acciones!A321</f>
        <v>45463</v>
      </c>
      <c r="B321" s="29">
        <f>LN(Acciones!B321/Acciones!B320)</f>
        <v>7.8344179337011231E-3</v>
      </c>
      <c r="C321" s="29">
        <f>LN(Acciones!C321/Acciones!C320)</f>
        <v>1.846127759997114E-2</v>
      </c>
      <c r="D321" s="29">
        <f>LN(Acciones!D321/Acciones!D320)</f>
        <v>7.9332140547648897E-3</v>
      </c>
      <c r="E321" s="29">
        <f>LN(Acciones!E321/Acciones!E320)</f>
        <v>-8.2987946046918816E-3</v>
      </c>
      <c r="M321" s="30">
        <f ca="1">Acciones!$B$751*EXP((H$2-H$3/2)*(1)+H$4*_xlfn.NORM.S.INV(RAND())*SQRT(1))</f>
        <v>10.54425033209448</v>
      </c>
      <c r="N321" s="30">
        <f ca="1">Acciones!$C$751*EXP((I$2-I$3/2)*(1)+I$4*_xlfn.NORM.S.INV(RAND())*SQRT(1))</f>
        <v>146.61674980202844</v>
      </c>
      <c r="O321" s="30">
        <f ca="1">Acciones!$D$751*EXP((J$2-J$3/2)*(1)+J$4*_xlfn.NORM.S.INV(RAND())*SQRT(1))</f>
        <v>1004.7828026069836</v>
      </c>
      <c r="P321" s="30">
        <f ca="1">Acciones!$E$751*EXP((K$2-K$3/2)*(1)+K$4*_xlfn.NORM.S.INV(RAND())*SQRT(1))</f>
        <v>0.14189463031354629</v>
      </c>
      <c r="Q321" s="30"/>
      <c r="R321">
        <f ca="1">M321/Acciones!$B$751*$I$10 + N321/Acciones!$C$751*$I$11 + O321/Acciones!$D$751*$I$12 + P321/Acciones!$D$751*$I$13</f>
        <v>22602.293694475735</v>
      </c>
      <c r="T321" s="14">
        <f t="shared" ca="1" si="7"/>
        <v>-5897.7063055242652</v>
      </c>
      <c r="V321">
        <v>-5652.0467470998738</v>
      </c>
    </row>
    <row r="322" spans="1:22" x14ac:dyDescent="0.2">
      <c r="A322" s="1">
        <f>Acciones!A322</f>
        <v>45464</v>
      </c>
      <c r="B322" s="29">
        <f>LN(Acciones!B322/Acciones!B321)</f>
        <v>2.9684104380061122E-3</v>
      </c>
      <c r="C322" s="29">
        <f>LN(Acciones!C322/Acciones!C321)</f>
        <v>-9.1695214166643363E-2</v>
      </c>
      <c r="D322" s="29">
        <f>LN(Acciones!D322/Acciones!D321)</f>
        <v>1.8511931139633673E-3</v>
      </c>
      <c r="E322" s="29">
        <f>LN(Acciones!E322/Acciones!E321)</f>
        <v>0</v>
      </c>
      <c r="M322" s="30">
        <f ca="1">Acciones!$B$751*EXP((H$2-H$3/2)*(1)+H$4*_xlfn.NORM.S.INV(RAND())*SQRT(1))</f>
        <v>11.009195409205891</v>
      </c>
      <c r="N322" s="30">
        <f ca="1">Acciones!$C$751*EXP((I$2-I$3/2)*(1)+I$4*_xlfn.NORM.S.INV(RAND())*SQRT(1))</f>
        <v>161.15091753819465</v>
      </c>
      <c r="O322" s="30">
        <f ca="1">Acciones!$D$751*EXP((J$2-J$3/2)*(1)+J$4*_xlfn.NORM.S.INV(RAND())*SQRT(1))</f>
        <v>1011.5944279172157</v>
      </c>
      <c r="P322" s="30">
        <f ca="1">Acciones!$E$751*EXP((K$2-K$3/2)*(1)+K$4*_xlfn.NORM.S.INV(RAND())*SQRT(1))</f>
        <v>0.12561227544742951</v>
      </c>
      <c r="Q322" s="30"/>
      <c r="R322">
        <f ca="1">M322/Acciones!$B$751*$I$10 + N322/Acciones!$C$751*$I$11 + O322/Acciones!$D$751*$I$12 + P322/Acciones!$D$751*$I$13</f>
        <v>23727.079564522002</v>
      </c>
      <c r="T322" s="14">
        <f t="shared" ca="1" si="7"/>
        <v>-4772.9204354779977</v>
      </c>
      <c r="V322">
        <v>-5650.602773518709</v>
      </c>
    </row>
    <row r="323" spans="1:22" x14ac:dyDescent="0.2">
      <c r="A323" s="1">
        <f>Acciones!A323</f>
        <v>45467</v>
      </c>
      <c r="B323" s="29">
        <f>LN(Acciones!B323/Acciones!B322)</f>
        <v>1.9809888611758208E-2</v>
      </c>
      <c r="C323" s="29">
        <f>LN(Acciones!C323/Acciones!C322)</f>
        <v>-3.2364930052763037E-2</v>
      </c>
      <c r="D323" s="29">
        <f>LN(Acciones!D323/Acciones!D322)</f>
        <v>-4.385665504219336E-3</v>
      </c>
      <c r="E323" s="29">
        <f>LN(Acciones!E323/Acciones!E322)</f>
        <v>0</v>
      </c>
      <c r="M323" s="30">
        <f ca="1">Acciones!$B$751*EXP((H$2-H$3/2)*(1)+H$4*_xlfn.NORM.S.INV(RAND())*SQRT(1))</f>
        <v>11.261042700848419</v>
      </c>
      <c r="N323" s="30">
        <f ca="1">Acciones!$C$751*EXP((I$2-I$3/2)*(1)+I$4*_xlfn.NORM.S.INV(RAND())*SQRT(1))</f>
        <v>148.36879996109386</v>
      </c>
      <c r="O323" s="30">
        <f ca="1">Acciones!$D$751*EXP((J$2-J$3/2)*(1)+J$4*_xlfn.NORM.S.INV(RAND())*SQRT(1))</f>
        <v>990.89401135133653</v>
      </c>
      <c r="P323" s="30">
        <f ca="1">Acciones!$E$751*EXP((K$2-K$3/2)*(1)+K$4*_xlfn.NORM.S.INV(RAND())*SQRT(1))</f>
        <v>0.12995898615943205</v>
      </c>
      <c r="Q323" s="30"/>
      <c r="R323">
        <f ca="1">M323/Acciones!$B$751*$I$10 + N323/Acciones!$C$751*$I$11 + O323/Acciones!$D$751*$I$12 + P323/Acciones!$D$751*$I$13</f>
        <v>22802.458784763636</v>
      </c>
      <c r="T323" s="14">
        <f t="shared" ca="1" si="7"/>
        <v>-5697.5412152363642</v>
      </c>
      <c r="V323">
        <v>-5644.1633675543017</v>
      </c>
    </row>
    <row r="324" spans="1:22" x14ac:dyDescent="0.2">
      <c r="A324" s="1">
        <f>Acciones!A324</f>
        <v>45468</v>
      </c>
      <c r="B324" s="29">
        <f>LN(Acciones!B324/Acciones!B323)</f>
        <v>-3.6623222079282002E-2</v>
      </c>
      <c r="C324" s="29">
        <f>LN(Acciones!C324/Acciones!C323)</f>
        <v>2.7564864006979554E-2</v>
      </c>
      <c r="D324" s="29">
        <f>LN(Acciones!D324/Acciones!D323)</f>
        <v>-1.5523791733157231E-2</v>
      </c>
      <c r="E324" s="29">
        <f>LN(Acciones!E324/Acciones!E323)</f>
        <v>0</v>
      </c>
      <c r="M324" s="30">
        <f ca="1">Acciones!$B$751*EXP((H$2-H$3/2)*(1)+H$4*_xlfn.NORM.S.INV(RAND())*SQRT(1))</f>
        <v>11.020350911734287</v>
      </c>
      <c r="N324" s="30">
        <f ca="1">Acciones!$C$751*EXP((I$2-I$3/2)*(1)+I$4*_xlfn.NORM.S.INV(RAND())*SQRT(1))</f>
        <v>151.00917137101038</v>
      </c>
      <c r="O324" s="30">
        <f ca="1">Acciones!$D$751*EXP((J$2-J$3/2)*(1)+J$4*_xlfn.NORM.S.INV(RAND())*SQRT(1))</f>
        <v>1007.7940876180105</v>
      </c>
      <c r="P324" s="30">
        <f ca="1">Acciones!$E$751*EXP((K$2-K$3/2)*(1)+K$4*_xlfn.NORM.S.INV(RAND())*SQRT(1))</f>
        <v>0.12558842163357187</v>
      </c>
      <c r="Q324" s="30"/>
      <c r="R324">
        <f ca="1">M324/Acciones!$B$751*$I$10 + N324/Acciones!$C$751*$I$11 + O324/Acciones!$D$751*$I$12 + P324/Acciones!$D$751*$I$13</f>
        <v>23059.358101831083</v>
      </c>
      <c r="T324" s="14">
        <f t="shared" ca="1" si="7"/>
        <v>-5440.6418981689167</v>
      </c>
      <c r="V324">
        <v>-5641.1795147366429</v>
      </c>
    </row>
    <row r="325" spans="1:22" x14ac:dyDescent="0.2">
      <c r="A325" s="1">
        <f>Acciones!A325</f>
        <v>45469</v>
      </c>
      <c r="B325" s="29">
        <f>LN(Acciones!B325/Acciones!B324)</f>
        <v>1.0867528596863459E-2</v>
      </c>
      <c r="C325" s="29">
        <f>LN(Acciones!C325/Acciones!C324)</f>
        <v>3.2902042458589305E-2</v>
      </c>
      <c r="D325" s="29">
        <f>LN(Acciones!D325/Acciones!D324)</f>
        <v>3.6159016554782467E-3</v>
      </c>
      <c r="E325" s="29">
        <f>LN(Acciones!E325/Acciones!E324)</f>
        <v>0</v>
      </c>
      <c r="M325" s="30">
        <f ca="1">Acciones!$B$751*EXP((H$2-H$3/2)*(1)+H$4*_xlfn.NORM.S.INV(RAND())*SQRT(1))</f>
        <v>11.112530686890205</v>
      </c>
      <c r="N325" s="30">
        <f ca="1">Acciones!$C$751*EXP((I$2-I$3/2)*(1)+I$4*_xlfn.NORM.S.INV(RAND())*SQRT(1))</f>
        <v>160.33147032734604</v>
      </c>
      <c r="O325" s="30">
        <f ca="1">Acciones!$D$751*EXP((J$2-J$3/2)*(1)+J$4*_xlfn.NORM.S.INV(RAND())*SQRT(1))</f>
        <v>976.84991364914902</v>
      </c>
      <c r="P325" s="30">
        <f ca="1">Acciones!$E$751*EXP((K$2-K$3/2)*(1)+K$4*_xlfn.NORM.S.INV(RAND())*SQRT(1))</f>
        <v>0.12754016358132522</v>
      </c>
      <c r="Q325" s="30"/>
      <c r="R325">
        <f ca="1">M325/Acciones!$B$751*$I$10 + N325/Acciones!$C$751*$I$11 + O325/Acciones!$D$751*$I$12 + P325/Acciones!$D$751*$I$13</f>
        <v>23361.0599699866</v>
      </c>
      <c r="T325" s="14">
        <f t="shared" ca="1" si="7"/>
        <v>-5138.9400300134002</v>
      </c>
      <c r="V325">
        <v>-5638.088113388585</v>
      </c>
    </row>
    <row r="326" spans="1:22" x14ac:dyDescent="0.2">
      <c r="A326" s="1">
        <f>Acciones!A326</f>
        <v>45470</v>
      </c>
      <c r="B326" s="29">
        <f>LN(Acciones!B326/Acciones!B325)</f>
        <v>-1.4264460198664567E-2</v>
      </c>
      <c r="C326" s="29">
        <f>LN(Acciones!C326/Acciones!C325)</f>
        <v>1.3981536687835618E-2</v>
      </c>
      <c r="D326" s="29">
        <f>LN(Acciones!D326/Acciones!D325)</f>
        <v>4.8295882286183917E-3</v>
      </c>
      <c r="E326" s="29">
        <f>LN(Acciones!E326/Acciones!E325)</f>
        <v>0</v>
      </c>
      <c r="M326" s="30">
        <f ca="1">Acciones!$B$751*EXP((H$2-H$3/2)*(1)+H$4*_xlfn.NORM.S.INV(RAND())*SQRT(1))</f>
        <v>11.227171406486796</v>
      </c>
      <c r="N326" s="30">
        <f ca="1">Acciones!$C$751*EXP((I$2-I$3/2)*(1)+I$4*_xlfn.NORM.S.INV(RAND())*SQRT(1))</f>
        <v>126.57587707469995</v>
      </c>
      <c r="O326" s="30">
        <f ca="1">Acciones!$D$751*EXP((J$2-J$3/2)*(1)+J$4*_xlfn.NORM.S.INV(RAND())*SQRT(1))</f>
        <v>993.26983324696437</v>
      </c>
      <c r="P326" s="30">
        <f ca="1">Acciones!$E$751*EXP((K$2-K$3/2)*(1)+K$4*_xlfn.NORM.S.INV(RAND())*SQRT(1))</f>
        <v>0.14703030743995651</v>
      </c>
      <c r="Q326" s="30"/>
      <c r="R326">
        <f ca="1">M326/Acciones!$B$751*$I$10 + N326/Acciones!$C$751*$I$11 + O326/Acciones!$D$751*$I$12 + P326/Acciones!$D$751*$I$13</f>
        <v>21454.769018884614</v>
      </c>
      <c r="T326" s="14">
        <f t="shared" ref="T326:T389" ca="1" si="8">R326-$I$14</f>
        <v>-7045.2309811153864</v>
      </c>
      <c r="V326">
        <v>-5637.5867575214979</v>
      </c>
    </row>
    <row r="327" spans="1:22" x14ac:dyDescent="0.2">
      <c r="A327" s="1">
        <f>Acciones!A327</f>
        <v>45471</v>
      </c>
      <c r="B327" s="29">
        <f>LN(Acciones!B327/Acciones!B326)</f>
        <v>3.3460388468798424E-2</v>
      </c>
      <c r="C327" s="29">
        <f>LN(Acciones!C327/Acciones!C326)</f>
        <v>1.7627741171139487E-2</v>
      </c>
      <c r="D327" s="29">
        <f>LN(Acciones!D327/Acciones!D326)</f>
        <v>-0.22784299608822722</v>
      </c>
      <c r="E327" s="29">
        <f>LN(Acciones!E327/Acciones!E326)</f>
        <v>0</v>
      </c>
      <c r="M327" s="30">
        <f ca="1">Acciones!$B$751*EXP((H$2-H$3/2)*(1)+H$4*_xlfn.NORM.S.INV(RAND())*SQRT(1))</f>
        <v>10.624634448711687</v>
      </c>
      <c r="N327" s="30">
        <f ca="1">Acciones!$C$751*EXP((I$2-I$3/2)*(1)+I$4*_xlfn.NORM.S.INV(RAND())*SQRT(1))</f>
        <v>154.01264611331877</v>
      </c>
      <c r="O327" s="30">
        <f ca="1">Acciones!$D$751*EXP((J$2-J$3/2)*(1)+J$4*_xlfn.NORM.S.INV(RAND())*SQRT(1))</f>
        <v>1003.9764188169709</v>
      </c>
      <c r="P327" s="30">
        <f ca="1">Acciones!$E$751*EXP((K$2-K$3/2)*(1)+K$4*_xlfn.NORM.S.INV(RAND())*SQRT(1))</f>
        <v>0.13280869833792755</v>
      </c>
      <c r="Q327" s="30"/>
      <c r="R327">
        <f ca="1">M327/Acciones!$B$751*$I$10 + N327/Acciones!$C$751*$I$11 + O327/Acciones!$D$751*$I$12 + P327/Acciones!$D$751*$I$13</f>
        <v>23081.742137112793</v>
      </c>
      <c r="T327" s="14">
        <f t="shared" ca="1" si="8"/>
        <v>-5418.257862887207</v>
      </c>
      <c r="V327">
        <v>-5636.9227560095933</v>
      </c>
    </row>
    <row r="328" spans="1:22" x14ac:dyDescent="0.2">
      <c r="A328" s="1">
        <f>Acciones!A328</f>
        <v>45474</v>
      </c>
      <c r="B328" s="29">
        <f>LN(Acciones!B328/Acciones!B327)</f>
        <v>-1.8823168267640213E-2</v>
      </c>
      <c r="C328" s="29">
        <f>LN(Acciones!C328/Acciones!C327)</f>
        <v>0.11952372282532331</v>
      </c>
      <c r="D328" s="29">
        <f>LN(Acciones!D328/Acciones!D327)</f>
        <v>1.8891359559290485E-2</v>
      </c>
      <c r="E328" s="29">
        <f>LN(Acciones!E328/Acciones!E327)</f>
        <v>0</v>
      </c>
      <c r="M328" s="30">
        <f ca="1">Acciones!$B$751*EXP((H$2-H$3/2)*(1)+H$4*_xlfn.NORM.S.INV(RAND())*SQRT(1))</f>
        <v>11.194778484108225</v>
      </c>
      <c r="N328" s="30">
        <f ca="1">Acciones!$C$751*EXP((I$2-I$3/2)*(1)+I$4*_xlfn.NORM.S.INV(RAND())*SQRT(1))</f>
        <v>150.94434452275013</v>
      </c>
      <c r="O328" s="30">
        <f ca="1">Acciones!$D$751*EXP((J$2-J$3/2)*(1)+J$4*_xlfn.NORM.S.INV(RAND())*SQRT(1))</f>
        <v>1017.4590065827574</v>
      </c>
      <c r="P328" s="30">
        <f ca="1">Acciones!$E$751*EXP((K$2-K$3/2)*(1)+K$4*_xlfn.NORM.S.INV(RAND())*SQRT(1))</f>
        <v>0.12837398744154108</v>
      </c>
      <c r="Q328" s="30"/>
      <c r="R328">
        <f ca="1">M328/Acciones!$B$751*$I$10 + N328/Acciones!$C$751*$I$11 + O328/Acciones!$D$751*$I$12 + P328/Acciones!$D$751*$I$13</f>
        <v>23208.091237096105</v>
      </c>
      <c r="T328" s="14">
        <f t="shared" ca="1" si="8"/>
        <v>-5291.908762903895</v>
      </c>
      <c r="V328">
        <v>-5636.5679992131663</v>
      </c>
    </row>
    <row r="329" spans="1:22" x14ac:dyDescent="0.2">
      <c r="A329" s="1">
        <f>Acciones!A329</f>
        <v>45475</v>
      </c>
      <c r="B329" s="29">
        <f>LN(Acciones!B329/Acciones!B328)</f>
        <v>7.7936388561550135E-3</v>
      </c>
      <c r="C329" s="29">
        <f>LN(Acciones!C329/Acciones!C328)</f>
        <v>-2.834518791445946E-2</v>
      </c>
      <c r="D329" s="29">
        <f>LN(Acciones!D329/Acciones!D328)</f>
        <v>-1.4232015837817571E-2</v>
      </c>
      <c r="E329" s="29">
        <f>LN(Acciones!E329/Acciones!E328)</f>
        <v>0</v>
      </c>
      <c r="M329" s="30">
        <f ca="1">Acciones!$B$751*EXP((H$2-H$3/2)*(1)+H$4*_xlfn.NORM.S.INV(RAND())*SQRT(1))</f>
        <v>11.010057598384448</v>
      </c>
      <c r="N329" s="30">
        <f ca="1">Acciones!$C$751*EXP((I$2-I$3/2)*(1)+I$4*_xlfn.NORM.S.INV(RAND())*SQRT(1))</f>
        <v>152.23152529219399</v>
      </c>
      <c r="O329" s="30">
        <f ca="1">Acciones!$D$751*EXP((J$2-J$3/2)*(1)+J$4*_xlfn.NORM.S.INV(RAND())*SQRT(1))</f>
        <v>1013.270823211617</v>
      </c>
      <c r="P329" s="30">
        <f ca="1">Acciones!$E$751*EXP((K$2-K$3/2)*(1)+K$4*_xlfn.NORM.S.INV(RAND())*SQRT(1))</f>
        <v>0.13812262549994661</v>
      </c>
      <c r="Q329" s="30"/>
      <c r="R329">
        <f ca="1">M329/Acciones!$B$751*$I$10 + N329/Acciones!$C$751*$I$11 + O329/Acciones!$D$751*$I$12 + P329/Acciones!$D$751*$I$13</f>
        <v>23187.304118614902</v>
      </c>
      <c r="T329" s="14">
        <f t="shared" ca="1" si="8"/>
        <v>-5312.6958813850979</v>
      </c>
      <c r="V329">
        <v>-5635.111606344457</v>
      </c>
    </row>
    <row r="330" spans="1:22" x14ac:dyDescent="0.2">
      <c r="A330" s="1">
        <f>Acciones!A330</f>
        <v>45476</v>
      </c>
      <c r="B330" s="29">
        <f>LN(Acciones!B330/Acciones!B329)</f>
        <v>-5.5607216515039344E-3</v>
      </c>
      <c r="C330" s="29">
        <f>LN(Acciones!C330/Acciones!C329)</f>
        <v>-6.1988308109975382E-2</v>
      </c>
      <c r="D330" s="29">
        <f>LN(Acciones!D330/Acciones!D329)</f>
        <v>-1.4291767209567749E-2</v>
      </c>
      <c r="E330" s="29">
        <f>LN(Acciones!E330/Acciones!E329)</f>
        <v>0</v>
      </c>
      <c r="M330" s="30">
        <f ca="1">Acciones!$B$751*EXP((H$2-H$3/2)*(1)+H$4*_xlfn.NORM.S.INV(RAND())*SQRT(1))</f>
        <v>11.223360383009341</v>
      </c>
      <c r="N330" s="30">
        <f ca="1">Acciones!$C$751*EXP((I$2-I$3/2)*(1)+I$4*_xlfn.NORM.S.INV(RAND())*SQRT(1))</f>
        <v>152.73672149117928</v>
      </c>
      <c r="O330" s="30">
        <f ca="1">Acciones!$D$751*EXP((J$2-J$3/2)*(1)+J$4*_xlfn.NORM.S.INV(RAND())*SQRT(1))</f>
        <v>955.75165792430687</v>
      </c>
      <c r="P330" s="30">
        <f ca="1">Acciones!$E$751*EXP((K$2-K$3/2)*(1)+K$4*_xlfn.NORM.S.INV(RAND())*SQRT(1))</f>
        <v>0.14104681488308002</v>
      </c>
      <c r="Q330" s="30"/>
      <c r="R330">
        <f ca="1">M330/Acciones!$B$751*$I$10 + N330/Acciones!$C$751*$I$11 + O330/Acciones!$D$751*$I$12 + P330/Acciones!$D$751*$I$13</f>
        <v>22711.15627992402</v>
      </c>
      <c r="T330" s="14">
        <f t="shared" ca="1" si="8"/>
        <v>-5788.8437200759799</v>
      </c>
      <c r="V330">
        <v>-5631.7948222437917</v>
      </c>
    </row>
    <row r="331" spans="1:22" x14ac:dyDescent="0.2">
      <c r="A331" s="1">
        <f>Acciones!A331</f>
        <v>45477</v>
      </c>
      <c r="B331" s="29">
        <f>LN(Acciones!B331/Acciones!B330)</f>
        <v>-1.1158353625497978E-3</v>
      </c>
      <c r="C331" s="29">
        <f>LN(Acciones!C331/Acciones!C330)</f>
        <v>-2.3517685302248906E-3</v>
      </c>
      <c r="D331" s="29">
        <f>LN(Acciones!D331/Acciones!D330)</f>
        <v>9.4444900605500284E-3</v>
      </c>
      <c r="E331" s="29">
        <f>LN(Acciones!E331/Acciones!E330)</f>
        <v>0</v>
      </c>
      <c r="M331" s="30">
        <f ca="1">Acciones!$B$751*EXP((H$2-H$3/2)*(1)+H$4*_xlfn.NORM.S.INV(RAND())*SQRT(1))</f>
        <v>11.066479835773706</v>
      </c>
      <c r="N331" s="30">
        <f ca="1">Acciones!$C$751*EXP((I$2-I$3/2)*(1)+I$4*_xlfn.NORM.S.INV(RAND())*SQRT(1))</f>
        <v>148.33051035967969</v>
      </c>
      <c r="O331" s="30">
        <f ca="1">Acciones!$D$751*EXP((J$2-J$3/2)*(1)+J$4*_xlfn.NORM.S.INV(RAND())*SQRT(1))</f>
        <v>965.78206603588103</v>
      </c>
      <c r="P331" s="30">
        <f ca="1">Acciones!$E$751*EXP((K$2-K$3/2)*(1)+K$4*_xlfn.NORM.S.INV(RAND())*SQRT(1))</f>
        <v>0.1342721519772663</v>
      </c>
      <c r="Q331" s="30"/>
      <c r="R331">
        <f ca="1">M331/Acciones!$B$751*$I$10 + N331/Acciones!$C$751*$I$11 + O331/Acciones!$D$751*$I$12 + P331/Acciones!$D$751*$I$13</f>
        <v>22486.142783978492</v>
      </c>
      <c r="T331" s="14">
        <f t="shared" ca="1" si="8"/>
        <v>-6013.8572160215081</v>
      </c>
      <c r="V331">
        <v>-5630.0413977108365</v>
      </c>
    </row>
    <row r="332" spans="1:22" x14ac:dyDescent="0.2">
      <c r="A332" s="1">
        <f>Acciones!A332</f>
        <v>45478</v>
      </c>
      <c r="B332" s="29">
        <f>LN(Acciones!B332/Acciones!B331)</f>
        <v>-2.2963605374395384E-2</v>
      </c>
      <c r="C332" s="29">
        <f>LN(Acciones!C332/Acciones!C331)</f>
        <v>-3.4832478672636544E-2</v>
      </c>
      <c r="D332" s="29">
        <f>LN(Acciones!D332/Acciones!D331)</f>
        <v>-1.0364478596768664E-2</v>
      </c>
      <c r="E332" s="29">
        <f>LN(Acciones!E332/Acciones!E331)</f>
        <v>-1.6807202503730287E-2</v>
      </c>
      <c r="M332" s="30">
        <f ca="1">Acciones!$B$751*EXP((H$2-H$3/2)*(1)+H$4*_xlfn.NORM.S.INV(RAND())*SQRT(1))</f>
        <v>10.758934007723379</v>
      </c>
      <c r="N332" s="30">
        <f ca="1">Acciones!$C$751*EXP((I$2-I$3/2)*(1)+I$4*_xlfn.NORM.S.INV(RAND())*SQRT(1))</f>
        <v>170.3487421989372</v>
      </c>
      <c r="O332" s="30">
        <f ca="1">Acciones!$D$751*EXP((J$2-J$3/2)*(1)+J$4*_xlfn.NORM.S.INV(RAND())*SQRT(1))</f>
        <v>969.59057720634871</v>
      </c>
      <c r="P332" s="30">
        <f ca="1">Acciones!$E$751*EXP((K$2-K$3/2)*(1)+K$4*_xlfn.NORM.S.INV(RAND())*SQRT(1))</f>
        <v>0.12886464696827268</v>
      </c>
      <c r="Q332" s="30"/>
      <c r="R332">
        <f ca="1">M332/Acciones!$B$751*$I$10 + N332/Acciones!$C$751*$I$11 + O332/Acciones!$D$751*$I$12 + P332/Acciones!$D$751*$I$13</f>
        <v>23800.380787196587</v>
      </c>
      <c r="T332" s="14">
        <f t="shared" ca="1" si="8"/>
        <v>-4699.6192128034127</v>
      </c>
      <c r="V332">
        <v>-5627.9910333313856</v>
      </c>
    </row>
    <row r="333" spans="1:22" x14ac:dyDescent="0.2">
      <c r="A333" s="1">
        <f>Acciones!A333</f>
        <v>45481</v>
      </c>
      <c r="B333" s="29">
        <f>LN(Acciones!B333/Acciones!B332)</f>
        <v>3.5905162448719531E-2</v>
      </c>
      <c r="C333" s="29">
        <f>LN(Acciones!C333/Acciones!C332)</f>
        <v>-4.195715555851473E-2</v>
      </c>
      <c r="D333" s="29">
        <f>LN(Acciones!D333/Acciones!D332)</f>
        <v>-3.9073543880621495E-2</v>
      </c>
      <c r="E333" s="29">
        <f>LN(Acciones!E333/Acciones!E332)</f>
        <v>0</v>
      </c>
      <c r="M333" s="30">
        <f ca="1">Acciones!$B$751*EXP((H$2-H$3/2)*(1)+H$4*_xlfn.NORM.S.INV(RAND())*SQRT(1))</f>
        <v>10.992653922366811</v>
      </c>
      <c r="N333" s="30">
        <f ca="1">Acciones!$C$751*EXP((I$2-I$3/2)*(1)+I$4*_xlfn.NORM.S.INV(RAND())*SQRT(1))</f>
        <v>158.28771955152411</v>
      </c>
      <c r="O333" s="30">
        <f ca="1">Acciones!$D$751*EXP((J$2-J$3/2)*(1)+J$4*_xlfn.NORM.S.INV(RAND())*SQRT(1))</f>
        <v>986.72489987335962</v>
      </c>
      <c r="P333" s="30">
        <f ca="1">Acciones!$E$751*EXP((K$2-K$3/2)*(1)+K$4*_xlfn.NORM.S.INV(RAND())*SQRT(1))</f>
        <v>0.13330786235449152</v>
      </c>
      <c r="Q333" s="30"/>
      <c r="R333">
        <f ca="1">M333/Acciones!$B$751*$I$10 + N333/Acciones!$C$751*$I$11 + O333/Acciones!$D$751*$I$12 + P333/Acciones!$D$751*$I$13</f>
        <v>23293.938067051145</v>
      </c>
      <c r="T333" s="14">
        <f t="shared" ca="1" si="8"/>
        <v>-5206.0619329488545</v>
      </c>
      <c r="V333">
        <v>-5625.4044714425145</v>
      </c>
    </row>
    <row r="334" spans="1:22" x14ac:dyDescent="0.2">
      <c r="A334" s="1">
        <f>Acciones!A334</f>
        <v>45482</v>
      </c>
      <c r="B334" s="29">
        <f>LN(Acciones!B334/Acciones!B333)</f>
        <v>-3.4002960074885125E-2</v>
      </c>
      <c r="C334" s="29">
        <f>LN(Acciones!C334/Acciones!C333)</f>
        <v>-2.6544673819255096E-2</v>
      </c>
      <c r="D334" s="29">
        <f>LN(Acciones!D334/Acciones!D333)</f>
        <v>-1.2914455134892063E-2</v>
      </c>
      <c r="E334" s="29">
        <f>LN(Acciones!E334/Acciones!E333)</f>
        <v>-8.5106818967709136E-3</v>
      </c>
      <c r="M334" s="30">
        <f ca="1">Acciones!$B$751*EXP((H$2-H$3/2)*(1)+H$4*_xlfn.NORM.S.INV(RAND())*SQRT(1))</f>
        <v>10.978377502925674</v>
      </c>
      <c r="N334" s="30">
        <f ca="1">Acciones!$C$751*EXP((I$2-I$3/2)*(1)+I$4*_xlfn.NORM.S.INV(RAND())*SQRT(1))</f>
        <v>143.77178881232322</v>
      </c>
      <c r="O334" s="30">
        <f ca="1">Acciones!$D$751*EXP((J$2-J$3/2)*(1)+J$4*_xlfn.NORM.S.INV(RAND())*SQRT(1))</f>
        <v>1046.0034018828965</v>
      </c>
      <c r="P334" s="30">
        <f ca="1">Acciones!$E$751*EXP((K$2-K$3/2)*(1)+K$4*_xlfn.NORM.S.INV(RAND())*SQRT(1))</f>
        <v>0.11841517454652857</v>
      </c>
      <c r="Q334" s="30"/>
      <c r="R334">
        <f ca="1">M334/Acciones!$B$751*$I$10 + N334/Acciones!$C$751*$I$11 + O334/Acciones!$D$751*$I$12 + P334/Acciones!$D$751*$I$13</f>
        <v>22976.683564303774</v>
      </c>
      <c r="T334" s="14">
        <f t="shared" ca="1" si="8"/>
        <v>-5523.3164356962261</v>
      </c>
      <c r="V334">
        <v>-5622.9708319983256</v>
      </c>
    </row>
    <row r="335" spans="1:22" x14ac:dyDescent="0.2">
      <c r="A335" s="1">
        <f>Acciones!A335</f>
        <v>45483</v>
      </c>
      <c r="B335" s="29">
        <f>LN(Acciones!B335/Acciones!B334)</f>
        <v>2.1805382912519544E-2</v>
      </c>
      <c r="C335" s="29">
        <f>LN(Acciones!C335/Acciones!C334)</f>
        <v>-1.2961738484398917E-2</v>
      </c>
      <c r="D335" s="29">
        <f>LN(Acciones!D335/Acciones!D334)</f>
        <v>-5.7422142623200839E-3</v>
      </c>
      <c r="E335" s="29">
        <f>LN(Acciones!E335/Acciones!E334)</f>
        <v>-4.3675022565401324E-2</v>
      </c>
      <c r="M335" s="30">
        <f ca="1">Acciones!$B$751*EXP((H$2-H$3/2)*(1)+H$4*_xlfn.NORM.S.INV(RAND())*SQRT(1))</f>
        <v>11.086681734049675</v>
      </c>
      <c r="N335" s="30">
        <f ca="1">Acciones!$C$751*EXP((I$2-I$3/2)*(1)+I$4*_xlfn.NORM.S.INV(RAND())*SQRT(1))</f>
        <v>164.24932733924859</v>
      </c>
      <c r="O335" s="30">
        <f ca="1">Acciones!$D$751*EXP((J$2-J$3/2)*(1)+J$4*_xlfn.NORM.S.INV(RAND())*SQRT(1))</f>
        <v>988.93802270190838</v>
      </c>
      <c r="P335" s="30">
        <f ca="1">Acciones!$E$751*EXP((K$2-K$3/2)*(1)+K$4*_xlfn.NORM.S.INV(RAND())*SQRT(1))</f>
        <v>0.14206899501914919</v>
      </c>
      <c r="Q335" s="30"/>
      <c r="R335">
        <f ca="1">M335/Acciones!$B$751*$I$10 + N335/Acciones!$C$751*$I$11 + O335/Acciones!$D$751*$I$12 + P335/Acciones!$D$751*$I$13</f>
        <v>23718.551825143597</v>
      </c>
      <c r="T335" s="14">
        <f t="shared" ca="1" si="8"/>
        <v>-4781.4481748564031</v>
      </c>
      <c r="V335">
        <v>-5622.9077475377308</v>
      </c>
    </row>
    <row r="336" spans="1:22" x14ac:dyDescent="0.2">
      <c r="A336" s="1">
        <f>Acciones!A336</f>
        <v>45484</v>
      </c>
      <c r="B336" s="29">
        <f>LN(Acciones!B336/Acciones!B335)</f>
        <v>1.8577503324818233E-3</v>
      </c>
      <c r="C336" s="29">
        <f>LN(Acciones!C336/Acciones!C335)</f>
        <v>7.4019582956677387E-3</v>
      </c>
      <c r="D336" s="29">
        <f>LN(Acciones!D336/Acciones!D335)</f>
        <v>5.572845549191195E-3</v>
      </c>
      <c r="E336" s="29">
        <f>LN(Acciones!E336/Acciones!E335)</f>
        <v>-1.8018488085742791E-2</v>
      </c>
      <c r="M336" s="30">
        <f ca="1">Acciones!$B$751*EXP((H$2-H$3/2)*(1)+H$4*_xlfn.NORM.S.INV(RAND())*SQRT(1))</f>
        <v>11.085671809408236</v>
      </c>
      <c r="N336" s="30">
        <f ca="1">Acciones!$C$751*EXP((I$2-I$3/2)*(1)+I$4*_xlfn.NORM.S.INV(RAND())*SQRT(1))</f>
        <v>157.82372394990398</v>
      </c>
      <c r="O336" s="30">
        <f ca="1">Acciones!$D$751*EXP((J$2-J$3/2)*(1)+J$4*_xlfn.NORM.S.INV(RAND())*SQRT(1))</f>
        <v>1045.3665565660856</v>
      </c>
      <c r="P336" s="30">
        <f ca="1">Acciones!$E$751*EXP((K$2-K$3/2)*(1)+K$4*_xlfn.NORM.S.INV(RAND())*SQRT(1))</f>
        <v>0.13972247148901185</v>
      </c>
      <c r="Q336" s="30"/>
      <c r="R336">
        <f ca="1">M336/Acciones!$B$751*$I$10 + N336/Acciones!$C$751*$I$11 + O336/Acciones!$D$751*$I$12 + P336/Acciones!$D$751*$I$13</f>
        <v>23882.222900008695</v>
      </c>
      <c r="T336" s="14">
        <f t="shared" ca="1" si="8"/>
        <v>-4617.7770999913046</v>
      </c>
      <c r="V336">
        <v>-5621.8144420073913</v>
      </c>
    </row>
    <row r="337" spans="1:22" x14ac:dyDescent="0.2">
      <c r="A337" s="1">
        <f>Acciones!A337</f>
        <v>45485</v>
      </c>
      <c r="B337" s="29">
        <f>LN(Acciones!B337/Acciones!B336)</f>
        <v>-4.8372895989671214E-3</v>
      </c>
      <c r="C337" s="29">
        <f>LN(Acciones!C337/Acciones!C336)</f>
        <v>7.2334361631985644E-2</v>
      </c>
      <c r="D337" s="29">
        <f>LN(Acciones!D337/Acciones!D336)</f>
        <v>-1.3093150004720572E-3</v>
      </c>
      <c r="E337" s="29">
        <f>LN(Acciones!E337/Acciones!E336)</f>
        <v>5.3109774864875531E-2</v>
      </c>
      <c r="M337" s="30">
        <f ca="1">Acciones!$B$751*EXP((H$2-H$3/2)*(1)+H$4*_xlfn.NORM.S.INV(RAND())*SQRT(1))</f>
        <v>10.965298560432856</v>
      </c>
      <c r="N337" s="30">
        <f ca="1">Acciones!$C$751*EXP((I$2-I$3/2)*(1)+I$4*_xlfn.NORM.S.INV(RAND())*SQRT(1))</f>
        <v>148.47991046378752</v>
      </c>
      <c r="O337" s="30">
        <f ca="1">Acciones!$D$751*EXP((J$2-J$3/2)*(1)+J$4*_xlfn.NORM.S.INV(RAND())*SQRT(1))</f>
        <v>969.95419452999761</v>
      </c>
      <c r="P337" s="30">
        <f ca="1">Acciones!$E$751*EXP((K$2-K$3/2)*(1)+K$4*_xlfn.NORM.S.INV(RAND())*SQRT(1))</f>
        <v>0.13519635811547404</v>
      </c>
      <c r="Q337" s="30"/>
      <c r="R337">
        <f ca="1">M337/Acciones!$B$751*$I$10 + N337/Acciones!$C$751*$I$11 + O337/Acciones!$D$751*$I$12 + P337/Acciones!$D$751*$I$13</f>
        <v>22504.806376318593</v>
      </c>
      <c r="T337" s="14">
        <f t="shared" ca="1" si="8"/>
        <v>-5995.1936236814072</v>
      </c>
      <c r="V337">
        <v>-5618.8934569206685</v>
      </c>
    </row>
    <row r="338" spans="1:22" x14ac:dyDescent="0.2">
      <c r="A338" s="1">
        <f>Acciones!A338</f>
        <v>45488</v>
      </c>
      <c r="B338" s="29">
        <f>LN(Acciones!B338/Acciones!B337)</f>
        <v>2.9795392664854173E-3</v>
      </c>
      <c r="C338" s="29">
        <f>LN(Acciones!C338/Acciones!C337)</f>
        <v>0.17843582346576431</v>
      </c>
      <c r="D338" s="29">
        <f>LN(Acciones!D338/Acciones!D337)</f>
        <v>-2.1233844267352687E-2</v>
      </c>
      <c r="E338" s="29">
        <f>LN(Acciones!E338/Acciones!E337)</f>
        <v>3.3901620186769808E-2</v>
      </c>
      <c r="M338" s="30">
        <f ca="1">Acciones!$B$751*EXP((H$2-H$3/2)*(1)+H$4*_xlfn.NORM.S.INV(RAND())*SQRT(1))</f>
        <v>10.476167732363562</v>
      </c>
      <c r="N338" s="30">
        <f ca="1">Acciones!$C$751*EXP((I$2-I$3/2)*(1)+I$4*_xlfn.NORM.S.INV(RAND())*SQRT(1))</f>
        <v>156.99482173882805</v>
      </c>
      <c r="O338" s="30">
        <f ca="1">Acciones!$D$751*EXP((J$2-J$3/2)*(1)+J$4*_xlfn.NORM.S.INV(RAND())*SQRT(1))</f>
        <v>1024.780565710209</v>
      </c>
      <c r="P338" s="30">
        <f ca="1">Acciones!$E$751*EXP((K$2-K$3/2)*(1)+K$4*_xlfn.NORM.S.INV(RAND())*SQRT(1))</f>
        <v>0.12514923223040014</v>
      </c>
      <c r="Q338" s="30"/>
      <c r="R338">
        <f ca="1">M338/Acciones!$B$751*$I$10 + N338/Acciones!$C$751*$I$11 + O338/Acciones!$D$751*$I$12 + P338/Acciones!$D$751*$I$13</f>
        <v>23428.656290112569</v>
      </c>
      <c r="T338" s="14">
        <f t="shared" ca="1" si="8"/>
        <v>-5071.343709887431</v>
      </c>
      <c r="V338">
        <v>-5617.7604580660845</v>
      </c>
    </row>
    <row r="339" spans="1:22" x14ac:dyDescent="0.2">
      <c r="A339" s="1">
        <f>Acciones!A339</f>
        <v>45489</v>
      </c>
      <c r="B339" s="29">
        <f>LN(Acciones!B339/Acciones!B338)</f>
        <v>-3.3525700462900699E-3</v>
      </c>
      <c r="C339" s="29">
        <f>LN(Acciones!C339/Acciones!C338)</f>
        <v>7.1698003439446531E-2</v>
      </c>
      <c r="D339" s="29">
        <f>LN(Acciones!D339/Acciones!D338)</f>
        <v>1.2517547570239689E-2</v>
      </c>
      <c r="E339" s="29">
        <f>LN(Acciones!E339/Acciones!E338)</f>
        <v>0</v>
      </c>
      <c r="M339" s="30">
        <f ca="1">Acciones!$B$751*EXP((H$2-H$3/2)*(1)+H$4*_xlfn.NORM.S.INV(RAND())*SQRT(1))</f>
        <v>10.611696975274528</v>
      </c>
      <c r="N339" s="30">
        <f ca="1">Acciones!$C$751*EXP((I$2-I$3/2)*(1)+I$4*_xlfn.NORM.S.INV(RAND())*SQRT(1))</f>
        <v>151.93745369218831</v>
      </c>
      <c r="O339" s="30">
        <f ca="1">Acciones!$D$751*EXP((J$2-J$3/2)*(1)+J$4*_xlfn.NORM.S.INV(RAND())*SQRT(1))</f>
        <v>967.29989360970842</v>
      </c>
      <c r="P339" s="30">
        <f ca="1">Acciones!$E$751*EXP((K$2-K$3/2)*(1)+K$4*_xlfn.NORM.S.INV(RAND())*SQRT(1))</f>
        <v>0.125334588914777</v>
      </c>
      <c r="Q339" s="30"/>
      <c r="R339">
        <f ca="1">M339/Acciones!$B$751*$I$10 + N339/Acciones!$C$751*$I$11 + O339/Acciones!$D$751*$I$12 + P339/Acciones!$D$751*$I$13</f>
        <v>22580.611129768622</v>
      </c>
      <c r="T339" s="14">
        <f t="shared" ca="1" si="8"/>
        <v>-5919.388870231378</v>
      </c>
      <c r="V339">
        <v>-5615.7053917159792</v>
      </c>
    </row>
    <row r="340" spans="1:22" x14ac:dyDescent="0.2">
      <c r="A340" s="1">
        <f>Acciones!A340</f>
        <v>45490</v>
      </c>
      <c r="B340" s="29">
        <f>LN(Acciones!B340/Acciones!B339)</f>
        <v>-5.2472343473307891E-2</v>
      </c>
      <c r="C340" s="29">
        <f>LN(Acciones!C340/Acciones!C339)</f>
        <v>-3.4675529737992428E-2</v>
      </c>
      <c r="D340" s="29">
        <f>LN(Acciones!D340/Acciones!D339)</f>
        <v>7.0964316385973081E-3</v>
      </c>
      <c r="E340" s="29">
        <f>LN(Acciones!E340/Acciones!E339)</f>
        <v>0</v>
      </c>
      <c r="M340" s="30">
        <f ca="1">Acciones!$B$751*EXP((H$2-H$3/2)*(1)+H$4*_xlfn.NORM.S.INV(RAND())*SQRT(1))</f>
        <v>10.93620462569797</v>
      </c>
      <c r="N340" s="30">
        <f ca="1">Acciones!$C$751*EXP((I$2-I$3/2)*(1)+I$4*_xlfn.NORM.S.INV(RAND())*SQRT(1))</f>
        <v>167.54290040212666</v>
      </c>
      <c r="O340" s="30">
        <f ca="1">Acciones!$D$751*EXP((J$2-J$3/2)*(1)+J$4*_xlfn.NORM.S.INV(RAND())*SQRT(1))</f>
        <v>1027.339123254693</v>
      </c>
      <c r="P340" s="30">
        <f ca="1">Acciones!$E$751*EXP((K$2-K$3/2)*(1)+K$4*_xlfn.NORM.S.INV(RAND())*SQRT(1))</f>
        <v>0.1271895118792348</v>
      </c>
      <c r="Q340" s="30"/>
      <c r="R340">
        <f ca="1">M340/Acciones!$B$751*$I$10 + N340/Acciones!$C$751*$I$11 + O340/Acciones!$D$751*$I$12 + P340/Acciones!$D$751*$I$13</f>
        <v>24260.483012367051</v>
      </c>
      <c r="T340" s="14">
        <f t="shared" ca="1" si="8"/>
        <v>-4239.5169876329492</v>
      </c>
      <c r="V340">
        <v>-5614.8138541109911</v>
      </c>
    </row>
    <row r="341" spans="1:22" x14ac:dyDescent="0.2">
      <c r="A341" s="1">
        <f>Acciones!A341</f>
        <v>45491</v>
      </c>
      <c r="B341" s="29">
        <f>LN(Acciones!B341/Acciones!B340)</f>
        <v>-3.7256372393232873E-2</v>
      </c>
      <c r="C341" s="29">
        <f>LN(Acciones!C341/Acciones!C340)</f>
        <v>-6.7201001677523617E-2</v>
      </c>
      <c r="D341" s="29">
        <f>LN(Acciones!D341/Acciones!D340)</f>
        <v>8.9454702359391906E-3</v>
      </c>
      <c r="E341" s="29">
        <f>LN(Acciones!E341/Acciones!E340)</f>
        <v>0</v>
      </c>
      <c r="M341" s="30">
        <f ca="1">Acciones!$B$751*EXP((H$2-H$3/2)*(1)+H$4*_xlfn.NORM.S.INV(RAND())*SQRT(1))</f>
        <v>11.049998337177282</v>
      </c>
      <c r="N341" s="30">
        <f ca="1">Acciones!$C$751*EXP((I$2-I$3/2)*(1)+I$4*_xlfn.NORM.S.INV(RAND())*SQRT(1))</f>
        <v>147.9905322410186</v>
      </c>
      <c r="O341" s="30">
        <f ca="1">Acciones!$D$751*EXP((J$2-J$3/2)*(1)+J$4*_xlfn.NORM.S.INV(RAND())*SQRT(1))</f>
        <v>1054.7358148257667</v>
      </c>
      <c r="P341" s="30">
        <f ca="1">Acciones!$E$751*EXP((K$2-K$3/2)*(1)+K$4*_xlfn.NORM.S.INV(RAND())*SQRT(1))</f>
        <v>0.12246377618435458</v>
      </c>
      <c r="Q341" s="30"/>
      <c r="R341">
        <f ca="1">M341/Acciones!$B$751*$I$10 + N341/Acciones!$C$751*$I$11 + O341/Acciones!$D$751*$I$12 + P341/Acciones!$D$751*$I$13</f>
        <v>23350.561411618561</v>
      </c>
      <c r="T341" s="14">
        <f t="shared" ca="1" si="8"/>
        <v>-5149.4385883814393</v>
      </c>
      <c r="V341">
        <v>-5613.6512831209657</v>
      </c>
    </row>
    <row r="342" spans="1:22" x14ac:dyDescent="0.2">
      <c r="A342" s="1">
        <f>Acciones!A342</f>
        <v>45492</v>
      </c>
      <c r="B342" s="29">
        <f>LN(Acciones!B342/Acciones!B341)</f>
        <v>6.5093463381547863E-3</v>
      </c>
      <c r="C342" s="29">
        <f>LN(Acciones!C342/Acciones!C341)</f>
        <v>5.7062404771266985E-2</v>
      </c>
      <c r="D342" s="29">
        <f>LN(Acciones!D342/Acciones!D341)</f>
        <v>6.0869188864372849E-3</v>
      </c>
      <c r="E342" s="29">
        <f>LN(Acciones!E342/Acciones!E341)</f>
        <v>0</v>
      </c>
      <c r="M342" s="30">
        <f ca="1">Acciones!$B$751*EXP((H$2-H$3/2)*(1)+H$4*_xlfn.NORM.S.INV(RAND())*SQRT(1))</f>
        <v>11.006810700966307</v>
      </c>
      <c r="N342" s="30">
        <f ca="1">Acciones!$C$751*EXP((I$2-I$3/2)*(1)+I$4*_xlfn.NORM.S.INV(RAND())*SQRT(1))</f>
        <v>158.10884353776257</v>
      </c>
      <c r="O342" s="30">
        <f ca="1">Acciones!$D$751*EXP((J$2-J$3/2)*(1)+J$4*_xlfn.NORM.S.INV(RAND())*SQRT(1))</f>
        <v>1015.7036316983115</v>
      </c>
      <c r="P342" s="30">
        <f ca="1">Acciones!$E$751*EXP((K$2-K$3/2)*(1)+K$4*_xlfn.NORM.S.INV(RAND())*SQRT(1))</f>
        <v>0.13154433504506591</v>
      </c>
      <c r="Q342" s="30"/>
      <c r="R342">
        <f ca="1">M342/Acciones!$B$751*$I$10 + N342/Acciones!$C$751*$I$11 + O342/Acciones!$D$751*$I$12 + P342/Acciones!$D$751*$I$13</f>
        <v>23577.564564649481</v>
      </c>
      <c r="T342" s="14">
        <f t="shared" ca="1" si="8"/>
        <v>-4922.4354353505187</v>
      </c>
      <c r="V342">
        <v>-5598.6654353623344</v>
      </c>
    </row>
    <row r="343" spans="1:22" x14ac:dyDescent="0.2">
      <c r="A343" s="1">
        <f>Acciones!A343</f>
        <v>45495</v>
      </c>
      <c r="B343" s="29">
        <f>LN(Acciones!B343/Acciones!B342)</f>
        <v>3.9361079465389449E-2</v>
      </c>
      <c r="C343" s="29">
        <f>LN(Acciones!C343/Acciones!C342)</f>
        <v>-2.3537955292311671E-2</v>
      </c>
      <c r="D343" s="29">
        <f>LN(Acciones!D343/Acciones!D342)</f>
        <v>2.2445997138789517E-2</v>
      </c>
      <c r="E343" s="29">
        <f>LN(Acciones!E343/Acciones!E342)</f>
        <v>0</v>
      </c>
      <c r="M343" s="30">
        <f ca="1">Acciones!$B$751*EXP((H$2-H$3/2)*(1)+H$4*_xlfn.NORM.S.INV(RAND())*SQRT(1))</f>
        <v>11.157226600858515</v>
      </c>
      <c r="N343" s="30">
        <f ca="1">Acciones!$C$751*EXP((I$2-I$3/2)*(1)+I$4*_xlfn.NORM.S.INV(RAND())*SQRT(1))</f>
        <v>151.21852838117917</v>
      </c>
      <c r="O343" s="30">
        <f ca="1">Acciones!$D$751*EXP((J$2-J$3/2)*(1)+J$4*_xlfn.NORM.S.INV(RAND())*SQRT(1))</f>
        <v>1031.6444811142212</v>
      </c>
      <c r="P343" s="30">
        <f ca="1">Acciones!$E$751*EXP((K$2-K$3/2)*(1)+K$4*_xlfn.NORM.S.INV(RAND())*SQRT(1))</f>
        <v>0.12484763336865583</v>
      </c>
      <c r="Q343" s="30"/>
      <c r="R343">
        <f ca="1">M343/Acciones!$B$751*$I$10 + N343/Acciones!$C$751*$I$11 + O343/Acciones!$D$751*$I$12 + P343/Acciones!$D$751*$I$13</f>
        <v>23355.232286992297</v>
      </c>
      <c r="T343" s="14">
        <f t="shared" ca="1" si="8"/>
        <v>-5144.7677130077027</v>
      </c>
      <c r="V343">
        <v>-5594.5031663388763</v>
      </c>
    </row>
    <row r="344" spans="1:22" x14ac:dyDescent="0.2">
      <c r="A344" s="1">
        <f>Acciones!A344</f>
        <v>45496</v>
      </c>
      <c r="B344" s="29">
        <f>LN(Acciones!B344/Acciones!B343)</f>
        <v>-3.9062826670643609E-3</v>
      </c>
      <c r="C344" s="29">
        <f>LN(Acciones!C344/Acciones!C343)</f>
        <v>-0.10785993348308148</v>
      </c>
      <c r="D344" s="29">
        <f>LN(Acciones!D344/Acciones!D343)</f>
        <v>-1.0607390750017678E-2</v>
      </c>
      <c r="E344" s="29">
        <f>LN(Acciones!E344/Acciones!E343)</f>
        <v>0</v>
      </c>
      <c r="M344" s="30">
        <f ca="1">Acciones!$B$751*EXP((H$2-H$3/2)*(1)+H$4*_xlfn.NORM.S.INV(RAND())*SQRT(1))</f>
        <v>11.129592067554746</v>
      </c>
      <c r="N344" s="30">
        <f ca="1">Acciones!$C$751*EXP((I$2-I$3/2)*(1)+I$4*_xlfn.NORM.S.INV(RAND())*SQRT(1))</f>
        <v>152.72226373348613</v>
      </c>
      <c r="O344" s="30">
        <f ca="1">Acciones!$D$751*EXP((J$2-J$3/2)*(1)+J$4*_xlfn.NORM.S.INV(RAND())*SQRT(1))</f>
        <v>993.95521939881951</v>
      </c>
      <c r="P344" s="30">
        <f ca="1">Acciones!$E$751*EXP((K$2-K$3/2)*(1)+K$4*_xlfn.NORM.S.INV(RAND())*SQRT(1))</f>
        <v>0.14498628233534494</v>
      </c>
      <c r="Q344" s="30"/>
      <c r="R344">
        <f ca="1">M344/Acciones!$B$751*$I$10 + N344/Acciones!$C$751*$I$11 + O344/Acciones!$D$751*$I$12 + P344/Acciones!$D$751*$I$13</f>
        <v>23062.856956677751</v>
      </c>
      <c r="T344" s="14">
        <f t="shared" ca="1" si="8"/>
        <v>-5437.1430433222486</v>
      </c>
      <c r="V344">
        <v>-5590.6559393070856</v>
      </c>
    </row>
    <row r="345" spans="1:22" x14ac:dyDescent="0.2">
      <c r="A345" s="1">
        <f>Acciones!A345</f>
        <v>45497</v>
      </c>
      <c r="B345" s="29">
        <f>LN(Acciones!B345/Acciones!B344)</f>
        <v>-1.3793226118154738E-2</v>
      </c>
      <c r="C345" s="29">
        <f>LN(Acciones!C345/Acciones!C344)</f>
        <v>-3.1243257628080112E-2</v>
      </c>
      <c r="D345" s="29">
        <f>LN(Acciones!D345/Acciones!D344)</f>
        <v>-1.5670883389765029E-2</v>
      </c>
      <c r="E345" s="29">
        <f>LN(Acciones!E345/Acciones!E344)</f>
        <v>-1.6807202503730287E-2</v>
      </c>
      <c r="M345" s="30">
        <f ca="1">Acciones!$B$751*EXP((H$2-H$3/2)*(1)+H$4*_xlfn.NORM.S.INV(RAND())*SQRT(1))</f>
        <v>11.088521285506751</v>
      </c>
      <c r="N345" s="30">
        <f ca="1">Acciones!$C$751*EXP((I$2-I$3/2)*(1)+I$4*_xlfn.NORM.S.INV(RAND())*SQRT(1))</f>
        <v>141.95771499949763</v>
      </c>
      <c r="O345" s="30">
        <f ca="1">Acciones!$D$751*EXP((J$2-J$3/2)*(1)+J$4*_xlfn.NORM.S.INV(RAND())*SQRT(1))</f>
        <v>1003.1805753435426</v>
      </c>
      <c r="P345" s="30">
        <f ca="1">Acciones!$E$751*EXP((K$2-K$3/2)*(1)+K$4*_xlfn.NORM.S.INV(RAND())*SQRT(1))</f>
        <v>0.13878925067431783</v>
      </c>
      <c r="Q345" s="30"/>
      <c r="R345">
        <f ca="1">M345/Acciones!$B$751*$I$10 + N345/Acciones!$C$751*$I$11 + O345/Acciones!$D$751*$I$12 + P345/Acciones!$D$751*$I$13</f>
        <v>22469.931098561967</v>
      </c>
      <c r="T345" s="14">
        <f t="shared" ca="1" si="8"/>
        <v>-6030.0689014380332</v>
      </c>
      <c r="V345">
        <v>-5590.19685960274</v>
      </c>
    </row>
    <row r="346" spans="1:22" x14ac:dyDescent="0.2">
      <c r="A346" s="1">
        <f>Acciones!A346</f>
        <v>45498</v>
      </c>
      <c r="B346" s="29">
        <f>LN(Acciones!B346/Acciones!B345)</f>
        <v>-3.9762544925204153E-3</v>
      </c>
      <c r="C346" s="29">
        <f>LN(Acciones!C346/Acciones!C345)</f>
        <v>-9.9356322604848713E-3</v>
      </c>
      <c r="D346" s="29">
        <f>LN(Acciones!D346/Acciones!D345)</f>
        <v>5.3522057662446195E-3</v>
      </c>
      <c r="E346" s="29">
        <f>LN(Acciones!E346/Acciones!E345)</f>
        <v>0</v>
      </c>
      <c r="M346" s="30">
        <f ca="1">Acciones!$B$751*EXP((H$2-H$3/2)*(1)+H$4*_xlfn.NORM.S.INV(RAND())*SQRT(1))</f>
        <v>11.196850781300618</v>
      </c>
      <c r="N346" s="30">
        <f ca="1">Acciones!$C$751*EXP((I$2-I$3/2)*(1)+I$4*_xlfn.NORM.S.INV(RAND())*SQRT(1))</f>
        <v>159.66676400280616</v>
      </c>
      <c r="O346" s="30">
        <f ca="1">Acciones!$D$751*EXP((J$2-J$3/2)*(1)+J$4*_xlfn.NORM.S.INV(RAND())*SQRT(1))</f>
        <v>1033.2190064016786</v>
      </c>
      <c r="P346" s="30">
        <f ca="1">Acciones!$E$751*EXP((K$2-K$3/2)*(1)+K$4*_xlfn.NORM.S.INV(RAND())*SQRT(1))</f>
        <v>0.14175951987343524</v>
      </c>
      <c r="Q346" s="30"/>
      <c r="R346">
        <f ca="1">M346/Acciones!$B$751*$I$10 + N346/Acciones!$C$751*$I$11 + O346/Acciones!$D$751*$I$12 + P346/Acciones!$D$751*$I$13</f>
        <v>23911.302465717428</v>
      </c>
      <c r="T346" s="14">
        <f t="shared" ca="1" si="8"/>
        <v>-4588.6975342825717</v>
      </c>
      <c r="V346">
        <v>-5583.8041292815251</v>
      </c>
    </row>
    <row r="347" spans="1:22" x14ac:dyDescent="0.2">
      <c r="A347" s="1">
        <f>Acciones!A347</f>
        <v>45499</v>
      </c>
      <c r="B347" s="29">
        <f>LN(Acciones!B347/Acciones!B346)</f>
        <v>3.5793086026505378E-3</v>
      </c>
      <c r="C347" s="29">
        <f>LN(Acciones!C347/Acciones!C346)</f>
        <v>5.1396898532903162E-2</v>
      </c>
      <c r="D347" s="29">
        <f>LN(Acciones!D347/Acciones!D346)</f>
        <v>1.5640095078744708E-2</v>
      </c>
      <c r="E347" s="29">
        <f>LN(Acciones!E347/Acciones!E346)</f>
        <v>0</v>
      </c>
      <c r="M347" s="30">
        <f ca="1">Acciones!$B$751*EXP((H$2-H$3/2)*(1)+H$4*_xlfn.NORM.S.INV(RAND())*SQRT(1))</f>
        <v>11.060556310914359</v>
      </c>
      <c r="N347" s="30">
        <f ca="1">Acciones!$C$751*EXP((I$2-I$3/2)*(1)+I$4*_xlfn.NORM.S.INV(RAND())*SQRT(1))</f>
        <v>155.01741129137753</v>
      </c>
      <c r="O347" s="30">
        <f ca="1">Acciones!$D$751*EXP((J$2-J$3/2)*(1)+J$4*_xlfn.NORM.S.INV(RAND())*SQRT(1))</f>
        <v>999.42563671534356</v>
      </c>
      <c r="P347" s="30">
        <f ca="1">Acciones!$E$751*EXP((K$2-K$3/2)*(1)+K$4*_xlfn.NORM.S.INV(RAND())*SQRT(1))</f>
        <v>0.12399115364823855</v>
      </c>
      <c r="Q347" s="30"/>
      <c r="R347">
        <f ca="1">M347/Acciones!$B$751*$I$10 + N347/Acciones!$C$751*$I$11 + O347/Acciones!$D$751*$I$12 + P347/Acciones!$D$751*$I$13</f>
        <v>23238.693511740701</v>
      </c>
      <c r="T347" s="14">
        <f t="shared" ca="1" si="8"/>
        <v>-5261.3064882592989</v>
      </c>
      <c r="V347">
        <v>-5583.6811197917305</v>
      </c>
    </row>
    <row r="348" spans="1:22" x14ac:dyDescent="0.2">
      <c r="A348" s="1">
        <f>Acciones!A348</f>
        <v>45502</v>
      </c>
      <c r="B348" s="29">
        <f>LN(Acciones!B348/Acciones!B347)</f>
        <v>-1.5892050327185952E-3</v>
      </c>
      <c r="C348" s="29">
        <f>LN(Acciones!C348/Acciones!C347)</f>
        <v>-3.7865521923317887E-2</v>
      </c>
      <c r="D348" s="29">
        <f>LN(Acciones!D348/Acciones!D347)</f>
        <v>2.2492161418755426E-2</v>
      </c>
      <c r="E348" s="29">
        <f>LN(Acciones!E348/Acciones!E347)</f>
        <v>0</v>
      </c>
      <c r="M348" s="30">
        <f ca="1">Acciones!$B$751*EXP((H$2-H$3/2)*(1)+H$4*_xlfn.NORM.S.INV(RAND())*SQRT(1))</f>
        <v>10.911296312135427</v>
      </c>
      <c r="N348" s="30">
        <f ca="1">Acciones!$C$751*EXP((I$2-I$3/2)*(1)+I$4*_xlfn.NORM.S.INV(RAND())*SQRT(1))</f>
        <v>144.18879584474809</v>
      </c>
      <c r="O348" s="30">
        <f ca="1">Acciones!$D$751*EXP((J$2-J$3/2)*(1)+J$4*_xlfn.NORM.S.INV(RAND())*SQRT(1))</f>
        <v>978.41920341581533</v>
      </c>
      <c r="P348" s="30">
        <f ca="1">Acciones!$E$751*EXP((K$2-K$3/2)*(1)+K$4*_xlfn.NORM.S.INV(RAND())*SQRT(1))</f>
        <v>0.13841763180656233</v>
      </c>
      <c r="Q348" s="30"/>
      <c r="R348">
        <f ca="1">M348/Acciones!$B$751*$I$10 + N348/Acciones!$C$751*$I$11 + O348/Acciones!$D$751*$I$12 + P348/Acciones!$D$751*$I$13</f>
        <v>22304.358719266042</v>
      </c>
      <c r="T348" s="14">
        <f t="shared" ca="1" si="8"/>
        <v>-6195.6412807339584</v>
      </c>
      <c r="V348">
        <v>-5579.7390735329864</v>
      </c>
    </row>
    <row r="349" spans="1:22" x14ac:dyDescent="0.2">
      <c r="A349" s="1">
        <f>Acciones!A349</f>
        <v>45503</v>
      </c>
      <c r="B349" s="29">
        <f>LN(Acciones!B349/Acciones!B348)</f>
        <v>4.0519742666737107E-2</v>
      </c>
      <c r="C349" s="29">
        <f>LN(Acciones!C349/Acciones!C348)</f>
        <v>-2.3191211876699869E-2</v>
      </c>
      <c r="D349" s="29">
        <f>LN(Acciones!D349/Acciones!D348)</f>
        <v>1.8466253962071588E-2</v>
      </c>
      <c r="E349" s="29">
        <f>LN(Acciones!E349/Acciones!E348)</f>
        <v>0</v>
      </c>
      <c r="M349" s="30">
        <f ca="1">Acciones!$B$751*EXP((H$2-H$3/2)*(1)+H$4*_xlfn.NORM.S.INV(RAND())*SQRT(1))</f>
        <v>10.416080456731169</v>
      </c>
      <c r="N349" s="30">
        <f ca="1">Acciones!$C$751*EXP((I$2-I$3/2)*(1)+I$4*_xlfn.NORM.S.INV(RAND())*SQRT(1))</f>
        <v>153.86459782217247</v>
      </c>
      <c r="O349" s="30">
        <f ca="1">Acciones!$D$751*EXP((J$2-J$3/2)*(1)+J$4*_xlfn.NORM.S.INV(RAND())*SQRT(1))</f>
        <v>983.48080168243371</v>
      </c>
      <c r="P349" s="30">
        <f ca="1">Acciones!$E$751*EXP((K$2-K$3/2)*(1)+K$4*_xlfn.NORM.S.INV(RAND())*SQRT(1))</f>
        <v>0.12917868636813074</v>
      </c>
      <c r="Q349" s="30"/>
      <c r="R349">
        <f ca="1">M349/Acciones!$B$751*$I$10 + N349/Acciones!$C$751*$I$11 + O349/Acciones!$D$751*$I$12 + P349/Acciones!$D$751*$I$13</f>
        <v>22800.279890409493</v>
      </c>
      <c r="T349" s="14">
        <f t="shared" ca="1" si="8"/>
        <v>-5699.7201095905075</v>
      </c>
      <c r="V349">
        <v>-5578.5278466404052</v>
      </c>
    </row>
    <row r="350" spans="1:22" x14ac:dyDescent="0.2">
      <c r="A350" s="1">
        <f>Acciones!A350</f>
        <v>45504</v>
      </c>
      <c r="B350" s="29">
        <f>LN(Acciones!B350/Acciones!B349)</f>
        <v>-1.1907235793255861E-2</v>
      </c>
      <c r="C350" s="29">
        <f>LN(Acciones!C350/Acciones!C349)</f>
        <v>-1.6001242793666777E-2</v>
      </c>
      <c r="D350" s="29">
        <f>LN(Acciones!D350/Acciones!D349)</f>
        <v>-2.0812232787662809E-4</v>
      </c>
      <c r="E350" s="29">
        <f>LN(Acciones!E350/Acciones!E349)</f>
        <v>0</v>
      </c>
      <c r="M350" s="30">
        <f ca="1">Acciones!$B$751*EXP((H$2-H$3/2)*(1)+H$4*_xlfn.NORM.S.INV(RAND())*SQRT(1))</f>
        <v>10.787584769318284</v>
      </c>
      <c r="N350" s="30">
        <f ca="1">Acciones!$C$751*EXP((I$2-I$3/2)*(1)+I$4*_xlfn.NORM.S.INV(RAND())*SQRT(1))</f>
        <v>142.77133897589172</v>
      </c>
      <c r="O350" s="30">
        <f ca="1">Acciones!$D$751*EXP((J$2-J$3/2)*(1)+J$4*_xlfn.NORM.S.INV(RAND())*SQRT(1))</f>
        <v>995.736103043968</v>
      </c>
      <c r="P350" s="30">
        <f ca="1">Acciones!$E$751*EXP((K$2-K$3/2)*(1)+K$4*_xlfn.NORM.S.INV(RAND())*SQRT(1))</f>
        <v>0.12383389439759707</v>
      </c>
      <c r="Q350" s="30"/>
      <c r="R350">
        <f ca="1">M350/Acciones!$B$751*$I$10 + N350/Acciones!$C$751*$I$11 + O350/Acciones!$D$751*$I$12 + P350/Acciones!$D$751*$I$13</f>
        <v>22349.540640868287</v>
      </c>
      <c r="T350" s="14">
        <f t="shared" ca="1" si="8"/>
        <v>-6150.4593591317134</v>
      </c>
      <c r="V350">
        <v>-5576.3408313280706</v>
      </c>
    </row>
    <row r="351" spans="1:22" x14ac:dyDescent="0.2">
      <c r="A351" s="1">
        <f>Acciones!A351</f>
        <v>45505</v>
      </c>
      <c r="B351" s="29">
        <f>LN(Acciones!B351/Acciones!B350)</f>
        <v>-3.0602610443413315E-2</v>
      </c>
      <c r="C351" s="29">
        <f>LN(Acciones!C351/Acciones!C350)</f>
        <v>-7.4824998197562539E-2</v>
      </c>
      <c r="D351" s="29">
        <f>LN(Acciones!D351/Acciones!D350)</f>
        <v>-1.0634822399558702E-2</v>
      </c>
      <c r="E351" s="29">
        <f>LN(Acciones!E351/Acciones!E350)</f>
        <v>0</v>
      </c>
      <c r="M351" s="30">
        <f ca="1">Acciones!$B$751*EXP((H$2-H$3/2)*(1)+H$4*_xlfn.NORM.S.INV(RAND())*SQRT(1))</f>
        <v>11.057786989918835</v>
      </c>
      <c r="N351" s="30">
        <f ca="1">Acciones!$C$751*EXP((I$2-I$3/2)*(1)+I$4*_xlfn.NORM.S.INV(RAND())*SQRT(1))</f>
        <v>149.50345461684896</v>
      </c>
      <c r="O351" s="30">
        <f ca="1">Acciones!$D$751*EXP((J$2-J$3/2)*(1)+J$4*_xlfn.NORM.S.INV(RAND())*SQRT(1))</f>
        <v>982.07669631351314</v>
      </c>
      <c r="P351" s="30">
        <f ca="1">Acciones!$E$751*EXP((K$2-K$3/2)*(1)+K$4*_xlfn.NORM.S.INV(RAND())*SQRT(1))</f>
        <v>0.14607489907887192</v>
      </c>
      <c r="Q351" s="30"/>
      <c r="R351">
        <f ca="1">M351/Acciones!$B$751*$I$10 + N351/Acciones!$C$751*$I$11 + O351/Acciones!$D$751*$I$12 + P351/Acciones!$D$751*$I$13</f>
        <v>22719.869805364222</v>
      </c>
      <c r="T351" s="14">
        <f t="shared" ca="1" si="8"/>
        <v>-5780.130194635778</v>
      </c>
      <c r="V351">
        <v>-5576.29005622767</v>
      </c>
    </row>
    <row r="352" spans="1:22" x14ac:dyDescent="0.2">
      <c r="A352" s="1">
        <f>Acciones!A352</f>
        <v>45506</v>
      </c>
      <c r="B352" s="29">
        <f>LN(Acciones!B352/Acciones!B351)</f>
        <v>-7.1971248588065884E-3</v>
      </c>
      <c r="C352" s="29">
        <f>LN(Acciones!C352/Acciones!C351)</f>
        <v>-3.7090008867502439E-2</v>
      </c>
      <c r="D352" s="29">
        <f>LN(Acciones!D352/Acciones!D351)</f>
        <v>2.608820303569092E-2</v>
      </c>
      <c r="E352" s="29">
        <f>LN(Acciones!E352/Acciones!E351)</f>
        <v>-2.5752472383542266E-2</v>
      </c>
      <c r="M352" s="30">
        <f ca="1">Acciones!$B$751*EXP((H$2-H$3/2)*(1)+H$4*_xlfn.NORM.S.INV(RAND())*SQRT(1))</f>
        <v>10.841563419609221</v>
      </c>
      <c r="N352" s="30">
        <f ca="1">Acciones!$C$751*EXP((I$2-I$3/2)*(1)+I$4*_xlfn.NORM.S.INV(RAND())*SQRT(1))</f>
        <v>151.13820401575032</v>
      </c>
      <c r="O352" s="30">
        <f ca="1">Acciones!$D$751*EXP((J$2-J$3/2)*(1)+J$4*_xlfn.NORM.S.INV(RAND())*SQRT(1))</f>
        <v>976.59297755721286</v>
      </c>
      <c r="P352" s="30">
        <f ca="1">Acciones!$E$751*EXP((K$2-K$3/2)*(1)+K$4*_xlfn.NORM.S.INV(RAND())*SQRT(1))</f>
        <v>0.1454892246002415</v>
      </c>
      <c r="Q352" s="30"/>
      <c r="R352">
        <f ca="1">M352/Acciones!$B$751*$I$10 + N352/Acciones!$C$751*$I$11 + O352/Acciones!$D$751*$I$12 + P352/Acciones!$D$751*$I$13</f>
        <v>22697.64447394952</v>
      </c>
      <c r="T352" s="14">
        <f t="shared" ca="1" si="8"/>
        <v>-5802.35552605048</v>
      </c>
      <c r="V352">
        <v>-5573.5166658535891</v>
      </c>
    </row>
    <row r="353" spans="1:22" x14ac:dyDescent="0.2">
      <c r="A353" s="1">
        <f>Acciones!A353</f>
        <v>45509</v>
      </c>
      <c r="B353" s="29">
        <f>LN(Acciones!B353/Acciones!B352)</f>
        <v>-4.0140688293211114E-4</v>
      </c>
      <c r="C353" s="29">
        <f>LN(Acciones!C353/Acciones!C352)</f>
        <v>-6.7266572462080856E-3</v>
      </c>
      <c r="D353" s="29">
        <f>LN(Acciones!D353/Acciones!D352)</f>
        <v>-1.7644671438715877E-2</v>
      </c>
      <c r="E353" s="29">
        <f>LN(Acciones!E353/Acciones!E352)</f>
        <v>0</v>
      </c>
      <c r="M353" s="30">
        <f ca="1">Acciones!$B$751*EXP((H$2-H$3/2)*(1)+H$4*_xlfn.NORM.S.INV(RAND())*SQRT(1))</f>
        <v>10.752433351735736</v>
      </c>
      <c r="N353" s="30">
        <f ca="1">Acciones!$C$751*EXP((I$2-I$3/2)*(1)+I$4*_xlfn.NORM.S.INV(RAND())*SQRT(1))</f>
        <v>128.63773267311799</v>
      </c>
      <c r="O353" s="30">
        <f ca="1">Acciones!$D$751*EXP((J$2-J$3/2)*(1)+J$4*_xlfn.NORM.S.INV(RAND())*SQRT(1))</f>
        <v>1008.0973715719712</v>
      </c>
      <c r="P353" s="30">
        <f ca="1">Acciones!$E$751*EXP((K$2-K$3/2)*(1)+K$4*_xlfn.NORM.S.INV(RAND())*SQRT(1))</f>
        <v>0.12513106015306344</v>
      </c>
      <c r="Q353" s="30"/>
      <c r="R353">
        <f ca="1">M353/Acciones!$B$751*$I$10 + N353/Acciones!$C$751*$I$11 + O353/Acciones!$D$751*$I$12 + P353/Acciones!$D$751*$I$13</f>
        <v>21579.607163646004</v>
      </c>
      <c r="T353" s="14">
        <f t="shared" ca="1" si="8"/>
        <v>-6920.3928363539962</v>
      </c>
      <c r="V353">
        <v>-5570.4446185878078</v>
      </c>
    </row>
    <row r="354" spans="1:22" x14ac:dyDescent="0.2">
      <c r="A354" s="1">
        <f>Acciones!A354</f>
        <v>45510</v>
      </c>
      <c r="B354" s="29">
        <f>LN(Acciones!B354/Acciones!B353)</f>
        <v>-1.2050305605004303E-3</v>
      </c>
      <c r="C354" s="29">
        <f>LN(Acciones!C354/Acciones!C353)</f>
        <v>3.1823500847397428E-2</v>
      </c>
      <c r="D354" s="29">
        <f>LN(Acciones!D354/Acciones!D353)</f>
        <v>2.1537830724658241E-2</v>
      </c>
      <c r="E354" s="29">
        <f>LN(Acciones!E354/Acciones!E353)</f>
        <v>-4.4451720164372738E-2</v>
      </c>
      <c r="M354" s="30">
        <f ca="1">Acciones!$B$751*EXP((H$2-H$3/2)*(1)+H$4*_xlfn.NORM.S.INV(RAND())*SQRT(1))</f>
        <v>10.876236465479579</v>
      </c>
      <c r="N354" s="30">
        <f ca="1">Acciones!$C$751*EXP((I$2-I$3/2)*(1)+I$4*_xlfn.NORM.S.INV(RAND())*SQRT(1))</f>
        <v>139.14942919915038</v>
      </c>
      <c r="O354" s="30">
        <f ca="1">Acciones!$D$751*EXP((J$2-J$3/2)*(1)+J$4*_xlfn.NORM.S.INV(RAND())*SQRT(1))</f>
        <v>1017.3391218703235</v>
      </c>
      <c r="P354" s="30">
        <f ca="1">Acciones!$E$751*EXP((K$2-K$3/2)*(1)+K$4*_xlfn.NORM.S.INV(RAND())*SQRT(1))</f>
        <v>0.12664498154674173</v>
      </c>
      <c r="Q354" s="30"/>
      <c r="R354">
        <f ca="1">M354/Acciones!$B$751*$I$10 + N354/Acciones!$C$751*$I$11 + O354/Acciones!$D$751*$I$12 + P354/Acciones!$D$751*$I$13</f>
        <v>22368.235040225198</v>
      </c>
      <c r="T354" s="14">
        <f t="shared" ca="1" si="8"/>
        <v>-6131.7649597748023</v>
      </c>
      <c r="V354">
        <v>-5566.9672803115318</v>
      </c>
    </row>
    <row r="355" spans="1:22" x14ac:dyDescent="0.2">
      <c r="A355" s="1">
        <f>Acciones!A355</f>
        <v>45511</v>
      </c>
      <c r="B355" s="29">
        <f>LN(Acciones!B355/Acciones!B354)</f>
        <v>-4.018585368708448E-2</v>
      </c>
      <c r="C355" s="29">
        <f>LN(Acciones!C355/Acciones!C354)</f>
        <v>-8.7459920663478685E-2</v>
      </c>
      <c r="D355" s="29">
        <f>LN(Acciones!D355/Acciones!D354)</f>
        <v>-1.2480520102736018E-2</v>
      </c>
      <c r="E355" s="29">
        <f>LN(Acciones!E355/Acciones!E354)</f>
        <v>0</v>
      </c>
      <c r="M355" s="30">
        <f ca="1">Acciones!$B$751*EXP((H$2-H$3/2)*(1)+H$4*_xlfn.NORM.S.INV(RAND())*SQRT(1))</f>
        <v>10.698699199720309</v>
      </c>
      <c r="N355" s="30">
        <f ca="1">Acciones!$C$751*EXP((I$2-I$3/2)*(1)+I$4*_xlfn.NORM.S.INV(RAND())*SQRT(1))</f>
        <v>149.45119143745436</v>
      </c>
      <c r="O355" s="30">
        <f ca="1">Acciones!$D$751*EXP((J$2-J$3/2)*(1)+J$4*_xlfn.NORM.S.INV(RAND())*SQRT(1))</f>
        <v>1024.0229860470884</v>
      </c>
      <c r="P355" s="30">
        <f ca="1">Acciones!$E$751*EXP((K$2-K$3/2)*(1)+K$4*_xlfn.NORM.S.INV(RAND())*SQRT(1))</f>
        <v>0.11756752856977704</v>
      </c>
      <c r="Q355" s="30"/>
      <c r="R355">
        <f ca="1">M355/Acciones!$B$751*$I$10 + N355/Acciones!$C$751*$I$11 + O355/Acciones!$D$751*$I$12 + P355/Acciones!$D$751*$I$13</f>
        <v>23021.403746917327</v>
      </c>
      <c r="T355" s="14">
        <f t="shared" ca="1" si="8"/>
        <v>-5478.5962530826728</v>
      </c>
      <c r="V355">
        <v>-5564.633720969734</v>
      </c>
    </row>
    <row r="356" spans="1:22" x14ac:dyDescent="0.2">
      <c r="A356" s="1">
        <f>Acciones!A356</f>
        <v>45512</v>
      </c>
      <c r="B356" s="29">
        <f>LN(Acciones!B356/Acciones!B355)</f>
        <v>3.2519953772215782E-2</v>
      </c>
      <c r="C356" s="29">
        <f>LN(Acciones!C356/Acciones!C355)</f>
        <v>7.010360415835401E-2</v>
      </c>
      <c r="D356" s="29">
        <f>LN(Acciones!D356/Acciones!D355)</f>
        <v>2.0078117319279908E-3</v>
      </c>
      <c r="E356" s="29">
        <f>LN(Acciones!E356/Acciones!E355)</f>
        <v>0</v>
      </c>
      <c r="M356" s="30">
        <f ca="1">Acciones!$B$751*EXP((H$2-H$3/2)*(1)+H$4*_xlfn.NORM.S.INV(RAND())*SQRT(1))</f>
        <v>11.334058579531161</v>
      </c>
      <c r="N356" s="30">
        <f ca="1">Acciones!$C$751*EXP((I$2-I$3/2)*(1)+I$4*_xlfn.NORM.S.INV(RAND())*SQRT(1))</f>
        <v>164.94915272412373</v>
      </c>
      <c r="O356" s="30">
        <f ca="1">Acciones!$D$751*EXP((J$2-J$3/2)*(1)+J$4*_xlfn.NORM.S.INV(RAND())*SQRT(1))</f>
        <v>1003.255411492657</v>
      </c>
      <c r="P356" s="30">
        <f ca="1">Acciones!$E$751*EXP((K$2-K$3/2)*(1)+K$4*_xlfn.NORM.S.INV(RAND())*SQRT(1))</f>
        <v>0.1258595004502038</v>
      </c>
      <c r="Q356" s="30"/>
      <c r="R356">
        <f ca="1">M356/Acciones!$B$751*$I$10 + N356/Acciones!$C$751*$I$11 + O356/Acciones!$D$751*$I$12 + P356/Acciones!$D$751*$I$13</f>
        <v>23984.927700353692</v>
      </c>
      <c r="T356" s="14">
        <f t="shared" ca="1" si="8"/>
        <v>-4515.0722996463082</v>
      </c>
      <c r="V356">
        <v>-5564.1577705778545</v>
      </c>
    </row>
    <row r="357" spans="1:22" x14ac:dyDescent="0.2">
      <c r="A357" s="1">
        <f>Acciones!A357</f>
        <v>45513</v>
      </c>
      <c r="B357" s="29">
        <f>LN(Acciones!B357/Acciones!B356)</f>
        <v>-2.5432069691841332E-2</v>
      </c>
      <c r="C357" s="29">
        <f>LN(Acciones!C357/Acciones!C356)</f>
        <v>-2.7000913235802809E-2</v>
      </c>
      <c r="D357" s="29">
        <f>LN(Acciones!D357/Acciones!D356)</f>
        <v>-4.1126207162424985E-3</v>
      </c>
      <c r="E357" s="29">
        <f>LN(Acciones!E357/Acciones!E356)</f>
        <v>-2.7651503984284464E-2</v>
      </c>
      <c r="M357" s="30">
        <f ca="1">Acciones!$B$751*EXP((H$2-H$3/2)*(1)+H$4*_xlfn.NORM.S.INV(RAND())*SQRT(1))</f>
        <v>10.434402769703608</v>
      </c>
      <c r="N357" s="30">
        <f ca="1">Acciones!$C$751*EXP((I$2-I$3/2)*(1)+I$4*_xlfn.NORM.S.INV(RAND())*SQRT(1))</f>
        <v>144.20186136507752</v>
      </c>
      <c r="O357" s="30">
        <f ca="1">Acciones!$D$751*EXP((J$2-J$3/2)*(1)+J$4*_xlfn.NORM.S.INV(RAND())*SQRT(1))</f>
        <v>984.65838909547483</v>
      </c>
      <c r="P357" s="30">
        <f ca="1">Acciones!$E$751*EXP((K$2-K$3/2)*(1)+K$4*_xlfn.NORM.S.INV(RAND())*SQRT(1))</f>
        <v>0.13591277584432304</v>
      </c>
      <c r="Q357" s="30"/>
      <c r="R357">
        <f ca="1">M357/Acciones!$B$751*$I$10 + N357/Acciones!$C$751*$I$11 + O357/Acciones!$D$751*$I$12 + P357/Acciones!$D$751*$I$13</f>
        <v>22214.664460581072</v>
      </c>
      <c r="T357" s="14">
        <f t="shared" ca="1" si="8"/>
        <v>-6285.3355394189275</v>
      </c>
      <c r="V357">
        <v>-5561.6028782001267</v>
      </c>
    </row>
    <row r="358" spans="1:22" x14ac:dyDescent="0.2">
      <c r="A358" s="1">
        <f>Acciones!A358</f>
        <v>45516</v>
      </c>
      <c r="B358" s="29">
        <f>LN(Acciones!B358/Acciones!B357)</f>
        <v>1.2386622132018228E-2</v>
      </c>
      <c r="C358" s="29">
        <f>LN(Acciones!C358/Acciones!C357)</f>
        <v>-0.10387730374562182</v>
      </c>
      <c r="D358" s="29">
        <f>LN(Acciones!D358/Acciones!D357)</f>
        <v>1.2372644253152383E-2</v>
      </c>
      <c r="E358" s="29">
        <f>LN(Acciones!E358/Acciones!E357)</f>
        <v>-1.8868578738084917E-2</v>
      </c>
      <c r="M358" s="30">
        <f ca="1">Acciones!$B$751*EXP((H$2-H$3/2)*(1)+H$4*_xlfn.NORM.S.INV(RAND())*SQRT(1))</f>
        <v>10.674380143667307</v>
      </c>
      <c r="N358" s="30">
        <f ca="1">Acciones!$C$751*EXP((I$2-I$3/2)*(1)+I$4*_xlfn.NORM.S.INV(RAND())*SQRT(1))</f>
        <v>134.30827120933776</v>
      </c>
      <c r="O358" s="30">
        <f ca="1">Acciones!$D$751*EXP((J$2-J$3/2)*(1)+J$4*_xlfn.NORM.S.INV(RAND())*SQRT(1))</f>
        <v>1001.9720638531281</v>
      </c>
      <c r="P358" s="30">
        <f ca="1">Acciones!$E$751*EXP((K$2-K$3/2)*(1)+K$4*_xlfn.NORM.S.INV(RAND())*SQRT(1))</f>
        <v>0.13070888377537881</v>
      </c>
      <c r="Q358" s="30"/>
      <c r="R358">
        <f ca="1">M358/Acciones!$B$751*$I$10 + N358/Acciones!$C$751*$I$11 + O358/Acciones!$D$751*$I$12 + P358/Acciones!$D$751*$I$13</f>
        <v>21847.303481445429</v>
      </c>
      <c r="T358" s="14">
        <f t="shared" ca="1" si="8"/>
        <v>-6652.6965185545705</v>
      </c>
      <c r="V358">
        <v>-5560.1084634700092</v>
      </c>
    </row>
    <row r="359" spans="1:22" x14ac:dyDescent="0.2">
      <c r="A359" s="1">
        <f>Acciones!A359</f>
        <v>45517</v>
      </c>
      <c r="B359" s="29">
        <f>LN(Acciones!B359/Acciones!B358)</f>
        <v>8.1732963788810099E-3</v>
      </c>
      <c r="C359" s="29">
        <f>LN(Acciones!C359/Acciones!C358)</f>
        <v>1.6645671574827679E-2</v>
      </c>
      <c r="D359" s="29">
        <f>LN(Acciones!D359/Acciones!D358)</f>
        <v>5.2476059380157453E-2</v>
      </c>
      <c r="E359" s="29">
        <f>LN(Acciones!E359/Acciones!E358)</f>
        <v>-1.923134429174252E-2</v>
      </c>
      <c r="M359" s="30">
        <f ca="1">Acciones!$B$751*EXP((H$2-H$3/2)*(1)+H$4*_xlfn.NORM.S.INV(RAND())*SQRT(1))</f>
        <v>10.720898683110061</v>
      </c>
      <c r="N359" s="30">
        <f ca="1">Acciones!$C$751*EXP((I$2-I$3/2)*(1)+I$4*_xlfn.NORM.S.INV(RAND())*SQRT(1))</f>
        <v>150.31263653356382</v>
      </c>
      <c r="O359" s="30">
        <f ca="1">Acciones!$D$751*EXP((J$2-J$3/2)*(1)+J$4*_xlfn.NORM.S.INV(RAND())*SQRT(1))</f>
        <v>1032.6383759344449</v>
      </c>
      <c r="P359" s="30">
        <f ca="1">Acciones!$E$751*EXP((K$2-K$3/2)*(1)+K$4*_xlfn.NORM.S.INV(RAND())*SQRT(1))</f>
        <v>0.14716646705681771</v>
      </c>
      <c r="Q359" s="30"/>
      <c r="R359">
        <f ca="1">M359/Acciones!$B$751*$I$10 + N359/Acciones!$C$751*$I$11 + O359/Acciones!$D$751*$I$12 + P359/Acciones!$D$751*$I$13</f>
        <v>23168.771215164226</v>
      </c>
      <c r="T359" s="14">
        <f t="shared" ca="1" si="8"/>
        <v>-5331.2287848357737</v>
      </c>
      <c r="V359">
        <v>-5556.0851299644601</v>
      </c>
    </row>
    <row r="360" spans="1:22" x14ac:dyDescent="0.2">
      <c r="A360" s="1">
        <f>Acciones!A360</f>
        <v>45518</v>
      </c>
      <c r="B360" s="29">
        <f>LN(Acciones!B360/Acciones!B359)</f>
        <v>-8.1732963788809197E-3</v>
      </c>
      <c r="C360" s="29">
        <f>LN(Acciones!C360/Acciones!C359)</f>
        <v>-3.803504901185481E-2</v>
      </c>
      <c r="D360" s="29">
        <f>LN(Acciones!D360/Acciones!D359)</f>
        <v>-9.0849466735362424E-3</v>
      </c>
      <c r="E360" s="29">
        <f>LN(Acciones!E360/Acciones!E359)</f>
        <v>-2.9558774464621702E-2</v>
      </c>
      <c r="M360" s="30">
        <f ca="1">Acciones!$B$751*EXP((H$2-H$3/2)*(1)+H$4*_xlfn.NORM.S.INV(RAND())*SQRT(1))</f>
        <v>10.688550025166929</v>
      </c>
      <c r="N360" s="30">
        <f ca="1">Acciones!$C$751*EXP((I$2-I$3/2)*(1)+I$4*_xlfn.NORM.S.INV(RAND())*SQRT(1))</f>
        <v>149.87109327318441</v>
      </c>
      <c r="O360" s="30">
        <f ca="1">Acciones!$D$751*EXP((J$2-J$3/2)*(1)+J$4*_xlfn.NORM.S.INV(RAND())*SQRT(1))</f>
        <v>1027.3166696398901</v>
      </c>
      <c r="P360" s="30">
        <f ca="1">Acciones!$E$751*EXP((K$2-K$3/2)*(1)+K$4*_xlfn.NORM.S.INV(RAND())*SQRT(1))</f>
        <v>0.11673009114387774</v>
      </c>
      <c r="Q360" s="30"/>
      <c r="R360">
        <f ca="1">M360/Acciones!$B$751*$I$10 + N360/Acciones!$C$751*$I$11 + O360/Acciones!$D$751*$I$12 + P360/Acciones!$D$751*$I$13</f>
        <v>23077.352145546254</v>
      </c>
      <c r="T360" s="14">
        <f t="shared" ca="1" si="8"/>
        <v>-5422.6478544537458</v>
      </c>
      <c r="V360">
        <v>-5552.710012151867</v>
      </c>
    </row>
    <row r="361" spans="1:22" x14ac:dyDescent="0.2">
      <c r="A361" s="1">
        <f>Acciones!A361</f>
        <v>45519</v>
      </c>
      <c r="B361" s="29">
        <f>LN(Acciones!B361/Acciones!B360)</f>
        <v>1.668400635400388E-2</v>
      </c>
      <c r="C361" s="29">
        <f>LN(Acciones!C361/Acciones!C360)</f>
        <v>1.7452449951226207E-2</v>
      </c>
      <c r="D361" s="29">
        <f>LN(Acciones!D361/Acciones!D360)</f>
        <v>3.8223967550495647E-2</v>
      </c>
      <c r="E361" s="29">
        <f>LN(Acciones!E361/Acciones!E360)</f>
        <v>3.9220676473492179E-2</v>
      </c>
      <c r="M361" s="30">
        <f ca="1">Acciones!$B$751*EXP((H$2-H$3/2)*(1)+H$4*_xlfn.NORM.S.INV(RAND())*SQRT(1))</f>
        <v>10.934049701754688</v>
      </c>
      <c r="N361" s="30">
        <f ca="1">Acciones!$C$751*EXP((I$2-I$3/2)*(1)+I$4*_xlfn.NORM.S.INV(RAND())*SQRT(1))</f>
        <v>144.90226946387796</v>
      </c>
      <c r="O361" s="30">
        <f ca="1">Acciones!$D$751*EXP((J$2-J$3/2)*(1)+J$4*_xlfn.NORM.S.INV(RAND())*SQRT(1))</f>
        <v>925.43736469155215</v>
      </c>
      <c r="P361" s="30">
        <f ca="1">Acciones!$E$751*EXP((K$2-K$3/2)*(1)+K$4*_xlfn.NORM.S.INV(RAND())*SQRT(1))</f>
        <v>0.1180155495335596</v>
      </c>
      <c r="Q361" s="30"/>
      <c r="R361">
        <f ca="1">M361/Acciones!$B$751*$I$10 + N361/Acciones!$C$751*$I$11 + O361/Acciones!$D$751*$I$12 + P361/Acciones!$D$751*$I$13</f>
        <v>21825.405177613186</v>
      </c>
      <c r="T361" s="14">
        <f t="shared" ca="1" si="8"/>
        <v>-6674.5948223868145</v>
      </c>
      <c r="V361">
        <v>-5539.7924207225842</v>
      </c>
    </row>
    <row r="362" spans="1:22" x14ac:dyDescent="0.2">
      <c r="A362" s="1">
        <f>Acciones!A362</f>
        <v>45520</v>
      </c>
      <c r="B362" s="29">
        <f>LN(Acciones!B362/Acciones!B361)</f>
        <v>4.034331063429663E-4</v>
      </c>
      <c r="C362" s="29">
        <f>LN(Acciones!C362/Acciones!C361)</f>
        <v>4.8295686334716988E-2</v>
      </c>
      <c r="D362" s="29">
        <f>LN(Acciones!D362/Acciones!D361)</f>
        <v>9.0422755775794762E-3</v>
      </c>
      <c r="E362" s="29">
        <f>LN(Acciones!E362/Acciones!E361)</f>
        <v>3.7740404399061248E-2</v>
      </c>
      <c r="M362" s="30">
        <f ca="1">Acciones!$B$751*EXP((H$2-H$3/2)*(1)+H$4*_xlfn.NORM.S.INV(RAND())*SQRT(1))</f>
        <v>10.884530335877091</v>
      </c>
      <c r="N362" s="30">
        <f ca="1">Acciones!$C$751*EXP((I$2-I$3/2)*(1)+I$4*_xlfn.NORM.S.INV(RAND())*SQRT(1))</f>
        <v>143.79674835039813</v>
      </c>
      <c r="O362" s="30">
        <f ca="1">Acciones!$D$751*EXP((J$2-J$3/2)*(1)+J$4*_xlfn.NORM.S.INV(RAND())*SQRT(1))</f>
        <v>998.86534996156115</v>
      </c>
      <c r="P362" s="30">
        <f ca="1">Acciones!$E$751*EXP((K$2-K$3/2)*(1)+K$4*_xlfn.NORM.S.INV(RAND())*SQRT(1))</f>
        <v>0.13432350432737339</v>
      </c>
      <c r="Q362" s="30"/>
      <c r="R362">
        <f ca="1">M362/Acciones!$B$751*$I$10 + N362/Acciones!$C$751*$I$11 + O362/Acciones!$D$751*$I$12 + P362/Acciones!$D$751*$I$13</f>
        <v>22476.0679860622</v>
      </c>
      <c r="T362" s="14">
        <f t="shared" ca="1" si="8"/>
        <v>-6023.9320139377996</v>
      </c>
      <c r="V362">
        <v>-5537.977119940886</v>
      </c>
    </row>
    <row r="363" spans="1:22" x14ac:dyDescent="0.2">
      <c r="A363" s="1">
        <f>Acciones!A363</f>
        <v>45523</v>
      </c>
      <c r="B363" s="29">
        <f>LN(Acciones!B363/Acciones!B362)</f>
        <v>1.4417573886516218E-2</v>
      </c>
      <c r="C363" s="29">
        <f>LN(Acciones!C363/Acciones!C362)</f>
        <v>2.0235717677501465E-2</v>
      </c>
      <c r="D363" s="29">
        <f>LN(Acciones!D363/Acciones!D362)</f>
        <v>4.5065884564177462E-3</v>
      </c>
      <c r="E363" s="29">
        <f>LN(Acciones!E363/Acciones!E362)</f>
        <v>-4.7402306407931742E-2</v>
      </c>
      <c r="M363" s="30">
        <f ca="1">Acciones!$B$751*EXP((H$2-H$3/2)*(1)+H$4*_xlfn.NORM.S.INV(RAND())*SQRT(1))</f>
        <v>10.881771505320746</v>
      </c>
      <c r="N363" s="30">
        <f ca="1">Acciones!$C$751*EXP((I$2-I$3/2)*(1)+I$4*_xlfn.NORM.S.INV(RAND())*SQRT(1))</f>
        <v>170.92614191129061</v>
      </c>
      <c r="O363" s="30">
        <f ca="1">Acciones!$D$751*EXP((J$2-J$3/2)*(1)+J$4*_xlfn.NORM.S.INV(RAND())*SQRT(1))</f>
        <v>1015.0270879938546</v>
      </c>
      <c r="P363" s="30">
        <f ca="1">Acciones!$E$751*EXP((K$2-K$3/2)*(1)+K$4*_xlfn.NORM.S.INV(RAND())*SQRT(1))</f>
        <v>0.12342839921716295</v>
      </c>
      <c r="Q363" s="30"/>
      <c r="R363">
        <f ca="1">M363/Acciones!$B$751*$I$10 + N363/Acciones!$C$751*$I$11 + O363/Acciones!$D$751*$I$12 + P363/Acciones!$D$751*$I$13</f>
        <v>24330.921322486782</v>
      </c>
      <c r="T363" s="14">
        <f t="shared" ca="1" si="8"/>
        <v>-4169.0786775132183</v>
      </c>
      <c r="V363">
        <v>-5537.0125685320127</v>
      </c>
    </row>
    <row r="364" spans="1:22" x14ac:dyDescent="0.2">
      <c r="A364" s="1">
        <f>Acciones!A364</f>
        <v>45524</v>
      </c>
      <c r="B364" s="29">
        <f>LN(Acciones!B364/Acciones!B363)</f>
        <v>1.986150922588587E-3</v>
      </c>
      <c r="C364" s="29">
        <f>LN(Acciones!C364/Acciones!C363)</f>
        <v>1.7614546700982305E-2</v>
      </c>
      <c r="D364" s="29">
        <f>LN(Acciones!D364/Acciones!D363)</f>
        <v>1.9267791764835084E-2</v>
      </c>
      <c r="E364" s="29">
        <f>LN(Acciones!E364/Acciones!E363)</f>
        <v>-2.9558774464621702E-2</v>
      </c>
      <c r="M364" s="30">
        <f ca="1">Acciones!$B$751*EXP((H$2-H$3/2)*(1)+H$4*_xlfn.NORM.S.INV(RAND())*SQRT(1))</f>
        <v>11.001046132337192</v>
      </c>
      <c r="N364" s="30">
        <f ca="1">Acciones!$C$751*EXP((I$2-I$3/2)*(1)+I$4*_xlfn.NORM.S.INV(RAND())*SQRT(1))</f>
        <v>162.00329730027772</v>
      </c>
      <c r="O364" s="30">
        <f ca="1">Acciones!$D$751*EXP((J$2-J$3/2)*(1)+J$4*_xlfn.NORM.S.INV(RAND())*SQRT(1))</f>
        <v>987.81252038873902</v>
      </c>
      <c r="P364" s="30">
        <f ca="1">Acciones!$E$751*EXP((K$2-K$3/2)*(1)+K$4*_xlfn.NORM.S.INV(RAND())*SQRT(1))</f>
        <v>0.13733574024690723</v>
      </c>
      <c r="Q364" s="30"/>
      <c r="R364">
        <f ca="1">M364/Acciones!$B$751*$I$10 + N364/Acciones!$C$751*$I$11 + O364/Acciones!$D$751*$I$12 + P364/Acciones!$D$751*$I$13</f>
        <v>23539.541281239741</v>
      </c>
      <c r="T364" s="14">
        <f t="shared" ca="1" si="8"/>
        <v>-4960.4587187602592</v>
      </c>
      <c r="V364">
        <v>-5532.2980155453115</v>
      </c>
    </row>
    <row r="365" spans="1:22" x14ac:dyDescent="0.2">
      <c r="A365" s="1">
        <f>Acciones!A365</f>
        <v>45525</v>
      </c>
      <c r="B365" s="29">
        <f>LN(Acciones!B365/Acciones!B364)</f>
        <v>1.4575704328869187E-2</v>
      </c>
      <c r="C365" s="29">
        <f>LN(Acciones!C365/Acciones!C364)</f>
        <v>7.7078583417578464E-2</v>
      </c>
      <c r="D365" s="29">
        <f>LN(Acciones!D365/Acciones!D364)</f>
        <v>2.0384459387888913E-2</v>
      </c>
      <c r="E365" s="29">
        <f>LN(Acciones!E365/Acciones!E364)</f>
        <v>0</v>
      </c>
      <c r="M365" s="30">
        <f ca="1">Acciones!$B$751*EXP((H$2-H$3/2)*(1)+H$4*_xlfn.NORM.S.INV(RAND())*SQRT(1))</f>
        <v>10.890880932854268</v>
      </c>
      <c r="N365" s="30">
        <f ca="1">Acciones!$C$751*EXP((I$2-I$3/2)*(1)+I$4*_xlfn.NORM.S.INV(RAND())*SQRT(1))</f>
        <v>153.99474230770031</v>
      </c>
      <c r="O365" s="30">
        <f ca="1">Acciones!$D$751*EXP((J$2-J$3/2)*(1)+J$4*_xlfn.NORM.S.INV(RAND())*SQRT(1))</f>
        <v>978.4458701109445</v>
      </c>
      <c r="P365" s="30">
        <f ca="1">Acciones!$E$751*EXP((K$2-K$3/2)*(1)+K$4*_xlfn.NORM.S.INV(RAND())*SQRT(1))</f>
        <v>0.12055694027697379</v>
      </c>
      <c r="Q365" s="30"/>
      <c r="R365">
        <f ca="1">M365/Acciones!$B$751*$I$10 + N365/Acciones!$C$751*$I$11 + O365/Acciones!$D$751*$I$12 + P365/Acciones!$D$751*$I$13</f>
        <v>22910.245507808868</v>
      </c>
      <c r="T365" s="14">
        <f t="shared" ca="1" si="8"/>
        <v>-5589.7544921911322</v>
      </c>
      <c r="V365">
        <v>-5529.8131093699922</v>
      </c>
    </row>
    <row r="366" spans="1:22" x14ac:dyDescent="0.2">
      <c r="A366" s="1">
        <f>Acciones!A366</f>
        <v>45526</v>
      </c>
      <c r="B366" s="29">
        <f>LN(Acciones!B366/Acciones!B365)</f>
        <v>1.4366377365359239E-2</v>
      </c>
      <c r="C366" s="29">
        <f>LN(Acciones!C366/Acciones!C365)</f>
        <v>-3.0588900865834975E-2</v>
      </c>
      <c r="D366" s="29">
        <f>LN(Acciones!D366/Acciones!D365)</f>
        <v>-5.36474993572983E-4</v>
      </c>
      <c r="E366" s="29">
        <f>LN(Acciones!E366/Acciones!E365)</f>
        <v>-2.0202687854778828E-2</v>
      </c>
      <c r="M366" s="30">
        <f ca="1">Acciones!$B$751*EXP((H$2-H$3/2)*(1)+H$4*_xlfn.NORM.S.INV(RAND())*SQRT(1))</f>
        <v>10.828071521136438</v>
      </c>
      <c r="N366" s="30">
        <f ca="1">Acciones!$C$751*EXP((I$2-I$3/2)*(1)+I$4*_xlfn.NORM.S.INV(RAND())*SQRT(1))</f>
        <v>148.88962338902138</v>
      </c>
      <c r="O366" s="30">
        <f ca="1">Acciones!$D$751*EXP((J$2-J$3/2)*(1)+J$4*_xlfn.NORM.S.INV(RAND())*SQRT(1))</f>
        <v>972.58554662901497</v>
      </c>
      <c r="P366" s="30">
        <f ca="1">Acciones!$E$751*EXP((K$2-K$3/2)*(1)+K$4*_xlfn.NORM.S.INV(RAND())*SQRT(1))</f>
        <v>0.13585319583045674</v>
      </c>
      <c r="Q366" s="30"/>
      <c r="R366">
        <f ca="1">M366/Acciones!$B$751*$I$10 + N366/Acciones!$C$751*$I$11 + O366/Acciones!$D$751*$I$12 + P366/Acciones!$D$751*$I$13</f>
        <v>22512.725214499427</v>
      </c>
      <c r="T366" s="14">
        <f t="shared" ca="1" si="8"/>
        <v>-5987.2747855005728</v>
      </c>
      <c r="V366">
        <v>-5527.9559148376866</v>
      </c>
    </row>
    <row r="367" spans="1:22" x14ac:dyDescent="0.2">
      <c r="A367" s="1">
        <f>Acciones!A367</f>
        <v>45527</v>
      </c>
      <c r="B367" s="29">
        <f>LN(Acciones!B367/Acciones!B366)</f>
        <v>-1.0073695647346163E-2</v>
      </c>
      <c r="C367" s="29">
        <f>LN(Acciones!C367/Acciones!C366)</f>
        <v>7.387206007468973E-2</v>
      </c>
      <c r="D367" s="29">
        <f>LN(Acciones!D367/Acciones!D366)</f>
        <v>-1.0846980638996652E-2</v>
      </c>
      <c r="E367" s="29">
        <f>LN(Acciones!E367/Acciones!E366)</f>
        <v>0</v>
      </c>
      <c r="M367" s="30">
        <f ca="1">Acciones!$B$751*EXP((H$2-H$3/2)*(1)+H$4*_xlfn.NORM.S.INV(RAND())*SQRT(1))</f>
        <v>10.831745238860693</v>
      </c>
      <c r="N367" s="30">
        <f ca="1">Acciones!$C$751*EXP((I$2-I$3/2)*(1)+I$4*_xlfn.NORM.S.INV(RAND())*SQRT(1))</f>
        <v>145.58233184106325</v>
      </c>
      <c r="O367" s="30">
        <f ca="1">Acciones!$D$751*EXP((J$2-J$3/2)*(1)+J$4*_xlfn.NORM.S.INV(RAND())*SQRT(1))</f>
        <v>989.97635662162338</v>
      </c>
      <c r="P367" s="30">
        <f ca="1">Acciones!$E$751*EXP((K$2-K$3/2)*(1)+K$4*_xlfn.NORM.S.INV(RAND())*SQRT(1))</f>
        <v>0.12963329973636142</v>
      </c>
      <c r="Q367" s="30"/>
      <c r="R367">
        <f ca="1">M367/Acciones!$B$751*$I$10 + N367/Acciones!$C$751*$I$11 + O367/Acciones!$D$751*$I$12 + P367/Acciones!$D$751*$I$13</f>
        <v>22481.561336834093</v>
      </c>
      <c r="T367" s="14">
        <f t="shared" ca="1" si="8"/>
        <v>-6018.4386631659072</v>
      </c>
      <c r="V367">
        <v>-5523.1974735664589</v>
      </c>
    </row>
    <row r="368" spans="1:22" x14ac:dyDescent="0.2">
      <c r="A368" s="1">
        <f>Acciones!A368</f>
        <v>45530</v>
      </c>
      <c r="B368" s="29">
        <f>LN(Acciones!B368/Acciones!B367)</f>
        <v>-3.4465653487668141E-2</v>
      </c>
      <c r="C368" s="29">
        <f>LN(Acciones!C368/Acciones!C367)</f>
        <v>1.1946673463147423E-2</v>
      </c>
      <c r="D368" s="29">
        <f>LN(Acciones!D368/Acciones!D367)</f>
        <v>1.6432276068788103E-2</v>
      </c>
      <c r="E368" s="29">
        <f>LN(Acciones!E368/Acciones!E367)</f>
        <v>-4.1672718399676796E-2</v>
      </c>
      <c r="M368" s="30">
        <f ca="1">Acciones!$B$751*EXP((H$2-H$3/2)*(1)+H$4*_xlfn.NORM.S.INV(RAND())*SQRT(1))</f>
        <v>10.782425044224501</v>
      </c>
      <c r="N368" s="30">
        <f ca="1">Acciones!$C$751*EXP((I$2-I$3/2)*(1)+I$4*_xlfn.NORM.S.INV(RAND())*SQRT(1))</f>
        <v>146.11616401128433</v>
      </c>
      <c r="O368" s="30">
        <f ca="1">Acciones!$D$751*EXP((J$2-J$3/2)*(1)+J$4*_xlfn.NORM.S.INV(RAND())*SQRT(1))</f>
        <v>946.4607753190088</v>
      </c>
      <c r="P368" s="30">
        <f ca="1">Acciones!$E$751*EXP((K$2-K$3/2)*(1)+K$4*_xlfn.NORM.S.INV(RAND())*SQRT(1))</f>
        <v>0.11943381166601247</v>
      </c>
      <c r="Q368" s="30"/>
      <c r="R368">
        <f ca="1">M368/Acciones!$B$751*$I$10 + N368/Acciones!$C$751*$I$11 + O368/Acciones!$D$751*$I$12 + P368/Acciones!$D$751*$I$13</f>
        <v>22063.143875011374</v>
      </c>
      <c r="T368" s="14">
        <f t="shared" ca="1" si="8"/>
        <v>-6436.8561249886261</v>
      </c>
      <c r="V368">
        <v>-5517.6370190240486</v>
      </c>
    </row>
    <row r="369" spans="1:22" x14ac:dyDescent="0.2">
      <c r="A369" s="1">
        <f>Acciones!A369</f>
        <v>45531</v>
      </c>
      <c r="B369" s="29">
        <f>LN(Acciones!B369/Acciones!B368)</f>
        <v>2.817450646026255E-3</v>
      </c>
      <c r="C369" s="29">
        <f>LN(Acciones!C369/Acciones!C368)</f>
        <v>-2.703361490312596E-2</v>
      </c>
      <c r="D369" s="29">
        <f>LN(Acciones!D369/Acciones!D368)</f>
        <v>2.8612544906329793E-2</v>
      </c>
      <c r="E369" s="29">
        <f>LN(Acciones!E369/Acciones!E368)</f>
        <v>-5.4658426074658997E-2</v>
      </c>
      <c r="M369" s="30">
        <f ca="1">Acciones!$B$751*EXP((H$2-H$3/2)*(1)+H$4*_xlfn.NORM.S.INV(RAND())*SQRT(1))</f>
        <v>11.586221235988509</v>
      </c>
      <c r="N369" s="30">
        <f ca="1">Acciones!$C$751*EXP((I$2-I$3/2)*(1)+I$4*_xlfn.NORM.S.INV(RAND())*SQRT(1))</f>
        <v>153.00060197867123</v>
      </c>
      <c r="O369" s="30">
        <f ca="1">Acciones!$D$751*EXP((J$2-J$3/2)*(1)+J$4*_xlfn.NORM.S.INV(RAND())*SQRT(1))</f>
        <v>982.64947844273661</v>
      </c>
      <c r="P369" s="30">
        <f ca="1">Acciones!$E$751*EXP((K$2-K$3/2)*(1)+K$4*_xlfn.NORM.S.INV(RAND())*SQRT(1))</f>
        <v>0.1249952522637293</v>
      </c>
      <c r="Q369" s="30"/>
      <c r="R369">
        <f ca="1">M369/Acciones!$B$751*$I$10 + N369/Acciones!$C$751*$I$11 + O369/Acciones!$D$751*$I$12 + P369/Acciones!$D$751*$I$13</f>
        <v>23113.372338928551</v>
      </c>
      <c r="T369" s="14">
        <f t="shared" ca="1" si="8"/>
        <v>-5386.6276610714485</v>
      </c>
      <c r="V369">
        <v>-5514.2441465890915</v>
      </c>
    </row>
    <row r="370" spans="1:22" x14ac:dyDescent="0.2">
      <c r="A370" s="1">
        <f>Acciones!A370</f>
        <v>45532</v>
      </c>
      <c r="B370" s="29">
        <f>LN(Acciones!B370/Acciones!B369)</f>
        <v>1.3573080556061243E-2</v>
      </c>
      <c r="C370" s="29">
        <f>LN(Acciones!C370/Acciones!C369)</f>
        <v>-3.892249336098054E-2</v>
      </c>
      <c r="D370" s="29">
        <f>LN(Acciones!D370/Acciones!D369)</f>
        <v>-3.0546722433598142E-2</v>
      </c>
      <c r="E370" s="29">
        <f>LN(Acciones!E370/Acciones!E369)</f>
        <v>-2.2728229523506862E-2</v>
      </c>
      <c r="M370" s="30">
        <f ca="1">Acciones!$B$751*EXP((H$2-H$3/2)*(1)+H$4*_xlfn.NORM.S.INV(RAND())*SQRT(1))</f>
        <v>10.722647609818488</v>
      </c>
      <c r="N370" s="30">
        <f ca="1">Acciones!$C$751*EXP((I$2-I$3/2)*(1)+I$4*_xlfn.NORM.S.INV(RAND())*SQRT(1))</f>
        <v>141.33716867766177</v>
      </c>
      <c r="O370" s="30">
        <f ca="1">Acciones!$D$751*EXP((J$2-J$3/2)*(1)+J$4*_xlfn.NORM.S.INV(RAND())*SQRT(1))</f>
        <v>990.86338430220803</v>
      </c>
      <c r="P370" s="30">
        <f ca="1">Acciones!$E$751*EXP((K$2-K$3/2)*(1)+K$4*_xlfn.NORM.S.INV(RAND())*SQRT(1))</f>
        <v>0.13477815001027452</v>
      </c>
      <c r="Q370" s="30"/>
      <c r="R370">
        <f ca="1">M370/Acciones!$B$751*$I$10 + N370/Acciones!$C$751*$I$11 + O370/Acciones!$D$751*$I$12 + P370/Acciones!$D$751*$I$13</f>
        <v>22190.414153342368</v>
      </c>
      <c r="T370" s="14">
        <f t="shared" ca="1" si="8"/>
        <v>-6309.5858466576319</v>
      </c>
      <c r="V370">
        <v>-5509.7149743120717</v>
      </c>
    </row>
    <row r="371" spans="1:22" x14ac:dyDescent="0.2">
      <c r="A371" s="1">
        <f>Acciones!A371</f>
        <v>45533</v>
      </c>
      <c r="B371" s="29">
        <f>LN(Acciones!B371/Acciones!B370)</f>
        <v>-1.9620270274733453E-2</v>
      </c>
      <c r="C371" s="29">
        <f>LN(Acciones!C371/Acciones!C370)</f>
        <v>8.8435257587440776E-3</v>
      </c>
      <c r="D371" s="29">
        <f>LN(Acciones!D371/Acciones!D370)</f>
        <v>1.5610763060213997E-2</v>
      </c>
      <c r="E371" s="29">
        <f>LN(Acciones!E371/Acciones!E370)</f>
        <v>-8.3881474560427258E-2</v>
      </c>
      <c r="M371" s="30">
        <f ca="1">Acciones!$B$751*EXP((H$2-H$3/2)*(1)+H$4*_xlfn.NORM.S.INV(RAND())*SQRT(1))</f>
        <v>10.801612329634446</v>
      </c>
      <c r="N371" s="30">
        <f ca="1">Acciones!$C$751*EXP((I$2-I$3/2)*(1)+I$4*_xlfn.NORM.S.INV(RAND())*SQRT(1))</f>
        <v>153.10995078452251</v>
      </c>
      <c r="O371" s="30">
        <f ca="1">Acciones!$D$751*EXP((J$2-J$3/2)*(1)+J$4*_xlfn.NORM.S.INV(RAND())*SQRT(1))</f>
        <v>990.29623504107337</v>
      </c>
      <c r="P371" s="30">
        <f ca="1">Acciones!$E$751*EXP((K$2-K$3/2)*(1)+K$4*_xlfn.NORM.S.INV(RAND())*SQRT(1))</f>
        <v>0.1339940562299011</v>
      </c>
      <c r="Q371" s="30"/>
      <c r="R371">
        <f ca="1">M371/Acciones!$B$751*$I$10 + N371/Acciones!$C$751*$I$11 + O371/Acciones!$D$751*$I$12 + P371/Acciones!$D$751*$I$13</f>
        <v>22945.134937821287</v>
      </c>
      <c r="T371" s="14">
        <f t="shared" ca="1" si="8"/>
        <v>-5554.8650621787128</v>
      </c>
      <c r="V371">
        <v>-5507.5677000410542</v>
      </c>
    </row>
    <row r="372" spans="1:22" x14ac:dyDescent="0.2">
      <c r="A372" s="1">
        <f>Acciones!A372</f>
        <v>45534</v>
      </c>
      <c r="B372" s="29">
        <f>LN(Acciones!B372/Acciones!B371)</f>
        <v>1.0058376400546336E-2</v>
      </c>
      <c r="C372" s="29">
        <f>LN(Acciones!C372/Acciones!C371)</f>
        <v>-3.3718826696887021E-2</v>
      </c>
      <c r="D372" s="29">
        <f>LN(Acciones!D372/Acciones!D371)</f>
        <v>-1.0920172726790396E-2</v>
      </c>
      <c r="E372" s="29">
        <f>LN(Acciones!E372/Acciones!E371)</f>
        <v>-3.8221252492121535E-2</v>
      </c>
      <c r="M372" s="30">
        <f ca="1">Acciones!$B$751*EXP((H$2-H$3/2)*(1)+H$4*_xlfn.NORM.S.INV(RAND())*SQRT(1))</f>
        <v>11.067601485220397</v>
      </c>
      <c r="N372" s="30">
        <f ca="1">Acciones!$C$751*EXP((I$2-I$3/2)*(1)+I$4*_xlfn.NORM.S.INV(RAND())*SQRT(1))</f>
        <v>136.20797836151007</v>
      </c>
      <c r="O372" s="30">
        <f ca="1">Acciones!$D$751*EXP((J$2-J$3/2)*(1)+J$4*_xlfn.NORM.S.INV(RAND())*SQRT(1))</f>
        <v>973.35987946438445</v>
      </c>
      <c r="P372" s="30">
        <f ca="1">Acciones!$E$751*EXP((K$2-K$3/2)*(1)+K$4*_xlfn.NORM.S.INV(RAND())*SQRT(1))</f>
        <v>0.1256410728555559</v>
      </c>
      <c r="Q372" s="30"/>
      <c r="R372">
        <f ca="1">M372/Acciones!$B$751*$I$10 + N372/Acciones!$C$751*$I$11 + O372/Acciones!$D$751*$I$12 + P372/Acciones!$D$751*$I$13</f>
        <v>21805.446354988395</v>
      </c>
      <c r="T372" s="14">
        <f t="shared" ca="1" si="8"/>
        <v>-6694.5536450116051</v>
      </c>
      <c r="V372">
        <v>-5506.8340468322458</v>
      </c>
    </row>
    <row r="373" spans="1:22" x14ac:dyDescent="0.2">
      <c r="A373" s="1">
        <f>Acciones!A373</f>
        <v>45537</v>
      </c>
      <c r="B373" s="29">
        <f>LN(Acciones!B373/Acciones!B372)</f>
        <v>-1.2015731085213233E-3</v>
      </c>
      <c r="C373" s="29">
        <f>LN(Acciones!C373/Acciones!C372)</f>
        <v>2.1572310698772419E-2</v>
      </c>
      <c r="D373" s="29">
        <f>LN(Acciones!D373/Acciones!D372)</f>
        <v>-2.9220979687076196E-3</v>
      </c>
      <c r="E373" s="29">
        <f>LN(Acciones!E373/Acciones!E372)</f>
        <v>-1.3072069344937688E-2</v>
      </c>
      <c r="M373" s="30">
        <f ca="1">Acciones!$B$751*EXP((H$2-H$3/2)*(1)+H$4*_xlfn.NORM.S.INV(RAND())*SQRT(1))</f>
        <v>10.722438974351546</v>
      </c>
      <c r="N373" s="30">
        <f ca="1">Acciones!$C$751*EXP((I$2-I$3/2)*(1)+I$4*_xlfn.NORM.S.INV(RAND())*SQRT(1))</f>
        <v>162.87969368947364</v>
      </c>
      <c r="O373" s="30">
        <f ca="1">Acciones!$D$751*EXP((J$2-J$3/2)*(1)+J$4*_xlfn.NORM.S.INV(RAND())*SQRT(1))</f>
        <v>1006.3267735743605</v>
      </c>
      <c r="P373" s="30">
        <f ca="1">Acciones!$E$751*EXP((K$2-K$3/2)*(1)+K$4*_xlfn.NORM.S.INV(RAND())*SQRT(1))</f>
        <v>0.13790176616927757</v>
      </c>
      <c r="Q373" s="30"/>
      <c r="R373">
        <f ca="1">M373/Acciones!$B$751*$I$10 + N373/Acciones!$C$751*$I$11 + O373/Acciones!$D$751*$I$12 + P373/Acciones!$D$751*$I$13</f>
        <v>23690.332826173693</v>
      </c>
      <c r="T373" s="14">
        <f t="shared" ca="1" si="8"/>
        <v>-4809.6671738263067</v>
      </c>
      <c r="V373">
        <v>-5505.4419387818853</v>
      </c>
    </row>
    <row r="374" spans="1:22" x14ac:dyDescent="0.2">
      <c r="A374" s="1">
        <f>Acciones!A374</f>
        <v>45538</v>
      </c>
      <c r="B374" s="29">
        <f>LN(Acciones!B374/Acciones!B373)</f>
        <v>-1.5754790755330848E-2</v>
      </c>
      <c r="C374" s="29">
        <f>LN(Acciones!C374/Acciones!C373)</f>
        <v>-0.1081131162302273</v>
      </c>
      <c r="D374" s="29">
        <f>LN(Acciones!D374/Acciones!D373)</f>
        <v>-1.291426397297314E-2</v>
      </c>
      <c r="E374" s="29">
        <f>LN(Acciones!E374/Acciones!E373)</f>
        <v>-1.0582131023156704E-2</v>
      </c>
      <c r="M374" s="30">
        <f ca="1">Acciones!$B$751*EXP((H$2-H$3/2)*(1)+H$4*_xlfn.NORM.S.INV(RAND())*SQRT(1))</f>
        <v>10.817725345314665</v>
      </c>
      <c r="N374" s="30">
        <f ca="1">Acciones!$C$751*EXP((I$2-I$3/2)*(1)+I$4*_xlfn.NORM.S.INV(RAND())*SQRT(1))</f>
        <v>150.28891184140642</v>
      </c>
      <c r="O374" s="30">
        <f ca="1">Acciones!$D$751*EXP((J$2-J$3/2)*(1)+J$4*_xlfn.NORM.S.INV(RAND())*SQRT(1))</f>
        <v>1005.9127087756156</v>
      </c>
      <c r="P374" s="30">
        <f ca="1">Acciones!$E$751*EXP((K$2-K$3/2)*(1)+K$4*_xlfn.NORM.S.INV(RAND())*SQRT(1))</f>
        <v>0.12465925274241861</v>
      </c>
      <c r="Q374" s="30"/>
      <c r="R374">
        <f ca="1">M374/Acciones!$B$751*$I$10 + N374/Acciones!$C$751*$I$11 + O374/Acciones!$D$751*$I$12 + P374/Acciones!$D$751*$I$13</f>
        <v>22930.532826876675</v>
      </c>
      <c r="T374" s="14">
        <f t="shared" ca="1" si="8"/>
        <v>-5569.4671731233248</v>
      </c>
      <c r="V374">
        <v>-5504.575061086849</v>
      </c>
    </row>
    <row r="375" spans="1:22" x14ac:dyDescent="0.2">
      <c r="A375" s="1">
        <f>Acciones!A375</f>
        <v>45539</v>
      </c>
      <c r="B375" s="29">
        <f>LN(Acciones!B375/Acciones!B374)</f>
        <v>-2.4459230415879063E-3</v>
      </c>
      <c r="C375" s="29">
        <f>LN(Acciones!C375/Acciones!C374)</f>
        <v>-1.7453473769556093E-2</v>
      </c>
      <c r="D375" s="29">
        <f>LN(Acciones!D375/Acciones!D374)</f>
        <v>2.6570226415318079E-3</v>
      </c>
      <c r="E375" s="29">
        <f>LN(Acciones!E375/Acciones!E374)</f>
        <v>-4.3485037962343008E-2</v>
      </c>
      <c r="M375" s="30">
        <f ca="1">Acciones!$B$751*EXP((H$2-H$3/2)*(1)+H$4*_xlfn.NORM.S.INV(RAND())*SQRT(1))</f>
        <v>10.812264492841855</v>
      </c>
      <c r="N375" s="30">
        <f ca="1">Acciones!$C$751*EXP((I$2-I$3/2)*(1)+I$4*_xlfn.NORM.S.INV(RAND())*SQRT(1))</f>
        <v>145.75761291856188</v>
      </c>
      <c r="O375" s="30">
        <f ca="1">Acciones!$D$751*EXP((J$2-J$3/2)*(1)+J$4*_xlfn.NORM.S.INV(RAND())*SQRT(1))</f>
        <v>981.10363841368712</v>
      </c>
      <c r="P375" s="30">
        <f ca="1">Acciones!$E$751*EXP((K$2-K$3/2)*(1)+K$4*_xlfn.NORM.S.INV(RAND())*SQRT(1))</f>
        <v>0.11880451183611955</v>
      </c>
      <c r="Q375" s="30"/>
      <c r="R375">
        <f ca="1">M375/Acciones!$B$751*$I$10 + N375/Acciones!$C$751*$I$11 + O375/Acciones!$D$751*$I$12 + P375/Acciones!$D$751*$I$13</f>
        <v>22397.32346121571</v>
      </c>
      <c r="T375" s="14">
        <f t="shared" ca="1" si="8"/>
        <v>-6102.6765387842897</v>
      </c>
      <c r="V375">
        <v>-5503.8474456164913</v>
      </c>
    </row>
    <row r="376" spans="1:22" x14ac:dyDescent="0.2">
      <c r="A376" s="1">
        <f>Acciones!A376</f>
        <v>45540</v>
      </c>
      <c r="B376" s="29">
        <f>LN(Acciones!B376/Acciones!B375)</f>
        <v>-4.9100281936366487E-3</v>
      </c>
      <c r="C376" s="29">
        <f>LN(Acciones!C376/Acciones!C375)</f>
        <v>-6.5568638619389497E-2</v>
      </c>
      <c r="D376" s="29">
        <f>LN(Acciones!D376/Acciones!D375)</f>
        <v>-9.3656947019256679E-4</v>
      </c>
      <c r="E376" s="29">
        <f>LN(Acciones!E376/Acciones!E375)</f>
        <v>0</v>
      </c>
      <c r="M376" s="30">
        <f ca="1">Acciones!$B$751*EXP((H$2-H$3/2)*(1)+H$4*_xlfn.NORM.S.INV(RAND())*SQRT(1))</f>
        <v>10.851638493982284</v>
      </c>
      <c r="N376" s="30">
        <f ca="1">Acciones!$C$751*EXP((I$2-I$3/2)*(1)+I$4*_xlfn.NORM.S.INV(RAND())*SQRT(1))</f>
        <v>143.87606495286019</v>
      </c>
      <c r="O376" s="30">
        <f ca="1">Acciones!$D$751*EXP((J$2-J$3/2)*(1)+J$4*_xlfn.NORM.S.INV(RAND())*SQRT(1))</f>
        <v>1008.9887839166156</v>
      </c>
      <c r="P376" s="30">
        <f ca="1">Acciones!$E$751*EXP((K$2-K$3/2)*(1)+K$4*_xlfn.NORM.S.INV(RAND())*SQRT(1))</f>
        <v>0.13338595286029747</v>
      </c>
      <c r="Q376" s="30"/>
      <c r="R376">
        <f ca="1">M376/Acciones!$B$751*$I$10 + N376/Acciones!$C$751*$I$11 + O376/Acciones!$D$751*$I$12 + P376/Acciones!$D$751*$I$13</f>
        <v>22571.863939660601</v>
      </c>
      <c r="T376" s="14">
        <f t="shared" ca="1" si="8"/>
        <v>-5928.1360603393987</v>
      </c>
      <c r="V376">
        <v>-5503.0251077286593</v>
      </c>
    </row>
    <row r="377" spans="1:22" x14ac:dyDescent="0.2">
      <c r="A377" s="1">
        <f>Acciones!A377</f>
        <v>45541</v>
      </c>
      <c r="B377" s="29">
        <f>LN(Acciones!B377/Acciones!B376)</f>
        <v>2.0301128417202389E-2</v>
      </c>
      <c r="C377" s="29">
        <f>LN(Acciones!C377/Acciones!C376)</f>
        <v>-3.5853279154484767E-2</v>
      </c>
      <c r="D377" s="29">
        <f>LN(Acciones!D377/Acciones!D376)</f>
        <v>2.7948213050026068E-3</v>
      </c>
      <c r="E377" s="29">
        <f>LN(Acciones!E377/Acciones!E376)</f>
        <v>-8.7011376989630171E-2</v>
      </c>
      <c r="M377" s="30">
        <f ca="1">Acciones!$B$751*EXP((H$2-H$3/2)*(1)+H$4*_xlfn.NORM.S.INV(RAND())*SQRT(1))</f>
        <v>11.029937556516543</v>
      </c>
      <c r="N377" s="30">
        <f ca="1">Acciones!$C$751*EXP((I$2-I$3/2)*(1)+I$4*_xlfn.NORM.S.INV(RAND())*SQRT(1))</f>
        <v>163.47264875487281</v>
      </c>
      <c r="O377" s="30">
        <f ca="1">Acciones!$D$751*EXP((J$2-J$3/2)*(1)+J$4*_xlfn.NORM.S.INV(RAND())*SQRT(1))</f>
        <v>987.3215198654309</v>
      </c>
      <c r="P377" s="30">
        <f ca="1">Acciones!$E$751*EXP((K$2-K$3/2)*(1)+K$4*_xlfn.NORM.S.INV(RAND())*SQRT(1))</f>
        <v>0.12123962188420451</v>
      </c>
      <c r="Q377" s="30"/>
      <c r="R377">
        <f ca="1">M377/Acciones!$B$751*$I$10 + N377/Acciones!$C$751*$I$11 + O377/Acciones!$D$751*$I$12 + P377/Acciones!$D$751*$I$13</f>
        <v>23635.5470287147</v>
      </c>
      <c r="T377" s="14">
        <f t="shared" ca="1" si="8"/>
        <v>-4864.4529712853</v>
      </c>
      <c r="V377">
        <v>-5502.1360110059504</v>
      </c>
    </row>
    <row r="378" spans="1:22" x14ac:dyDescent="0.2">
      <c r="A378" s="1">
        <f>Acciones!A378</f>
        <v>45544</v>
      </c>
      <c r="B378" s="29">
        <f>LN(Acciones!B378/Acciones!B377)</f>
        <v>-1.7843100776303349E-2</v>
      </c>
      <c r="C378" s="29">
        <f>LN(Acciones!C378/Acciones!C377)</f>
        <v>7.8934410140712244E-2</v>
      </c>
      <c r="D378" s="29">
        <f>LN(Acciones!D378/Acciones!D377)</f>
        <v>-2.0745919847993597E-2</v>
      </c>
      <c r="E378" s="29">
        <f>LN(Acciones!E378/Acciones!E377)</f>
        <v>0</v>
      </c>
      <c r="M378" s="30">
        <f ca="1">Acciones!$B$751*EXP((H$2-H$3/2)*(1)+H$4*_xlfn.NORM.S.INV(RAND())*SQRT(1))</f>
        <v>10.788782658376686</v>
      </c>
      <c r="N378" s="30">
        <f ca="1">Acciones!$C$751*EXP((I$2-I$3/2)*(1)+I$4*_xlfn.NORM.S.INV(RAND())*SQRT(1))</f>
        <v>143.97087247191914</v>
      </c>
      <c r="O378" s="30">
        <f ca="1">Acciones!$D$751*EXP((J$2-J$3/2)*(1)+J$4*_xlfn.NORM.S.INV(RAND())*SQRT(1))</f>
        <v>1029.0802767714063</v>
      </c>
      <c r="P378" s="30">
        <f ca="1">Acciones!$E$751*EXP((K$2-K$3/2)*(1)+K$4*_xlfn.NORM.S.INV(RAND())*SQRT(1))</f>
        <v>0.13483338042215262</v>
      </c>
      <c r="Q378" s="30"/>
      <c r="R378">
        <f ca="1">M378/Acciones!$B$751*$I$10 + N378/Acciones!$C$751*$I$11 + O378/Acciones!$D$751*$I$12 + P378/Acciones!$D$751*$I$13</f>
        <v>22758.87194812356</v>
      </c>
      <c r="T378" s="14">
        <f t="shared" ca="1" si="8"/>
        <v>-5741.1280518764397</v>
      </c>
      <c r="V378">
        <v>-5501.921385244721</v>
      </c>
    </row>
    <row r="379" spans="1:22" x14ac:dyDescent="0.2">
      <c r="A379" s="1">
        <f>Acciones!A379</f>
        <v>45545</v>
      </c>
      <c r="B379" s="29">
        <f>LN(Acciones!B379/Acciones!B378)</f>
        <v>-1.483953800610213E-2</v>
      </c>
      <c r="C379" s="29">
        <f>LN(Acciones!C379/Acciones!C378)</f>
        <v>9.3035962780320919E-2</v>
      </c>
      <c r="D379" s="29">
        <f>LN(Acciones!D379/Acciones!D378)</f>
        <v>-8.6166594247929964E-3</v>
      </c>
      <c r="E379" s="29">
        <f>LN(Acciones!E379/Acciones!E378)</f>
        <v>0</v>
      </c>
      <c r="M379" s="30">
        <f ca="1">Acciones!$B$751*EXP((H$2-H$3/2)*(1)+H$4*_xlfn.NORM.S.INV(RAND())*SQRT(1))</f>
        <v>10.930869974582004</v>
      </c>
      <c r="N379" s="30">
        <f ca="1">Acciones!$C$751*EXP((I$2-I$3/2)*(1)+I$4*_xlfn.NORM.S.INV(RAND())*SQRT(1))</f>
        <v>151.2037483869683</v>
      </c>
      <c r="O379" s="30">
        <f ca="1">Acciones!$D$751*EXP((J$2-J$3/2)*(1)+J$4*_xlfn.NORM.S.INV(RAND())*SQRT(1))</f>
        <v>1009.6665432825536</v>
      </c>
      <c r="P379" s="30">
        <f ca="1">Acciones!$E$751*EXP((K$2-K$3/2)*(1)+K$4*_xlfn.NORM.S.INV(RAND())*SQRT(1))</f>
        <v>0.13684959862016252</v>
      </c>
      <c r="Q379" s="30"/>
      <c r="R379">
        <f ca="1">M379/Acciones!$B$751*$I$10 + N379/Acciones!$C$751*$I$11 + O379/Acciones!$D$751*$I$12 + P379/Acciones!$D$751*$I$13</f>
        <v>23061.618454887692</v>
      </c>
      <c r="T379" s="14">
        <f t="shared" ca="1" si="8"/>
        <v>-5438.3815451123082</v>
      </c>
      <c r="V379">
        <v>-5501.0824467368584</v>
      </c>
    </row>
    <row r="380" spans="1:22" x14ac:dyDescent="0.2">
      <c r="A380" s="1">
        <f>Acciones!A380</f>
        <v>45546</v>
      </c>
      <c r="B380" s="29">
        <f>LN(Acciones!B380/Acciones!B379)</f>
        <v>-2.8645636389125019E-2</v>
      </c>
      <c r="C380" s="29">
        <f>LN(Acciones!C380/Acciones!C379)</f>
        <v>-2.0039534186893113E-2</v>
      </c>
      <c r="D380" s="29">
        <f>LN(Acciones!D380/Acciones!D379)</f>
        <v>-1.3918336290223248E-2</v>
      </c>
      <c r="E380" s="29">
        <f>LN(Acciones!E380/Acciones!E379)</f>
        <v>0</v>
      </c>
      <c r="M380" s="30">
        <f ca="1">Acciones!$B$751*EXP((H$2-H$3/2)*(1)+H$4*_xlfn.NORM.S.INV(RAND())*SQRT(1))</f>
        <v>11.074048099023415</v>
      </c>
      <c r="N380" s="30">
        <f ca="1">Acciones!$C$751*EXP((I$2-I$3/2)*(1)+I$4*_xlfn.NORM.S.INV(RAND())*SQRT(1))</f>
        <v>160.99794242526764</v>
      </c>
      <c r="O380" s="30">
        <f ca="1">Acciones!$D$751*EXP((J$2-J$3/2)*(1)+J$4*_xlfn.NORM.S.INV(RAND())*SQRT(1))</f>
        <v>978.60746555684409</v>
      </c>
      <c r="P380" s="30">
        <f ca="1">Acciones!$E$751*EXP((K$2-K$3/2)*(1)+K$4*_xlfn.NORM.S.INV(RAND())*SQRT(1))</f>
        <v>0.13535265042695521</v>
      </c>
      <c r="Q380" s="30"/>
      <c r="R380">
        <f ca="1">M380/Acciones!$B$751*$I$10 + N380/Acciones!$C$751*$I$11 + O380/Acciones!$D$751*$I$12 + P380/Acciones!$D$751*$I$13</f>
        <v>23407.975373354799</v>
      </c>
      <c r="T380" s="14">
        <f t="shared" ca="1" si="8"/>
        <v>-5092.0246266452014</v>
      </c>
      <c r="V380">
        <v>-5500.0058903550089</v>
      </c>
    </row>
    <row r="381" spans="1:22" x14ac:dyDescent="0.2">
      <c r="A381" s="1">
        <f>Acciones!A381</f>
        <v>45547</v>
      </c>
      <c r="B381" s="29">
        <f>LN(Acciones!B381/Acciones!B380)</f>
        <v>-1.710792598149626E-3</v>
      </c>
      <c r="C381" s="29">
        <f>LN(Acciones!C381/Acciones!C380)</f>
        <v>-1.8647274487621178E-2</v>
      </c>
      <c r="D381" s="29">
        <f>LN(Acciones!D381/Acciones!D380)</f>
        <v>-1.0445048919302905E-2</v>
      </c>
      <c r="E381" s="29">
        <f>LN(Acciones!E381/Acciones!E380)</f>
        <v>0</v>
      </c>
      <c r="M381" s="30">
        <f ca="1">Acciones!$B$751*EXP((H$2-H$3/2)*(1)+H$4*_xlfn.NORM.S.INV(RAND())*SQRT(1))</f>
        <v>10.704691811775845</v>
      </c>
      <c r="N381" s="30">
        <f ca="1">Acciones!$C$751*EXP((I$2-I$3/2)*(1)+I$4*_xlfn.NORM.S.INV(RAND())*SQRT(1))</f>
        <v>138.76458083675661</v>
      </c>
      <c r="O381" s="30">
        <f ca="1">Acciones!$D$751*EXP((J$2-J$3/2)*(1)+J$4*_xlfn.NORM.S.INV(RAND())*SQRT(1))</f>
        <v>991.58712348811434</v>
      </c>
      <c r="P381" s="30">
        <f ca="1">Acciones!$E$751*EXP((K$2-K$3/2)*(1)+K$4*_xlfn.NORM.S.INV(RAND())*SQRT(1))</f>
        <v>0.136657041627884</v>
      </c>
      <c r="Q381" s="30"/>
      <c r="R381">
        <f ca="1">M381/Acciones!$B$751*$I$10 + N381/Acciones!$C$751*$I$11 + O381/Acciones!$D$751*$I$12 + P381/Acciones!$D$751*$I$13</f>
        <v>22031.28521461245</v>
      </c>
      <c r="T381" s="14">
        <f t="shared" ca="1" si="8"/>
        <v>-6468.7147853875504</v>
      </c>
      <c r="V381">
        <v>-5497.900212571054</v>
      </c>
    </row>
    <row r="382" spans="1:22" x14ac:dyDescent="0.2">
      <c r="A382" s="1">
        <f>Acciones!A382</f>
        <v>45548</v>
      </c>
      <c r="B382" s="29">
        <f>LN(Acciones!B382/Acciones!B381)</f>
        <v>4.6977595501076792E-3</v>
      </c>
      <c r="C382" s="29">
        <f>LN(Acciones!C382/Acciones!C381)</f>
        <v>1.7264772268482408E-2</v>
      </c>
      <c r="D382" s="29">
        <f>LN(Acciones!D382/Acciones!D381)</f>
        <v>-8.6762225850045768E-3</v>
      </c>
      <c r="E382" s="29">
        <f>LN(Acciones!E382/Acciones!E381)</f>
        <v>-1.5267548546998744E-2</v>
      </c>
      <c r="M382" s="30">
        <f ca="1">Acciones!$B$751*EXP((H$2-H$3/2)*(1)+H$4*_xlfn.NORM.S.INV(RAND())*SQRT(1))</f>
        <v>10.860588439651664</v>
      </c>
      <c r="N382" s="30">
        <f ca="1">Acciones!$C$751*EXP((I$2-I$3/2)*(1)+I$4*_xlfn.NORM.S.INV(RAND())*SQRT(1))</f>
        <v>146.08846661625597</v>
      </c>
      <c r="O382" s="30">
        <f ca="1">Acciones!$D$751*EXP((J$2-J$3/2)*(1)+J$4*_xlfn.NORM.S.INV(RAND())*SQRT(1))</f>
        <v>1018.514901811192</v>
      </c>
      <c r="P382" s="30">
        <f ca="1">Acciones!$E$751*EXP((K$2-K$3/2)*(1)+K$4*_xlfn.NORM.S.INV(RAND())*SQRT(1))</f>
        <v>0.13748353017860734</v>
      </c>
      <c r="Q382" s="30"/>
      <c r="R382">
        <f ca="1">M382/Acciones!$B$751*$I$10 + N382/Acciones!$C$751*$I$11 + O382/Acciones!$D$751*$I$12 + P382/Acciones!$D$751*$I$13</f>
        <v>22808.314168683715</v>
      </c>
      <c r="T382" s="14">
        <f t="shared" ca="1" si="8"/>
        <v>-5691.6858313162847</v>
      </c>
      <c r="V382">
        <v>-5496.7705312352264</v>
      </c>
    </row>
    <row r="383" spans="1:22" x14ac:dyDescent="0.2">
      <c r="A383" s="1">
        <f>Acciones!A383</f>
        <v>45552</v>
      </c>
      <c r="B383" s="29">
        <f>LN(Acciones!B383/Acciones!B382)</f>
        <v>2.1914140150636967E-2</v>
      </c>
      <c r="C383" s="29">
        <f>LN(Acciones!C383/Acciones!C382)</f>
        <v>-2.2187011149567802E-2</v>
      </c>
      <c r="D383" s="29">
        <f>LN(Acciones!D383/Acciones!D382)</f>
        <v>1.3022126358809288E-2</v>
      </c>
      <c r="E383" s="29">
        <f>LN(Acciones!E383/Acciones!E382)</f>
        <v>0</v>
      </c>
      <c r="M383" s="30">
        <f ca="1">Acciones!$B$751*EXP((H$2-H$3/2)*(1)+H$4*_xlfn.NORM.S.INV(RAND())*SQRT(1))</f>
        <v>10.89824487184411</v>
      </c>
      <c r="N383" s="30">
        <f ca="1">Acciones!$C$751*EXP((I$2-I$3/2)*(1)+I$4*_xlfn.NORM.S.INV(RAND())*SQRT(1))</f>
        <v>137.3934954516364</v>
      </c>
      <c r="O383" s="30">
        <f ca="1">Acciones!$D$751*EXP((J$2-J$3/2)*(1)+J$4*_xlfn.NORM.S.INV(RAND())*SQRT(1))</f>
        <v>1001.8750084437348</v>
      </c>
      <c r="P383" s="30">
        <f ca="1">Acciones!$E$751*EXP((K$2-K$3/2)*(1)+K$4*_xlfn.NORM.S.INV(RAND())*SQRT(1))</f>
        <v>0.11777883256500798</v>
      </c>
      <c r="Q383" s="30"/>
      <c r="R383">
        <f ca="1">M383/Acciones!$B$751*$I$10 + N383/Acciones!$C$751*$I$11 + O383/Acciones!$D$751*$I$12 + P383/Acciones!$D$751*$I$13</f>
        <v>22110.713805245658</v>
      </c>
      <c r="T383" s="14">
        <f t="shared" ca="1" si="8"/>
        <v>-6389.2861947543424</v>
      </c>
      <c r="V383">
        <v>-5496.1906448148438</v>
      </c>
    </row>
    <row r="384" spans="1:22" x14ac:dyDescent="0.2">
      <c r="A384" s="1">
        <f>Acciones!A384</f>
        <v>45553</v>
      </c>
      <c r="B384" s="29">
        <f>LN(Acciones!B384/Acciones!B383)</f>
        <v>2.9136134983975969E-3</v>
      </c>
      <c r="C384" s="29">
        <f>LN(Acciones!C384/Acciones!C383)</f>
        <v>-2.9240023211732493E-2</v>
      </c>
      <c r="D384" s="29">
        <f>LN(Acciones!D384/Acciones!D383)</f>
        <v>2.3674950252818738E-2</v>
      </c>
      <c r="E384" s="29">
        <f>LN(Acciones!E384/Acciones!E383)</f>
        <v>5.9719267926062455E-2</v>
      </c>
      <c r="M384" s="30">
        <f ca="1">Acciones!$B$751*EXP((H$2-H$3/2)*(1)+H$4*_xlfn.NORM.S.INV(RAND())*SQRT(1))</f>
        <v>10.994020856116171</v>
      </c>
      <c r="N384" s="30">
        <f ca="1">Acciones!$C$751*EXP((I$2-I$3/2)*(1)+I$4*_xlfn.NORM.S.INV(RAND())*SQRT(1))</f>
        <v>147.39760697429875</v>
      </c>
      <c r="O384" s="30">
        <f ca="1">Acciones!$D$751*EXP((J$2-J$3/2)*(1)+J$4*_xlfn.NORM.S.INV(RAND())*SQRT(1))</f>
        <v>1025.5135989061282</v>
      </c>
      <c r="P384" s="30">
        <f ca="1">Acciones!$E$751*EXP((K$2-K$3/2)*(1)+K$4*_xlfn.NORM.S.INV(RAND())*SQRT(1))</f>
        <v>0.13724359847002335</v>
      </c>
      <c r="Q384" s="30"/>
      <c r="R384">
        <f ca="1">M384/Acciones!$B$751*$I$10 + N384/Acciones!$C$751*$I$11 + O384/Acciones!$D$751*$I$12 + P384/Acciones!$D$751*$I$13</f>
        <v>23002.961397012798</v>
      </c>
      <c r="T384" s="14">
        <f t="shared" ca="1" si="8"/>
        <v>-5497.0386029872025</v>
      </c>
      <c r="V384">
        <v>-5494.4562348257205</v>
      </c>
    </row>
    <row r="385" spans="1:22" x14ac:dyDescent="0.2">
      <c r="A385" s="1">
        <f>Acciones!A385</f>
        <v>45554</v>
      </c>
      <c r="B385" s="29">
        <f>LN(Acciones!B385/Acciones!B384)</f>
        <v>-4.1649669171064975E-3</v>
      </c>
      <c r="C385" s="29">
        <f>LN(Acciones!C385/Acciones!C384)</f>
        <v>9.875516661585074E-3</v>
      </c>
      <c r="D385" s="29">
        <f>LN(Acciones!D385/Acciones!D384)</f>
        <v>-9.8451082384784488E-3</v>
      </c>
      <c r="E385" s="29">
        <f>LN(Acciones!E385/Acciones!E384)</f>
        <v>-5.9719267926062435E-2</v>
      </c>
      <c r="M385" s="30">
        <f ca="1">Acciones!$B$751*EXP((H$2-H$3/2)*(1)+H$4*_xlfn.NORM.S.INV(RAND())*SQRT(1))</f>
        <v>10.836131771321273</v>
      </c>
      <c r="N385" s="30">
        <f ca="1">Acciones!$C$751*EXP((I$2-I$3/2)*(1)+I$4*_xlfn.NORM.S.INV(RAND())*SQRT(1))</f>
        <v>152.34824470344859</v>
      </c>
      <c r="O385" s="30">
        <f ca="1">Acciones!$D$751*EXP((J$2-J$3/2)*(1)+J$4*_xlfn.NORM.S.INV(RAND())*SQRT(1))</f>
        <v>1002.6485882905306</v>
      </c>
      <c r="P385" s="30">
        <f ca="1">Acciones!$E$751*EXP((K$2-K$3/2)*(1)+K$4*_xlfn.NORM.S.INV(RAND())*SQRT(1))</f>
        <v>0.13069796524483132</v>
      </c>
      <c r="Q385" s="30"/>
      <c r="R385">
        <f ca="1">M385/Acciones!$B$751*$I$10 + N385/Acciones!$C$751*$I$11 + O385/Acciones!$D$751*$I$12 + P385/Acciones!$D$751*$I$13</f>
        <v>23032.357592011955</v>
      </c>
      <c r="T385" s="14">
        <f t="shared" ca="1" si="8"/>
        <v>-5467.6424079880453</v>
      </c>
      <c r="V385">
        <v>-5491.0070332630821</v>
      </c>
    </row>
    <row r="386" spans="1:22" x14ac:dyDescent="0.2">
      <c r="A386" s="1">
        <f>Acciones!A386</f>
        <v>45555</v>
      </c>
      <c r="B386" s="29">
        <f>LN(Acciones!B386/Acciones!B385)</f>
        <v>-1.6708560812817804E-3</v>
      </c>
      <c r="C386" s="29">
        <f>LN(Acciones!C386/Acciones!C385)</f>
        <v>1.3127841142886159E-2</v>
      </c>
      <c r="D386" s="29">
        <f>LN(Acciones!D386/Acciones!D385)</f>
        <v>7.2113589593192307E-2</v>
      </c>
      <c r="E386" s="29">
        <f>LN(Acciones!E386/Acciones!E385)</f>
        <v>-9.6849833761058532E-2</v>
      </c>
      <c r="M386" s="30">
        <f ca="1">Acciones!$B$751*EXP((H$2-H$3/2)*(1)+H$4*_xlfn.NORM.S.INV(RAND())*SQRT(1))</f>
        <v>11.035560508232255</v>
      </c>
      <c r="N386" s="30">
        <f ca="1">Acciones!$C$751*EXP((I$2-I$3/2)*(1)+I$4*_xlfn.NORM.S.INV(RAND())*SQRT(1))</f>
        <v>166.05406091852498</v>
      </c>
      <c r="O386" s="30">
        <f ca="1">Acciones!$D$751*EXP((J$2-J$3/2)*(1)+J$4*_xlfn.NORM.S.INV(RAND())*SQRT(1))</f>
        <v>938.88994499093042</v>
      </c>
      <c r="P386" s="30">
        <f ca="1">Acciones!$E$751*EXP((K$2-K$3/2)*(1)+K$4*_xlfn.NORM.S.INV(RAND())*SQRT(1))</f>
        <v>0.13458048971033398</v>
      </c>
      <c r="Q386" s="30"/>
      <c r="R386">
        <f ca="1">M386/Acciones!$B$751*$I$10 + N386/Acciones!$C$751*$I$11 + O386/Acciones!$D$751*$I$12 + P386/Acciones!$D$751*$I$13</f>
        <v>23313.492273890119</v>
      </c>
      <c r="T386" s="14">
        <f t="shared" ca="1" si="8"/>
        <v>-5186.5077261098813</v>
      </c>
      <c r="V386">
        <v>-5486.1344665971046</v>
      </c>
    </row>
    <row r="387" spans="1:22" x14ac:dyDescent="0.2">
      <c r="A387" s="1">
        <f>Acciones!A387</f>
        <v>45558</v>
      </c>
      <c r="B387" s="29">
        <f>LN(Acciones!B387/Acciones!B386)</f>
        <v>-4.6092603480929091E-3</v>
      </c>
      <c r="C387" s="29">
        <f>LN(Acciones!C387/Acciones!C386)</f>
        <v>2.7683365310407319E-2</v>
      </c>
      <c r="D387" s="29">
        <f>LN(Acciones!D387/Acciones!D386)</f>
        <v>-3.6038856494828284E-3</v>
      </c>
      <c r="E387" s="29">
        <f>LN(Acciones!E387/Acciones!E386)</f>
        <v>-8.8553313154093177E-2</v>
      </c>
      <c r="M387" s="30">
        <f ca="1">Acciones!$B$751*EXP((H$2-H$3/2)*(1)+H$4*_xlfn.NORM.S.INV(RAND())*SQRT(1))</f>
        <v>11.202008299389112</v>
      </c>
      <c r="N387" s="30">
        <f ca="1">Acciones!$C$751*EXP((I$2-I$3/2)*(1)+I$4*_xlfn.NORM.S.INV(RAND())*SQRT(1))</f>
        <v>138.63541079479239</v>
      </c>
      <c r="O387" s="30">
        <f ca="1">Acciones!$D$751*EXP((J$2-J$3/2)*(1)+J$4*_xlfn.NORM.S.INV(RAND())*SQRT(1))</f>
        <v>983.33395063590956</v>
      </c>
      <c r="P387" s="30">
        <f ca="1">Acciones!$E$751*EXP((K$2-K$3/2)*(1)+K$4*_xlfn.NORM.S.INV(RAND())*SQRT(1))</f>
        <v>0.12440154164652879</v>
      </c>
      <c r="Q387" s="30"/>
      <c r="R387">
        <f ca="1">M387/Acciones!$B$751*$I$10 + N387/Acciones!$C$751*$I$11 + O387/Acciones!$D$751*$I$12 + P387/Acciones!$D$751*$I$13</f>
        <v>22100.027639098287</v>
      </c>
      <c r="T387" s="14">
        <f t="shared" ca="1" si="8"/>
        <v>-6399.9723609017128</v>
      </c>
      <c r="V387">
        <v>-5484.2890312796626</v>
      </c>
    </row>
    <row r="388" spans="1:22" x14ac:dyDescent="0.2">
      <c r="A388" s="1">
        <f>Acciones!A388</f>
        <v>45559</v>
      </c>
      <c r="B388" s="29">
        <f>LN(Acciones!B388/Acciones!B387)</f>
        <v>1.7485835923809812E-2</v>
      </c>
      <c r="C388" s="29">
        <f>LN(Acciones!C388/Acciones!C387)</f>
        <v>9.9637709746811746E-3</v>
      </c>
      <c r="D388" s="29">
        <f>LN(Acciones!D388/Acciones!D387)</f>
        <v>8.8520145730175779E-3</v>
      </c>
      <c r="E388" s="29">
        <f>LN(Acciones!E388/Acciones!E387)</f>
        <v>-6.8992895139588714E-2</v>
      </c>
      <c r="M388" s="30">
        <f ca="1">Acciones!$B$751*EXP((H$2-H$3/2)*(1)+H$4*_xlfn.NORM.S.INV(RAND())*SQRT(1))</f>
        <v>10.86628522125625</v>
      </c>
      <c r="N388" s="30">
        <f ca="1">Acciones!$C$751*EXP((I$2-I$3/2)*(1)+I$4*_xlfn.NORM.S.INV(RAND())*SQRT(1))</f>
        <v>139.76150316700952</v>
      </c>
      <c r="O388" s="30">
        <f ca="1">Acciones!$D$751*EXP((J$2-J$3/2)*(1)+J$4*_xlfn.NORM.S.INV(RAND())*SQRT(1))</f>
        <v>1015.8030180618201</v>
      </c>
      <c r="P388" s="30">
        <f ca="1">Acciones!$E$751*EXP((K$2-K$3/2)*(1)+K$4*_xlfn.NORM.S.INV(RAND())*SQRT(1))</f>
        <v>0.1186550376843612</v>
      </c>
      <c r="Q388" s="30"/>
      <c r="R388">
        <f ca="1">M388/Acciones!$B$751*$I$10 + N388/Acciones!$C$751*$I$11 + O388/Acciones!$D$751*$I$12 + P388/Acciones!$D$751*$I$13</f>
        <v>22387.82923715463</v>
      </c>
      <c r="T388" s="14">
        <f t="shared" ca="1" si="8"/>
        <v>-6112.1707628453696</v>
      </c>
      <c r="V388">
        <v>-5483.0654011801344</v>
      </c>
    </row>
    <row r="389" spans="1:22" x14ac:dyDescent="0.2">
      <c r="A389" s="1">
        <f>Acciones!A389</f>
        <v>45560</v>
      </c>
      <c r="B389" s="29">
        <f>LN(Acciones!B389/Acciones!B388)</f>
        <v>-2.3805641599910519E-2</v>
      </c>
      <c r="C389" s="29">
        <f>LN(Acciones!C389/Acciones!C388)</f>
        <v>8.9496226344612153E-3</v>
      </c>
      <c r="D389" s="29">
        <f>LN(Acciones!D389/Acciones!D388)</f>
        <v>2.2434933527321951E-2</v>
      </c>
      <c r="E389" s="29">
        <f>LN(Acciones!E389/Acciones!E388)</f>
        <v>5.0300668409439829E-2</v>
      </c>
      <c r="M389" s="30">
        <f ca="1">Acciones!$B$751*EXP((H$2-H$3/2)*(1)+H$4*_xlfn.NORM.S.INV(RAND())*SQRT(1))</f>
        <v>10.97504978480244</v>
      </c>
      <c r="N389" s="30">
        <f ca="1">Acciones!$C$751*EXP((I$2-I$3/2)*(1)+I$4*_xlfn.NORM.S.INV(RAND())*SQRT(1))</f>
        <v>161.7060609262472</v>
      </c>
      <c r="O389" s="30">
        <f ca="1">Acciones!$D$751*EXP((J$2-J$3/2)*(1)+J$4*_xlfn.NORM.S.INV(RAND())*SQRT(1))</f>
        <v>997.27750431055938</v>
      </c>
      <c r="P389" s="30">
        <f ca="1">Acciones!$E$751*EXP((K$2-K$3/2)*(1)+K$4*_xlfn.NORM.S.INV(RAND())*SQRT(1))</f>
        <v>0.13886952308753933</v>
      </c>
      <c r="Q389" s="30"/>
      <c r="R389">
        <f ca="1">M389/Acciones!$B$751*$I$10 + N389/Acciones!$C$751*$I$11 + O389/Acciones!$D$751*$I$12 + P389/Acciones!$D$751*$I$13</f>
        <v>23607.456292909883</v>
      </c>
      <c r="T389" s="14">
        <f t="shared" ca="1" si="8"/>
        <v>-4892.5437070901171</v>
      </c>
      <c r="V389">
        <v>-5480.4757539502207</v>
      </c>
    </row>
    <row r="390" spans="1:22" x14ac:dyDescent="0.2">
      <c r="A390" s="1">
        <f>Acciones!A390</f>
        <v>45561</v>
      </c>
      <c r="B390" s="29">
        <f>LN(Acciones!B390/Acciones!B389)</f>
        <v>5.8997640886928335E-3</v>
      </c>
      <c r="C390" s="29">
        <f>LN(Acciones!C390/Acciones!C389)</f>
        <v>8.3286789857597923E-2</v>
      </c>
      <c r="D390" s="29">
        <f>LN(Acciones!D390/Acciones!D389)</f>
        <v>1.5415315695294652E-2</v>
      </c>
      <c r="E390" s="29">
        <f>LN(Acciones!E390/Acciones!E389)</f>
        <v>3.7041347336332645E-2</v>
      </c>
      <c r="M390" s="30">
        <f ca="1">Acciones!$B$751*EXP((H$2-H$3/2)*(1)+H$4*_xlfn.NORM.S.INV(RAND())*SQRT(1))</f>
        <v>10.470380161183462</v>
      </c>
      <c r="N390" s="30">
        <f ca="1">Acciones!$C$751*EXP((I$2-I$3/2)*(1)+I$4*_xlfn.NORM.S.INV(RAND())*SQRT(1))</f>
        <v>150.89051375952701</v>
      </c>
      <c r="O390" s="30">
        <f ca="1">Acciones!$D$751*EXP((J$2-J$3/2)*(1)+J$4*_xlfn.NORM.S.INV(RAND())*SQRT(1))</f>
        <v>1013.5705742774368</v>
      </c>
      <c r="P390" s="30">
        <f ca="1">Acciones!$E$751*EXP((K$2-K$3/2)*(1)+K$4*_xlfn.NORM.S.INV(RAND())*SQRT(1))</f>
        <v>0.12021277477902931</v>
      </c>
      <c r="Q390" s="30"/>
      <c r="R390">
        <f ca="1">M390/Acciones!$B$751*$I$10 + N390/Acciones!$C$751*$I$11 + O390/Acciones!$D$751*$I$12 + P390/Acciones!$D$751*$I$13</f>
        <v>22933.345206190595</v>
      </c>
      <c r="T390" s="14">
        <f t="shared" ref="T390:T453" ca="1" si="9">R390-$I$14</f>
        <v>-5566.6547938094045</v>
      </c>
      <c r="V390">
        <v>-5479.8230097404557</v>
      </c>
    </row>
    <row r="391" spans="1:22" x14ac:dyDescent="0.2">
      <c r="A391" s="1">
        <f>Acciones!A391</f>
        <v>45562</v>
      </c>
      <c r="B391" s="29">
        <f>LN(Acciones!B391/Acciones!B390)</f>
        <v>1.0033518150511025E-2</v>
      </c>
      <c r="C391" s="29">
        <f>LN(Acciones!C391/Acciones!C390)</f>
        <v>-1.7832436559128487E-2</v>
      </c>
      <c r="D391" s="29">
        <f>LN(Acciones!D391/Acciones!D390)</f>
        <v>8.262975298684163E-3</v>
      </c>
      <c r="E391" s="29">
        <f>LN(Acciones!E391/Acciones!E390)</f>
        <v>0</v>
      </c>
      <c r="M391" s="30">
        <f ca="1">Acciones!$B$751*EXP((H$2-H$3/2)*(1)+H$4*_xlfn.NORM.S.INV(RAND())*SQRT(1))</f>
        <v>10.77083239927145</v>
      </c>
      <c r="N391" s="30">
        <f ca="1">Acciones!$C$751*EXP((I$2-I$3/2)*(1)+I$4*_xlfn.NORM.S.INV(RAND())*SQRT(1))</f>
        <v>142.98267139389733</v>
      </c>
      <c r="O391" s="30">
        <f ca="1">Acciones!$D$751*EXP((J$2-J$3/2)*(1)+J$4*_xlfn.NORM.S.INV(RAND())*SQRT(1))</f>
        <v>1016.0565636602743</v>
      </c>
      <c r="P391" s="30">
        <f ca="1">Acciones!$E$751*EXP((K$2-K$3/2)*(1)+K$4*_xlfn.NORM.S.INV(RAND())*SQRT(1))</f>
        <v>0.12891842939742959</v>
      </c>
      <c r="Q391" s="30"/>
      <c r="R391">
        <f ca="1">M391/Acciones!$B$751*$I$10 + N391/Acciones!$C$751*$I$11 + O391/Acciones!$D$751*$I$12 + P391/Acciones!$D$751*$I$13</f>
        <v>22560.928047968875</v>
      </c>
      <c r="T391" s="14">
        <f t="shared" ca="1" si="9"/>
        <v>-5939.071952031125</v>
      </c>
      <c r="V391">
        <v>-5478.5167132242386</v>
      </c>
    </row>
    <row r="392" spans="1:22" x14ac:dyDescent="0.2">
      <c r="A392" s="1">
        <f>Acciones!A392</f>
        <v>45565</v>
      </c>
      <c r="B392" s="29">
        <f>LN(Acciones!B392/Acciones!B391)</f>
        <v>-2.0593311979471517E-2</v>
      </c>
      <c r="C392" s="29">
        <f>LN(Acciones!C392/Acciones!C391)</f>
        <v>-5.8621779285093982E-2</v>
      </c>
      <c r="D392" s="29">
        <f>LN(Acciones!D392/Acciones!D391)</f>
        <v>-1.2718633459238288E-2</v>
      </c>
      <c r="E392" s="29">
        <f>LN(Acciones!E392/Acciones!E391)</f>
        <v>-2.5784113920727967E-2</v>
      </c>
      <c r="M392" s="30">
        <f ca="1">Acciones!$B$751*EXP((H$2-H$3/2)*(1)+H$4*_xlfn.NORM.S.INV(RAND())*SQRT(1))</f>
        <v>11.338547773771474</v>
      </c>
      <c r="N392" s="30">
        <f ca="1">Acciones!$C$751*EXP((I$2-I$3/2)*(1)+I$4*_xlfn.NORM.S.INV(RAND())*SQRT(1))</f>
        <v>156.18275934588013</v>
      </c>
      <c r="O392" s="30">
        <f ca="1">Acciones!$D$751*EXP((J$2-J$3/2)*(1)+J$4*_xlfn.NORM.S.INV(RAND())*SQRT(1))</f>
        <v>990.88362211671847</v>
      </c>
      <c r="P392" s="30">
        <f ca="1">Acciones!$E$751*EXP((K$2-K$3/2)*(1)+K$4*_xlfn.NORM.S.INV(RAND())*SQRT(1))</f>
        <v>0.13828195789385903</v>
      </c>
      <c r="Q392" s="30"/>
      <c r="R392">
        <f ca="1">M392/Acciones!$B$751*$I$10 + N392/Acciones!$C$751*$I$11 + O392/Acciones!$D$751*$I$12 + P392/Acciones!$D$751*$I$13</f>
        <v>23315.155722275722</v>
      </c>
      <c r="T392" s="14">
        <f t="shared" ca="1" si="9"/>
        <v>-5184.8442777242781</v>
      </c>
      <c r="V392">
        <v>-5478.2352268183386</v>
      </c>
    </row>
    <row r="393" spans="1:22" x14ac:dyDescent="0.2">
      <c r="A393" s="1">
        <f>Acciones!A393</f>
        <v>45567</v>
      </c>
      <c r="B393" s="29">
        <f>LN(Acciones!B393/Acciones!B392)</f>
        <v>-2.1253727161607435E-3</v>
      </c>
      <c r="C393" s="29">
        <f>LN(Acciones!C393/Acciones!C392)</f>
        <v>-7.7618931049022122E-2</v>
      </c>
      <c r="D393" s="29">
        <f>LN(Acciones!D393/Acciones!D392)</f>
        <v>-7.6202884985330704E-2</v>
      </c>
      <c r="E393" s="29">
        <f>LN(Acciones!E393/Acciones!E392)</f>
        <v>2.5784113920728078E-2</v>
      </c>
      <c r="M393" s="30">
        <f ca="1">Acciones!$B$751*EXP((H$2-H$3/2)*(1)+H$4*_xlfn.NORM.S.INV(RAND())*SQRT(1))</f>
        <v>10.832208373324411</v>
      </c>
      <c r="N393" s="30">
        <f ca="1">Acciones!$C$751*EXP((I$2-I$3/2)*(1)+I$4*_xlfn.NORM.S.INV(RAND())*SQRT(1))</f>
        <v>139.42446130165825</v>
      </c>
      <c r="O393" s="30">
        <f ca="1">Acciones!$D$751*EXP((J$2-J$3/2)*(1)+J$4*_xlfn.NORM.S.INV(RAND())*SQRT(1))</f>
        <v>956.24779844954753</v>
      </c>
      <c r="P393" s="30">
        <f ca="1">Acciones!$E$751*EXP((K$2-K$3/2)*(1)+K$4*_xlfn.NORM.S.INV(RAND())*SQRT(1))</f>
        <v>0.1249264028352625</v>
      </c>
      <c r="Q393" s="30"/>
      <c r="R393">
        <f ca="1">M393/Acciones!$B$751*$I$10 + N393/Acciones!$C$751*$I$11 + O393/Acciones!$D$751*$I$12 + P393/Acciones!$D$751*$I$13</f>
        <v>21759.356843581958</v>
      </c>
      <c r="T393" s="14">
        <f t="shared" ca="1" si="9"/>
        <v>-6740.6431564180421</v>
      </c>
      <c r="V393">
        <v>-5476.785456631249</v>
      </c>
    </row>
    <row r="394" spans="1:22" x14ac:dyDescent="0.2">
      <c r="A394" s="1">
        <f>Acciones!A394</f>
        <v>45568</v>
      </c>
      <c r="B394" s="29">
        <f>LN(Acciones!B394/Acciones!B393)</f>
        <v>-2.129899548260887E-3</v>
      </c>
      <c r="C394" s="29">
        <f>LN(Acciones!C394/Acciones!C393)</f>
        <v>1.0524976025250727E-2</v>
      </c>
      <c r="D394" s="29">
        <f>LN(Acciones!D394/Acciones!D393)</f>
        <v>-1.4726533067997734E-2</v>
      </c>
      <c r="E394" s="29">
        <f>LN(Acciones!E394/Acciones!E393)</f>
        <v>0</v>
      </c>
      <c r="M394" s="30">
        <f ca="1">Acciones!$B$751*EXP((H$2-H$3/2)*(1)+H$4*_xlfn.NORM.S.INV(RAND())*SQRT(1))</f>
        <v>10.867731555716571</v>
      </c>
      <c r="N394" s="30">
        <f ca="1">Acciones!$C$751*EXP((I$2-I$3/2)*(1)+I$4*_xlfn.NORM.S.INV(RAND())*SQRT(1))</f>
        <v>148.41859515827321</v>
      </c>
      <c r="O394" s="30">
        <f ca="1">Acciones!$D$751*EXP((J$2-J$3/2)*(1)+J$4*_xlfn.NORM.S.INV(RAND())*SQRT(1))</f>
        <v>982.0028267068983</v>
      </c>
      <c r="P394" s="30">
        <f ca="1">Acciones!$E$751*EXP((K$2-K$3/2)*(1)+K$4*_xlfn.NORM.S.INV(RAND())*SQRT(1))</f>
        <v>0.13487316715217873</v>
      </c>
      <c r="Q394" s="30"/>
      <c r="R394">
        <f ca="1">M394/Acciones!$B$751*$I$10 + N394/Acciones!$C$751*$I$11 + O394/Acciones!$D$751*$I$12 + P394/Acciones!$D$751*$I$13</f>
        <v>22590.360273415026</v>
      </c>
      <c r="T394" s="14">
        <f t="shared" ca="1" si="9"/>
        <v>-5909.6397265849737</v>
      </c>
      <c r="V394">
        <v>-5476.4891032609048</v>
      </c>
    </row>
    <row r="395" spans="1:22" x14ac:dyDescent="0.2">
      <c r="A395" s="1">
        <f>Acciones!A395</f>
        <v>45569</v>
      </c>
      <c r="B395" s="29">
        <f>LN(Acciones!B395/Acciones!B394)</f>
        <v>2.6511106815403529E-2</v>
      </c>
      <c r="C395" s="29">
        <f>LN(Acciones!C395/Acciones!C394)</f>
        <v>5.073780213480255E-2</v>
      </c>
      <c r="D395" s="29">
        <f>LN(Acciones!D395/Acciones!D394)</f>
        <v>-3.5831165099066802E-3</v>
      </c>
      <c r="E395" s="29">
        <f>LN(Acciones!E395/Acciones!E394)</f>
        <v>0</v>
      </c>
      <c r="M395" s="30">
        <f ca="1">Acciones!$B$751*EXP((H$2-H$3/2)*(1)+H$4*_xlfn.NORM.S.INV(RAND())*SQRT(1))</f>
        <v>10.8793245716904</v>
      </c>
      <c r="N395" s="30">
        <f ca="1">Acciones!$C$751*EXP((I$2-I$3/2)*(1)+I$4*_xlfn.NORM.S.INV(RAND())*SQRT(1))</f>
        <v>157.52020663934829</v>
      </c>
      <c r="O395" s="30">
        <f ca="1">Acciones!$D$751*EXP((J$2-J$3/2)*(1)+J$4*_xlfn.NORM.S.INV(RAND())*SQRT(1))</f>
        <v>1038.211665111442</v>
      </c>
      <c r="P395" s="30">
        <f ca="1">Acciones!$E$751*EXP((K$2-K$3/2)*(1)+K$4*_xlfn.NORM.S.INV(RAND())*SQRT(1))</f>
        <v>0.12252907771840271</v>
      </c>
      <c r="Q395" s="30"/>
      <c r="R395">
        <f ca="1">M395/Acciones!$B$751*$I$10 + N395/Acciones!$C$751*$I$11 + O395/Acciones!$D$751*$I$12 + P395/Acciones!$D$751*$I$13</f>
        <v>23725.313044969695</v>
      </c>
      <c r="T395" s="14">
        <f t="shared" ca="1" si="9"/>
        <v>-4774.6869550303054</v>
      </c>
      <c r="V395">
        <v>-5475.6398589387136</v>
      </c>
    </row>
    <row r="396" spans="1:22" x14ac:dyDescent="0.2">
      <c r="A396" s="1">
        <f>Acciones!A396</f>
        <v>45572</v>
      </c>
      <c r="B396" s="29">
        <f>LN(Acciones!B396/Acciones!B395)</f>
        <v>-2.140693201945543E-2</v>
      </c>
      <c r="C396" s="29">
        <f>LN(Acciones!C396/Acciones!C395)</f>
        <v>-2.0983541053009848E-2</v>
      </c>
      <c r="D396" s="29">
        <f>LN(Acciones!D396/Acciones!D395)</f>
        <v>-1.660290862664085E-2</v>
      </c>
      <c r="E396" s="29">
        <f>LN(Acciones!E396/Acciones!E395)</f>
        <v>-0.11347417890449964</v>
      </c>
      <c r="M396" s="30">
        <f ca="1">Acciones!$B$751*EXP((H$2-H$3/2)*(1)+H$4*_xlfn.NORM.S.INV(RAND())*SQRT(1))</f>
        <v>10.943798563654056</v>
      </c>
      <c r="N396" s="30">
        <f ca="1">Acciones!$C$751*EXP((I$2-I$3/2)*(1)+I$4*_xlfn.NORM.S.INV(RAND())*SQRT(1))</f>
        <v>155.14205164721375</v>
      </c>
      <c r="O396" s="30">
        <f ca="1">Acciones!$D$751*EXP((J$2-J$3/2)*(1)+J$4*_xlfn.NORM.S.INV(RAND())*SQRT(1))</f>
        <v>1026.8759595517315</v>
      </c>
      <c r="P396" s="30">
        <f ca="1">Acciones!$E$751*EXP((K$2-K$3/2)*(1)+K$4*_xlfn.NORM.S.INV(RAND())*SQRT(1))</f>
        <v>0.11048007539344899</v>
      </c>
      <c r="Q396" s="30"/>
      <c r="R396">
        <f ca="1">M396/Acciones!$B$751*$I$10 + N396/Acciones!$C$751*$I$11 + O396/Acciones!$D$751*$I$12 + P396/Acciones!$D$751*$I$13</f>
        <v>23483.898922175435</v>
      </c>
      <c r="T396" s="14">
        <f t="shared" ca="1" si="9"/>
        <v>-5016.1010778245654</v>
      </c>
      <c r="V396">
        <v>-5470.7566501924775</v>
      </c>
    </row>
    <row r="397" spans="1:22" x14ac:dyDescent="0.2">
      <c r="A397" s="1">
        <f>Acciones!A397</f>
        <v>45573</v>
      </c>
      <c r="B397" s="29">
        <f>LN(Acciones!B397/Acciones!B396)</f>
        <v>-8.9494969678192704E-3</v>
      </c>
      <c r="C397" s="29">
        <f>LN(Acciones!C397/Acciones!C396)</f>
        <v>9.442073367068065E-4</v>
      </c>
      <c r="D397" s="29">
        <f>LN(Acciones!D397/Acciones!D396)</f>
        <v>2.9397812150999264E-3</v>
      </c>
      <c r="E397" s="29">
        <f>LN(Acciones!E397/Acciones!E396)</f>
        <v>1.8163977425758763E-2</v>
      </c>
      <c r="M397" s="30">
        <f ca="1">Acciones!$B$751*EXP((H$2-H$3/2)*(1)+H$4*_xlfn.NORM.S.INV(RAND())*SQRT(1))</f>
        <v>10.883733691115664</v>
      </c>
      <c r="N397" s="30">
        <f ca="1">Acciones!$C$751*EXP((I$2-I$3/2)*(1)+I$4*_xlfn.NORM.S.INV(RAND())*SQRT(1))</f>
        <v>143.55058813675689</v>
      </c>
      <c r="O397" s="30">
        <f ca="1">Acciones!$D$751*EXP((J$2-J$3/2)*(1)+J$4*_xlfn.NORM.S.INV(RAND())*SQRT(1))</f>
        <v>973.66445047000661</v>
      </c>
      <c r="P397" s="30">
        <f ca="1">Acciones!$E$751*EXP((K$2-K$3/2)*(1)+K$4*_xlfn.NORM.S.INV(RAND())*SQRT(1))</f>
        <v>0.13798480430480381</v>
      </c>
      <c r="Q397" s="30"/>
      <c r="R397">
        <f ca="1">M397/Acciones!$B$751*$I$10 + N397/Acciones!$C$751*$I$11 + O397/Acciones!$D$751*$I$12 + P397/Acciones!$D$751*$I$13</f>
        <v>22208.039768745177</v>
      </c>
      <c r="T397" s="14">
        <f t="shared" ca="1" si="9"/>
        <v>-6291.9602312548232</v>
      </c>
      <c r="V397">
        <v>-5469.1102070472007</v>
      </c>
    </row>
    <row r="398" spans="1:22" x14ac:dyDescent="0.2">
      <c r="A398" s="1">
        <f>Acciones!A398</f>
        <v>45574</v>
      </c>
      <c r="B398" s="29">
        <f>LN(Acciones!B398/Acciones!B397)</f>
        <v>9.7976794750251981E-3</v>
      </c>
      <c r="C398" s="29">
        <f>LN(Acciones!C398/Acciones!C397)</f>
        <v>-2.3409684595159207E-2</v>
      </c>
      <c r="D398" s="29">
        <f>LN(Acciones!D398/Acciones!D397)</f>
        <v>3.0491234982589217E-2</v>
      </c>
      <c r="E398" s="29">
        <f>LN(Acciones!E398/Acciones!E397)</f>
        <v>-1.0050326220428707E-2</v>
      </c>
      <c r="M398" s="30">
        <f ca="1">Acciones!$B$751*EXP((H$2-H$3/2)*(1)+H$4*_xlfn.NORM.S.INV(RAND())*SQRT(1))</f>
        <v>10.712943041958614</v>
      </c>
      <c r="N398" s="30">
        <f ca="1">Acciones!$C$751*EXP((I$2-I$3/2)*(1)+I$4*_xlfn.NORM.S.INV(RAND())*SQRT(1))</f>
        <v>143.766001743911</v>
      </c>
      <c r="O398" s="30">
        <f ca="1">Acciones!$D$751*EXP((J$2-J$3/2)*(1)+J$4*_xlfn.NORM.S.INV(RAND())*SQRT(1))</f>
        <v>964.20192679867182</v>
      </c>
      <c r="P398" s="30">
        <f ca="1">Acciones!$E$751*EXP((K$2-K$3/2)*(1)+K$4*_xlfn.NORM.S.INV(RAND())*SQRT(1))</f>
        <v>0.14045267216517407</v>
      </c>
      <c r="Q398" s="30"/>
      <c r="R398">
        <f ca="1">M398/Acciones!$B$751*$I$10 + N398/Acciones!$C$751*$I$11 + O398/Acciones!$D$751*$I$12 + P398/Acciones!$D$751*$I$13</f>
        <v>22071.931995644805</v>
      </c>
      <c r="T398" s="14">
        <f t="shared" ca="1" si="9"/>
        <v>-6428.0680043551947</v>
      </c>
      <c r="V398">
        <v>-5468.5545046420302</v>
      </c>
    </row>
    <row r="399" spans="1:22" x14ac:dyDescent="0.2">
      <c r="A399" s="1">
        <f>Acciones!A399</f>
        <v>45575</v>
      </c>
      <c r="B399" s="29">
        <f>LN(Acciones!B399/Acciones!B398)</f>
        <v>-2.1217650108319741E-3</v>
      </c>
      <c r="C399" s="29">
        <f>LN(Acciones!C399/Acciones!C398)</f>
        <v>-1.1525968715799799E-2</v>
      </c>
      <c r="D399" s="29">
        <f>LN(Acciones!D399/Acciones!D398)</f>
        <v>-7.4658845434255015E-3</v>
      </c>
      <c r="E399" s="29">
        <f>LN(Acciones!E399/Acciones!E398)</f>
        <v>-3.0771690651570469E-2</v>
      </c>
      <c r="M399" s="30">
        <f ca="1">Acciones!$B$751*EXP((H$2-H$3/2)*(1)+H$4*_xlfn.NORM.S.INV(RAND())*SQRT(1))</f>
        <v>11.250961882613602</v>
      </c>
      <c r="N399" s="30">
        <f ca="1">Acciones!$C$751*EXP((I$2-I$3/2)*(1)+I$4*_xlfn.NORM.S.INV(RAND())*SQRT(1))</f>
        <v>160.36094123679786</v>
      </c>
      <c r="O399" s="30">
        <f ca="1">Acciones!$D$751*EXP((J$2-J$3/2)*(1)+J$4*_xlfn.NORM.S.INV(RAND())*SQRT(1))</f>
        <v>1018.0814360877639</v>
      </c>
      <c r="P399" s="30">
        <f ca="1">Acciones!$E$751*EXP((K$2-K$3/2)*(1)+K$4*_xlfn.NORM.S.INV(RAND())*SQRT(1))</f>
        <v>0.11234301179836871</v>
      </c>
      <c r="Q399" s="30"/>
      <c r="R399">
        <f ca="1">M399/Acciones!$B$751*$I$10 + N399/Acciones!$C$751*$I$11 + O399/Acciones!$D$751*$I$12 + P399/Acciones!$D$751*$I$13</f>
        <v>23820.218544335181</v>
      </c>
      <c r="T399" s="14">
        <f t="shared" ca="1" si="9"/>
        <v>-4679.7814556648191</v>
      </c>
      <c r="V399">
        <v>-5467.6443836980543</v>
      </c>
    </row>
    <row r="400" spans="1:22" x14ac:dyDescent="0.2">
      <c r="A400" s="1">
        <f>Acciones!A400</f>
        <v>45576</v>
      </c>
      <c r="B400" s="29">
        <f>LN(Acciones!B400/Acciones!B399)</f>
        <v>2.1849598734949131E-2</v>
      </c>
      <c r="C400" s="29">
        <f>LN(Acciones!C400/Acciones!C399)</f>
        <v>4.1617040094180331E-2</v>
      </c>
      <c r="D400" s="29">
        <f>LN(Acciones!D400/Acciones!D399)</f>
        <v>-1.3192635390567168E-2</v>
      </c>
      <c r="E400" s="29">
        <f>LN(Acciones!E400/Acciones!E399)</f>
        <v>-0.2336148413781087</v>
      </c>
      <c r="M400" s="30">
        <f ca="1">Acciones!$B$751*EXP((H$2-H$3/2)*(1)+H$4*_xlfn.NORM.S.INV(RAND())*SQRT(1))</f>
        <v>11.215423947935079</v>
      </c>
      <c r="N400" s="30">
        <f ca="1">Acciones!$C$751*EXP((I$2-I$3/2)*(1)+I$4*_xlfn.NORM.S.INV(RAND())*SQRT(1))</f>
        <v>146.42099097183419</v>
      </c>
      <c r="O400" s="30">
        <f ca="1">Acciones!$D$751*EXP((J$2-J$3/2)*(1)+J$4*_xlfn.NORM.S.INV(RAND())*SQRT(1))</f>
        <v>956.25329938262792</v>
      </c>
      <c r="P400" s="30">
        <f ca="1">Acciones!$E$751*EXP((K$2-K$3/2)*(1)+K$4*_xlfn.NORM.S.INV(RAND())*SQRT(1))</f>
        <v>0.11495986169115567</v>
      </c>
      <c r="Q400" s="30"/>
      <c r="R400">
        <f ca="1">M400/Acciones!$B$751*$I$10 + N400/Acciones!$C$751*$I$11 + O400/Acciones!$D$751*$I$12 + P400/Acciones!$D$751*$I$13</f>
        <v>22319.147142283222</v>
      </c>
      <c r="T400" s="14">
        <f t="shared" ca="1" si="9"/>
        <v>-6180.8528577167781</v>
      </c>
      <c r="V400">
        <v>-5467.2918635956376</v>
      </c>
    </row>
    <row r="401" spans="1:22" x14ac:dyDescent="0.2">
      <c r="A401" s="1">
        <f>Acciones!A401</f>
        <v>45579</v>
      </c>
      <c r="B401" s="29">
        <f>LN(Acciones!B401/Acciones!B400)</f>
        <v>-2.6106682364892352E-2</v>
      </c>
      <c r="C401" s="29">
        <f>LN(Acciones!C401/Acciones!C400)</f>
        <v>6.1584409058246532E-2</v>
      </c>
      <c r="D401" s="29">
        <f>LN(Acciones!D401/Acciones!D400)</f>
        <v>-3.8261706520643182E-3</v>
      </c>
      <c r="E401" s="29">
        <f>LN(Acciones!E401/Acciones!E400)</f>
        <v>-2.6668221646324614E-2</v>
      </c>
      <c r="M401" s="30">
        <f ca="1">Acciones!$B$751*EXP((H$2-H$3/2)*(1)+H$4*_xlfn.NORM.S.INV(RAND())*SQRT(1))</f>
        <v>10.227680159422745</v>
      </c>
      <c r="N401" s="30">
        <f ca="1">Acciones!$C$751*EXP((I$2-I$3/2)*(1)+I$4*_xlfn.NORM.S.INV(RAND())*SQRT(1))</f>
        <v>145.91148692979834</v>
      </c>
      <c r="O401" s="30">
        <f ca="1">Acciones!$D$751*EXP((J$2-J$3/2)*(1)+J$4*_xlfn.NORM.S.INV(RAND())*SQRT(1))</f>
        <v>994.11468578041092</v>
      </c>
      <c r="P401" s="30">
        <f ca="1">Acciones!$E$751*EXP((K$2-K$3/2)*(1)+K$4*_xlfn.NORM.S.INV(RAND())*SQRT(1))</f>
        <v>0.11426245931484291</v>
      </c>
      <c r="Q401" s="30"/>
      <c r="R401">
        <f ca="1">M401/Acciones!$B$751*$I$10 + N401/Acciones!$C$751*$I$11 + O401/Acciones!$D$751*$I$12 + P401/Acciones!$D$751*$I$13</f>
        <v>22349.69177630679</v>
      </c>
      <c r="T401" s="14">
        <f t="shared" ca="1" si="9"/>
        <v>-6150.3082236932096</v>
      </c>
      <c r="V401">
        <v>-5466.5937374813257</v>
      </c>
    </row>
    <row r="402" spans="1:22" x14ac:dyDescent="0.2">
      <c r="A402" s="1">
        <f>Acciones!A402</f>
        <v>45580</v>
      </c>
      <c r="B402" s="29">
        <f>LN(Acciones!B402/Acciones!B401)</f>
        <v>-2.6368563138147134E-2</v>
      </c>
      <c r="C402" s="29">
        <f>LN(Acciones!C402/Acciones!C401)</f>
        <v>1.7027440542773262E-2</v>
      </c>
      <c r="D402" s="29">
        <f>LN(Acciones!D402/Acciones!D401)</f>
        <v>2.9274653835665802E-2</v>
      </c>
      <c r="E402" s="29">
        <f>LN(Acciones!E402/Acciones!E401)</f>
        <v>-5.5569881072199963E-2</v>
      </c>
      <c r="M402" s="30">
        <f ca="1">Acciones!$B$751*EXP((H$2-H$3/2)*(1)+H$4*_xlfn.NORM.S.INV(RAND())*SQRT(1))</f>
        <v>10.988660824904279</v>
      </c>
      <c r="N402" s="30">
        <f ca="1">Acciones!$C$751*EXP((I$2-I$3/2)*(1)+I$4*_xlfn.NORM.S.INV(RAND())*SQRT(1))</f>
        <v>159.96994908062734</v>
      </c>
      <c r="O402" s="30">
        <f ca="1">Acciones!$D$751*EXP((J$2-J$3/2)*(1)+J$4*_xlfn.NORM.S.INV(RAND())*SQRT(1))</f>
        <v>993.95070949908848</v>
      </c>
      <c r="P402" s="30">
        <f ca="1">Acciones!$E$751*EXP((K$2-K$3/2)*(1)+K$4*_xlfn.NORM.S.INV(RAND())*SQRT(1))</f>
        <v>0.12199768191791376</v>
      </c>
      <c r="Q402" s="30"/>
      <c r="R402">
        <f ca="1">M402/Acciones!$B$751*$I$10 + N402/Acciones!$C$751*$I$11 + O402/Acciones!$D$751*$I$12 + P402/Acciones!$D$751*$I$13</f>
        <v>23470.007238237129</v>
      </c>
      <c r="T402" s="14">
        <f t="shared" ca="1" si="9"/>
        <v>-5029.9927617628709</v>
      </c>
      <c r="V402">
        <v>-5466.4704915276743</v>
      </c>
    </row>
    <row r="403" spans="1:22" x14ac:dyDescent="0.2">
      <c r="A403" s="1">
        <f>Acciones!A403</f>
        <v>45581</v>
      </c>
      <c r="B403" s="29">
        <f>LN(Acciones!B403/Acciones!B402)</f>
        <v>1.4351166107018592E-2</v>
      </c>
      <c r="C403" s="29">
        <f>LN(Acciones!C403/Acciones!C402)</f>
        <v>6.6357774843990483E-2</v>
      </c>
      <c r="D403" s="29">
        <f>LN(Acciones!D403/Acciones!D402)</f>
        <v>3.2974262089314095E-2</v>
      </c>
      <c r="E403" s="29">
        <f>LN(Acciones!E403/Acciones!E402)</f>
        <v>2.8531172580438511E-3</v>
      </c>
      <c r="M403" s="30">
        <f ca="1">Acciones!$B$751*EXP((H$2-H$3/2)*(1)+H$4*_xlfn.NORM.S.INV(RAND())*SQRT(1))</f>
        <v>10.948844158720485</v>
      </c>
      <c r="N403" s="30">
        <f ca="1">Acciones!$C$751*EXP((I$2-I$3/2)*(1)+I$4*_xlfn.NORM.S.INV(RAND())*SQRT(1))</f>
        <v>157.43704938507912</v>
      </c>
      <c r="O403" s="30">
        <f ca="1">Acciones!$D$751*EXP((J$2-J$3/2)*(1)+J$4*_xlfn.NORM.S.INV(RAND())*SQRT(1))</f>
        <v>991.74377418570862</v>
      </c>
      <c r="P403" s="30">
        <f ca="1">Acciones!$E$751*EXP((K$2-K$3/2)*(1)+K$4*_xlfn.NORM.S.INV(RAND())*SQRT(1))</f>
        <v>0.1222194326732831</v>
      </c>
      <c r="Q403" s="30"/>
      <c r="R403">
        <f ca="1">M403/Acciones!$B$751*$I$10 + N403/Acciones!$C$751*$I$11 + O403/Acciones!$D$751*$I$12 + P403/Acciones!$D$751*$I$13</f>
        <v>23276.979235681316</v>
      </c>
      <c r="T403" s="14">
        <f t="shared" ca="1" si="9"/>
        <v>-5223.0207643186841</v>
      </c>
      <c r="V403">
        <v>-5465.8506185246406</v>
      </c>
    </row>
    <row r="404" spans="1:22" x14ac:dyDescent="0.2">
      <c r="A404" s="1">
        <f>Acciones!A404</f>
        <v>45582</v>
      </c>
      <c r="B404" s="29">
        <f>LN(Acciones!B404/Acciones!B403)</f>
        <v>-1.1289737260141977E-2</v>
      </c>
      <c r="C404" s="29">
        <f>LN(Acciones!C404/Acciones!C403)</f>
        <v>1.0900202485646293E-3</v>
      </c>
      <c r="D404" s="29">
        <f>LN(Acciones!D404/Acciones!D403)</f>
        <v>-7.0738633393640799E-3</v>
      </c>
      <c r="E404" s="29">
        <f>LN(Acciones!E404/Acciones!E403)</f>
        <v>-2.8531172580438303E-3</v>
      </c>
      <c r="M404" s="30">
        <f ca="1">Acciones!$B$751*EXP((H$2-H$3/2)*(1)+H$4*_xlfn.NORM.S.INV(RAND())*SQRT(1))</f>
        <v>10.869660832213153</v>
      </c>
      <c r="N404" s="30">
        <f ca="1">Acciones!$C$751*EXP((I$2-I$3/2)*(1)+I$4*_xlfn.NORM.S.INV(RAND())*SQRT(1))</f>
        <v>136.84971876280298</v>
      </c>
      <c r="O404" s="30">
        <f ca="1">Acciones!$D$751*EXP((J$2-J$3/2)*(1)+J$4*_xlfn.NORM.S.INV(RAND())*SQRT(1))</f>
        <v>988.91257288513907</v>
      </c>
      <c r="P404" s="30">
        <f ca="1">Acciones!$E$751*EXP((K$2-K$3/2)*(1)+K$4*_xlfn.NORM.S.INV(RAND())*SQRT(1))</f>
        <v>0.12533976682154915</v>
      </c>
      <c r="Q404" s="30"/>
      <c r="R404">
        <f ca="1">M404/Acciones!$B$751*$I$10 + N404/Acciones!$C$751*$I$11 + O404/Acciones!$D$751*$I$12 + P404/Acciones!$D$751*$I$13</f>
        <v>21937.795680750256</v>
      </c>
      <c r="T404" s="14">
        <f t="shared" ca="1" si="9"/>
        <v>-6562.204319249744</v>
      </c>
      <c r="V404">
        <v>-5462.3974996124925</v>
      </c>
    </row>
    <row r="405" spans="1:22" x14ac:dyDescent="0.2">
      <c r="A405" s="1">
        <f>Acciones!A405</f>
        <v>45583</v>
      </c>
      <c r="B405" s="29">
        <f>LN(Acciones!B405/Acciones!B404)</f>
        <v>1.6457744109225882E-2</v>
      </c>
      <c r="C405" s="29">
        <f>LN(Acciones!C405/Acciones!C404)</f>
        <v>4.385645928295305E-2</v>
      </c>
      <c r="D405" s="29">
        <f>LN(Acciones!D405/Acciones!D404)</f>
        <v>-1.1112778670317099E-2</v>
      </c>
      <c r="E405" s="29">
        <f>LN(Acciones!E405/Acciones!E404)</f>
        <v>0</v>
      </c>
      <c r="M405" s="30">
        <f ca="1">Acciones!$B$751*EXP((H$2-H$3/2)*(1)+H$4*_xlfn.NORM.S.INV(RAND())*SQRT(1))</f>
        <v>10.693270389378432</v>
      </c>
      <c r="N405" s="30">
        <f ca="1">Acciones!$C$751*EXP((I$2-I$3/2)*(1)+I$4*_xlfn.NORM.S.INV(RAND())*SQRT(1))</f>
        <v>171.16893698065763</v>
      </c>
      <c r="O405" s="30">
        <f ca="1">Acciones!$D$751*EXP((J$2-J$3/2)*(1)+J$4*_xlfn.NORM.S.INV(RAND())*SQRT(1))</f>
        <v>1005.3779038077373</v>
      </c>
      <c r="P405" s="30">
        <f ca="1">Acciones!$E$751*EXP((K$2-K$3/2)*(1)+K$4*_xlfn.NORM.S.INV(RAND())*SQRT(1))</f>
        <v>0.12508156979320006</v>
      </c>
      <c r="Q405" s="30"/>
      <c r="R405">
        <f ca="1">M405/Acciones!$B$751*$I$10 + N405/Acciones!$C$751*$I$11 + O405/Acciones!$D$751*$I$12 + P405/Acciones!$D$751*$I$13</f>
        <v>24188.967409348861</v>
      </c>
      <c r="T405" s="14">
        <f t="shared" ca="1" si="9"/>
        <v>-4311.0325906511389</v>
      </c>
      <c r="V405">
        <v>-5459.1857276143855</v>
      </c>
    </row>
    <row r="406" spans="1:22" x14ac:dyDescent="0.2">
      <c r="A406" s="1">
        <f>Acciones!A406</f>
        <v>45586</v>
      </c>
      <c r="B406" s="29">
        <f>LN(Acciones!B406/Acciones!B405)</f>
        <v>-3.5858757328578537E-2</v>
      </c>
      <c r="C406" s="29">
        <f>LN(Acciones!C406/Acciones!C405)</f>
        <v>-5.9795597832929467E-3</v>
      </c>
      <c r="D406" s="29">
        <f>LN(Acciones!D406/Acciones!D405)</f>
        <v>-6.2365729504677558E-3</v>
      </c>
      <c r="E406" s="29">
        <f>LN(Acciones!E406/Acciones!E405)</f>
        <v>-0.121360832283448</v>
      </c>
      <c r="M406" s="30">
        <f ca="1">Acciones!$B$751*EXP((H$2-H$3/2)*(1)+H$4*_xlfn.NORM.S.INV(RAND())*SQRT(1))</f>
        <v>10.539908517193233</v>
      </c>
      <c r="N406" s="30">
        <f ca="1">Acciones!$C$751*EXP((I$2-I$3/2)*(1)+I$4*_xlfn.NORM.S.INV(RAND())*SQRT(1))</f>
        <v>149.93453658286685</v>
      </c>
      <c r="O406" s="30">
        <f ca="1">Acciones!$D$751*EXP((J$2-J$3/2)*(1)+J$4*_xlfn.NORM.S.INV(RAND())*SQRT(1))</f>
        <v>995.63675109115638</v>
      </c>
      <c r="P406" s="30">
        <f ca="1">Acciones!$E$751*EXP((K$2-K$3/2)*(1)+K$4*_xlfn.NORM.S.INV(RAND())*SQRT(1))</f>
        <v>0.13047008095477267</v>
      </c>
      <c r="Q406" s="30"/>
      <c r="R406">
        <f ca="1">M406/Acciones!$B$751*$I$10 + N406/Acciones!$C$751*$I$11 + O406/Acciones!$D$751*$I$12 + P406/Acciones!$D$751*$I$13</f>
        <v>22716.384365821068</v>
      </c>
      <c r="T406" s="14">
        <f t="shared" ca="1" si="9"/>
        <v>-5783.6156341789319</v>
      </c>
      <c r="V406">
        <v>-5458.4823725097885</v>
      </c>
    </row>
    <row r="407" spans="1:22" x14ac:dyDescent="0.2">
      <c r="A407" s="1">
        <f>Acciones!A407</f>
        <v>45587</v>
      </c>
      <c r="B407" s="29">
        <f>LN(Acciones!B407/Acciones!B406)</f>
        <v>9.3066248663713543E-3</v>
      </c>
      <c r="C407" s="29">
        <f>LN(Acciones!C407/Acciones!C406)</f>
        <v>1.2640922228909324E-2</v>
      </c>
      <c r="D407" s="29">
        <f>LN(Acciones!D407/Acciones!D406)</f>
        <v>-7.7364750523693394E-3</v>
      </c>
      <c r="E407" s="29">
        <f>LN(Acciones!E407/Acciones!E406)</f>
        <v>-6.6691410964250644E-2</v>
      </c>
      <c r="M407" s="30">
        <f ca="1">Acciones!$B$751*EXP((H$2-H$3/2)*(1)+H$4*_xlfn.NORM.S.INV(RAND())*SQRT(1))</f>
        <v>10.925246108511205</v>
      </c>
      <c r="N407" s="30">
        <f ca="1">Acciones!$C$751*EXP((I$2-I$3/2)*(1)+I$4*_xlfn.NORM.S.INV(RAND())*SQRT(1))</f>
        <v>147.55258690644959</v>
      </c>
      <c r="O407" s="30">
        <f ca="1">Acciones!$D$751*EXP((J$2-J$3/2)*(1)+J$4*_xlfn.NORM.S.INV(RAND())*SQRT(1))</f>
        <v>1001.4644247045693</v>
      </c>
      <c r="P407" s="30">
        <f ca="1">Acciones!$E$751*EXP((K$2-K$3/2)*(1)+K$4*_xlfn.NORM.S.INV(RAND())*SQRT(1))</f>
        <v>0.14304851517800138</v>
      </c>
      <c r="Q407" s="30"/>
      <c r="R407">
        <f ca="1">M407/Acciones!$B$751*$I$10 + N407/Acciones!$C$751*$I$11 + O407/Acciones!$D$751*$I$12 + P407/Acciones!$D$751*$I$13</f>
        <v>22749.7198801659</v>
      </c>
      <c r="T407" s="14">
        <f t="shared" ca="1" si="9"/>
        <v>-5750.2801198341003</v>
      </c>
      <c r="V407">
        <v>-5456.23523821852</v>
      </c>
    </row>
    <row r="408" spans="1:22" x14ac:dyDescent="0.2">
      <c r="A408" s="1">
        <f>Acciones!A408</f>
        <v>45588</v>
      </c>
      <c r="B408" s="29">
        <f>LN(Acciones!B408/Acciones!B407)</f>
        <v>-4.6961291592778509E-2</v>
      </c>
      <c r="C408" s="29">
        <f>LN(Acciones!C408/Acciones!C407)</f>
        <v>-5.3259036282170803E-2</v>
      </c>
      <c r="D408" s="29">
        <f>LN(Acciones!D408/Acciones!D407)</f>
        <v>-1.934619858261365E-2</v>
      </c>
      <c r="E408" s="29">
        <f>LN(Acciones!E408/Acciones!E407)</f>
        <v>-3.5091286779139662E-2</v>
      </c>
      <c r="M408" s="30">
        <f ca="1">Acciones!$B$751*EXP((H$2-H$3/2)*(1)+H$4*_xlfn.NORM.S.INV(RAND())*SQRT(1))</f>
        <v>11.002774718169933</v>
      </c>
      <c r="N408" s="30">
        <f ca="1">Acciones!$C$751*EXP((I$2-I$3/2)*(1)+I$4*_xlfn.NORM.S.INV(RAND())*SQRT(1))</f>
        <v>162.26970595626423</v>
      </c>
      <c r="O408" s="30">
        <f ca="1">Acciones!$D$751*EXP((J$2-J$3/2)*(1)+J$4*_xlfn.NORM.S.INV(RAND())*SQRT(1))</f>
        <v>1020.5085102666634</v>
      </c>
      <c r="P408" s="30">
        <f ca="1">Acciones!$E$751*EXP((K$2-K$3/2)*(1)+K$4*_xlfn.NORM.S.INV(RAND())*SQRT(1))</f>
        <v>0.1370748436474494</v>
      </c>
      <c r="Q408" s="30"/>
      <c r="R408">
        <f ca="1">M408/Acciones!$B$751*$I$10 + N408/Acciones!$C$751*$I$11 + O408/Acciones!$D$751*$I$12 + P408/Acciones!$D$751*$I$13</f>
        <v>23884.225510767013</v>
      </c>
      <c r="T408" s="14">
        <f t="shared" ca="1" si="9"/>
        <v>-4615.7744892329865</v>
      </c>
      <c r="V408">
        <v>-5456.1546687841292</v>
      </c>
    </row>
    <row r="409" spans="1:22" x14ac:dyDescent="0.2">
      <c r="A409" s="1">
        <f>Acciones!A409</f>
        <v>45589</v>
      </c>
      <c r="B409" s="29">
        <f>LN(Acciones!B409/Acciones!B408)</f>
        <v>-2.5756469376381423E-2</v>
      </c>
      <c r="C409" s="29">
        <f>LN(Acciones!C409/Acciones!C408)</f>
        <v>9.8665997641408203E-3</v>
      </c>
      <c r="D409" s="29">
        <f>LN(Acciones!D409/Acciones!D408)</f>
        <v>-1.1264527966321516E-2</v>
      </c>
      <c r="E409" s="29">
        <f>LN(Acciones!E409/Acciones!E408)</f>
        <v>-0.17520409581893229</v>
      </c>
      <c r="M409" s="30">
        <f ca="1">Acciones!$B$751*EXP((H$2-H$3/2)*(1)+H$4*_xlfn.NORM.S.INV(RAND())*SQRT(1))</f>
        <v>10.946187084760107</v>
      </c>
      <c r="N409" s="30">
        <f ca="1">Acciones!$C$751*EXP((I$2-I$3/2)*(1)+I$4*_xlfn.NORM.S.INV(RAND())*SQRT(1))</f>
        <v>156.46439736592762</v>
      </c>
      <c r="O409" s="30">
        <f ca="1">Acciones!$D$751*EXP((J$2-J$3/2)*(1)+J$4*_xlfn.NORM.S.INV(RAND())*SQRT(1))</f>
        <v>1017.4768460085996</v>
      </c>
      <c r="P409" s="30">
        <f ca="1">Acciones!$E$751*EXP((K$2-K$3/2)*(1)+K$4*_xlfn.NORM.S.INV(RAND())*SQRT(1))</f>
        <v>0.14387460294739926</v>
      </c>
      <c r="Q409" s="30"/>
      <c r="R409">
        <f ca="1">M409/Acciones!$B$751*$I$10 + N409/Acciones!$C$751*$I$11 + O409/Acciones!$D$751*$I$12 + P409/Acciones!$D$751*$I$13</f>
        <v>23473.268743635315</v>
      </c>
      <c r="T409" s="14">
        <f t="shared" ca="1" si="9"/>
        <v>-5026.7312563646847</v>
      </c>
      <c r="V409">
        <v>-5455.7560752892095</v>
      </c>
    </row>
    <row r="410" spans="1:22" x14ac:dyDescent="0.2">
      <c r="A410" s="1">
        <f>Acciones!A410</f>
        <v>45590</v>
      </c>
      <c r="B410" s="29">
        <f>LN(Acciones!B410/Acciones!B409)</f>
        <v>-2.2548347291240431E-2</v>
      </c>
      <c r="C410" s="29">
        <f>LN(Acciones!C410/Acciones!C409)</f>
        <v>-5.287690329750102E-2</v>
      </c>
      <c r="D410" s="29">
        <f>LN(Acciones!D410/Acciones!D409)</f>
        <v>5.1512544412278202E-4</v>
      </c>
      <c r="E410" s="29">
        <f>LN(Acciones!E410/Acciones!E409)</f>
        <v>4.1672718399676803E-2</v>
      </c>
      <c r="M410" s="30">
        <f ca="1">Acciones!$B$751*EXP((H$2-H$3/2)*(1)+H$4*_xlfn.NORM.S.INV(RAND())*SQRT(1))</f>
        <v>11.050640138147836</v>
      </c>
      <c r="N410" s="30">
        <f ca="1">Acciones!$C$751*EXP((I$2-I$3/2)*(1)+I$4*_xlfn.NORM.S.INV(RAND())*SQRT(1))</f>
        <v>162.98682018404429</v>
      </c>
      <c r="O410" s="30">
        <f ca="1">Acciones!$D$751*EXP((J$2-J$3/2)*(1)+J$4*_xlfn.NORM.S.INV(RAND())*SQRT(1))</f>
        <v>983.27547713261072</v>
      </c>
      <c r="P410" s="30">
        <f ca="1">Acciones!$E$751*EXP((K$2-K$3/2)*(1)+K$4*_xlfn.NORM.S.INV(RAND())*SQRT(1))</f>
        <v>0.12987539473111911</v>
      </c>
      <c r="Q410" s="30"/>
      <c r="R410">
        <f ca="1">M410/Acciones!$B$751*$I$10 + N410/Acciones!$C$751*$I$11 + O410/Acciones!$D$751*$I$12 + P410/Acciones!$D$751*$I$13</f>
        <v>23571.374884690398</v>
      </c>
      <c r="T410" s="14">
        <f t="shared" ca="1" si="9"/>
        <v>-4928.6251153096018</v>
      </c>
      <c r="V410">
        <v>-5451.4609285088045</v>
      </c>
    </row>
    <row r="411" spans="1:22" x14ac:dyDescent="0.2">
      <c r="A411" s="1">
        <f>Acciones!A411</f>
        <v>45593</v>
      </c>
      <c r="B411" s="29">
        <f>LN(Acciones!B411/Acciones!B410)</f>
        <v>-9.7088075344724169E-4</v>
      </c>
      <c r="C411" s="29">
        <f>LN(Acciones!C411/Acciones!C410)</f>
        <v>0.10906720884965387</v>
      </c>
      <c r="D411" s="29">
        <f>LN(Acciones!D411/Acciones!D410)</f>
        <v>9.4907388467176147E-3</v>
      </c>
      <c r="E411" s="29">
        <f>LN(Acciones!E411/Acciones!E410)</f>
        <v>2.0202687854780774E-2</v>
      </c>
      <c r="M411" s="30">
        <f ca="1">Acciones!$B$751*EXP((H$2-H$3/2)*(1)+H$4*_xlfn.NORM.S.INV(RAND())*SQRT(1))</f>
        <v>11.247253578142605</v>
      </c>
      <c r="N411" s="30">
        <f ca="1">Acciones!$C$751*EXP((I$2-I$3/2)*(1)+I$4*_xlfn.NORM.S.INV(RAND())*SQRT(1))</f>
        <v>141.3244973658058</v>
      </c>
      <c r="O411" s="30">
        <f ca="1">Acciones!$D$751*EXP((J$2-J$3/2)*(1)+J$4*_xlfn.NORM.S.INV(RAND())*SQRT(1))</f>
        <v>1003.1007537427048</v>
      </c>
      <c r="P411" s="30">
        <f ca="1">Acciones!$E$751*EXP((K$2-K$3/2)*(1)+K$4*_xlfn.NORM.S.INV(RAND())*SQRT(1))</f>
        <v>0.12399576587993519</v>
      </c>
      <c r="Q411" s="30"/>
      <c r="R411">
        <f ca="1">M411/Acciones!$B$751*$I$10 + N411/Acciones!$C$751*$I$11 + O411/Acciones!$D$751*$I$12 + P411/Acciones!$D$751*$I$13</f>
        <v>22480.435354397487</v>
      </c>
      <c r="T411" s="14">
        <f t="shared" ca="1" si="9"/>
        <v>-6019.5646456025133</v>
      </c>
      <c r="V411">
        <v>-5443.0960045285792</v>
      </c>
    </row>
    <row r="412" spans="1:22" x14ac:dyDescent="0.2">
      <c r="A412" s="1">
        <f>Acciones!A412</f>
        <v>45594</v>
      </c>
      <c r="B412" s="29">
        <f>LN(Acciones!B412/Acciones!B411)</f>
        <v>-2.1105083273630042E-2</v>
      </c>
      <c r="C412" s="29">
        <f>LN(Acciones!C412/Acciones!C411)</f>
        <v>-1.8107691624698792E-3</v>
      </c>
      <c r="D412" s="29">
        <f>LN(Acciones!D412/Acciones!D411)</f>
        <v>-6.4501137326099609E-3</v>
      </c>
      <c r="E412" s="29">
        <f>LN(Acciones!E412/Acciones!E411)</f>
        <v>0</v>
      </c>
      <c r="M412" s="30">
        <f ca="1">Acciones!$B$751*EXP((H$2-H$3/2)*(1)+H$4*_xlfn.NORM.S.INV(RAND())*SQRT(1))</f>
        <v>10.879324736291041</v>
      </c>
      <c r="N412" s="30">
        <f ca="1">Acciones!$C$751*EXP((I$2-I$3/2)*(1)+I$4*_xlfn.NORM.S.INV(RAND())*SQRT(1))</f>
        <v>156.41611617188158</v>
      </c>
      <c r="O412" s="30">
        <f ca="1">Acciones!$D$751*EXP((J$2-J$3/2)*(1)+J$4*_xlfn.NORM.S.INV(RAND())*SQRT(1))</f>
        <v>1013.9023370502446</v>
      </c>
      <c r="P412" s="30">
        <f ca="1">Acciones!$E$751*EXP((K$2-K$3/2)*(1)+K$4*_xlfn.NORM.S.INV(RAND())*SQRT(1))</f>
        <v>0.13160438622836562</v>
      </c>
      <c r="Q412" s="30"/>
      <c r="R412">
        <f ca="1">M412/Acciones!$B$751*$I$10 + N412/Acciones!$C$751*$I$11 + O412/Acciones!$D$751*$I$12 + P412/Acciones!$D$751*$I$13</f>
        <v>23412.932855470983</v>
      </c>
      <c r="T412" s="14">
        <f t="shared" ca="1" si="9"/>
        <v>-5087.0671445290172</v>
      </c>
      <c r="V412">
        <v>-5443.0885959557854</v>
      </c>
    </row>
    <row r="413" spans="1:22" x14ac:dyDescent="0.2">
      <c r="A413" s="1">
        <f>Acciones!A413</f>
        <v>45595</v>
      </c>
      <c r="B413" s="29">
        <f>LN(Acciones!B413/Acciones!B412)</f>
        <v>1.1834445049064779E-2</v>
      </c>
      <c r="C413" s="29">
        <f>LN(Acciones!C413/Acciones!C412)</f>
        <v>-2.2472236436804145E-2</v>
      </c>
      <c r="D413" s="29">
        <f>LN(Acciones!D413/Acciones!D412)</f>
        <v>-2.1979139250176909E-2</v>
      </c>
      <c r="E413" s="29">
        <f>LN(Acciones!E413/Acciones!E412)</f>
        <v>3.9220676473496023E-2</v>
      </c>
      <c r="M413" s="30">
        <f ca="1">Acciones!$B$751*EXP((H$2-H$3/2)*(1)+H$4*_xlfn.NORM.S.INV(RAND())*SQRT(1))</f>
        <v>10.914585357472419</v>
      </c>
      <c r="N413" s="30">
        <f ca="1">Acciones!$C$751*EXP((I$2-I$3/2)*(1)+I$4*_xlfn.NORM.S.INV(RAND())*SQRT(1))</f>
        <v>162.57842515931691</v>
      </c>
      <c r="O413" s="30">
        <f ca="1">Acciones!$D$751*EXP((J$2-J$3/2)*(1)+J$4*_xlfn.NORM.S.INV(RAND())*SQRT(1))</f>
        <v>977.64893540610569</v>
      </c>
      <c r="P413" s="30">
        <f ca="1">Acciones!$E$751*EXP((K$2-K$3/2)*(1)+K$4*_xlfn.NORM.S.INV(RAND())*SQRT(1))</f>
        <v>0.1307789830345244</v>
      </c>
      <c r="Q413" s="30"/>
      <c r="R413">
        <f ca="1">M413/Acciones!$B$751*$I$10 + N413/Acciones!$C$751*$I$11 + O413/Acciones!$D$751*$I$12 + P413/Acciones!$D$751*$I$13</f>
        <v>23445.875219432299</v>
      </c>
      <c r="T413" s="14">
        <f t="shared" ca="1" si="9"/>
        <v>-5054.1247805677012</v>
      </c>
      <c r="V413">
        <v>-5442.9529820897151</v>
      </c>
    </row>
    <row r="414" spans="1:22" x14ac:dyDescent="0.2">
      <c r="A414" s="1">
        <f>Acciones!A414</f>
        <v>45596</v>
      </c>
      <c r="B414" s="29">
        <f>LN(Acciones!B414/Acciones!B413)</f>
        <v>1.4694704024822013E-3</v>
      </c>
      <c r="C414" s="29">
        <f>LN(Acciones!C414/Acciones!C413)</f>
        <v>-9.5632631860908729E-2</v>
      </c>
      <c r="D414" s="29">
        <f>LN(Acciones!D414/Acciones!D413)</f>
        <v>-3.563345113542653E-3</v>
      </c>
      <c r="E414" s="29">
        <f>LN(Acciones!E414/Acciones!E413)</f>
        <v>0</v>
      </c>
      <c r="M414" s="30">
        <f ca="1">Acciones!$B$751*EXP((H$2-H$3/2)*(1)+H$4*_xlfn.NORM.S.INV(RAND())*SQRT(1))</f>
        <v>10.864622658743981</v>
      </c>
      <c r="N414" s="30">
        <f ca="1">Acciones!$C$751*EXP((I$2-I$3/2)*(1)+I$4*_xlfn.NORM.S.INV(RAND())*SQRT(1))</f>
        <v>152.09486609298324</v>
      </c>
      <c r="O414" s="30">
        <f ca="1">Acciones!$D$751*EXP((J$2-J$3/2)*(1)+J$4*_xlfn.NORM.S.INV(RAND())*SQRT(1))</f>
        <v>952.96853637190418</v>
      </c>
      <c r="P414" s="30">
        <f ca="1">Acciones!$E$751*EXP((K$2-K$3/2)*(1)+K$4*_xlfn.NORM.S.INV(RAND())*SQRT(1))</f>
        <v>0.1233712921494851</v>
      </c>
      <c r="Q414" s="30"/>
      <c r="R414">
        <f ca="1">M414/Acciones!$B$751*$I$10 + N414/Acciones!$C$751*$I$11 + O414/Acciones!$D$751*$I$12 + P414/Acciones!$D$751*$I$13</f>
        <v>22528.020124819664</v>
      </c>
      <c r="T414" s="14">
        <f t="shared" ca="1" si="9"/>
        <v>-5971.9798751803355</v>
      </c>
      <c r="V414">
        <v>-5441.9207009682395</v>
      </c>
    </row>
    <row r="415" spans="1:22" x14ac:dyDescent="0.2">
      <c r="A415" s="1">
        <f>Acciones!A415</f>
        <v>45597</v>
      </c>
      <c r="B415" s="29">
        <f>LN(Acciones!B415/Acciones!B414)</f>
        <v>1.4674101476009336E-3</v>
      </c>
      <c r="C415" s="29">
        <f>LN(Acciones!C415/Acciones!C414)</f>
        <v>-2.9822516834053937E-2</v>
      </c>
      <c r="D415" s="29">
        <f>LN(Acciones!D415/Acciones!D414)</f>
        <v>2.6701523877412765E-2</v>
      </c>
      <c r="E415" s="29">
        <f>LN(Acciones!E415/Acciones!E414)</f>
        <v>0</v>
      </c>
      <c r="M415" s="30">
        <f ca="1">Acciones!$B$751*EXP((H$2-H$3/2)*(1)+H$4*_xlfn.NORM.S.INV(RAND())*SQRT(1))</f>
        <v>11.147878642748628</v>
      </c>
      <c r="N415" s="30">
        <f ca="1">Acciones!$C$751*EXP((I$2-I$3/2)*(1)+I$4*_xlfn.NORM.S.INV(RAND())*SQRT(1))</f>
        <v>143.90164419490594</v>
      </c>
      <c r="O415" s="30">
        <f ca="1">Acciones!$D$751*EXP((J$2-J$3/2)*(1)+J$4*_xlfn.NORM.S.INV(RAND())*SQRT(1))</f>
        <v>1003.4700188877932</v>
      </c>
      <c r="P415" s="30">
        <f ca="1">Acciones!$E$751*EXP((K$2-K$3/2)*(1)+K$4*_xlfn.NORM.S.INV(RAND())*SQRT(1))</f>
        <v>0.13703060305968498</v>
      </c>
      <c r="Q415" s="30"/>
      <c r="R415">
        <f ca="1">M415/Acciones!$B$751*$I$10 + N415/Acciones!$C$751*$I$11 + O415/Acciones!$D$751*$I$12 + P415/Acciones!$D$751*$I$13</f>
        <v>22613.238633299152</v>
      </c>
      <c r="T415" s="14">
        <f t="shared" ca="1" si="9"/>
        <v>-5886.7613667008482</v>
      </c>
      <c r="V415">
        <v>-5439.8084771558533</v>
      </c>
    </row>
    <row r="416" spans="1:22" x14ac:dyDescent="0.2">
      <c r="A416" s="1">
        <f>Acciones!A416</f>
        <v>45600</v>
      </c>
      <c r="B416" s="29">
        <f>LN(Acciones!B416/Acciones!B415)</f>
        <v>-3.9177605919178378E-3</v>
      </c>
      <c r="C416" s="29">
        <f>LN(Acciones!C416/Acciones!C415)</f>
        <v>-4.806705049211573E-2</v>
      </c>
      <c r="D416" s="29">
        <f>LN(Acciones!D416/Acciones!D415)</f>
        <v>-1.7433704237928487E-2</v>
      </c>
      <c r="E416" s="29">
        <f>LN(Acciones!E416/Acciones!E415)</f>
        <v>1.9048177668912099E-2</v>
      </c>
      <c r="M416" s="30">
        <f ca="1">Acciones!$B$751*EXP((H$2-H$3/2)*(1)+H$4*_xlfn.NORM.S.INV(RAND())*SQRT(1))</f>
        <v>11.003580655414394</v>
      </c>
      <c r="N416" s="30">
        <f ca="1">Acciones!$C$751*EXP((I$2-I$3/2)*(1)+I$4*_xlfn.NORM.S.INV(RAND())*SQRT(1))</f>
        <v>149.56202371126375</v>
      </c>
      <c r="O416" s="30">
        <f ca="1">Acciones!$D$751*EXP((J$2-J$3/2)*(1)+J$4*_xlfn.NORM.S.INV(RAND())*SQRT(1))</f>
        <v>999.68643941830442</v>
      </c>
      <c r="P416" s="30">
        <f ca="1">Acciones!$E$751*EXP((K$2-K$3/2)*(1)+K$4*_xlfn.NORM.S.INV(RAND())*SQRT(1))</f>
        <v>0.12504170995778802</v>
      </c>
      <c r="Q416" s="30"/>
      <c r="R416">
        <f ca="1">M416/Acciones!$B$751*$I$10 + N416/Acciones!$C$751*$I$11 + O416/Acciones!$D$751*$I$12 + P416/Acciones!$D$751*$I$13</f>
        <v>22882.407850245603</v>
      </c>
      <c r="T416" s="14">
        <f t="shared" ca="1" si="9"/>
        <v>-5617.5921497543968</v>
      </c>
      <c r="V416">
        <v>-5439.7551376997872</v>
      </c>
    </row>
    <row r="417" spans="1:22" x14ac:dyDescent="0.2">
      <c r="A417" s="1">
        <f>Acciones!A417</f>
        <v>45601</v>
      </c>
      <c r="B417" s="29">
        <f>LN(Acciones!B417/Acciones!B416)</f>
        <v>-2.2829743152443103E-2</v>
      </c>
      <c r="C417" s="29">
        <f>LN(Acciones!C417/Acciones!C416)</f>
        <v>3.8027792202023292E-2</v>
      </c>
      <c r="D417" s="29">
        <f>LN(Acciones!D417/Acciones!D416)</f>
        <v>5.5761510005811468E-3</v>
      </c>
      <c r="E417" s="29">
        <f>LN(Acciones!E417/Acciones!E416)</f>
        <v>1.8692226730148885E-2</v>
      </c>
      <c r="M417" s="30">
        <f ca="1">Acciones!$B$751*EXP((H$2-H$3/2)*(1)+H$4*_xlfn.NORM.S.INV(RAND())*SQRT(1))</f>
        <v>11.316808509979708</v>
      </c>
      <c r="N417" s="30">
        <f ca="1">Acciones!$C$751*EXP((I$2-I$3/2)*(1)+I$4*_xlfn.NORM.S.INV(RAND())*SQRT(1))</f>
        <v>133.20740532953386</v>
      </c>
      <c r="O417" s="30">
        <f ca="1">Acciones!$D$751*EXP((J$2-J$3/2)*(1)+J$4*_xlfn.NORM.S.INV(RAND())*SQRT(1))</f>
        <v>975.45233188933378</v>
      </c>
      <c r="P417" s="30">
        <f ca="1">Acciones!$E$751*EXP((K$2-K$3/2)*(1)+K$4*_xlfn.NORM.S.INV(RAND())*SQRT(1))</f>
        <v>0.12236936873690421</v>
      </c>
      <c r="Q417" s="30"/>
      <c r="R417">
        <f ca="1">M417/Acciones!$B$751*$I$10 + N417/Acciones!$C$751*$I$11 + O417/Acciones!$D$751*$I$12 + P417/Acciones!$D$751*$I$13</f>
        <v>21718.983551265097</v>
      </c>
      <c r="T417" s="14">
        <f t="shared" ca="1" si="9"/>
        <v>-6781.016448734903</v>
      </c>
      <c r="V417">
        <v>-5438.7326278698201</v>
      </c>
    </row>
    <row r="418" spans="1:22" x14ac:dyDescent="0.2">
      <c r="A418" s="1">
        <f>Acciones!A418</f>
        <v>45602</v>
      </c>
      <c r="B418" s="29">
        <f>LN(Acciones!B418/Acciones!B417)</f>
        <v>2.4790542053179307E-2</v>
      </c>
      <c r="C418" s="29">
        <f>LN(Acciones!C418/Acciones!C417)</f>
        <v>0.17463758794842132</v>
      </c>
      <c r="D418" s="29">
        <f>LN(Acciones!D418/Acciones!D417)</f>
        <v>-2.8545902408328938E-2</v>
      </c>
      <c r="E418" s="29">
        <f>LN(Acciones!E418/Acciones!E417)</f>
        <v>0</v>
      </c>
      <c r="M418" s="30">
        <f ca="1">Acciones!$B$751*EXP((H$2-H$3/2)*(1)+H$4*_xlfn.NORM.S.INV(RAND())*SQRT(1))</f>
        <v>10.979322506161635</v>
      </c>
      <c r="N418" s="30">
        <f ca="1">Acciones!$C$751*EXP((I$2-I$3/2)*(1)+I$4*_xlfn.NORM.S.INV(RAND())*SQRT(1))</f>
        <v>153.82221100087219</v>
      </c>
      <c r="O418" s="30">
        <f ca="1">Acciones!$D$751*EXP((J$2-J$3/2)*(1)+J$4*_xlfn.NORM.S.INV(RAND())*SQRT(1))</f>
        <v>1022.2821302999776</v>
      </c>
      <c r="P418" s="30">
        <f ca="1">Acciones!$E$751*EXP((K$2-K$3/2)*(1)+K$4*_xlfn.NORM.S.INV(RAND())*SQRT(1))</f>
        <v>0.12307633380967019</v>
      </c>
      <c r="Q418" s="30"/>
      <c r="R418">
        <f ca="1">M418/Acciones!$B$751*$I$10 + N418/Acciones!$C$751*$I$11 + O418/Acciones!$D$751*$I$12 + P418/Acciones!$D$751*$I$13</f>
        <v>23366.942155694553</v>
      </c>
      <c r="T418" s="14">
        <f t="shared" ca="1" si="9"/>
        <v>-5133.0578443054474</v>
      </c>
      <c r="V418">
        <v>-5437.6409032319025</v>
      </c>
    </row>
    <row r="419" spans="1:22" x14ac:dyDescent="0.2">
      <c r="A419" s="1">
        <f>Acciones!A419</f>
        <v>45603</v>
      </c>
      <c r="B419" s="29">
        <f>LN(Acciones!B419/Acciones!B418)</f>
        <v>7.3163084115108495E-2</v>
      </c>
      <c r="C419" s="29">
        <f>LN(Acciones!C419/Acciones!C418)</f>
        <v>-1.3785756249717259E-2</v>
      </c>
      <c r="D419" s="29">
        <f>LN(Acciones!D419/Acciones!D418)</f>
        <v>-2.6004804518053081E-3</v>
      </c>
      <c r="E419" s="29">
        <f>LN(Acciones!E419/Acciones!E418)</f>
        <v>7.3801219066002783E-3</v>
      </c>
      <c r="M419" s="30">
        <f ca="1">Acciones!$B$751*EXP((H$2-H$3/2)*(1)+H$4*_xlfn.NORM.S.INV(RAND())*SQRT(1))</f>
        <v>10.651471760133129</v>
      </c>
      <c r="N419" s="30">
        <f ca="1">Acciones!$C$751*EXP((I$2-I$3/2)*(1)+I$4*_xlfn.NORM.S.INV(RAND())*SQRT(1))</f>
        <v>152.4224900796045</v>
      </c>
      <c r="O419" s="30">
        <f ca="1">Acciones!$D$751*EXP((J$2-J$3/2)*(1)+J$4*_xlfn.NORM.S.INV(RAND())*SQRT(1))</f>
        <v>979.47158566105884</v>
      </c>
      <c r="P419" s="30">
        <f ca="1">Acciones!$E$751*EXP((K$2-K$3/2)*(1)+K$4*_xlfn.NORM.S.INV(RAND())*SQRT(1))</f>
        <v>0.12533779308141157</v>
      </c>
      <c r="Q419" s="30"/>
      <c r="R419">
        <f ca="1">M419/Acciones!$B$751*$I$10 + N419/Acciones!$C$751*$I$11 + O419/Acciones!$D$751*$I$12 + P419/Acciones!$D$751*$I$13</f>
        <v>22745.572916058816</v>
      </c>
      <c r="T419" s="14">
        <f t="shared" ca="1" si="9"/>
        <v>-5754.4270839411838</v>
      </c>
      <c r="V419">
        <v>-5435.9478907418415</v>
      </c>
    </row>
    <row r="420" spans="1:22" x14ac:dyDescent="0.2">
      <c r="A420" s="1">
        <f>Acciones!A420</f>
        <v>45604</v>
      </c>
      <c r="B420" s="29">
        <f>LN(Acciones!B420/Acciones!B419)</f>
        <v>-7.4143002974009928E-2</v>
      </c>
      <c r="C420" s="29">
        <f>LN(Acciones!C420/Acciones!C419)</f>
        <v>1.2182872926304208E-2</v>
      </c>
      <c r="D420" s="29">
        <f>LN(Acciones!D420/Acciones!D419)</f>
        <v>1.3013645054426487E-2</v>
      </c>
      <c r="E420" s="29">
        <f>LN(Acciones!E420/Acciones!E419)</f>
        <v>0</v>
      </c>
      <c r="M420" s="30">
        <f ca="1">Acciones!$B$751*EXP((H$2-H$3/2)*(1)+H$4*_xlfn.NORM.S.INV(RAND())*SQRT(1))</f>
        <v>10.593720132278911</v>
      </c>
      <c r="N420" s="30">
        <f ca="1">Acciones!$C$751*EXP((I$2-I$3/2)*(1)+I$4*_xlfn.NORM.S.INV(RAND())*SQRT(1))</f>
        <v>145.677079592398</v>
      </c>
      <c r="O420" s="30">
        <f ca="1">Acciones!$D$751*EXP((J$2-J$3/2)*(1)+J$4*_xlfn.NORM.S.INV(RAND())*SQRT(1))</f>
        <v>994.51978661687087</v>
      </c>
      <c r="P420" s="30">
        <f ca="1">Acciones!$E$751*EXP((K$2-K$3/2)*(1)+K$4*_xlfn.NORM.S.INV(RAND())*SQRT(1))</f>
        <v>0.11907641481181612</v>
      </c>
      <c r="Q420" s="30"/>
      <c r="R420">
        <f ca="1">M420/Acciones!$B$751*$I$10 + N420/Acciones!$C$751*$I$11 + O420/Acciones!$D$751*$I$12 + P420/Acciones!$D$751*$I$13</f>
        <v>22456.567984405454</v>
      </c>
      <c r="T420" s="14">
        <f t="shared" ca="1" si="9"/>
        <v>-6043.4320155945461</v>
      </c>
      <c r="V420">
        <v>-5434.0152635314407</v>
      </c>
    </row>
    <row r="421" spans="1:22" x14ac:dyDescent="0.2">
      <c r="A421" s="1">
        <f>Acciones!A421</f>
        <v>45607</v>
      </c>
      <c r="B421" s="29">
        <f>LN(Acciones!B421/Acciones!B420)</f>
        <v>-1.4317653341578092E-2</v>
      </c>
      <c r="C421" s="29">
        <f>LN(Acciones!C421/Acciones!C420)</f>
        <v>0.2769124987931964</v>
      </c>
      <c r="D421" s="29">
        <f>LN(Acciones!D421/Acciones!D420)</f>
        <v>1.4583882034807797E-2</v>
      </c>
      <c r="E421" s="29">
        <f>LN(Acciones!E421/Acciones!E420)</f>
        <v>0</v>
      </c>
      <c r="M421" s="30">
        <f ca="1">Acciones!$B$751*EXP((H$2-H$3/2)*(1)+H$4*_xlfn.NORM.S.INV(RAND())*SQRT(1))</f>
        <v>11.2097904653667</v>
      </c>
      <c r="N421" s="30">
        <f ca="1">Acciones!$C$751*EXP((I$2-I$3/2)*(1)+I$4*_xlfn.NORM.S.INV(RAND())*SQRT(1))</f>
        <v>153.65012396229102</v>
      </c>
      <c r="O421" s="30">
        <f ca="1">Acciones!$D$751*EXP((J$2-J$3/2)*(1)+J$4*_xlfn.NORM.S.INV(RAND())*SQRT(1))</f>
        <v>998.44062350079628</v>
      </c>
      <c r="P421" s="30">
        <f ca="1">Acciones!$E$751*EXP((K$2-K$3/2)*(1)+K$4*_xlfn.NORM.S.INV(RAND())*SQRT(1))</f>
        <v>0.13412770319273182</v>
      </c>
      <c r="Q421" s="30"/>
      <c r="R421">
        <f ca="1">M421/Acciones!$B$751*$I$10 + N421/Acciones!$C$751*$I$11 + O421/Acciones!$D$751*$I$12 + P421/Acciones!$D$751*$I$13</f>
        <v>23191.387129995921</v>
      </c>
      <c r="T421" s="14">
        <f t="shared" ca="1" si="9"/>
        <v>-5308.612870004079</v>
      </c>
      <c r="V421">
        <v>-5433.6453209112005</v>
      </c>
    </row>
    <row r="422" spans="1:22" x14ac:dyDescent="0.2">
      <c r="A422" s="1">
        <f>Acciones!A422</f>
        <v>45608</v>
      </c>
      <c r="B422" s="29">
        <f>LN(Acciones!B422/Acciones!B421)</f>
        <v>-1.04974974078328E-2</v>
      </c>
      <c r="C422" s="29">
        <f>LN(Acciones!C422/Acciones!C421)</f>
        <v>1.9618064351551143E-2</v>
      </c>
      <c r="D422" s="29">
        <f>LN(Acciones!D422/Acciones!D421)</f>
        <v>1.3213698557701022E-2</v>
      </c>
      <c r="E422" s="29">
        <f>LN(Acciones!E422/Acciones!E421)</f>
        <v>0</v>
      </c>
      <c r="M422" s="30">
        <f ca="1">Acciones!$B$751*EXP((H$2-H$3/2)*(1)+H$4*_xlfn.NORM.S.INV(RAND())*SQRT(1))</f>
        <v>11.100975553848778</v>
      </c>
      <c r="N422" s="30">
        <f ca="1">Acciones!$C$751*EXP((I$2-I$3/2)*(1)+I$4*_xlfn.NORM.S.INV(RAND())*SQRT(1))</f>
        <v>148.88242767308134</v>
      </c>
      <c r="O422" s="30">
        <f ca="1">Acciones!$D$751*EXP((J$2-J$3/2)*(1)+J$4*_xlfn.NORM.S.INV(RAND())*SQRT(1))</f>
        <v>978.75793215977581</v>
      </c>
      <c r="P422" s="30">
        <f ca="1">Acciones!$E$751*EXP((K$2-K$3/2)*(1)+K$4*_xlfn.NORM.S.INV(RAND())*SQRT(1))</f>
        <v>0.12434133645375776</v>
      </c>
      <c r="Q422" s="30"/>
      <c r="R422">
        <f ca="1">M422/Acciones!$B$751*$I$10 + N422/Acciones!$C$751*$I$11 + O422/Acciones!$D$751*$I$12 + P422/Acciones!$D$751*$I$13</f>
        <v>22661.587171935036</v>
      </c>
      <c r="T422" s="14">
        <f t="shared" ca="1" si="9"/>
        <v>-5838.4128280649638</v>
      </c>
      <c r="V422">
        <v>-5429.6913737977738</v>
      </c>
    </row>
    <row r="423" spans="1:22" x14ac:dyDescent="0.2">
      <c r="A423" s="1">
        <f>Acciones!A423</f>
        <v>45609</v>
      </c>
      <c r="B423" s="29">
        <f>LN(Acciones!B423/Acciones!B422)</f>
        <v>-1.0101068453116256E-2</v>
      </c>
      <c r="C423" s="29">
        <f>LN(Acciones!C423/Acciones!C422)</f>
        <v>-0.1543719503777472</v>
      </c>
      <c r="D423" s="29">
        <f>LN(Acciones!D423/Acciones!D422)</f>
        <v>-3.4702025542781125E-3</v>
      </c>
      <c r="E423" s="29">
        <f>LN(Acciones!E423/Acciones!E422)</f>
        <v>0</v>
      </c>
      <c r="M423" s="30">
        <f ca="1">Acciones!$B$751*EXP((H$2-H$3/2)*(1)+H$4*_xlfn.NORM.S.INV(RAND())*SQRT(1))</f>
        <v>10.527078139961247</v>
      </c>
      <c r="N423" s="30">
        <f ca="1">Acciones!$C$751*EXP((I$2-I$3/2)*(1)+I$4*_xlfn.NORM.S.INV(RAND())*SQRT(1))</f>
        <v>164.83524427835718</v>
      </c>
      <c r="O423" s="30">
        <f ca="1">Acciones!$D$751*EXP((J$2-J$3/2)*(1)+J$4*_xlfn.NORM.S.INV(RAND())*SQRT(1))</f>
        <v>972.4282211677754</v>
      </c>
      <c r="P423" s="30">
        <f ca="1">Acciones!$E$751*EXP((K$2-K$3/2)*(1)+K$4*_xlfn.NORM.S.INV(RAND())*SQRT(1))</f>
        <v>0.12406420230804842</v>
      </c>
      <c r="Q423" s="30"/>
      <c r="R423">
        <f ca="1">M423/Acciones!$B$751*$I$10 + N423/Acciones!$C$751*$I$11 + O423/Acciones!$D$751*$I$12 + P423/Acciones!$D$751*$I$13</f>
        <v>23410.14259207197</v>
      </c>
      <c r="T423" s="14">
        <f t="shared" ca="1" si="9"/>
        <v>-5089.8574079280297</v>
      </c>
      <c r="V423">
        <v>-5428.9471759875123</v>
      </c>
    </row>
    <row r="424" spans="1:22" x14ac:dyDescent="0.2">
      <c r="A424" s="1">
        <f>Acciones!A424</f>
        <v>45610</v>
      </c>
      <c r="B424" s="29">
        <f>LN(Acciones!B424/Acciones!B423)</f>
        <v>0</v>
      </c>
      <c r="C424" s="29">
        <f>LN(Acciones!C424/Acciones!C423)</f>
        <v>-5.1916066953307125E-2</v>
      </c>
      <c r="D424" s="29">
        <f>LN(Acciones!D424/Acciones!D423)</f>
        <v>-1.2705269896179617E-2</v>
      </c>
      <c r="E424" s="29">
        <f>LN(Acciones!E424/Acciones!E423)</f>
        <v>-7.3801219066003251E-3</v>
      </c>
      <c r="M424" s="30">
        <f ca="1">Acciones!$B$751*EXP((H$2-H$3/2)*(1)+H$4*_xlfn.NORM.S.INV(RAND())*SQRT(1))</f>
        <v>10.721932293742986</v>
      </c>
      <c r="N424" s="30">
        <f ca="1">Acciones!$C$751*EXP((I$2-I$3/2)*(1)+I$4*_xlfn.NORM.S.INV(RAND())*SQRT(1))</f>
        <v>157.85215485285192</v>
      </c>
      <c r="O424" s="30">
        <f ca="1">Acciones!$D$751*EXP((J$2-J$3/2)*(1)+J$4*_xlfn.NORM.S.INV(RAND())*SQRT(1))</f>
        <v>1025.9266065917957</v>
      </c>
      <c r="P424" s="30">
        <f ca="1">Acciones!$E$751*EXP((K$2-K$3/2)*(1)+K$4*_xlfn.NORM.S.INV(RAND())*SQRT(1))</f>
        <v>0.12708518236031843</v>
      </c>
      <c r="Q424" s="30"/>
      <c r="R424">
        <f ca="1">M424/Acciones!$B$751*$I$10 + N424/Acciones!$C$751*$I$11 + O424/Acciones!$D$751*$I$12 + P424/Acciones!$D$751*$I$13</f>
        <v>23572.51958019186</v>
      </c>
      <c r="T424" s="14">
        <f t="shared" ca="1" si="9"/>
        <v>-4927.4804198081401</v>
      </c>
      <c r="V424">
        <v>-5426.4142521767899</v>
      </c>
    </row>
    <row r="425" spans="1:22" x14ac:dyDescent="0.2">
      <c r="A425" s="1">
        <f>Acciones!A425</f>
        <v>45611</v>
      </c>
      <c r="B425" s="29">
        <f>LN(Acciones!B425/Acciones!B424)</f>
        <v>-1.123041741030314E-2</v>
      </c>
      <c r="C425" s="29">
        <f>LN(Acciones!C425/Acciones!C424)</f>
        <v>1.3851994929409606E-2</v>
      </c>
      <c r="D425" s="29">
        <f>LN(Acciones!D425/Acciones!D424)</f>
        <v>1.3532660807036707E-2</v>
      </c>
      <c r="E425" s="29">
        <f>LN(Acciones!E425/Acciones!E424)</f>
        <v>0</v>
      </c>
      <c r="M425" s="30">
        <f ca="1">Acciones!$B$751*EXP((H$2-H$3/2)*(1)+H$4*_xlfn.NORM.S.INV(RAND())*SQRT(1))</f>
        <v>10.712990077478869</v>
      </c>
      <c r="N425" s="30">
        <f ca="1">Acciones!$C$751*EXP((I$2-I$3/2)*(1)+I$4*_xlfn.NORM.S.INV(RAND())*SQRT(1))</f>
        <v>146.81098117790444</v>
      </c>
      <c r="O425" s="30">
        <f ca="1">Acciones!$D$751*EXP((J$2-J$3/2)*(1)+J$4*_xlfn.NORM.S.INV(RAND())*SQRT(1))</f>
        <v>998.90068041001507</v>
      </c>
      <c r="P425" s="30">
        <f ca="1">Acciones!$E$751*EXP((K$2-K$3/2)*(1)+K$4*_xlfn.NORM.S.INV(RAND())*SQRT(1))</f>
        <v>0.12190770677856401</v>
      </c>
      <c r="Q425" s="30"/>
      <c r="R425">
        <f ca="1">M425/Acciones!$B$751*$I$10 + N425/Acciones!$C$751*$I$11 + O425/Acciones!$D$751*$I$12 + P425/Acciones!$D$751*$I$13</f>
        <v>22609.526055936738</v>
      </c>
      <c r="T425" s="14">
        <f t="shared" ca="1" si="9"/>
        <v>-5890.473944063262</v>
      </c>
      <c r="V425">
        <v>-5425.2227234702696</v>
      </c>
    </row>
    <row r="426" spans="1:22" x14ac:dyDescent="0.2">
      <c r="A426" s="1">
        <f>Acciones!A426</f>
        <v>45615</v>
      </c>
      <c r="B426" s="29">
        <f>LN(Acciones!B426/Acciones!B425)</f>
        <v>-9.2831673295874079E-3</v>
      </c>
      <c r="C426" s="29">
        <f>LN(Acciones!C426/Acciones!C425)</f>
        <v>-7.1838161756523425E-2</v>
      </c>
      <c r="D426" s="29">
        <f>LN(Acciones!D426/Acciones!D425)</f>
        <v>-5.6597214090094529E-2</v>
      </c>
      <c r="E426" s="29">
        <f>LN(Acciones!E426/Acciones!E425)</f>
        <v>-3.0077515903584782E-2</v>
      </c>
      <c r="M426" s="30">
        <f ca="1">Acciones!$B$751*EXP((H$2-H$3/2)*(1)+H$4*_xlfn.NORM.S.INV(RAND())*SQRT(1))</f>
        <v>10.557371643069629</v>
      </c>
      <c r="N426" s="30">
        <f ca="1">Acciones!$C$751*EXP((I$2-I$3/2)*(1)+I$4*_xlfn.NORM.S.INV(RAND())*SQRT(1))</f>
        <v>142.99316047061328</v>
      </c>
      <c r="O426" s="30">
        <f ca="1">Acciones!$D$751*EXP((J$2-J$3/2)*(1)+J$4*_xlfn.NORM.S.INV(RAND())*SQRT(1))</f>
        <v>970.76808212614503</v>
      </c>
      <c r="P426" s="30">
        <f ca="1">Acciones!$E$751*EXP((K$2-K$3/2)*(1)+K$4*_xlfn.NORM.S.INV(RAND())*SQRT(1))</f>
        <v>0.11174094356690223</v>
      </c>
      <c r="Q426" s="30"/>
      <c r="R426">
        <f ca="1">M426/Acciones!$B$751*$I$10 + N426/Acciones!$C$751*$I$11 + O426/Acciones!$D$751*$I$12 + P426/Acciones!$D$751*$I$13</f>
        <v>22039.379944172229</v>
      </c>
      <c r="T426" s="14">
        <f t="shared" ca="1" si="9"/>
        <v>-6460.6200558277706</v>
      </c>
      <c r="V426">
        <v>-5422.2051406931678</v>
      </c>
    </row>
    <row r="427" spans="1:22" x14ac:dyDescent="0.2">
      <c r="A427" s="1">
        <f>Acciones!A427</f>
        <v>45616</v>
      </c>
      <c r="B427" s="29">
        <f>LN(Acciones!B427/Acciones!B426)</f>
        <v>-5.1566036000847443E-2</v>
      </c>
      <c r="C427" s="29">
        <f>LN(Acciones!C427/Acciones!C426)</f>
        <v>0.14737070998248214</v>
      </c>
      <c r="D427" s="29">
        <f>LN(Acciones!D427/Acciones!D426)</f>
        <v>-5.075245561325748E-3</v>
      </c>
      <c r="E427" s="29">
        <f>LN(Acciones!E427/Acciones!E426)</f>
        <v>0</v>
      </c>
      <c r="M427" s="30">
        <f ca="1">Acciones!$B$751*EXP((H$2-H$3/2)*(1)+H$4*_xlfn.NORM.S.INV(RAND())*SQRT(1))</f>
        <v>10.903910524738819</v>
      </c>
      <c r="N427" s="30">
        <f ca="1">Acciones!$C$751*EXP((I$2-I$3/2)*(1)+I$4*_xlfn.NORM.S.INV(RAND())*SQRT(1))</f>
        <v>138.86135958384389</v>
      </c>
      <c r="O427" s="30">
        <f ca="1">Acciones!$D$751*EXP((J$2-J$3/2)*(1)+J$4*_xlfn.NORM.S.INV(RAND())*SQRT(1))</f>
        <v>949.83388449291147</v>
      </c>
      <c r="P427" s="30">
        <f ca="1">Acciones!$E$751*EXP((K$2-K$3/2)*(1)+K$4*_xlfn.NORM.S.INV(RAND())*SQRT(1))</f>
        <v>0.12494096284376685</v>
      </c>
      <c r="Q427" s="30"/>
      <c r="R427">
        <f ca="1">M427/Acciones!$B$751*$I$10 + N427/Acciones!$C$751*$I$11 + O427/Acciones!$D$751*$I$12 + P427/Acciones!$D$751*$I$13</f>
        <v>21682.955783760364</v>
      </c>
      <c r="T427" s="14">
        <f t="shared" ca="1" si="9"/>
        <v>-6817.0442162396357</v>
      </c>
      <c r="V427">
        <v>-5421.8300168779751</v>
      </c>
    </row>
    <row r="428" spans="1:22" x14ac:dyDescent="0.2">
      <c r="A428" s="1">
        <f>Acciones!A428</f>
        <v>45617</v>
      </c>
      <c r="B428" s="29">
        <f>LN(Acciones!B428/Acciones!B427)</f>
        <v>-2.317979359077716E-2</v>
      </c>
      <c r="C428" s="29">
        <f>LN(Acciones!C428/Acciones!C427)</f>
        <v>5.816198901894868E-2</v>
      </c>
      <c r="D428" s="29">
        <f>LN(Acciones!D428/Acciones!D427)</f>
        <v>4.1106172774839675E-2</v>
      </c>
      <c r="E428" s="29">
        <f>LN(Acciones!E428/Acciones!E427)</f>
        <v>-7.6628884954763323E-3</v>
      </c>
      <c r="M428" s="30">
        <f ca="1">Acciones!$B$751*EXP((H$2-H$3/2)*(1)+H$4*_xlfn.NORM.S.INV(RAND())*SQRT(1))</f>
        <v>11.010823211170635</v>
      </c>
      <c r="N428" s="30">
        <f ca="1">Acciones!$C$751*EXP((I$2-I$3/2)*(1)+I$4*_xlfn.NORM.S.INV(RAND())*SQRT(1))</f>
        <v>138.07492236182728</v>
      </c>
      <c r="O428" s="30">
        <f ca="1">Acciones!$D$751*EXP((J$2-J$3/2)*(1)+J$4*_xlfn.NORM.S.INV(RAND())*SQRT(1))</f>
        <v>992.01012065155624</v>
      </c>
      <c r="P428" s="30">
        <f ca="1">Acciones!$E$751*EXP((K$2-K$3/2)*(1)+K$4*_xlfn.NORM.S.INV(RAND())*SQRT(1))</f>
        <v>0.14299018281162945</v>
      </c>
      <c r="Q428" s="30"/>
      <c r="R428">
        <f ca="1">M428/Acciones!$B$751*$I$10 + N428/Acciones!$C$751*$I$11 + O428/Acciones!$D$751*$I$12 + P428/Acciones!$D$751*$I$13</f>
        <v>22090.704837107634</v>
      </c>
      <c r="T428" s="14">
        <f t="shared" ca="1" si="9"/>
        <v>-6409.2951628923656</v>
      </c>
      <c r="V428">
        <v>-5418.4537589437568</v>
      </c>
    </row>
    <row r="429" spans="1:22" x14ac:dyDescent="0.2">
      <c r="A429" s="1">
        <f>Acciones!A429</f>
        <v>45618</v>
      </c>
      <c r="B429" s="29">
        <f>LN(Acciones!B429/Acciones!B428)</f>
        <v>2.8620542053158331E-2</v>
      </c>
      <c r="C429" s="29">
        <f>LN(Acciones!C429/Acciones!C428)</f>
        <v>8.5538280824285051E-2</v>
      </c>
      <c r="D429" s="29">
        <f>LN(Acciones!D429/Acciones!D428)</f>
        <v>2.8050884117150975E-2</v>
      </c>
      <c r="E429" s="29">
        <f>LN(Acciones!E429/Acciones!E428)</f>
        <v>-3.5228706497202854E-2</v>
      </c>
      <c r="M429" s="30">
        <f ca="1">Acciones!$B$751*EXP((H$2-H$3/2)*(1)+H$4*_xlfn.NORM.S.INV(RAND())*SQRT(1))</f>
        <v>10.901818666375002</v>
      </c>
      <c r="N429" s="30">
        <f ca="1">Acciones!$C$751*EXP((I$2-I$3/2)*(1)+I$4*_xlfn.NORM.S.INV(RAND())*SQRT(1))</f>
        <v>159.98299539879926</v>
      </c>
      <c r="O429" s="30">
        <f ca="1">Acciones!$D$751*EXP((J$2-J$3/2)*(1)+J$4*_xlfn.NORM.S.INV(RAND())*SQRT(1))</f>
        <v>1021.6160201686303</v>
      </c>
      <c r="P429" s="30">
        <f ca="1">Acciones!$E$751*EXP((K$2-K$3/2)*(1)+K$4*_xlfn.NORM.S.INV(RAND())*SQRT(1))</f>
        <v>0.1290004282930316</v>
      </c>
      <c r="Q429" s="30"/>
      <c r="R429">
        <f ca="1">M429/Acciones!$B$751*$I$10 + N429/Acciones!$C$751*$I$11 + O429/Acciones!$D$751*$I$12 + P429/Acciones!$D$751*$I$13</f>
        <v>23720.108436865434</v>
      </c>
      <c r="T429" s="14">
        <f t="shared" ca="1" si="9"/>
        <v>-4779.8915631345662</v>
      </c>
      <c r="V429">
        <v>-5413.5918786813127</v>
      </c>
    </row>
    <row r="430" spans="1:22" x14ac:dyDescent="0.2">
      <c r="A430" s="1">
        <f>Acciones!A430</f>
        <v>45621</v>
      </c>
      <c r="B430" s="29">
        <f>LN(Acciones!B430/Acciones!B429)</f>
        <v>-3.4219700508299804E-2</v>
      </c>
      <c r="C430" s="29">
        <f>LN(Acciones!C430/Acciones!C429)</f>
        <v>-3.2261107702721585E-3</v>
      </c>
      <c r="D430" s="29">
        <f>LN(Acciones!D430/Acciones!D429)</f>
        <v>1.9501653673343347E-2</v>
      </c>
      <c r="E430" s="29">
        <f>LN(Acciones!E430/Acciones!E429)</f>
        <v>-3.991969976293086E-3</v>
      </c>
      <c r="M430" s="30">
        <f ca="1">Acciones!$B$751*EXP((H$2-H$3/2)*(1)+H$4*_xlfn.NORM.S.INV(RAND())*SQRT(1))</f>
        <v>11.067817583733172</v>
      </c>
      <c r="N430" s="30">
        <f ca="1">Acciones!$C$751*EXP((I$2-I$3/2)*(1)+I$4*_xlfn.NORM.S.INV(RAND())*SQRT(1))</f>
        <v>154.41463688026295</v>
      </c>
      <c r="O430" s="30">
        <f ca="1">Acciones!$D$751*EXP((J$2-J$3/2)*(1)+J$4*_xlfn.NORM.S.INV(RAND())*SQRT(1))</f>
        <v>987.74239726227916</v>
      </c>
      <c r="P430" s="30">
        <f ca="1">Acciones!$E$751*EXP((K$2-K$3/2)*(1)+K$4*_xlfn.NORM.S.INV(RAND())*SQRT(1))</f>
        <v>0.11754449643505739</v>
      </c>
      <c r="Q430" s="30"/>
      <c r="R430">
        <f ca="1">M430/Acciones!$B$751*$I$10 + N430/Acciones!$C$751*$I$11 + O430/Acciones!$D$751*$I$12 + P430/Acciones!$D$751*$I$13</f>
        <v>23086.326883872349</v>
      </c>
      <c r="T430" s="14">
        <f t="shared" ca="1" si="9"/>
        <v>-5413.6731161276512</v>
      </c>
      <c r="V430">
        <v>-5412.3151269850896</v>
      </c>
    </row>
    <row r="431" spans="1:22" x14ac:dyDescent="0.2">
      <c r="A431" s="1">
        <f>Acciones!A431</f>
        <v>45622</v>
      </c>
      <c r="B431" s="29">
        <f>LN(Acciones!B431/Acciones!B430)</f>
        <v>-2.2484711337093953E-3</v>
      </c>
      <c r="C431" s="29">
        <f>LN(Acciones!C431/Acciones!C430)</f>
        <v>-3.8609163481399249E-2</v>
      </c>
      <c r="D431" s="29">
        <f>LN(Acciones!D431/Acciones!D430)</f>
        <v>-4.3438972443173296E-3</v>
      </c>
      <c r="E431" s="29">
        <f>LN(Acciones!E431/Acciones!E430)</f>
        <v>-4.0822016872001217E-2</v>
      </c>
      <c r="M431" s="30">
        <f ca="1">Acciones!$B$751*EXP((H$2-H$3/2)*(1)+H$4*_xlfn.NORM.S.INV(RAND())*SQRT(1))</f>
        <v>10.680775661454756</v>
      </c>
      <c r="N431" s="30">
        <f ca="1">Acciones!$C$751*EXP((I$2-I$3/2)*(1)+I$4*_xlfn.NORM.S.INV(RAND())*SQRT(1))</f>
        <v>152.67729045666209</v>
      </c>
      <c r="O431" s="30">
        <f ca="1">Acciones!$D$751*EXP((J$2-J$3/2)*(1)+J$4*_xlfn.NORM.S.INV(RAND())*SQRT(1))</f>
        <v>945.4461868987654</v>
      </c>
      <c r="P431" s="30">
        <f ca="1">Acciones!$E$751*EXP((K$2-K$3/2)*(1)+K$4*_xlfn.NORM.S.INV(RAND())*SQRT(1))</f>
        <v>0.122047480390712</v>
      </c>
      <c r="Q431" s="30"/>
      <c r="R431">
        <f ca="1">M431/Acciones!$B$751*$I$10 + N431/Acciones!$C$751*$I$11 + O431/Acciones!$D$751*$I$12 + P431/Acciones!$D$751*$I$13</f>
        <v>22430.05207307676</v>
      </c>
      <c r="T431" s="14">
        <f t="shared" ca="1" si="9"/>
        <v>-6069.9479269232397</v>
      </c>
      <c r="V431">
        <v>-5411.8258770117027</v>
      </c>
    </row>
    <row r="432" spans="1:22" x14ac:dyDescent="0.2">
      <c r="A432" s="1">
        <f>Acciones!A432</f>
        <v>45623</v>
      </c>
      <c r="B432" s="29">
        <f>LN(Acciones!B432/Acciones!B431)</f>
        <v>2.2484711337095323E-3</v>
      </c>
      <c r="C432" s="29">
        <f>LN(Acciones!C432/Acciones!C431)</f>
        <v>7.6271547259530739E-2</v>
      </c>
      <c r="D432" s="29">
        <f>LN(Acciones!D432/Acciones!D431)</f>
        <v>4.9629056825427889E-3</v>
      </c>
      <c r="E432" s="29">
        <f>LN(Acciones!E432/Acciones!E431)</f>
        <v>0</v>
      </c>
      <c r="M432" s="30">
        <f ca="1">Acciones!$B$751*EXP((H$2-H$3/2)*(1)+H$4*_xlfn.NORM.S.INV(RAND())*SQRT(1))</f>
        <v>10.311755382562716</v>
      </c>
      <c r="N432" s="30">
        <f ca="1">Acciones!$C$751*EXP((I$2-I$3/2)*(1)+I$4*_xlfn.NORM.S.INV(RAND())*SQRT(1))</f>
        <v>152.30137916343483</v>
      </c>
      <c r="O432" s="30">
        <f ca="1">Acciones!$D$751*EXP((J$2-J$3/2)*(1)+J$4*_xlfn.NORM.S.INV(RAND())*SQRT(1))</f>
        <v>983.34784580426094</v>
      </c>
      <c r="P432" s="30">
        <f ca="1">Acciones!$E$751*EXP((K$2-K$3/2)*(1)+K$4*_xlfn.NORM.S.INV(RAND())*SQRT(1))</f>
        <v>0.11992481616648455</v>
      </c>
      <c r="Q432" s="30"/>
      <c r="R432">
        <f ca="1">M432/Acciones!$B$751*$I$10 + N432/Acciones!$C$751*$I$11 + O432/Acciones!$D$751*$I$12 + P432/Acciones!$D$751*$I$13</f>
        <v>22667.824145391423</v>
      </c>
      <c r="T432" s="14">
        <f t="shared" ca="1" si="9"/>
        <v>-5832.1758546085766</v>
      </c>
      <c r="V432">
        <v>-5410.8955022030568</v>
      </c>
    </row>
    <row r="433" spans="1:22" x14ac:dyDescent="0.2">
      <c r="A433" s="1">
        <f>Acciones!A433</f>
        <v>45624</v>
      </c>
      <c r="B433" s="29">
        <f>LN(Acciones!B433/Acciones!B432)</f>
        <v>-8.4579069303013024E-3</v>
      </c>
      <c r="C433" s="29">
        <f>LN(Acciones!C433/Acciones!C432)</f>
        <v>6.3122416400230403E-3</v>
      </c>
      <c r="D433" s="29">
        <f>LN(Acciones!D433/Acciones!D432)</f>
        <v>-9.950488262881212E-3</v>
      </c>
      <c r="E433" s="29">
        <f>LN(Acciones!E433/Acciones!E432)</f>
        <v>4.0822016872001217E-2</v>
      </c>
      <c r="M433" s="30">
        <f ca="1">Acciones!$B$751*EXP((H$2-H$3/2)*(1)+H$4*_xlfn.NORM.S.INV(RAND())*SQRT(1))</f>
        <v>10.700967641912376</v>
      </c>
      <c r="N433" s="30">
        <f ca="1">Acciones!$C$751*EXP((I$2-I$3/2)*(1)+I$4*_xlfn.NORM.S.INV(RAND())*SQRT(1))</f>
        <v>151.54540688184059</v>
      </c>
      <c r="O433" s="30">
        <f ca="1">Acciones!$D$751*EXP((J$2-J$3/2)*(1)+J$4*_xlfn.NORM.S.INV(RAND())*SQRT(1))</f>
        <v>1054.9020772119916</v>
      </c>
      <c r="P433" s="30">
        <f ca="1">Acciones!$E$751*EXP((K$2-K$3/2)*(1)+K$4*_xlfn.NORM.S.INV(RAND())*SQRT(1))</f>
        <v>0.13896578753217501</v>
      </c>
      <c r="Q433" s="30"/>
      <c r="R433">
        <f ca="1">M433/Acciones!$B$751*$I$10 + N433/Acciones!$C$751*$I$11 + O433/Acciones!$D$751*$I$12 + P433/Acciones!$D$751*$I$13</f>
        <v>23462.306958691192</v>
      </c>
      <c r="T433" s="14">
        <f t="shared" ca="1" si="9"/>
        <v>-5037.6930413088085</v>
      </c>
      <c r="V433">
        <v>-5390.5951501327327</v>
      </c>
    </row>
    <row r="434" spans="1:22" x14ac:dyDescent="0.2">
      <c r="A434" s="1">
        <f>Acciones!A434</f>
        <v>45625</v>
      </c>
      <c r="B434" s="29">
        <f>LN(Acciones!B434/Acciones!B433)</f>
        <v>2.1843480183316496E-2</v>
      </c>
      <c r="C434" s="29">
        <f>LN(Acciones!C434/Acciones!C433)</f>
        <v>6.7549410649459865E-3</v>
      </c>
      <c r="D434" s="29">
        <f>LN(Acciones!D434/Acciones!D433)</f>
        <v>0</v>
      </c>
      <c r="E434" s="29">
        <f>LN(Acciones!E434/Acciones!E433)</f>
        <v>0</v>
      </c>
      <c r="M434" s="30">
        <f ca="1">Acciones!$B$751*EXP((H$2-H$3/2)*(1)+H$4*_xlfn.NORM.S.INV(RAND())*SQRT(1))</f>
        <v>11.1825353000687</v>
      </c>
      <c r="N434" s="30">
        <f ca="1">Acciones!$C$751*EXP((I$2-I$3/2)*(1)+I$4*_xlfn.NORM.S.INV(RAND())*SQRT(1))</f>
        <v>138.23685810577186</v>
      </c>
      <c r="O434" s="30">
        <f ca="1">Acciones!$D$751*EXP((J$2-J$3/2)*(1)+J$4*_xlfn.NORM.S.INV(RAND())*SQRT(1))</f>
        <v>978.30674550339484</v>
      </c>
      <c r="P434" s="30">
        <f ca="1">Acciones!$E$751*EXP((K$2-K$3/2)*(1)+K$4*_xlfn.NORM.S.INV(RAND())*SQRT(1))</f>
        <v>0.1284968967825362</v>
      </c>
      <c r="Q434" s="30"/>
      <c r="R434">
        <f ca="1">M434/Acciones!$B$751*$I$10 + N434/Acciones!$C$751*$I$11 + O434/Acciones!$D$751*$I$12 + P434/Acciones!$D$751*$I$13</f>
        <v>22018.563513599674</v>
      </c>
      <c r="T434" s="14">
        <f t="shared" ca="1" si="9"/>
        <v>-6481.4364864003255</v>
      </c>
      <c r="V434">
        <v>-5389.5123769045385</v>
      </c>
    </row>
    <row r="435" spans="1:22" x14ac:dyDescent="0.2">
      <c r="A435" s="1">
        <f>Acciones!A435</f>
        <v>45628</v>
      </c>
      <c r="B435" s="29">
        <f>LN(Acciones!B435/Acciones!B434)</f>
        <v>4.3367219021067473E-2</v>
      </c>
      <c r="C435" s="29">
        <f>LN(Acciones!C435/Acciones!C434)</f>
        <v>-8.1810619665194789E-2</v>
      </c>
      <c r="D435" s="29">
        <f>LN(Acciones!D435/Acciones!D434)</f>
        <v>7.8586123399951094E-3</v>
      </c>
      <c r="E435" s="29">
        <f>LN(Acciones!E435/Acciones!E434)</f>
        <v>1.9802608596681398E-2</v>
      </c>
      <c r="M435" s="30">
        <f ca="1">Acciones!$B$751*EXP((H$2-H$3/2)*(1)+H$4*_xlfn.NORM.S.INV(RAND())*SQRT(1))</f>
        <v>11.221213773807595</v>
      </c>
      <c r="N435" s="30">
        <f ca="1">Acciones!$C$751*EXP((I$2-I$3/2)*(1)+I$4*_xlfn.NORM.S.INV(RAND())*SQRT(1))</f>
        <v>154.36748956966161</v>
      </c>
      <c r="O435" s="30">
        <f ca="1">Acciones!$D$751*EXP((J$2-J$3/2)*(1)+J$4*_xlfn.NORM.S.INV(RAND())*SQRT(1))</f>
        <v>1031.2433281705109</v>
      </c>
      <c r="P435" s="30">
        <f ca="1">Acciones!$E$751*EXP((K$2-K$3/2)*(1)+K$4*_xlfn.NORM.S.INV(RAND())*SQRT(1))</f>
        <v>0.12419170448833129</v>
      </c>
      <c r="Q435" s="30"/>
      <c r="R435">
        <f ca="1">M435/Acciones!$B$751*$I$10 + N435/Acciones!$C$751*$I$11 + O435/Acciones!$D$751*$I$12 + P435/Acciones!$D$751*$I$13</f>
        <v>23568.354115070419</v>
      </c>
      <c r="T435" s="14">
        <f t="shared" ca="1" si="9"/>
        <v>-4931.6458849295814</v>
      </c>
      <c r="V435">
        <v>-5389.3125159666233</v>
      </c>
    </row>
    <row r="436" spans="1:22" x14ac:dyDescent="0.2">
      <c r="A436" s="1">
        <f>Acciones!A436</f>
        <v>45629</v>
      </c>
      <c r="B436" s="29">
        <f>LN(Acciones!B436/Acciones!B435)</f>
        <v>-3.4542055259045315E-2</v>
      </c>
      <c r="C436" s="29">
        <f>LN(Acciones!C436/Acciones!C435)</f>
        <v>-1.3992545972967348E-2</v>
      </c>
      <c r="D436" s="29">
        <f>LN(Acciones!D436/Acciones!D435)</f>
        <v>-4.0460736279723294E-3</v>
      </c>
      <c r="E436" s="29">
        <f>LN(Acciones!E436/Acciones!E435)</f>
        <v>0</v>
      </c>
      <c r="M436" s="30">
        <f ca="1">Acciones!$B$751*EXP((H$2-H$3/2)*(1)+H$4*_xlfn.NORM.S.INV(RAND())*SQRT(1))</f>
        <v>11.874319353091305</v>
      </c>
      <c r="N436" s="30">
        <f ca="1">Acciones!$C$751*EXP((I$2-I$3/2)*(1)+I$4*_xlfn.NORM.S.INV(RAND())*SQRT(1))</f>
        <v>162.45142444304085</v>
      </c>
      <c r="O436" s="30">
        <f ca="1">Acciones!$D$751*EXP((J$2-J$3/2)*(1)+J$4*_xlfn.NORM.S.INV(RAND())*SQRT(1))</f>
        <v>1008.4971988404317</v>
      </c>
      <c r="P436" s="30">
        <f ca="1">Acciones!$E$751*EXP((K$2-K$3/2)*(1)+K$4*_xlfn.NORM.S.INV(RAND())*SQRT(1))</f>
        <v>0.12599808598121326</v>
      </c>
      <c r="Q436" s="30"/>
      <c r="R436">
        <f ca="1">M436/Acciones!$B$751*$I$10 + N436/Acciones!$C$751*$I$11 + O436/Acciones!$D$751*$I$12 + P436/Acciones!$D$751*$I$13</f>
        <v>24054.797546871523</v>
      </c>
      <c r="T436" s="14">
        <f t="shared" ca="1" si="9"/>
        <v>-4445.2024531284769</v>
      </c>
      <c r="V436">
        <v>-5383.8581616883166</v>
      </c>
    </row>
    <row r="437" spans="1:22" x14ac:dyDescent="0.2">
      <c r="A437" s="1">
        <f>Acciones!A437</f>
        <v>45630</v>
      </c>
      <c r="B437" s="29">
        <f>LN(Acciones!B437/Acciones!B436)</f>
        <v>-3.123500417569142E-2</v>
      </c>
      <c r="C437" s="29">
        <f>LN(Acciones!C437/Acciones!C436)</f>
        <v>3.4934080403726038E-2</v>
      </c>
      <c r="D437" s="29">
        <f>LN(Acciones!D437/Acciones!D436)</f>
        <v>-1.0788535079786181E-2</v>
      </c>
      <c r="E437" s="29">
        <f>LN(Acciones!E437/Acciones!E436)</f>
        <v>1.9418067876814531E-2</v>
      </c>
      <c r="M437" s="30">
        <f ca="1">Acciones!$B$751*EXP((H$2-H$3/2)*(1)+H$4*_xlfn.NORM.S.INV(RAND())*SQRT(1))</f>
        <v>11.169435968335023</v>
      </c>
      <c r="N437" s="30">
        <f ca="1">Acciones!$C$751*EXP((I$2-I$3/2)*(1)+I$4*_xlfn.NORM.S.INV(RAND())*SQRT(1))</f>
        <v>142.57859295634131</v>
      </c>
      <c r="O437" s="30">
        <f ca="1">Acciones!$D$751*EXP((J$2-J$3/2)*(1)+J$4*_xlfn.NORM.S.INV(RAND())*SQRT(1))</f>
        <v>997.75905352102711</v>
      </c>
      <c r="P437" s="30">
        <f ca="1">Acciones!$E$751*EXP((K$2-K$3/2)*(1)+K$4*_xlfn.NORM.S.INV(RAND())*SQRT(1))</f>
        <v>0.12509089070582111</v>
      </c>
      <c r="Q437" s="30"/>
      <c r="R437">
        <f ca="1">M437/Acciones!$B$751*$I$10 + N437/Acciones!$C$751*$I$11 + O437/Acciones!$D$751*$I$12 + P437/Acciones!$D$751*$I$13</f>
        <v>22480.275937718146</v>
      </c>
      <c r="T437" s="14">
        <f t="shared" ca="1" si="9"/>
        <v>-6019.7240622818535</v>
      </c>
      <c r="V437">
        <v>-5383.1047563659085</v>
      </c>
    </row>
    <row r="438" spans="1:22" x14ac:dyDescent="0.2">
      <c r="A438" s="1">
        <f>Acciones!A438</f>
        <v>45631</v>
      </c>
      <c r="B438" s="29">
        <f>LN(Acciones!B438/Acciones!B437)</f>
        <v>-1.0823253601321822E-2</v>
      </c>
      <c r="C438" s="29">
        <f>LN(Acciones!C438/Acciones!C437)</f>
        <v>-4.97233567686272E-2</v>
      </c>
      <c r="D438" s="29">
        <f>LN(Acciones!D438/Acciones!D437)</f>
        <v>-1.5623943417695108E-3</v>
      </c>
      <c r="E438" s="29">
        <f>LN(Acciones!E438/Acciones!E437)</f>
        <v>0.13976196230982355</v>
      </c>
      <c r="M438" s="30">
        <f ca="1">Acciones!$B$751*EXP((H$2-H$3/2)*(1)+H$4*_xlfn.NORM.S.INV(RAND())*SQRT(1))</f>
        <v>10.788493923011391</v>
      </c>
      <c r="N438" s="30">
        <f ca="1">Acciones!$C$751*EXP((I$2-I$3/2)*(1)+I$4*_xlfn.NORM.S.INV(RAND())*SQRT(1))</f>
        <v>155.86412954106564</v>
      </c>
      <c r="O438" s="30">
        <f ca="1">Acciones!$D$751*EXP((J$2-J$3/2)*(1)+J$4*_xlfn.NORM.S.INV(RAND())*SQRT(1))</f>
        <v>1010.8589836508777</v>
      </c>
      <c r="P438" s="30">
        <f ca="1">Acciones!$E$751*EXP((K$2-K$3/2)*(1)+K$4*_xlfn.NORM.S.INV(RAND())*SQRT(1))</f>
        <v>0.13352657916696381</v>
      </c>
      <c r="Q438" s="30"/>
      <c r="R438">
        <f ca="1">M438/Acciones!$B$751*$I$10 + N438/Acciones!$C$751*$I$11 + O438/Acciones!$D$751*$I$12 + P438/Acciones!$D$751*$I$13</f>
        <v>23318.855638588047</v>
      </c>
      <c r="T438" s="14">
        <f t="shared" ca="1" si="9"/>
        <v>-5181.1443614119526</v>
      </c>
      <c r="V438">
        <v>-5381.7947890905598</v>
      </c>
    </row>
    <row r="439" spans="1:22" x14ac:dyDescent="0.2">
      <c r="A439" s="1">
        <f>Acciones!A439</f>
        <v>45632</v>
      </c>
      <c r="B439" s="29">
        <f>LN(Acciones!B439/Acciones!B438)</f>
        <v>-1.0362747226689804E-2</v>
      </c>
      <c r="C439" s="29">
        <f>LN(Acciones!C439/Acciones!C438)</f>
        <v>5.3663012005369305E-2</v>
      </c>
      <c r="D439" s="29">
        <f>LN(Acciones!D439/Acciones!D438)</f>
        <v>5.7024739255305719E-3</v>
      </c>
      <c r="E439" s="29">
        <f>LN(Acciones!E439/Acciones!E438)</f>
        <v>3.6128748524545388E-2</v>
      </c>
      <c r="M439" s="30">
        <f ca="1">Acciones!$B$751*EXP((H$2-H$3/2)*(1)+H$4*_xlfn.NORM.S.INV(RAND())*SQRT(1))</f>
        <v>10.86282891514605</v>
      </c>
      <c r="N439" s="30">
        <f ca="1">Acciones!$C$751*EXP((I$2-I$3/2)*(1)+I$4*_xlfn.NORM.S.INV(RAND())*SQRT(1))</f>
        <v>155.62877674066274</v>
      </c>
      <c r="O439" s="30">
        <f ca="1">Acciones!$D$751*EXP((J$2-J$3/2)*(1)+J$4*_xlfn.NORM.S.INV(RAND())*SQRT(1))</f>
        <v>981.14159888795575</v>
      </c>
      <c r="P439" s="30">
        <f ca="1">Acciones!$E$751*EXP((K$2-K$3/2)*(1)+K$4*_xlfn.NORM.S.INV(RAND())*SQRT(1))</f>
        <v>0.11951116155470475</v>
      </c>
      <c r="Q439" s="30"/>
      <c r="R439">
        <f ca="1">M439/Acciones!$B$751*$I$10 + N439/Acciones!$C$751*$I$11 + O439/Acciones!$D$751*$I$12 + P439/Acciones!$D$751*$I$13</f>
        <v>23030.268516922937</v>
      </c>
      <c r="T439" s="14">
        <f t="shared" ca="1" si="9"/>
        <v>-5469.7314830770629</v>
      </c>
      <c r="V439">
        <v>-5381.1564454675754</v>
      </c>
    </row>
    <row r="440" spans="1:22" x14ac:dyDescent="0.2">
      <c r="A440" s="1">
        <f>Acciones!A440</f>
        <v>45635</v>
      </c>
      <c r="B440" s="29">
        <f>LN(Acciones!B440/Acciones!B439)</f>
        <v>5.7859714518173125E-4</v>
      </c>
      <c r="C440" s="29">
        <f>LN(Acciones!C440/Acciones!C439)</f>
        <v>-8.828216121803685E-2</v>
      </c>
      <c r="D440" s="29">
        <f>LN(Acciones!D440/Acciones!D439)</f>
        <v>-1.3132260935959981E-2</v>
      </c>
      <c r="E440" s="29">
        <f>LN(Acciones!E440/Acciones!E439)</f>
        <v>0</v>
      </c>
      <c r="M440" s="30">
        <f ca="1">Acciones!$B$751*EXP((H$2-H$3/2)*(1)+H$4*_xlfn.NORM.S.INV(RAND())*SQRT(1))</f>
        <v>10.746769121368423</v>
      </c>
      <c r="N440" s="30">
        <f ca="1">Acciones!$C$751*EXP((I$2-I$3/2)*(1)+I$4*_xlfn.NORM.S.INV(RAND())*SQRT(1))</f>
        <v>164.47426928899591</v>
      </c>
      <c r="O440" s="30">
        <f ca="1">Acciones!$D$751*EXP((J$2-J$3/2)*(1)+J$4*_xlfn.NORM.S.INV(RAND())*SQRT(1))</f>
        <v>964.55071958588769</v>
      </c>
      <c r="P440" s="30">
        <f ca="1">Acciones!$E$751*EXP((K$2-K$3/2)*(1)+K$4*_xlfn.NORM.S.INV(RAND())*SQRT(1))</f>
        <v>0.13169963448812569</v>
      </c>
      <c r="Q440" s="30"/>
      <c r="R440">
        <f ca="1">M440/Acciones!$B$751*$I$10 + N440/Acciones!$C$751*$I$11 + O440/Acciones!$D$751*$I$12 + P440/Acciones!$D$751*$I$13</f>
        <v>23379.219857764947</v>
      </c>
      <c r="T440" s="14">
        <f t="shared" ca="1" si="9"/>
        <v>-5120.7801422350531</v>
      </c>
      <c r="V440">
        <v>-5374.3963604803066</v>
      </c>
    </row>
    <row r="441" spans="1:22" x14ac:dyDescent="0.2">
      <c r="A441" s="1">
        <f>Acciones!A441</f>
        <v>45636</v>
      </c>
      <c r="B441" s="29">
        <f>LN(Acciones!B441/Acciones!B440)</f>
        <v>1.6064490353821164E-2</v>
      </c>
      <c r="C441" s="29">
        <f>LN(Acciones!C441/Acciones!C440)</f>
        <v>-5.1433490419111709E-2</v>
      </c>
      <c r="D441" s="29">
        <f>LN(Acciones!D441/Acciones!D440)</f>
        <v>-1.5562730555772569E-2</v>
      </c>
      <c r="E441" s="29">
        <f>LN(Acciones!E441/Acciones!E440)</f>
        <v>0</v>
      </c>
      <c r="M441" s="30">
        <f ca="1">Acciones!$B$751*EXP((H$2-H$3/2)*(1)+H$4*_xlfn.NORM.S.INV(RAND())*SQRT(1))</f>
        <v>11.057690133703391</v>
      </c>
      <c r="N441" s="30">
        <f ca="1">Acciones!$C$751*EXP((I$2-I$3/2)*(1)+I$4*_xlfn.NORM.S.INV(RAND())*SQRT(1))</f>
        <v>157.28219108268354</v>
      </c>
      <c r="O441" s="30">
        <f ca="1">Acciones!$D$751*EXP((J$2-J$3/2)*(1)+J$4*_xlfn.NORM.S.INV(RAND())*SQRT(1))</f>
        <v>982.90942531935104</v>
      </c>
      <c r="P441" s="30">
        <f ca="1">Acciones!$E$751*EXP((K$2-K$3/2)*(1)+K$4*_xlfn.NORM.S.INV(RAND())*SQRT(1))</f>
        <v>0.13642008736760416</v>
      </c>
      <c r="Q441" s="30"/>
      <c r="R441">
        <f ca="1">M441/Acciones!$B$751*$I$10 + N441/Acciones!$C$751*$I$11 + O441/Acciones!$D$751*$I$12 + P441/Acciones!$D$751*$I$13</f>
        <v>23213.818261477165</v>
      </c>
      <c r="T441" s="14">
        <f t="shared" ca="1" si="9"/>
        <v>-5286.1817385228351</v>
      </c>
      <c r="V441">
        <v>-5373.1604239531043</v>
      </c>
    </row>
    <row r="442" spans="1:22" x14ac:dyDescent="0.2">
      <c r="A442" s="1">
        <f>Acciones!A442</f>
        <v>45637</v>
      </c>
      <c r="B442" s="29">
        <f>LN(Acciones!B442/Acciones!B441)</f>
        <v>-1.6064490353821265E-2</v>
      </c>
      <c r="C442" s="29">
        <f>LN(Acciones!C442/Acciones!C441)</f>
        <v>2.6132081704398478E-2</v>
      </c>
      <c r="D442" s="29">
        <f>LN(Acciones!D442/Acciones!D441)</f>
        <v>1.9834866714079313E-2</v>
      </c>
      <c r="E442" s="29">
        <f>LN(Acciones!E442/Acciones!E441)</f>
        <v>0</v>
      </c>
      <c r="M442" s="30">
        <f ca="1">Acciones!$B$751*EXP((H$2-H$3/2)*(1)+H$4*_xlfn.NORM.S.INV(RAND())*SQRT(1))</f>
        <v>10.822399990968115</v>
      </c>
      <c r="N442" s="30">
        <f ca="1">Acciones!$C$751*EXP((I$2-I$3/2)*(1)+I$4*_xlfn.NORM.S.INV(RAND())*SQRT(1))</f>
        <v>152.96447873848018</v>
      </c>
      <c r="O442" s="30">
        <f ca="1">Acciones!$D$751*EXP((J$2-J$3/2)*(1)+J$4*_xlfn.NORM.S.INV(RAND())*SQRT(1))</f>
        <v>1003.7415976897538</v>
      </c>
      <c r="P442" s="30">
        <f ca="1">Acciones!$E$751*EXP((K$2-K$3/2)*(1)+K$4*_xlfn.NORM.S.INV(RAND())*SQRT(1))</f>
        <v>0.13407802036281702</v>
      </c>
      <c r="Q442" s="30"/>
      <c r="R442">
        <f ca="1">M442/Acciones!$B$751*$I$10 + N442/Acciones!$C$751*$I$11 + O442/Acciones!$D$751*$I$12 + P442/Acciones!$D$751*$I$13</f>
        <v>23077.395674333304</v>
      </c>
      <c r="T442" s="14">
        <f t="shared" ca="1" si="9"/>
        <v>-5422.6043256666962</v>
      </c>
      <c r="V442">
        <v>-5372.3373614929187</v>
      </c>
    </row>
    <row r="443" spans="1:22" x14ac:dyDescent="0.2">
      <c r="A443" s="1">
        <f>Acciones!A443</f>
        <v>45639</v>
      </c>
      <c r="B443" s="29">
        <f>LN(Acciones!B443/Acciones!B442)</f>
        <v>-6.9646735731768092E-3</v>
      </c>
      <c r="C443" s="29">
        <f>LN(Acciones!C443/Acciones!C442)</f>
        <v>-3.3835083763727451E-2</v>
      </c>
      <c r="D443" s="29">
        <f>LN(Acciones!D443/Acciones!D442)</f>
        <v>-1.658190189199471E-2</v>
      </c>
      <c r="E443" s="29">
        <f>LN(Acciones!E443/Acciones!E442)</f>
        <v>0</v>
      </c>
      <c r="M443" s="30">
        <f ca="1">Acciones!$B$751*EXP((H$2-H$3/2)*(1)+H$4*_xlfn.NORM.S.INV(RAND())*SQRT(1))</f>
        <v>10.677296147316348</v>
      </c>
      <c r="N443" s="30">
        <f ca="1">Acciones!$C$751*EXP((I$2-I$3/2)*(1)+I$4*_xlfn.NORM.S.INV(RAND())*SQRT(1))</f>
        <v>152.71157893852765</v>
      </c>
      <c r="O443" s="30">
        <f ca="1">Acciones!$D$751*EXP((J$2-J$3/2)*(1)+J$4*_xlfn.NORM.S.INV(RAND())*SQRT(1))</f>
        <v>988.82876017930562</v>
      </c>
      <c r="P443" s="30">
        <f ca="1">Acciones!$E$751*EXP((K$2-K$3/2)*(1)+K$4*_xlfn.NORM.S.INV(RAND())*SQRT(1))</f>
        <v>0.13433068689599373</v>
      </c>
      <c r="Q443" s="30"/>
      <c r="R443">
        <f ca="1">M443/Acciones!$B$751*$I$10 + N443/Acciones!$C$751*$I$11 + O443/Acciones!$D$751*$I$12 + P443/Acciones!$D$751*$I$13</f>
        <v>22865.682790148418</v>
      </c>
      <c r="T443" s="14">
        <f t="shared" ca="1" si="9"/>
        <v>-5634.3172098515824</v>
      </c>
      <c r="V443">
        <v>-5369.7086736749661</v>
      </c>
    </row>
    <row r="444" spans="1:22" x14ac:dyDescent="0.2">
      <c r="A444" s="1">
        <f>Acciones!A444</f>
        <v>45642</v>
      </c>
      <c r="B444" s="29">
        <f>LN(Acciones!B444/Acciones!B443)</f>
        <v>-1.8813035137290931E-2</v>
      </c>
      <c r="C444" s="29">
        <f>LN(Acciones!C444/Acciones!C443)</f>
        <v>8.0969062533667091E-2</v>
      </c>
      <c r="D444" s="29">
        <f>LN(Acciones!D444/Acciones!D443)</f>
        <v>3.4602685072705644E-3</v>
      </c>
      <c r="E444" s="29">
        <f>LN(Acciones!E444/Acciones!E443)</f>
        <v>0</v>
      </c>
      <c r="M444" s="30">
        <f ca="1">Acciones!$B$751*EXP((H$2-H$3/2)*(1)+H$4*_xlfn.NORM.S.INV(RAND())*SQRT(1))</f>
        <v>10.727761115390802</v>
      </c>
      <c r="N444" s="30">
        <f ca="1">Acciones!$C$751*EXP((I$2-I$3/2)*(1)+I$4*_xlfn.NORM.S.INV(RAND())*SQRT(1))</f>
        <v>139.09038229492612</v>
      </c>
      <c r="O444" s="30">
        <f ca="1">Acciones!$D$751*EXP((J$2-J$3/2)*(1)+J$4*_xlfn.NORM.S.INV(RAND())*SQRT(1))</f>
        <v>980.344789302854</v>
      </c>
      <c r="P444" s="30">
        <f ca="1">Acciones!$E$751*EXP((K$2-K$3/2)*(1)+K$4*_xlfn.NORM.S.INV(RAND())*SQRT(1))</f>
        <v>0.12819591206380215</v>
      </c>
      <c r="Q444" s="30"/>
      <c r="R444">
        <f ca="1">M444/Acciones!$B$751*$I$10 + N444/Acciones!$C$751*$I$11 + O444/Acciones!$D$751*$I$12 + P444/Acciones!$D$751*$I$13</f>
        <v>21946.373883346339</v>
      </c>
      <c r="T444" s="14">
        <f t="shared" ca="1" si="9"/>
        <v>-6553.6261166536606</v>
      </c>
      <c r="V444">
        <v>-5363.1995575071996</v>
      </c>
    </row>
    <row r="445" spans="1:22" x14ac:dyDescent="0.2">
      <c r="A445" s="1">
        <f>Acciones!A445</f>
        <v>45643</v>
      </c>
      <c r="B445" s="29">
        <f>LN(Acciones!B445/Acciones!B444)</f>
        <v>9.4507005150846687E-3</v>
      </c>
      <c r="C445" s="29">
        <f>LN(Acciones!C445/Acciones!C444)</f>
        <v>9.0498355199178562E-3</v>
      </c>
      <c r="D445" s="29">
        <f>LN(Acciones!D445/Acciones!D444)</f>
        <v>8.7541979171939493E-3</v>
      </c>
      <c r="E445" s="29">
        <f>LN(Acciones!E445/Acciones!E444)</f>
        <v>0</v>
      </c>
      <c r="M445" s="30">
        <f ca="1">Acciones!$B$751*EXP((H$2-H$3/2)*(1)+H$4*_xlfn.NORM.S.INV(RAND())*SQRT(1))</f>
        <v>11.344849701749396</v>
      </c>
      <c r="N445" s="30">
        <f ca="1">Acciones!$C$751*EXP((I$2-I$3/2)*(1)+I$4*_xlfn.NORM.S.INV(RAND())*SQRT(1))</f>
        <v>145.89543922229365</v>
      </c>
      <c r="O445" s="30">
        <f ca="1">Acciones!$D$751*EXP((J$2-J$3/2)*(1)+J$4*_xlfn.NORM.S.INV(RAND())*SQRT(1))</f>
        <v>1022.3475481469221</v>
      </c>
      <c r="P445" s="30">
        <f ca="1">Acciones!$E$751*EXP((K$2-K$3/2)*(1)+K$4*_xlfn.NORM.S.INV(RAND())*SQRT(1))</f>
        <v>0.13786249016288615</v>
      </c>
      <c r="Q445" s="30"/>
      <c r="R445">
        <f ca="1">M445/Acciones!$B$751*$I$10 + N445/Acciones!$C$751*$I$11 + O445/Acciones!$D$751*$I$12 + P445/Acciones!$D$751*$I$13</f>
        <v>22990.007571001035</v>
      </c>
      <c r="T445" s="14">
        <f t="shared" ca="1" si="9"/>
        <v>-5509.9924289989649</v>
      </c>
      <c r="V445">
        <v>-5362.0138261092216</v>
      </c>
    </row>
    <row r="446" spans="1:22" x14ac:dyDescent="0.2">
      <c r="A446" s="1">
        <f>Acciones!A446</f>
        <v>45644</v>
      </c>
      <c r="B446" s="29">
        <f>LN(Acciones!B446/Acciones!B445)</f>
        <v>-5.9963413237684816E-2</v>
      </c>
      <c r="C446" s="29">
        <f>LN(Acciones!C446/Acciones!C445)</f>
        <v>-0.10689659561099933</v>
      </c>
      <c r="D446" s="29">
        <f>LN(Acciones!D446/Acciones!D445)</f>
        <v>2.4871544621994568E-3</v>
      </c>
      <c r="E446" s="29">
        <f>LN(Acciones!E446/Acciones!E445)</f>
        <v>0</v>
      </c>
      <c r="M446" s="30">
        <f ca="1">Acciones!$B$751*EXP((H$2-H$3/2)*(1)+H$4*_xlfn.NORM.S.INV(RAND())*SQRT(1))</f>
        <v>10.958951623776104</v>
      </c>
      <c r="N446" s="30">
        <f ca="1">Acciones!$C$751*EXP((I$2-I$3/2)*(1)+I$4*_xlfn.NORM.S.INV(RAND())*SQRT(1))</f>
        <v>144.63731249859205</v>
      </c>
      <c r="O446" s="30">
        <f ca="1">Acciones!$D$751*EXP((J$2-J$3/2)*(1)+J$4*_xlfn.NORM.S.INV(RAND())*SQRT(1))</f>
        <v>1015.8239342700406</v>
      </c>
      <c r="P446" s="30">
        <f ca="1">Acciones!$E$751*EXP((K$2-K$3/2)*(1)+K$4*_xlfn.NORM.S.INV(RAND())*SQRT(1))</f>
        <v>0.12036127610206365</v>
      </c>
      <c r="Q446" s="30"/>
      <c r="R446">
        <f ca="1">M446/Acciones!$B$751*$I$10 + N446/Acciones!$C$751*$I$11 + O446/Acciones!$D$751*$I$12 + P446/Acciones!$D$751*$I$13</f>
        <v>22722.213799991336</v>
      </c>
      <c r="T446" s="14">
        <f t="shared" ca="1" si="9"/>
        <v>-5777.7862000086643</v>
      </c>
      <c r="V446">
        <v>-5361.9022212609816</v>
      </c>
    </row>
    <row r="447" spans="1:22" x14ac:dyDescent="0.2">
      <c r="A447" s="1">
        <f>Acciones!A447</f>
        <v>45645</v>
      </c>
      <c r="B447" s="29">
        <f>LN(Acciones!B447/Acciones!B446)</f>
        <v>-2.5926266403400431E-2</v>
      </c>
      <c r="C447" s="29">
        <f>LN(Acciones!C447/Acciones!C446)</f>
        <v>-7.8697542315752378E-2</v>
      </c>
      <c r="D447" s="29">
        <f>LN(Acciones!D447/Acciones!D446)</f>
        <v>-6.4081926500499549E-3</v>
      </c>
      <c r="E447" s="29">
        <f>LN(Acciones!E447/Acciones!E446)</f>
        <v>3.2205732778748234E-3</v>
      </c>
      <c r="M447" s="30">
        <f ca="1">Acciones!$B$751*EXP((H$2-H$3/2)*(1)+H$4*_xlfn.NORM.S.INV(RAND())*SQRT(1))</f>
        <v>11.233651210450214</v>
      </c>
      <c r="N447" s="30">
        <f ca="1">Acciones!$C$751*EXP((I$2-I$3/2)*(1)+I$4*_xlfn.NORM.S.INV(RAND())*SQRT(1))</f>
        <v>145.70445531728657</v>
      </c>
      <c r="O447" s="30">
        <f ca="1">Acciones!$D$751*EXP((J$2-J$3/2)*(1)+J$4*_xlfn.NORM.S.INV(RAND())*SQRT(1))</f>
        <v>973.31986805975623</v>
      </c>
      <c r="P447" s="30">
        <f ca="1">Acciones!$E$751*EXP((K$2-K$3/2)*(1)+K$4*_xlfn.NORM.S.INV(RAND())*SQRT(1))</f>
        <v>0.14100778250055365</v>
      </c>
      <c r="Q447" s="30"/>
      <c r="R447">
        <f ca="1">M447/Acciones!$B$751*$I$10 + N447/Acciones!$C$751*$I$11 + O447/Acciones!$D$751*$I$12 + P447/Acciones!$D$751*$I$13</f>
        <v>22451.344778605227</v>
      </c>
      <c r="T447" s="14">
        <f t="shared" ca="1" si="9"/>
        <v>-6048.6552213947725</v>
      </c>
      <c r="V447">
        <v>-5357.2289167643539</v>
      </c>
    </row>
    <row r="448" spans="1:22" x14ac:dyDescent="0.2">
      <c r="A448" s="1">
        <f>Acciones!A448</f>
        <v>45646</v>
      </c>
      <c r="B448" s="29">
        <f>LN(Acciones!B448/Acciones!B447)</f>
        <v>-2.5301370694510945E-2</v>
      </c>
      <c r="C448" s="29">
        <f>LN(Acciones!C448/Acciones!C447)</f>
        <v>-3.4775507829187036E-2</v>
      </c>
      <c r="D448" s="29">
        <f>LN(Acciones!D448/Acciones!D447)</f>
        <v>-1.8837637662008657E-2</v>
      </c>
      <c r="E448" s="29">
        <f>LN(Acciones!E448/Acciones!E447)</f>
        <v>0</v>
      </c>
      <c r="M448" s="30">
        <f ca="1">Acciones!$B$751*EXP((H$2-H$3/2)*(1)+H$4*_xlfn.NORM.S.INV(RAND())*SQRT(1))</f>
        <v>11.412263767694434</v>
      </c>
      <c r="N448" s="30">
        <f ca="1">Acciones!$C$751*EXP((I$2-I$3/2)*(1)+I$4*_xlfn.NORM.S.INV(RAND())*SQRT(1))</f>
        <v>135.99884239546452</v>
      </c>
      <c r="O448" s="30">
        <f ca="1">Acciones!$D$751*EXP((J$2-J$3/2)*(1)+J$4*_xlfn.NORM.S.INV(RAND())*SQRT(1))</f>
        <v>1009.4867065516565</v>
      </c>
      <c r="P448" s="30">
        <f ca="1">Acciones!$E$751*EXP((K$2-K$3/2)*(1)+K$4*_xlfn.NORM.S.INV(RAND())*SQRT(1))</f>
        <v>0.13123648642318567</v>
      </c>
      <c r="Q448" s="30"/>
      <c r="R448">
        <f ca="1">M448/Acciones!$B$751*$I$10 + N448/Acciones!$C$751*$I$11 + O448/Acciones!$D$751*$I$12 + P448/Acciones!$D$751*$I$13</f>
        <v>22264.85073396494</v>
      </c>
      <c r="T448" s="14">
        <f t="shared" ca="1" si="9"/>
        <v>-6235.1492660350596</v>
      </c>
      <c r="V448">
        <v>-5355.5764274428002</v>
      </c>
    </row>
    <row r="449" spans="1:22" x14ac:dyDescent="0.2">
      <c r="A449" s="1">
        <f>Acciones!A449</f>
        <v>45649</v>
      </c>
      <c r="B449" s="29">
        <f>LN(Acciones!B449/Acciones!B448)</f>
        <v>-2.1249160078570771E-2</v>
      </c>
      <c r="C449" s="29">
        <f>LN(Acciones!C449/Acciones!C448)</f>
        <v>-2.6373525220684698E-2</v>
      </c>
      <c r="D449" s="29">
        <f>LN(Acciones!D449/Acciones!D448)</f>
        <v>2.8036346647545623E-3</v>
      </c>
      <c r="E449" s="29">
        <f>LN(Acciones!E449/Acciones!E448)</f>
        <v>-3.6010364055359123E-2</v>
      </c>
      <c r="M449" s="30">
        <f ca="1">Acciones!$B$751*EXP((H$2-H$3/2)*(1)+H$4*_xlfn.NORM.S.INV(RAND())*SQRT(1))</f>
        <v>10.960473943572044</v>
      </c>
      <c r="N449" s="30">
        <f ca="1">Acciones!$C$751*EXP((I$2-I$3/2)*(1)+I$4*_xlfn.NORM.S.INV(RAND())*SQRT(1))</f>
        <v>157.15210582304542</v>
      </c>
      <c r="O449" s="30">
        <f ca="1">Acciones!$D$751*EXP((J$2-J$3/2)*(1)+J$4*_xlfn.NORM.S.INV(RAND())*SQRT(1))</f>
        <v>985.49362696018204</v>
      </c>
      <c r="P449" s="30">
        <f ca="1">Acciones!$E$751*EXP((K$2-K$3/2)*(1)+K$4*_xlfn.NORM.S.INV(RAND())*SQRT(1))</f>
        <v>0.1396467362360008</v>
      </c>
      <c r="Q449" s="30"/>
      <c r="R449">
        <f ca="1">M449/Acciones!$B$751*$I$10 + N449/Acciones!$C$751*$I$11 + O449/Acciones!$D$751*$I$12 + P449/Acciones!$D$751*$I$13</f>
        <v>23200.410595096069</v>
      </c>
      <c r="T449" s="14">
        <f t="shared" ca="1" si="9"/>
        <v>-5299.5894049039307</v>
      </c>
      <c r="V449">
        <v>-5354.4135637139188</v>
      </c>
    </row>
    <row r="450" spans="1:22" x14ac:dyDescent="0.2">
      <c r="A450" s="1">
        <f>Acciones!A450</f>
        <v>45650</v>
      </c>
      <c r="B450" s="29">
        <f>LN(Acciones!B450/Acciones!B449)</f>
        <v>2.5183555012382574E-2</v>
      </c>
      <c r="C450" s="29">
        <f>LN(Acciones!C450/Acciones!C449)</f>
        <v>3.2072134834698382E-2</v>
      </c>
      <c r="D450" s="29">
        <f>LN(Acciones!D450/Acciones!D449)</f>
        <v>1.4118915009363748E-3</v>
      </c>
      <c r="E450" s="29">
        <f>LN(Acciones!E450/Acciones!E449)</f>
        <v>0</v>
      </c>
      <c r="M450" s="30">
        <f ca="1">Acciones!$B$751*EXP((H$2-H$3/2)*(1)+H$4*_xlfn.NORM.S.INV(RAND())*SQRT(1))</f>
        <v>10.771947291887722</v>
      </c>
      <c r="N450" s="30">
        <f ca="1">Acciones!$C$751*EXP((I$2-I$3/2)*(1)+I$4*_xlfn.NORM.S.INV(RAND())*SQRT(1))</f>
        <v>170.0052975200233</v>
      </c>
      <c r="O450" s="30">
        <f ca="1">Acciones!$D$751*EXP((J$2-J$3/2)*(1)+J$4*_xlfn.NORM.S.INV(RAND())*SQRT(1))</f>
        <v>1027.9424527446472</v>
      </c>
      <c r="P450" s="30">
        <f ca="1">Acciones!$E$751*EXP((K$2-K$3/2)*(1)+K$4*_xlfn.NORM.S.INV(RAND())*SQRT(1))</f>
        <v>0.13411476303615538</v>
      </c>
      <c r="Q450" s="30"/>
      <c r="R450">
        <f ca="1">M450/Acciones!$B$751*$I$10 + N450/Acciones!$C$751*$I$11 + O450/Acciones!$D$751*$I$12 + P450/Acciones!$D$751*$I$13</f>
        <v>24367.617633174246</v>
      </c>
      <c r="T450" s="14">
        <f t="shared" ca="1" si="9"/>
        <v>-4132.3823668257537</v>
      </c>
      <c r="V450">
        <v>-5347.9908324114367</v>
      </c>
    </row>
    <row r="451" spans="1:22" x14ac:dyDescent="0.2">
      <c r="A451" s="1">
        <f>Acciones!A451</f>
        <v>45652</v>
      </c>
      <c r="B451" s="29">
        <f>LN(Acciones!B451/Acciones!B450)</f>
        <v>1.4295278055268021E-2</v>
      </c>
      <c r="C451" s="29">
        <f>LN(Acciones!C451/Acciones!C450)</f>
        <v>-2.8006422271838669E-2</v>
      </c>
      <c r="D451" s="29">
        <f>LN(Acciones!D451/Acciones!D450)</f>
        <v>7.7810443320296277E-3</v>
      </c>
      <c r="E451" s="29">
        <f>LN(Acciones!E451/Acciones!E450)</f>
        <v>-6.6890014851658085E-3</v>
      </c>
      <c r="M451" s="30">
        <f ca="1">Acciones!$B$751*EXP((H$2-H$3/2)*(1)+H$4*_xlfn.NORM.S.INV(RAND())*SQRT(1))</f>
        <v>10.840303847698284</v>
      </c>
      <c r="N451" s="30">
        <f ca="1">Acciones!$C$751*EXP((I$2-I$3/2)*(1)+I$4*_xlfn.NORM.S.INV(RAND())*SQRT(1))</f>
        <v>153.95354851860952</v>
      </c>
      <c r="O451" s="30">
        <f ca="1">Acciones!$D$751*EXP((J$2-J$3/2)*(1)+J$4*_xlfn.NORM.S.INV(RAND())*SQRT(1))</f>
        <v>999.15719817829608</v>
      </c>
      <c r="P451" s="30">
        <f ca="1">Acciones!$E$751*EXP((K$2-K$3/2)*(1)+K$4*_xlfn.NORM.S.INV(RAND())*SQRT(1))</f>
        <v>0.13802083358145187</v>
      </c>
      <c r="Q451" s="30"/>
      <c r="R451">
        <f ca="1">M451/Acciones!$B$751*$I$10 + N451/Acciones!$C$751*$I$11 + O451/Acciones!$D$751*$I$12 + P451/Acciones!$D$751*$I$13</f>
        <v>23098.997687854404</v>
      </c>
      <c r="T451" s="14">
        <f t="shared" ca="1" si="9"/>
        <v>-5401.0023121455961</v>
      </c>
      <c r="V451">
        <v>-5343.5920563634536</v>
      </c>
    </row>
    <row r="452" spans="1:22" x14ac:dyDescent="0.2">
      <c r="A452" s="1">
        <f>Acciones!A452</f>
        <v>45653</v>
      </c>
      <c r="B452" s="29">
        <f>LN(Acciones!B452/Acciones!B451)</f>
        <v>2.4850007141861911E-2</v>
      </c>
      <c r="C452" s="29">
        <f>LN(Acciones!C452/Acciones!C451)</f>
        <v>-4.3604209952641616E-2</v>
      </c>
      <c r="D452" s="29">
        <f>LN(Acciones!D452/Acciones!D451)</f>
        <v>-1.7676255741041996E-3</v>
      </c>
      <c r="E452" s="29">
        <f>LN(Acciones!E452/Acciones!E451)</f>
        <v>-4.4604345187158119E-2</v>
      </c>
      <c r="M452" s="30">
        <f ca="1">Acciones!$B$751*EXP((H$2-H$3/2)*(1)+H$4*_xlfn.NORM.S.INV(RAND())*SQRT(1))</f>
        <v>10.763108872072829</v>
      </c>
      <c r="N452" s="30">
        <f ca="1">Acciones!$C$751*EXP((I$2-I$3/2)*(1)+I$4*_xlfn.NORM.S.INV(RAND())*SQRT(1))</f>
        <v>151.7675596004394</v>
      </c>
      <c r="O452" s="30">
        <f ca="1">Acciones!$D$751*EXP((J$2-J$3/2)*(1)+J$4*_xlfn.NORM.S.INV(RAND())*SQRT(1))</f>
        <v>1002.5676596585537</v>
      </c>
      <c r="P452" s="30">
        <f ca="1">Acciones!$E$751*EXP((K$2-K$3/2)*(1)+K$4*_xlfn.NORM.S.INV(RAND())*SQRT(1))</f>
        <v>0.13352302576316105</v>
      </c>
      <c r="Q452" s="30"/>
      <c r="R452">
        <f ca="1">M452/Acciones!$B$751*$I$10 + N452/Acciones!$C$751*$I$11 + O452/Acciones!$D$751*$I$12 + P452/Acciones!$D$751*$I$13</f>
        <v>22971.879270890091</v>
      </c>
      <c r="T452" s="14">
        <f t="shared" ca="1" si="9"/>
        <v>-5528.120729109909</v>
      </c>
      <c r="V452">
        <v>-5339.8168052429028</v>
      </c>
    </row>
    <row r="453" spans="1:22" x14ac:dyDescent="0.2">
      <c r="A453" s="1">
        <f>Acciones!A453</f>
        <v>45656</v>
      </c>
      <c r="B453" s="29">
        <f>LN(Acciones!B453/Acciones!B452)</f>
        <v>-1.5858232480576447E-2</v>
      </c>
      <c r="C453" s="29">
        <f>LN(Acciones!C453/Acciones!C452)</f>
        <v>-4.016688587446976E-2</v>
      </c>
      <c r="D453" s="29">
        <f>LN(Acciones!D453/Acciones!D452)</f>
        <v>-3.5506511183184745E-3</v>
      </c>
      <c r="E453" s="29">
        <f>LN(Acciones!E453/Acciones!E452)</f>
        <v>-1.4134539961330345E-2</v>
      </c>
      <c r="M453" s="30">
        <f ca="1">Acciones!$B$751*EXP((H$2-H$3/2)*(1)+H$4*_xlfn.NORM.S.INV(RAND())*SQRT(1))</f>
        <v>10.975887887967477</v>
      </c>
      <c r="N453" s="30">
        <f ca="1">Acciones!$C$751*EXP((I$2-I$3/2)*(1)+I$4*_xlfn.NORM.S.INV(RAND())*SQRT(1))</f>
        <v>138.52301431570851</v>
      </c>
      <c r="O453" s="30">
        <f ca="1">Acciones!$D$751*EXP((J$2-J$3/2)*(1)+J$4*_xlfn.NORM.S.INV(RAND())*SQRT(1))</f>
        <v>953.27880050828742</v>
      </c>
      <c r="P453" s="30">
        <f ca="1">Acciones!$E$751*EXP((K$2-K$3/2)*(1)+K$4*_xlfn.NORM.S.INV(RAND())*SQRT(1))</f>
        <v>0.12346865027266848</v>
      </c>
      <c r="Q453" s="30"/>
      <c r="R453">
        <f ca="1">M453/Acciones!$B$751*$I$10 + N453/Acciones!$C$751*$I$11 + O453/Acciones!$D$751*$I$12 + P453/Acciones!$D$751*$I$13</f>
        <v>21719.418503941528</v>
      </c>
      <c r="T453" s="14">
        <f t="shared" ca="1" si="9"/>
        <v>-6780.5814960584721</v>
      </c>
      <c r="V453">
        <v>-5338.8328046222996</v>
      </c>
    </row>
    <row r="454" spans="1:22" x14ac:dyDescent="0.2">
      <c r="A454" s="1">
        <f>Acciones!A454</f>
        <v>45657</v>
      </c>
      <c r="B454" s="29">
        <f>LN(Acciones!B454/Acciones!B453)</f>
        <v>8.9115182755136746E-3</v>
      </c>
      <c r="C454" s="29">
        <f>LN(Acciones!C454/Acciones!C453)</f>
        <v>-2.6572291341027156E-2</v>
      </c>
      <c r="D454" s="29">
        <f>LN(Acciones!D454/Acciones!D453)</f>
        <v>2.2842372195931993E-2</v>
      </c>
      <c r="E454" s="29">
        <f>LN(Acciones!E454/Acciones!E453)</f>
        <v>0</v>
      </c>
      <c r="M454" s="30">
        <f ca="1">Acciones!$B$751*EXP((H$2-H$3/2)*(1)+H$4*_xlfn.NORM.S.INV(RAND())*SQRT(1))</f>
        <v>10.846827387260287</v>
      </c>
      <c r="N454" s="30">
        <f ca="1">Acciones!$C$751*EXP((I$2-I$3/2)*(1)+I$4*_xlfn.NORM.S.INV(RAND())*SQRT(1))</f>
        <v>145.17612296541583</v>
      </c>
      <c r="O454" s="30">
        <f ca="1">Acciones!$D$751*EXP((J$2-J$3/2)*(1)+J$4*_xlfn.NORM.S.INV(RAND())*SQRT(1))</f>
        <v>1007.0597207357577</v>
      </c>
      <c r="P454" s="30">
        <f ca="1">Acciones!$E$751*EXP((K$2-K$3/2)*(1)+K$4*_xlfn.NORM.S.INV(RAND())*SQRT(1))</f>
        <v>0.13300849476110596</v>
      </c>
      <c r="Q454" s="30"/>
      <c r="R454">
        <f ca="1">M454/Acciones!$B$751*$I$10 + N454/Acciones!$C$751*$I$11 + O454/Acciones!$D$751*$I$12 + P454/Acciones!$D$751*$I$13</f>
        <v>22632.169628317846</v>
      </c>
      <c r="T454" s="14">
        <f t="shared" ref="T454:T517" ca="1" si="10">R454-$I$14</f>
        <v>-5867.8303716821538</v>
      </c>
      <c r="V454">
        <v>-5338.1104098173601</v>
      </c>
    </row>
    <row r="455" spans="1:22" x14ac:dyDescent="0.2">
      <c r="A455" s="1">
        <f>Acciones!A455</f>
        <v>45659</v>
      </c>
      <c r="B455" s="29">
        <f>LN(Acciones!B455/Acciones!B454)</f>
        <v>1.3845381637497819E-2</v>
      </c>
      <c r="C455" s="29">
        <f>LN(Acciones!C455/Acciones!C454)</f>
        <v>6.5326814309168693E-3</v>
      </c>
      <c r="D455" s="29">
        <f>LN(Acciones!D455/Acciones!D454)</f>
        <v>-4.3717368805577687E-2</v>
      </c>
      <c r="E455" s="29">
        <f>LN(Acciones!E455/Acciones!E454)</f>
        <v>0</v>
      </c>
      <c r="M455" s="30">
        <f ca="1">Acciones!$B$751*EXP((H$2-H$3/2)*(1)+H$4*_xlfn.NORM.S.INV(RAND())*SQRT(1))</f>
        <v>10.677581877986261</v>
      </c>
      <c r="N455" s="30">
        <f ca="1">Acciones!$C$751*EXP((I$2-I$3/2)*(1)+I$4*_xlfn.NORM.S.INV(RAND())*SQRT(1))</f>
        <v>143.28395781014385</v>
      </c>
      <c r="O455" s="30">
        <f ca="1">Acciones!$D$751*EXP((J$2-J$3/2)*(1)+J$4*_xlfn.NORM.S.INV(RAND())*SQRT(1))</f>
        <v>1003.7564028361858</v>
      </c>
      <c r="P455" s="30">
        <f ca="1">Acciones!$E$751*EXP((K$2-K$3/2)*(1)+K$4*_xlfn.NORM.S.INV(RAND())*SQRT(1))</f>
        <v>0.12984206687484423</v>
      </c>
      <c r="Q455" s="30"/>
      <c r="R455">
        <f ca="1">M455/Acciones!$B$751*$I$10 + N455/Acciones!$C$751*$I$11 + O455/Acciones!$D$751*$I$12 + P455/Acciones!$D$751*$I$13</f>
        <v>22426.625926673958</v>
      </c>
      <c r="T455" s="14">
        <f t="shared" ca="1" si="10"/>
        <v>-6073.374073326042</v>
      </c>
      <c r="V455">
        <v>-5336.3583470686826</v>
      </c>
    </row>
    <row r="456" spans="1:22" x14ac:dyDescent="0.2">
      <c r="A456" s="1">
        <f>Acciones!A456</f>
        <v>45660</v>
      </c>
      <c r="B456" s="29">
        <f>LN(Acciones!B456/Acciones!B455)</f>
        <v>-3.2394048648145456E-2</v>
      </c>
      <c r="C456" s="29">
        <f>LN(Acciones!C456/Acciones!C455)</f>
        <v>0.12634308537636524</v>
      </c>
      <c r="D456" s="29">
        <f>LN(Acciones!D456/Acciones!D455)</f>
        <v>1.9756399002278471E-3</v>
      </c>
      <c r="E456" s="29">
        <f>LN(Acciones!E456/Acciones!E455)</f>
        <v>6.5427886633654203E-2</v>
      </c>
      <c r="M456" s="30">
        <f ca="1">Acciones!$B$751*EXP((H$2-H$3/2)*(1)+H$4*_xlfn.NORM.S.INV(RAND())*SQRT(1))</f>
        <v>11.441101125349331</v>
      </c>
      <c r="N456" s="30">
        <f ca="1">Acciones!$C$751*EXP((I$2-I$3/2)*(1)+I$4*_xlfn.NORM.S.INV(RAND())*SQRT(1))</f>
        <v>139.23699372782809</v>
      </c>
      <c r="O456" s="30">
        <f ca="1">Acciones!$D$751*EXP((J$2-J$3/2)*(1)+J$4*_xlfn.NORM.S.INV(RAND())*SQRT(1))</f>
        <v>985.27226140978451</v>
      </c>
      <c r="P456" s="30">
        <f ca="1">Acciones!$E$751*EXP((K$2-K$3/2)*(1)+K$4*_xlfn.NORM.S.INV(RAND())*SQRT(1))</f>
        <v>0.12880269617010465</v>
      </c>
      <c r="Q456" s="30"/>
      <c r="R456">
        <f ca="1">M456/Acciones!$B$751*$I$10 + N456/Acciones!$C$751*$I$11 + O456/Acciones!$D$751*$I$12 + P456/Acciones!$D$751*$I$13</f>
        <v>22233.73125846378</v>
      </c>
      <c r="T456" s="14">
        <f t="shared" ca="1" si="10"/>
        <v>-6266.2687415362197</v>
      </c>
      <c r="V456">
        <v>-5336.1021667746754</v>
      </c>
    </row>
    <row r="457" spans="1:22" x14ac:dyDescent="0.2">
      <c r="A457" s="1">
        <f>Acciones!A457</f>
        <v>45663</v>
      </c>
      <c r="B457" s="29">
        <f>LN(Acciones!B457/Acciones!B456)</f>
        <v>1.2903951752114523E-3</v>
      </c>
      <c r="C457" s="29">
        <f>LN(Acciones!C457/Acciones!C456)</f>
        <v>3.6693751969042981E-2</v>
      </c>
      <c r="D457" s="29">
        <f>LN(Acciones!D457/Acciones!D456)</f>
        <v>-3.6691215265814897E-2</v>
      </c>
      <c r="E457" s="29">
        <f>LN(Acciones!E457/Acciones!E456)</f>
        <v>3.2789790777484423E-2</v>
      </c>
      <c r="M457" s="30">
        <f ca="1">Acciones!$B$751*EXP((H$2-H$3/2)*(1)+H$4*_xlfn.NORM.S.INV(RAND())*SQRT(1))</f>
        <v>10.344444388083392</v>
      </c>
      <c r="N457" s="30">
        <f ca="1">Acciones!$C$751*EXP((I$2-I$3/2)*(1)+I$4*_xlfn.NORM.S.INV(RAND())*SQRT(1))</f>
        <v>164.72619399818987</v>
      </c>
      <c r="O457" s="30">
        <f ca="1">Acciones!$D$751*EXP((J$2-J$3/2)*(1)+J$4*_xlfn.NORM.S.INV(RAND())*SQRT(1))</f>
        <v>1038.8129125493047</v>
      </c>
      <c r="P457" s="30">
        <f ca="1">Acciones!$E$751*EXP((K$2-K$3/2)*(1)+K$4*_xlfn.NORM.S.INV(RAND())*SQRT(1))</f>
        <v>0.12683423378147723</v>
      </c>
      <c r="Q457" s="30"/>
      <c r="R457">
        <f ca="1">M457/Acciones!$B$751*$I$10 + N457/Acciones!$C$751*$I$11 + O457/Acciones!$D$751*$I$12 + P457/Acciones!$D$751*$I$13</f>
        <v>24009.696236042233</v>
      </c>
      <c r="T457" s="14">
        <f t="shared" ca="1" si="10"/>
        <v>-4490.3037639577669</v>
      </c>
      <c r="V457">
        <v>-5335.2260735604359</v>
      </c>
    </row>
    <row r="458" spans="1:22" x14ac:dyDescent="0.2">
      <c r="A458" s="1">
        <f>Acciones!A458</f>
        <v>45664</v>
      </c>
      <c r="B458" s="29">
        <f>LN(Acciones!B458/Acciones!B457)</f>
        <v>-5.81965004115754E-3</v>
      </c>
      <c r="C458" s="29">
        <f>LN(Acciones!C458/Acciones!C457)</f>
        <v>-6.9357103871235753E-2</v>
      </c>
      <c r="D458" s="29">
        <f>LN(Acciones!D458/Acciones!D457)</f>
        <v>-1.5705288049145796E-4</v>
      </c>
      <c r="E458" s="29">
        <f>LN(Acciones!E458/Acciones!E457)</f>
        <v>0.41616038699762481</v>
      </c>
      <c r="M458" s="30">
        <f ca="1">Acciones!$B$751*EXP((H$2-H$3/2)*(1)+H$4*_xlfn.NORM.S.INV(RAND())*SQRT(1))</f>
        <v>11.43825666259076</v>
      </c>
      <c r="N458" s="30">
        <f ca="1">Acciones!$C$751*EXP((I$2-I$3/2)*(1)+I$4*_xlfn.NORM.S.INV(RAND())*SQRT(1))</f>
        <v>170.75913184993351</v>
      </c>
      <c r="O458" s="30">
        <f ca="1">Acciones!$D$751*EXP((J$2-J$3/2)*(1)+J$4*_xlfn.NORM.S.INV(RAND())*SQRT(1))</f>
        <v>1008.293477038167</v>
      </c>
      <c r="P458" s="30">
        <f ca="1">Acciones!$E$751*EXP((K$2-K$3/2)*(1)+K$4*_xlfn.NORM.S.INV(RAND())*SQRT(1))</f>
        <v>0.12347467895051903</v>
      </c>
      <c r="Q458" s="30"/>
      <c r="R458">
        <f ca="1">M458/Acciones!$B$751*$I$10 + N458/Acciones!$C$751*$I$11 + O458/Acciones!$D$751*$I$12 + P458/Acciones!$D$751*$I$13</f>
        <v>24431.571129094318</v>
      </c>
      <c r="T458" s="14">
        <f t="shared" ca="1" si="10"/>
        <v>-4068.4288709056818</v>
      </c>
      <c r="V458">
        <v>-5333.4703269892671</v>
      </c>
    </row>
    <row r="459" spans="1:22" x14ac:dyDescent="0.2">
      <c r="A459" s="1">
        <f>Acciones!A459</f>
        <v>45665</v>
      </c>
      <c r="B459" s="29">
        <f>LN(Acciones!B459/Acciones!B458)</f>
        <v>-2.597422428506187E-3</v>
      </c>
      <c r="C459" s="29">
        <f>LN(Acciones!C459/Acciones!C458)</f>
        <v>-3.3659866660027384E-2</v>
      </c>
      <c r="D459" s="29">
        <f>LN(Acciones!D459/Acciones!D458)</f>
        <v>-8.9201941841586512E-3</v>
      </c>
      <c r="E459" s="29">
        <f>LN(Acciones!E459/Acciones!E458)</f>
        <v>0</v>
      </c>
      <c r="M459" s="30">
        <f ca="1">Acciones!$B$751*EXP((H$2-H$3/2)*(1)+H$4*_xlfn.NORM.S.INV(RAND())*SQRT(1))</f>
        <v>11.188237613181659</v>
      </c>
      <c r="N459" s="30">
        <f ca="1">Acciones!$C$751*EXP((I$2-I$3/2)*(1)+I$4*_xlfn.NORM.S.INV(RAND())*SQRT(1))</f>
        <v>157.1703207374847</v>
      </c>
      <c r="O459" s="30">
        <f ca="1">Acciones!$D$751*EXP((J$2-J$3/2)*(1)+J$4*_xlfn.NORM.S.INV(RAND())*SQRT(1))</f>
        <v>993.55370279171848</v>
      </c>
      <c r="P459" s="30">
        <f ca="1">Acciones!$E$751*EXP((K$2-K$3/2)*(1)+K$4*_xlfn.NORM.S.INV(RAND())*SQRT(1))</f>
        <v>0.13690715866591718</v>
      </c>
      <c r="Q459" s="30"/>
      <c r="R459">
        <f ca="1">M459/Acciones!$B$751*$I$10 + N459/Acciones!$C$751*$I$11 + O459/Acciones!$D$751*$I$12 + P459/Acciones!$D$751*$I$13</f>
        <v>23355.33406375163</v>
      </c>
      <c r="T459" s="14">
        <f t="shared" ca="1" si="10"/>
        <v>-5144.6659362483697</v>
      </c>
      <c r="V459">
        <v>-5331.6346999408161</v>
      </c>
    </row>
    <row r="460" spans="1:22" x14ac:dyDescent="0.2">
      <c r="A460" s="1">
        <f>Acciones!A460</f>
        <v>45666</v>
      </c>
      <c r="B460" s="29">
        <f>LN(Acciones!B460/Acciones!B459)</f>
        <v>4.5410713527670992E-3</v>
      </c>
      <c r="C460" s="29">
        <f>LN(Acciones!C460/Acciones!C459)</f>
        <v>-1.4582705260267099E-2</v>
      </c>
      <c r="D460" s="29">
        <f>LN(Acciones!D460/Acciones!D459)</f>
        <v>1.910030655548876E-2</v>
      </c>
      <c r="E460" s="29">
        <f>LN(Acciones!E460/Acciones!E459)</f>
        <v>0.10109608272795358</v>
      </c>
      <c r="M460" s="30">
        <f ca="1">Acciones!$B$751*EXP((H$2-H$3/2)*(1)+H$4*_xlfn.NORM.S.INV(RAND())*SQRT(1))</f>
        <v>10.705707233285082</v>
      </c>
      <c r="N460" s="30">
        <f ca="1">Acciones!$C$751*EXP((I$2-I$3/2)*(1)+I$4*_xlfn.NORM.S.INV(RAND())*SQRT(1))</f>
        <v>156.32578031511446</v>
      </c>
      <c r="O460" s="30">
        <f ca="1">Acciones!$D$751*EXP((J$2-J$3/2)*(1)+J$4*_xlfn.NORM.S.INV(RAND())*SQRT(1))</f>
        <v>984.81200688894955</v>
      </c>
      <c r="P460" s="30">
        <f ca="1">Acciones!$E$751*EXP((K$2-K$3/2)*(1)+K$4*_xlfn.NORM.S.INV(RAND())*SQRT(1))</f>
        <v>0.12830846380031785</v>
      </c>
      <c r="Q460" s="30"/>
      <c r="R460">
        <f ca="1">M460/Acciones!$B$751*$I$10 + N460/Acciones!$C$751*$I$11 + O460/Acciones!$D$751*$I$12 + P460/Acciones!$D$751*$I$13</f>
        <v>23060.195460528797</v>
      </c>
      <c r="T460" s="14">
        <f t="shared" ca="1" si="10"/>
        <v>-5439.8045394712026</v>
      </c>
      <c r="V460">
        <v>-5330.0256041249595</v>
      </c>
    </row>
    <row r="461" spans="1:22" x14ac:dyDescent="0.2">
      <c r="A461" s="1">
        <f>Acciones!A461</f>
        <v>45667</v>
      </c>
      <c r="B461" s="29">
        <f>LN(Acciones!B461/Acciones!B460)</f>
        <v>-2.5924359883368543E-3</v>
      </c>
      <c r="C461" s="29">
        <f>LN(Acciones!C461/Acciones!C460)</f>
        <v>3.7263230903876194E-3</v>
      </c>
      <c r="D461" s="29">
        <f>LN(Acciones!D461/Acciones!D460)</f>
        <v>-3.3841898367598226E-3</v>
      </c>
      <c r="E461" s="29">
        <f>LN(Acciones!E461/Acciones!E460)</f>
        <v>0.1262937175531523</v>
      </c>
      <c r="M461" s="30">
        <f ca="1">Acciones!$B$751*EXP((H$2-H$3/2)*(1)+H$4*_xlfn.NORM.S.INV(RAND())*SQRT(1))</f>
        <v>10.600597422767654</v>
      </c>
      <c r="N461" s="30">
        <f ca="1">Acciones!$C$751*EXP((I$2-I$3/2)*(1)+I$4*_xlfn.NORM.S.INV(RAND())*SQRT(1))</f>
        <v>139.75280311137186</v>
      </c>
      <c r="O461" s="30">
        <f ca="1">Acciones!$D$751*EXP((J$2-J$3/2)*(1)+J$4*_xlfn.NORM.S.INV(RAND())*SQRT(1))</f>
        <v>961.43914099802851</v>
      </c>
      <c r="P461" s="30">
        <f ca="1">Acciones!$E$751*EXP((K$2-K$3/2)*(1)+K$4*_xlfn.NORM.S.INV(RAND())*SQRT(1))</f>
        <v>0.1265123401111922</v>
      </c>
      <c r="Q461" s="30"/>
      <c r="R461">
        <f ca="1">M461/Acciones!$B$751*$I$10 + N461/Acciones!$C$751*$I$11 + O461/Acciones!$D$751*$I$12 + P461/Acciones!$D$751*$I$13</f>
        <v>21757.563094753834</v>
      </c>
      <c r="T461" s="14">
        <f t="shared" ca="1" si="10"/>
        <v>-6742.4369052461661</v>
      </c>
      <c r="V461">
        <v>-5329.8865344142396</v>
      </c>
    </row>
    <row r="462" spans="1:22" x14ac:dyDescent="0.2">
      <c r="A462" s="1">
        <f>Acciones!A462</f>
        <v>45670</v>
      </c>
      <c r="B462" s="29">
        <f>LN(Acciones!B462/Acciones!B461)</f>
        <v>8.7552019674534617E-2</v>
      </c>
      <c r="C462" s="29">
        <f>LN(Acciones!C462/Acciones!C461)</f>
        <v>-4.4700490531638611E-2</v>
      </c>
      <c r="D462" s="29">
        <f>LN(Acciones!D462/Acciones!D461)</f>
        <v>1.6807082396813115E-2</v>
      </c>
      <c r="E462" s="29">
        <f>LN(Acciones!E462/Acciones!E461)</f>
        <v>8.1345661553133053E-2</v>
      </c>
      <c r="M462" s="30">
        <f ca="1">Acciones!$B$751*EXP((H$2-H$3/2)*(1)+H$4*_xlfn.NORM.S.INV(RAND())*SQRT(1))</f>
        <v>11.118414224928433</v>
      </c>
      <c r="N462" s="30">
        <f ca="1">Acciones!$C$751*EXP((I$2-I$3/2)*(1)+I$4*_xlfn.NORM.S.INV(RAND())*SQRT(1))</f>
        <v>142.7231839853356</v>
      </c>
      <c r="O462" s="30">
        <f ca="1">Acciones!$D$751*EXP((J$2-J$3/2)*(1)+J$4*_xlfn.NORM.S.INV(RAND())*SQRT(1))</f>
        <v>968.17667976096948</v>
      </c>
      <c r="P462" s="30">
        <f ca="1">Acciones!$E$751*EXP((K$2-K$3/2)*(1)+K$4*_xlfn.NORM.S.INV(RAND())*SQRT(1))</f>
        <v>0.12720671090064384</v>
      </c>
      <c r="Q462" s="30"/>
      <c r="R462">
        <f ca="1">M462/Acciones!$B$751*$I$10 + N462/Acciones!$C$751*$I$11 + O462/Acciones!$D$751*$I$12 + P462/Acciones!$D$751*$I$13</f>
        <v>22176.637822217959</v>
      </c>
      <c r="T462" s="14">
        <f t="shared" ca="1" si="10"/>
        <v>-6323.3621777820408</v>
      </c>
      <c r="V462">
        <v>-5327.9940532901855</v>
      </c>
    </row>
    <row r="463" spans="1:22" x14ac:dyDescent="0.2">
      <c r="A463" s="1">
        <f>Acciones!A463</f>
        <v>45671</v>
      </c>
      <c r="B463" s="29">
        <f>LN(Acciones!B463/Acciones!B462)</f>
        <v>-3.0790279976182694E-2</v>
      </c>
      <c r="C463" s="29">
        <f>LN(Acciones!C463/Acciones!C462)</f>
        <v>5.0716450474946016E-4</v>
      </c>
      <c r="D463" s="29">
        <f>LN(Acciones!D463/Acciones!D462)</f>
        <v>-2.9428767543511369E-2</v>
      </c>
      <c r="E463" s="29">
        <f>LN(Acciones!E463/Acciones!E462)</f>
        <v>0.200386593250763</v>
      </c>
      <c r="M463" s="30">
        <f ca="1">Acciones!$B$751*EXP((H$2-H$3/2)*(1)+H$4*_xlfn.NORM.S.INV(RAND())*SQRT(1))</f>
        <v>10.507064450115454</v>
      </c>
      <c r="N463" s="30">
        <f ca="1">Acciones!$C$751*EXP((I$2-I$3/2)*(1)+I$4*_xlfn.NORM.S.INV(RAND())*SQRT(1))</f>
        <v>165.98079544839382</v>
      </c>
      <c r="O463" s="30">
        <f ca="1">Acciones!$D$751*EXP((J$2-J$3/2)*(1)+J$4*_xlfn.NORM.S.INV(RAND())*SQRT(1))</f>
        <v>1017.2556001303928</v>
      </c>
      <c r="P463" s="30">
        <f ca="1">Acciones!$E$751*EXP((K$2-K$3/2)*(1)+K$4*_xlfn.NORM.S.INV(RAND())*SQRT(1))</f>
        <v>0.12507181879192361</v>
      </c>
      <c r="Q463" s="30"/>
      <c r="R463">
        <f ca="1">M463/Acciones!$B$751*$I$10 + N463/Acciones!$C$751*$I$11 + O463/Acciones!$D$751*$I$12 + P463/Acciones!$D$751*$I$13</f>
        <v>23924.264157851707</v>
      </c>
      <c r="T463" s="14">
        <f t="shared" ca="1" si="10"/>
        <v>-4575.7358421482932</v>
      </c>
      <c r="V463">
        <v>-5327.6487242173898</v>
      </c>
    </row>
    <row r="464" spans="1:22" x14ac:dyDescent="0.2">
      <c r="A464" s="1">
        <f>Acciones!A464</f>
        <v>45672</v>
      </c>
      <c r="B464" s="29">
        <f>LN(Acciones!B464/Acciones!B463)</f>
        <v>3.9668709765432977E-2</v>
      </c>
      <c r="C464" s="29">
        <f>LN(Acciones!C464/Acciones!C463)</f>
        <v>5.3769213748408547E-2</v>
      </c>
      <c r="D464" s="29">
        <f>LN(Acciones!D464/Acciones!D463)</f>
        <v>-1.3946970265303141E-3</v>
      </c>
      <c r="E464" s="29">
        <f>LN(Acciones!E464/Acciones!E463)</f>
        <v>7.1547113363139764E-2</v>
      </c>
      <c r="M464" s="30">
        <f ca="1">Acciones!$B$751*EXP((H$2-H$3/2)*(1)+H$4*_xlfn.NORM.S.INV(RAND())*SQRT(1))</f>
        <v>10.945910184346284</v>
      </c>
      <c r="N464" s="30">
        <f ca="1">Acciones!$C$751*EXP((I$2-I$3/2)*(1)+I$4*_xlfn.NORM.S.INV(RAND())*SQRT(1))</f>
        <v>143.67835184590908</v>
      </c>
      <c r="O464" s="30">
        <f ca="1">Acciones!$D$751*EXP((J$2-J$3/2)*(1)+J$4*_xlfn.NORM.S.INV(RAND())*SQRT(1))</f>
        <v>948.2779922813537</v>
      </c>
      <c r="P464" s="30">
        <f ca="1">Acciones!$E$751*EXP((K$2-K$3/2)*(1)+K$4*_xlfn.NORM.S.INV(RAND())*SQRT(1))</f>
        <v>0.12542312595806909</v>
      </c>
      <c r="Q464" s="30"/>
      <c r="R464">
        <f ca="1">M464/Acciones!$B$751*$I$10 + N464/Acciones!$C$751*$I$11 + O464/Acciones!$D$751*$I$12 + P464/Acciones!$D$751*$I$13</f>
        <v>21981.612947959085</v>
      </c>
      <c r="T464" s="14">
        <f t="shared" ca="1" si="10"/>
        <v>-6518.3870520409146</v>
      </c>
      <c r="V464">
        <v>-5320.72617720372</v>
      </c>
    </row>
    <row r="465" spans="1:22" x14ac:dyDescent="0.2">
      <c r="A465" s="1">
        <f>Acciones!A465</f>
        <v>45673</v>
      </c>
      <c r="B465" s="29">
        <f>LN(Acciones!B465/Acciones!B464)</f>
        <v>6.5017315256733474E-2</v>
      </c>
      <c r="C465" s="29">
        <f>LN(Acciones!C465/Acciones!C464)</f>
        <v>1.6940568823293364E-2</v>
      </c>
      <c r="D465" s="29">
        <f>LN(Acciones!D465/Acciones!D464)</f>
        <v>1.4016382173228474E-2</v>
      </c>
      <c r="E465" s="29">
        <f>LN(Acciones!E465/Acciones!E464)</f>
        <v>-0.19671026647991482</v>
      </c>
      <c r="M465" s="30">
        <f ca="1">Acciones!$B$751*EXP((H$2-H$3/2)*(1)+H$4*_xlfn.NORM.S.INV(RAND())*SQRT(1))</f>
        <v>10.725933695898926</v>
      </c>
      <c r="N465" s="30">
        <f ca="1">Acciones!$C$751*EXP((I$2-I$3/2)*(1)+I$4*_xlfn.NORM.S.INV(RAND())*SQRT(1))</f>
        <v>147.25993737012541</v>
      </c>
      <c r="O465" s="30">
        <f ca="1">Acciones!$D$751*EXP((J$2-J$3/2)*(1)+J$4*_xlfn.NORM.S.INV(RAND())*SQRT(1))</f>
        <v>1016.5432174504051</v>
      </c>
      <c r="P465" s="30">
        <f ca="1">Acciones!$E$751*EXP((K$2-K$3/2)*(1)+K$4*_xlfn.NORM.S.INV(RAND())*SQRT(1))</f>
        <v>0.13412525134201878</v>
      </c>
      <c r="Q465" s="30"/>
      <c r="R465">
        <f ca="1">M465/Acciones!$B$751*$I$10 + N465/Acciones!$C$751*$I$11 + O465/Acciones!$D$751*$I$12 + P465/Acciones!$D$751*$I$13</f>
        <v>22818.493046864442</v>
      </c>
      <c r="T465" s="14">
        <f t="shared" ca="1" si="10"/>
        <v>-5681.5069531355584</v>
      </c>
      <c r="V465">
        <v>-5320.6838045468176</v>
      </c>
    </row>
    <row r="466" spans="1:22" x14ac:dyDescent="0.2">
      <c r="A466" s="1">
        <f>Acciones!A466</f>
        <v>45674</v>
      </c>
      <c r="B466" s="29">
        <f>LN(Acciones!B466/Acciones!B465)</f>
        <v>-3.99941817024674E-2</v>
      </c>
      <c r="C466" s="29">
        <f>LN(Acciones!C466/Acciones!C465)</f>
        <v>8.4273599448648692E-2</v>
      </c>
      <c r="D466" s="29">
        <f>LN(Acciones!D466/Acciones!D465)</f>
        <v>1.3957439289430287E-3</v>
      </c>
      <c r="E466" s="29">
        <f>LN(Acciones!E466/Acciones!E465)</f>
        <v>-5.9719267926062435E-2</v>
      </c>
      <c r="M466" s="30">
        <f ca="1">Acciones!$B$751*EXP((H$2-H$3/2)*(1)+H$4*_xlfn.NORM.S.INV(RAND())*SQRT(1))</f>
        <v>10.929974241631957</v>
      </c>
      <c r="N466" s="30">
        <f ca="1">Acciones!$C$751*EXP((I$2-I$3/2)*(1)+I$4*_xlfn.NORM.S.INV(RAND())*SQRT(1))</f>
        <v>154.87105995733953</v>
      </c>
      <c r="O466" s="30">
        <f ca="1">Acciones!$D$751*EXP((J$2-J$3/2)*(1)+J$4*_xlfn.NORM.S.INV(RAND())*SQRT(1))</f>
        <v>1006.71392898173</v>
      </c>
      <c r="P466" s="30">
        <f ca="1">Acciones!$E$751*EXP((K$2-K$3/2)*(1)+K$4*_xlfn.NORM.S.INV(RAND())*SQRT(1))</f>
        <v>0.12604930616324067</v>
      </c>
      <c r="Q466" s="30"/>
      <c r="R466">
        <f ca="1">M466/Acciones!$B$751*$I$10 + N466/Acciones!$C$751*$I$11 + O466/Acciones!$D$751*$I$12 + P466/Acciones!$D$751*$I$13</f>
        <v>23260.677967029944</v>
      </c>
      <c r="T466" s="14">
        <f t="shared" ca="1" si="10"/>
        <v>-5239.3220329700562</v>
      </c>
      <c r="V466">
        <v>-5320.6172455972737</v>
      </c>
    </row>
    <row r="467" spans="1:22" x14ac:dyDescent="0.2">
      <c r="A467" s="1">
        <f>Acciones!A467</f>
        <v>45677</v>
      </c>
      <c r="B467" s="29">
        <f>LN(Acciones!B467/Acciones!B466)</f>
        <v>2.2728190247493171E-2</v>
      </c>
      <c r="C467" s="29">
        <f>LN(Acciones!C467/Acciones!C466)</f>
        <v>1.3419818128705865E-2</v>
      </c>
      <c r="D467" s="29">
        <f>LN(Acciones!D467/Acciones!D466)</f>
        <v>-7.1792285404586871E-4</v>
      </c>
      <c r="E467" s="29">
        <f>LN(Acciones!E467/Acciones!E466)</f>
        <v>-0.1508228257582204</v>
      </c>
      <c r="M467" s="30">
        <f ca="1">Acciones!$B$751*EXP((H$2-H$3/2)*(1)+H$4*_xlfn.NORM.S.INV(RAND())*SQRT(1))</f>
        <v>10.995847746352005</v>
      </c>
      <c r="N467" s="30">
        <f ca="1">Acciones!$C$751*EXP((I$2-I$3/2)*(1)+I$4*_xlfn.NORM.S.INV(RAND())*SQRT(1))</f>
        <v>150.00070606197696</v>
      </c>
      <c r="O467" s="30">
        <f ca="1">Acciones!$D$751*EXP((J$2-J$3/2)*(1)+J$4*_xlfn.NORM.S.INV(RAND())*SQRT(1))</f>
        <v>993.36771689697673</v>
      </c>
      <c r="P467" s="30">
        <f ca="1">Acciones!$E$751*EXP((K$2-K$3/2)*(1)+K$4*_xlfn.NORM.S.INV(RAND())*SQRT(1))</f>
        <v>0.12967582898777893</v>
      </c>
      <c r="Q467" s="30"/>
      <c r="R467">
        <f ca="1">M467/Acciones!$B$751*$I$10 + N467/Acciones!$C$751*$I$11 + O467/Acciones!$D$751*$I$12 + P467/Acciones!$D$751*$I$13</f>
        <v>22844.052205859902</v>
      </c>
      <c r="T467" s="14">
        <f t="shared" ca="1" si="10"/>
        <v>-5655.9477941400983</v>
      </c>
      <c r="V467">
        <v>-5318.8600895004311</v>
      </c>
    </row>
    <row r="468" spans="1:22" x14ac:dyDescent="0.2">
      <c r="A468" s="1">
        <f>Acciones!A468</f>
        <v>45678</v>
      </c>
      <c r="B468" s="29">
        <f>LN(Acciones!B468/Acciones!B467)</f>
        <v>-1.4144441736057098E-2</v>
      </c>
      <c r="C468" s="29">
        <f>LN(Acciones!C468/Acciones!C467)</f>
        <v>-4.3170420942248239E-2</v>
      </c>
      <c r="D468" s="29">
        <f>LN(Acciones!D468/Acciones!D467)</f>
        <v>2.2561982485657106E-2</v>
      </c>
      <c r="E468" s="29">
        <f>LN(Acciones!E468/Acciones!E467)</f>
        <v>-1.8051013777246983E-2</v>
      </c>
      <c r="M468" s="30">
        <f ca="1">Acciones!$B$751*EXP((H$2-H$3/2)*(1)+H$4*_xlfn.NORM.S.INV(RAND())*SQRT(1))</f>
        <v>10.864715471242405</v>
      </c>
      <c r="N468" s="30">
        <f ca="1">Acciones!$C$751*EXP((I$2-I$3/2)*(1)+I$4*_xlfn.NORM.S.INV(RAND())*SQRT(1))</f>
        <v>151.61695648955916</v>
      </c>
      <c r="O468" s="30">
        <f ca="1">Acciones!$D$751*EXP((J$2-J$3/2)*(1)+J$4*_xlfn.NORM.S.INV(RAND())*SQRT(1))</f>
        <v>998.25608457533099</v>
      </c>
      <c r="P468" s="30">
        <f ca="1">Acciones!$E$751*EXP((K$2-K$3/2)*(1)+K$4*_xlfn.NORM.S.INV(RAND())*SQRT(1))</f>
        <v>0.13567193937327887</v>
      </c>
      <c r="Q468" s="30"/>
      <c r="R468">
        <f ca="1">M468/Acciones!$B$751*$I$10 + N468/Acciones!$C$751*$I$11 + O468/Acciones!$D$751*$I$12 + P468/Acciones!$D$751*$I$13</f>
        <v>22951.897184773836</v>
      </c>
      <c r="T468" s="14">
        <f t="shared" ca="1" si="10"/>
        <v>-5548.1028152261642</v>
      </c>
      <c r="V468">
        <v>-5316.5623209796759</v>
      </c>
    </row>
    <row r="469" spans="1:22" x14ac:dyDescent="0.2">
      <c r="A469" s="1">
        <f>Acciones!A469</f>
        <v>45679</v>
      </c>
      <c r="B469" s="29">
        <f>LN(Acciones!B469/Acciones!B468)</f>
        <v>3.9807544966865309E-3</v>
      </c>
      <c r="C469" s="29">
        <f>LN(Acciones!C469/Acciones!C468)</f>
        <v>2.5070553617613863E-3</v>
      </c>
      <c r="D469" s="29">
        <f>LN(Acciones!D469/Acciones!D468)</f>
        <v>4.69850863348374E-3</v>
      </c>
      <c r="E469" s="29">
        <f>LN(Acciones!E469/Acciones!E468)</f>
        <v>-4.4700269495873267E-2</v>
      </c>
      <c r="M469" s="30">
        <f ca="1">Acciones!$B$751*EXP((H$2-H$3/2)*(1)+H$4*_xlfn.NORM.S.INV(RAND())*SQRT(1))</f>
        <v>10.944952714849794</v>
      </c>
      <c r="N469" s="30">
        <f ca="1">Acciones!$C$751*EXP((I$2-I$3/2)*(1)+I$4*_xlfn.NORM.S.INV(RAND())*SQRT(1))</f>
        <v>157.73336304408025</v>
      </c>
      <c r="O469" s="30">
        <f ca="1">Acciones!$D$751*EXP((J$2-J$3/2)*(1)+J$4*_xlfn.NORM.S.INV(RAND())*SQRT(1))</f>
        <v>964.39337892008882</v>
      </c>
      <c r="P469" s="30">
        <f ca="1">Acciones!$E$751*EXP((K$2-K$3/2)*(1)+K$4*_xlfn.NORM.S.INV(RAND())*SQRT(1))</f>
        <v>0.13267042360504883</v>
      </c>
      <c r="Q469" s="30"/>
      <c r="R469">
        <f ca="1">M469/Acciones!$B$751*$I$10 + N469/Acciones!$C$751*$I$11 + O469/Acciones!$D$751*$I$12 + P469/Acciones!$D$751*$I$13</f>
        <v>23020.336516202489</v>
      </c>
      <c r="T469" s="14">
        <f t="shared" ca="1" si="10"/>
        <v>-5479.6634837975107</v>
      </c>
      <c r="V469">
        <v>-5316.0900853797939</v>
      </c>
    </row>
    <row r="470" spans="1:22" x14ac:dyDescent="0.2">
      <c r="A470" s="1">
        <f>Acciones!A470</f>
        <v>45680</v>
      </c>
      <c r="B470" s="29">
        <f>LN(Acciones!B470/Acciones!B469)</f>
        <v>2.9635766657410099E-2</v>
      </c>
      <c r="C470" s="29">
        <f>LN(Acciones!C470/Acciones!C469)</f>
        <v>1.6303318214256735E-2</v>
      </c>
      <c r="D470" s="29">
        <f>LN(Acciones!D470/Acciones!D469)</f>
        <v>-1.180871505121889E-3</v>
      </c>
      <c r="E470" s="29">
        <f>LN(Acciones!E470/Acciones!E469)</f>
        <v>-1.9231344291746371E-2</v>
      </c>
      <c r="M470" s="30">
        <f ca="1">Acciones!$B$751*EXP((H$2-H$3/2)*(1)+H$4*_xlfn.NORM.S.INV(RAND())*SQRT(1))</f>
        <v>10.80591961644199</v>
      </c>
      <c r="N470" s="30">
        <f ca="1">Acciones!$C$751*EXP((I$2-I$3/2)*(1)+I$4*_xlfn.NORM.S.INV(RAND())*SQRT(1))</f>
        <v>140.3969341306796</v>
      </c>
      <c r="O470" s="30">
        <f ca="1">Acciones!$D$751*EXP((J$2-J$3/2)*(1)+J$4*_xlfn.NORM.S.INV(RAND())*SQRT(1))</f>
        <v>1007.0280727117819</v>
      </c>
      <c r="P470" s="30">
        <f ca="1">Acciones!$E$751*EXP((K$2-K$3/2)*(1)+K$4*_xlfn.NORM.S.INV(RAND())*SQRT(1))</f>
        <v>0.1207287437853535</v>
      </c>
      <c r="Q470" s="30"/>
      <c r="R470">
        <f ca="1">M470/Acciones!$B$751*$I$10 + N470/Acciones!$C$751*$I$11 + O470/Acciones!$D$751*$I$12 + P470/Acciones!$D$751*$I$13</f>
        <v>22320.256659888637</v>
      </c>
      <c r="T470" s="14">
        <f t="shared" ca="1" si="10"/>
        <v>-6179.7433401113631</v>
      </c>
      <c r="V470">
        <v>-5315.7771335041871</v>
      </c>
    </row>
    <row r="471" spans="1:22" x14ac:dyDescent="0.2">
      <c r="A471" s="1">
        <f>Acciones!A471</f>
        <v>45681</v>
      </c>
      <c r="B471" s="29">
        <f>LN(Acciones!B471/Acciones!B470)</f>
        <v>-4.2200269665532482E-2</v>
      </c>
      <c r="C471" s="29">
        <f>LN(Acciones!C471/Acciones!C470)</f>
        <v>-8.7702340661975024E-3</v>
      </c>
      <c r="D471" s="29">
        <f>LN(Acciones!D471/Acciones!D470)</f>
        <v>-1.9327463936451055E-2</v>
      </c>
      <c r="E471" s="29">
        <f>LN(Acciones!E471/Acciones!E470)</f>
        <v>-5.8422003498557942E-3</v>
      </c>
      <c r="M471" s="30">
        <f ca="1">Acciones!$B$751*EXP((H$2-H$3/2)*(1)+H$4*_xlfn.NORM.S.INV(RAND())*SQRT(1))</f>
        <v>10.942386713244531</v>
      </c>
      <c r="N471" s="30">
        <f ca="1">Acciones!$C$751*EXP((I$2-I$3/2)*(1)+I$4*_xlfn.NORM.S.INV(RAND())*SQRT(1))</f>
        <v>150.05244301841208</v>
      </c>
      <c r="O471" s="30">
        <f ca="1">Acciones!$D$751*EXP((J$2-J$3/2)*(1)+J$4*_xlfn.NORM.S.INV(RAND())*SQRT(1))</f>
        <v>1011.4132002204657</v>
      </c>
      <c r="P471" s="30">
        <f ca="1">Acciones!$E$751*EXP((K$2-K$3/2)*(1)+K$4*_xlfn.NORM.S.INV(RAND())*SQRT(1))</f>
        <v>0.12407797035374318</v>
      </c>
      <c r="Q471" s="30"/>
      <c r="R471">
        <f ca="1">M471/Acciones!$B$751*$I$10 + N471/Acciones!$C$751*$I$11 + O471/Acciones!$D$751*$I$12 + P471/Acciones!$D$751*$I$13</f>
        <v>23010.852354589006</v>
      </c>
      <c r="T471" s="14">
        <f t="shared" ca="1" si="10"/>
        <v>-5489.1476454109943</v>
      </c>
      <c r="V471">
        <v>-5315.3633814826208</v>
      </c>
    </row>
    <row r="472" spans="1:22" x14ac:dyDescent="0.2">
      <c r="A472" s="1">
        <f>Acciones!A472</f>
        <v>45684</v>
      </c>
      <c r="B472" s="29">
        <f>LN(Acciones!B472/Acciones!B471)</f>
        <v>5.7307153130474551E-3</v>
      </c>
      <c r="C472" s="29">
        <f>LN(Acciones!C472/Acciones!C471)</f>
        <v>-8.0436485301217012E-2</v>
      </c>
      <c r="D472" s="29">
        <f>LN(Acciones!D472/Acciones!D471)</f>
        <v>4.9603751586737001E-2</v>
      </c>
      <c r="E472" s="29">
        <f>LN(Acciones!E472/Acciones!E471)</f>
        <v>8.9612115449710331E-2</v>
      </c>
      <c r="M472" s="30">
        <f ca="1">Acciones!$B$751*EXP((H$2-H$3/2)*(1)+H$4*_xlfn.NORM.S.INV(RAND())*SQRT(1))</f>
        <v>11.183275904106154</v>
      </c>
      <c r="N472" s="30">
        <f ca="1">Acciones!$C$751*EXP((I$2-I$3/2)*(1)+I$4*_xlfn.NORM.S.INV(RAND())*SQRT(1))</f>
        <v>151.105063002984</v>
      </c>
      <c r="O472" s="30">
        <f ca="1">Acciones!$D$751*EXP((J$2-J$3/2)*(1)+J$4*_xlfn.NORM.S.INV(RAND())*SQRT(1))</f>
        <v>1024.0196688868011</v>
      </c>
      <c r="P472" s="30">
        <f ca="1">Acciones!$E$751*EXP((K$2-K$3/2)*(1)+K$4*_xlfn.NORM.S.INV(RAND())*SQRT(1))</f>
        <v>0.13375793311805342</v>
      </c>
      <c r="Q472" s="30"/>
      <c r="R472">
        <f ca="1">M472/Acciones!$B$751*$I$10 + N472/Acciones!$C$751*$I$11 + O472/Acciones!$D$751*$I$12 + P472/Acciones!$D$751*$I$13</f>
        <v>23280.180191880227</v>
      </c>
      <c r="T472" s="14">
        <f t="shared" ca="1" si="10"/>
        <v>-5219.8198081197734</v>
      </c>
      <c r="V472">
        <v>-5313.6510755107156</v>
      </c>
    </row>
    <row r="473" spans="1:22" x14ac:dyDescent="0.2">
      <c r="A473" s="1">
        <f>Acciones!A473</f>
        <v>45685</v>
      </c>
      <c r="B473" s="29">
        <f>LN(Acciones!B473/Acciones!B472)</f>
        <v>1.1421006274232866E-3</v>
      </c>
      <c r="C473" s="29">
        <f>LN(Acciones!C473/Acciones!C472)</f>
        <v>-2.6702285558789208E-3</v>
      </c>
      <c r="D473" s="29">
        <f>LN(Acciones!D473/Acciones!D472)</f>
        <v>-2.1732012522643746E-2</v>
      </c>
      <c r="E473" s="29">
        <f>LN(Acciones!E473/Acciones!E472)</f>
        <v>6.899290696590589E-2</v>
      </c>
      <c r="M473" s="30">
        <f ca="1">Acciones!$B$751*EXP((H$2-H$3/2)*(1)+H$4*_xlfn.NORM.S.INV(RAND())*SQRT(1))</f>
        <v>11.055962172362769</v>
      </c>
      <c r="N473" s="30">
        <f ca="1">Acciones!$C$751*EXP((I$2-I$3/2)*(1)+I$4*_xlfn.NORM.S.INV(RAND())*SQRT(1))</f>
        <v>145.0678960021315</v>
      </c>
      <c r="O473" s="30">
        <f ca="1">Acciones!$D$751*EXP((J$2-J$3/2)*(1)+J$4*_xlfn.NORM.S.INV(RAND())*SQRT(1))</f>
        <v>997.92724363179059</v>
      </c>
      <c r="P473" s="30">
        <f ca="1">Acciones!$E$751*EXP((K$2-K$3/2)*(1)+K$4*_xlfn.NORM.S.INV(RAND())*SQRT(1))</f>
        <v>0.13435079105987649</v>
      </c>
      <c r="Q473" s="30"/>
      <c r="R473">
        <f ca="1">M473/Acciones!$B$751*$I$10 + N473/Acciones!$C$751*$I$11 + O473/Acciones!$D$751*$I$12 + P473/Acciones!$D$751*$I$13</f>
        <v>22601.036535337418</v>
      </c>
      <c r="T473" s="14">
        <f t="shared" ca="1" si="10"/>
        <v>-5898.9634646625818</v>
      </c>
      <c r="V473">
        <v>-5311.3841576819723</v>
      </c>
    </row>
    <row r="474" spans="1:22" x14ac:dyDescent="0.2">
      <c r="A474" s="1">
        <f>Acciones!A474</f>
        <v>45686</v>
      </c>
      <c r="B474" s="29">
        <f>LN(Acciones!B474/Acciones!B473)</f>
        <v>4.5559606298713343E-3</v>
      </c>
      <c r="C474" s="29">
        <f>LN(Acciones!C474/Acciones!C473)</f>
        <v>1.0638398205055797E-2</v>
      </c>
      <c r="D474" s="29">
        <f>LN(Acciones!D474/Acciones!D473)</f>
        <v>3.1564546708705322E-2</v>
      </c>
      <c r="E474" s="29">
        <f>LN(Acciones!E474/Acciones!E473)</f>
        <v>6.4538459049401295E-2</v>
      </c>
      <c r="M474" s="30">
        <f ca="1">Acciones!$B$751*EXP((H$2-H$3/2)*(1)+H$4*_xlfn.NORM.S.INV(RAND())*SQRT(1))</f>
        <v>11.153528190783904</v>
      </c>
      <c r="N474" s="30">
        <f ca="1">Acciones!$C$751*EXP((I$2-I$3/2)*(1)+I$4*_xlfn.NORM.S.INV(RAND())*SQRT(1))</f>
        <v>138.78355945012746</v>
      </c>
      <c r="O474" s="30">
        <f ca="1">Acciones!$D$751*EXP((J$2-J$3/2)*(1)+J$4*_xlfn.NORM.S.INV(RAND())*SQRT(1))</f>
        <v>946.27743122461754</v>
      </c>
      <c r="P474" s="30">
        <f ca="1">Acciones!$E$751*EXP((K$2-K$3/2)*(1)+K$4*_xlfn.NORM.S.INV(RAND())*SQRT(1))</f>
        <v>0.14287883809449811</v>
      </c>
      <c r="Q474" s="30"/>
      <c r="R474">
        <f ca="1">M474/Acciones!$B$751*$I$10 + N474/Acciones!$C$751*$I$11 + O474/Acciones!$D$751*$I$12 + P474/Acciones!$D$751*$I$13</f>
        <v>21722.652930262091</v>
      </c>
      <c r="T474" s="14">
        <f t="shared" ca="1" si="10"/>
        <v>-6777.3470697379089</v>
      </c>
      <c r="V474">
        <v>-5311.3397846893349</v>
      </c>
    </row>
    <row r="475" spans="1:22" x14ac:dyDescent="0.2">
      <c r="A475" s="1">
        <f>Acciones!A475</f>
        <v>45687</v>
      </c>
      <c r="B475" s="29">
        <f>LN(Acciones!B475/Acciones!B474)</f>
        <v>1.2422386465032536E-2</v>
      </c>
      <c r="C475" s="29">
        <f>LN(Acciones!C475/Acciones!C474)</f>
        <v>4.3231817976578477E-2</v>
      </c>
      <c r="D475" s="29">
        <f>LN(Acciones!D475/Acciones!D474)</f>
        <v>2.0703852942332363E-2</v>
      </c>
      <c r="E475" s="29">
        <f>LN(Acciones!E475/Acciones!E474)</f>
        <v>4.431595031743777E-2</v>
      </c>
      <c r="M475" s="30">
        <f ca="1">Acciones!$B$751*EXP((H$2-H$3/2)*(1)+H$4*_xlfn.NORM.S.INV(RAND())*SQRT(1))</f>
        <v>10.610084434869224</v>
      </c>
      <c r="N475" s="30">
        <f ca="1">Acciones!$C$751*EXP((I$2-I$3/2)*(1)+I$4*_xlfn.NORM.S.INV(RAND())*SQRT(1))</f>
        <v>144.57310342847023</v>
      </c>
      <c r="O475" s="30">
        <f ca="1">Acciones!$D$751*EXP((J$2-J$3/2)*(1)+J$4*_xlfn.NORM.S.INV(RAND())*SQRT(1))</f>
        <v>1024.9674637337334</v>
      </c>
      <c r="P475" s="30">
        <f ca="1">Acciones!$E$751*EXP((K$2-K$3/2)*(1)+K$4*_xlfn.NORM.S.INV(RAND())*SQRT(1))</f>
        <v>0.13462760122754336</v>
      </c>
      <c r="Q475" s="30"/>
      <c r="R475">
        <f ca="1">M475/Acciones!$B$751*$I$10 + N475/Acciones!$C$751*$I$11 + O475/Acciones!$D$751*$I$12 + P475/Acciones!$D$751*$I$13</f>
        <v>22697.949881083998</v>
      </c>
      <c r="T475" s="14">
        <f t="shared" ca="1" si="10"/>
        <v>-5802.0501189160022</v>
      </c>
      <c r="V475">
        <v>-5308.3550248102038</v>
      </c>
    </row>
    <row r="476" spans="1:22" x14ac:dyDescent="0.2">
      <c r="A476" s="1">
        <f>Acciones!A476</f>
        <v>45688</v>
      </c>
      <c r="B476" s="29">
        <f>LN(Acciones!B476/Acciones!B475)</f>
        <v>-5.6127366417178858E-4</v>
      </c>
      <c r="C476" s="29">
        <f>LN(Acciones!C476/Acciones!C475)</f>
        <v>-5.119998762575529E-2</v>
      </c>
      <c r="D476" s="29">
        <f>LN(Acciones!D476/Acciones!D475)</f>
        <v>-1.2369363583801473E-3</v>
      </c>
      <c r="E476" s="29">
        <f>LN(Acciones!E476/Acciones!E475)</f>
        <v>7.3467147427116519E-2</v>
      </c>
      <c r="M476" s="30">
        <f ca="1">Acciones!$B$751*EXP((H$2-H$3/2)*(1)+H$4*_xlfn.NORM.S.INV(RAND())*SQRT(1))</f>
        <v>11.279600343153074</v>
      </c>
      <c r="N476" s="30">
        <f ca="1">Acciones!$C$751*EXP((I$2-I$3/2)*(1)+I$4*_xlfn.NORM.S.INV(RAND())*SQRT(1))</f>
        <v>148.79588012951845</v>
      </c>
      <c r="O476" s="30">
        <f ca="1">Acciones!$D$751*EXP((J$2-J$3/2)*(1)+J$4*_xlfn.NORM.S.INV(RAND())*SQRT(1))</f>
        <v>987.2557561501078</v>
      </c>
      <c r="P476" s="30">
        <f ca="1">Acciones!$E$751*EXP((K$2-K$3/2)*(1)+K$4*_xlfn.NORM.S.INV(RAND())*SQRT(1))</f>
        <v>0.13659609501874875</v>
      </c>
      <c r="Q476" s="30"/>
      <c r="R476">
        <f ca="1">M476/Acciones!$B$751*$I$10 + N476/Acciones!$C$751*$I$11 + O476/Acciones!$D$751*$I$12 + P476/Acciones!$D$751*$I$13</f>
        <v>22798.672641357294</v>
      </c>
      <c r="T476" s="14">
        <f t="shared" ca="1" si="10"/>
        <v>-5701.3273586427058</v>
      </c>
      <c r="V476">
        <v>-5308.2304941206712</v>
      </c>
    </row>
    <row r="477" spans="1:22" x14ac:dyDescent="0.2">
      <c r="A477" s="1">
        <f>Acciones!A477</f>
        <v>45692</v>
      </c>
      <c r="B477" s="29">
        <f>LN(Acciones!B477/Acciones!B476)</f>
        <v>1.0055912684549995E-2</v>
      </c>
      <c r="C477" s="29">
        <f>LN(Acciones!C477/Acciones!C476)</f>
        <v>-3.3349946025555161E-2</v>
      </c>
      <c r="D477" s="29">
        <f>LN(Acciones!D477/Acciones!D476)</f>
        <v>-2.3278720299087379E-2</v>
      </c>
      <c r="E477" s="29">
        <f>LN(Acciones!E477/Acciones!E476)</f>
        <v>0.10536049082255899</v>
      </c>
      <c r="M477" s="30">
        <f ca="1">Acciones!$B$751*EXP((H$2-H$3/2)*(1)+H$4*_xlfn.NORM.S.INV(RAND())*SQRT(1))</f>
        <v>11.020992980566559</v>
      </c>
      <c r="N477" s="30">
        <f ca="1">Acciones!$C$751*EXP((I$2-I$3/2)*(1)+I$4*_xlfn.NORM.S.INV(RAND())*SQRT(1))</f>
        <v>152.85925742913429</v>
      </c>
      <c r="O477" s="30">
        <f ca="1">Acciones!$D$751*EXP((J$2-J$3/2)*(1)+J$4*_xlfn.NORM.S.INV(RAND())*SQRT(1))</f>
        <v>1014.9411859040447</v>
      </c>
      <c r="P477" s="30">
        <f ca="1">Acciones!$E$751*EXP((K$2-K$3/2)*(1)+K$4*_xlfn.NORM.S.INV(RAND())*SQRT(1))</f>
        <v>0.13059372788789977</v>
      </c>
      <c r="Q477" s="30"/>
      <c r="R477">
        <f ca="1">M477/Acciones!$B$751*$I$10 + N477/Acciones!$C$751*$I$11 + O477/Acciones!$D$751*$I$12 + P477/Acciones!$D$751*$I$13</f>
        <v>23246.696431863125</v>
      </c>
      <c r="T477" s="14">
        <f t="shared" ca="1" si="10"/>
        <v>-5253.3035681368747</v>
      </c>
      <c r="V477">
        <v>-5304.5941188202451</v>
      </c>
    </row>
    <row r="478" spans="1:22" x14ac:dyDescent="0.2">
      <c r="A478" s="1">
        <f>Acciones!A478</f>
        <v>45693</v>
      </c>
      <c r="B478" s="29">
        <f>LN(Acciones!B478/Acciones!B477)</f>
        <v>5.5576841810763152E-4</v>
      </c>
      <c r="C478" s="29">
        <f>LN(Acciones!C478/Acciones!C477)</f>
        <v>-3.307481474957636E-2</v>
      </c>
      <c r="D478" s="29">
        <f>LN(Acciones!D478/Acciones!D477)</f>
        <v>-2.5138355316238689E-2</v>
      </c>
      <c r="E478" s="29">
        <f>LN(Acciones!E478/Acciones!E477)</f>
        <v>0</v>
      </c>
      <c r="M478" s="30">
        <f ca="1">Acciones!$B$751*EXP((H$2-H$3/2)*(1)+H$4*_xlfn.NORM.S.INV(RAND())*SQRT(1))</f>
        <v>10.985505759795542</v>
      </c>
      <c r="N478" s="30">
        <f ca="1">Acciones!$C$751*EXP((I$2-I$3/2)*(1)+I$4*_xlfn.NORM.S.INV(RAND())*SQRT(1))</f>
        <v>147.30146012780909</v>
      </c>
      <c r="O478" s="30">
        <f ca="1">Acciones!$D$751*EXP((J$2-J$3/2)*(1)+J$4*_xlfn.NORM.S.INV(RAND())*SQRT(1))</f>
        <v>994.96090761703215</v>
      </c>
      <c r="P478" s="30">
        <f ca="1">Acciones!$E$751*EXP((K$2-K$3/2)*(1)+K$4*_xlfn.NORM.S.INV(RAND())*SQRT(1))</f>
        <v>0.12574276711053964</v>
      </c>
      <c r="Q478" s="30"/>
      <c r="R478">
        <f ca="1">M478/Acciones!$B$751*$I$10 + N478/Acciones!$C$751*$I$11 + O478/Acciones!$D$751*$I$12 + P478/Acciones!$D$751*$I$13</f>
        <v>22688.134280902334</v>
      </c>
      <c r="T478" s="14">
        <f t="shared" ca="1" si="10"/>
        <v>-5811.8657190976664</v>
      </c>
      <c r="V478">
        <v>-5299.7523305488285</v>
      </c>
    </row>
    <row r="479" spans="1:22" x14ac:dyDescent="0.2">
      <c r="A479" s="1">
        <f>Acciones!A479</f>
        <v>45694</v>
      </c>
      <c r="B479" s="29">
        <f>LN(Acciones!B479/Acciones!B478)</f>
        <v>-4.604398702236142E-2</v>
      </c>
      <c r="C479" s="29">
        <f>LN(Acciones!C479/Acciones!C478)</f>
        <v>-1.9075063873055447E-2</v>
      </c>
      <c r="D479" s="29">
        <f>LN(Acciones!D479/Acciones!D478)</f>
        <v>-4.1141543816293265E-2</v>
      </c>
      <c r="E479" s="29">
        <f>LN(Acciones!E479/Acciones!E478)</f>
        <v>3.6813938113963579E-2</v>
      </c>
      <c r="M479" s="30">
        <f ca="1">Acciones!$B$751*EXP((H$2-H$3/2)*(1)+H$4*_xlfn.NORM.S.INV(RAND())*SQRT(1))</f>
        <v>10.927055672987832</v>
      </c>
      <c r="N479" s="30">
        <f ca="1">Acciones!$C$751*EXP((I$2-I$3/2)*(1)+I$4*_xlfn.NORM.S.INV(RAND())*SQRT(1))</f>
        <v>152.10055335887881</v>
      </c>
      <c r="O479" s="30">
        <f ca="1">Acciones!$D$751*EXP((J$2-J$3/2)*(1)+J$4*_xlfn.NORM.S.INV(RAND())*SQRT(1))</f>
        <v>1016.1530555016525</v>
      </c>
      <c r="P479" s="30">
        <f ca="1">Acciones!$E$751*EXP((K$2-K$3/2)*(1)+K$4*_xlfn.NORM.S.INV(RAND())*SQRT(1))</f>
        <v>0.12259322735861855</v>
      </c>
      <c r="Q479" s="30"/>
      <c r="R479">
        <f ca="1">M479/Acciones!$B$751*$I$10 + N479/Acciones!$C$751*$I$11 + O479/Acciones!$D$751*$I$12 + P479/Acciones!$D$751*$I$13</f>
        <v>23181.282994307767</v>
      </c>
      <c r="T479" s="14">
        <f t="shared" ca="1" si="10"/>
        <v>-5318.7170056922332</v>
      </c>
      <c r="V479">
        <v>-5298.5808983731367</v>
      </c>
    </row>
    <row r="480" spans="1:22" x14ac:dyDescent="0.2">
      <c r="A480" s="1">
        <f>Acciones!A480</f>
        <v>45695</v>
      </c>
      <c r="B480" s="29">
        <f>LN(Acciones!B480/Acciones!B479)</f>
        <v>-3.7337645618743212E-2</v>
      </c>
      <c r="C480" s="29">
        <f>LN(Acciones!C480/Acciones!C479)</f>
        <v>2.0312589450366611E-3</v>
      </c>
      <c r="D480" s="29">
        <f>LN(Acciones!D480/Acciones!D479)</f>
        <v>-3.409976811638514E-2</v>
      </c>
      <c r="E480" s="29">
        <f>LN(Acciones!E480/Acciones!E479)</f>
        <v>-6.213179767919725E-2</v>
      </c>
      <c r="M480" s="30">
        <f ca="1">Acciones!$B$751*EXP((H$2-H$3/2)*(1)+H$4*_xlfn.NORM.S.INV(RAND())*SQRT(1))</f>
        <v>10.661294289455855</v>
      </c>
      <c r="N480" s="30">
        <f ca="1">Acciones!$C$751*EXP((I$2-I$3/2)*(1)+I$4*_xlfn.NORM.S.INV(RAND())*SQRT(1))</f>
        <v>137.29597055091551</v>
      </c>
      <c r="O480" s="30">
        <f ca="1">Acciones!$D$751*EXP((J$2-J$3/2)*(1)+J$4*_xlfn.NORM.S.INV(RAND())*SQRT(1))</f>
        <v>996.21990518624489</v>
      </c>
      <c r="P480" s="30">
        <f ca="1">Acciones!$E$751*EXP((K$2-K$3/2)*(1)+K$4*_xlfn.NORM.S.INV(RAND())*SQRT(1))</f>
        <v>0.12805327389119109</v>
      </c>
      <c r="Q480" s="30"/>
      <c r="R480">
        <f ca="1">M480/Acciones!$B$751*$I$10 + N480/Acciones!$C$751*$I$11 + O480/Acciones!$D$751*$I$12 + P480/Acciones!$D$751*$I$13</f>
        <v>21972.021869051165</v>
      </c>
      <c r="T480" s="14">
        <f t="shared" ca="1" si="10"/>
        <v>-6527.9781309488353</v>
      </c>
      <c r="V480">
        <v>-5296.6999004621248</v>
      </c>
    </row>
    <row r="481" spans="1:22" x14ac:dyDescent="0.2">
      <c r="A481" s="1">
        <f>Acciones!A481</f>
        <v>45698</v>
      </c>
      <c r="B481" s="29">
        <f>LN(Acciones!B481/Acciones!B480)</f>
        <v>6.0205304623503157E-3</v>
      </c>
      <c r="C481" s="29">
        <f>LN(Acciones!C481/Acciones!C480)</f>
        <v>3.1257777452697389E-3</v>
      </c>
      <c r="D481" s="29">
        <f>LN(Acciones!D481/Acciones!D480)</f>
        <v>2.2297645964384442E-2</v>
      </c>
      <c r="E481" s="29">
        <f>LN(Acciones!E481/Acciones!E480)</f>
        <v>2.531785956523367E-2</v>
      </c>
      <c r="M481" s="30">
        <f ca="1">Acciones!$B$751*EXP((H$2-H$3/2)*(1)+H$4*_xlfn.NORM.S.INV(RAND())*SQRT(1))</f>
        <v>10.532671970309108</v>
      </c>
      <c r="N481" s="30">
        <f ca="1">Acciones!$C$751*EXP((I$2-I$3/2)*(1)+I$4*_xlfn.NORM.S.INV(RAND())*SQRT(1))</f>
        <v>158.71887431184075</v>
      </c>
      <c r="O481" s="30">
        <f ca="1">Acciones!$D$751*EXP((J$2-J$3/2)*(1)+J$4*_xlfn.NORM.S.INV(RAND())*SQRT(1))</f>
        <v>998.92327821310676</v>
      </c>
      <c r="P481" s="30">
        <f ca="1">Acciones!$E$751*EXP((K$2-K$3/2)*(1)+K$4*_xlfn.NORM.S.INV(RAND())*SQRT(1))</f>
        <v>0.13106406618251401</v>
      </c>
      <c r="Q481" s="30"/>
      <c r="R481">
        <f ca="1">M481/Acciones!$B$751*$I$10 + N481/Acciones!$C$751*$I$11 + O481/Acciones!$D$751*$I$12 + P481/Acciones!$D$751*$I$13</f>
        <v>23295.465232421455</v>
      </c>
      <c r="T481" s="14">
        <f t="shared" ca="1" si="10"/>
        <v>-5204.5347675785451</v>
      </c>
      <c r="V481">
        <v>-5287.8010088615483</v>
      </c>
    </row>
    <row r="482" spans="1:22" x14ac:dyDescent="0.2">
      <c r="A482" s="1">
        <f>Acciones!A482</f>
        <v>45699</v>
      </c>
      <c r="B482" s="29">
        <f>LN(Acciones!B482/Acciones!B481)</f>
        <v>-9.650324369714653E-3</v>
      </c>
      <c r="C482" s="29">
        <f>LN(Acciones!C482/Acciones!C481)</f>
        <v>-4.7005841476281743E-2</v>
      </c>
      <c r="D482" s="29">
        <f>LN(Acciones!D482/Acciones!D481)</f>
        <v>8.9140815453993376E-3</v>
      </c>
      <c r="E482" s="29">
        <f>LN(Acciones!E482/Acciones!E481)</f>
        <v>0</v>
      </c>
      <c r="M482" s="30">
        <f ca="1">Acciones!$B$751*EXP((H$2-H$3/2)*(1)+H$4*_xlfn.NORM.S.INV(RAND())*SQRT(1))</f>
        <v>10.646542355197115</v>
      </c>
      <c r="N482" s="30">
        <f ca="1">Acciones!$C$751*EXP((I$2-I$3/2)*(1)+I$4*_xlfn.NORM.S.INV(RAND())*SQRT(1))</f>
        <v>146.34889232516628</v>
      </c>
      <c r="O482" s="30">
        <f ca="1">Acciones!$D$751*EXP((J$2-J$3/2)*(1)+J$4*_xlfn.NORM.S.INV(RAND())*SQRT(1))</f>
        <v>991.39939623354542</v>
      </c>
      <c r="P482" s="30">
        <f ca="1">Acciones!$E$751*EXP((K$2-K$3/2)*(1)+K$4*_xlfn.NORM.S.INV(RAND())*SQRT(1))</f>
        <v>0.1196371357639044</v>
      </c>
      <c r="Q482" s="30"/>
      <c r="R482">
        <f ca="1">M482/Acciones!$B$751*$I$10 + N482/Acciones!$C$751*$I$11 + O482/Acciones!$D$751*$I$12 + P482/Acciones!$D$751*$I$13</f>
        <v>22484.208531138313</v>
      </c>
      <c r="T482" s="14">
        <f t="shared" ca="1" si="10"/>
        <v>-6015.7914688616875</v>
      </c>
      <c r="V482">
        <v>-5287.2808288128144</v>
      </c>
    </row>
    <row r="483" spans="1:22" x14ac:dyDescent="0.2">
      <c r="A483" s="1">
        <f>Acciones!A483</f>
        <v>45700</v>
      </c>
      <c r="B483" s="29">
        <f>LN(Acciones!B483/Acciones!B482)</f>
        <v>-3.6412494822958698E-2</v>
      </c>
      <c r="C483" s="29">
        <f>LN(Acciones!C483/Acciones!C482)</f>
        <v>1.2252015073648165E-2</v>
      </c>
      <c r="D483" s="29">
        <f>LN(Acciones!D483/Acciones!D482)</f>
        <v>1.3334861948415754E-2</v>
      </c>
      <c r="E483" s="29">
        <f>LN(Acciones!E483/Acciones!E482)</f>
        <v>0</v>
      </c>
      <c r="M483" s="30">
        <f ca="1">Acciones!$B$751*EXP((H$2-H$3/2)*(1)+H$4*_xlfn.NORM.S.INV(RAND())*SQRT(1))</f>
        <v>10.822407455996665</v>
      </c>
      <c r="N483" s="30">
        <f ca="1">Acciones!$C$751*EXP((I$2-I$3/2)*(1)+I$4*_xlfn.NORM.S.INV(RAND())*SQRT(1))</f>
        <v>169.13491322709402</v>
      </c>
      <c r="O483" s="30">
        <f ca="1">Acciones!$D$751*EXP((J$2-J$3/2)*(1)+J$4*_xlfn.NORM.S.INV(RAND())*SQRT(1))</f>
        <v>943.48943750852698</v>
      </c>
      <c r="P483" s="30">
        <f ca="1">Acciones!$E$751*EXP((K$2-K$3/2)*(1)+K$4*_xlfn.NORM.S.INV(RAND())*SQRT(1))</f>
        <v>0.13461207881948581</v>
      </c>
      <c r="Q483" s="30"/>
      <c r="R483">
        <f ca="1">M483/Acciones!$B$751*$I$10 + N483/Acciones!$C$751*$I$11 + O483/Acciones!$D$751*$I$12 + P483/Acciones!$D$751*$I$13</f>
        <v>23483.545467212691</v>
      </c>
      <c r="T483" s="14">
        <f t="shared" ca="1" si="10"/>
        <v>-5016.4545327873093</v>
      </c>
      <c r="V483">
        <v>-5284.1684491678716</v>
      </c>
    </row>
    <row r="484" spans="1:22" x14ac:dyDescent="0.2">
      <c r="A484" s="1">
        <f>Acciones!A484</f>
        <v>45701</v>
      </c>
      <c r="B484" s="29">
        <f>LN(Acciones!B484/Acciones!B483)</f>
        <v>-2.4818252923758725E-2</v>
      </c>
      <c r="C484" s="29">
        <f>LN(Acciones!C484/Acciones!C483)</f>
        <v>2.9102918931157882E-2</v>
      </c>
      <c r="D484" s="29">
        <f>LN(Acciones!D484/Acciones!D483)</f>
        <v>9.025653881435983E-3</v>
      </c>
      <c r="E484" s="29">
        <f>LN(Acciones!E484/Acciones!E483)</f>
        <v>-2.5317859565233709E-2</v>
      </c>
      <c r="M484" s="30">
        <f ca="1">Acciones!$B$751*EXP((H$2-H$3/2)*(1)+H$4*_xlfn.NORM.S.INV(RAND())*SQRT(1))</f>
        <v>10.534186314536788</v>
      </c>
      <c r="N484" s="30">
        <f ca="1">Acciones!$C$751*EXP((I$2-I$3/2)*(1)+I$4*_xlfn.NORM.S.INV(RAND())*SQRT(1))</f>
        <v>169.1088627564794</v>
      </c>
      <c r="O484" s="30">
        <f ca="1">Acciones!$D$751*EXP((J$2-J$3/2)*(1)+J$4*_xlfn.NORM.S.INV(RAND())*SQRT(1))</f>
        <v>995.3901622020486</v>
      </c>
      <c r="P484" s="30">
        <f ca="1">Acciones!$E$751*EXP((K$2-K$3/2)*(1)+K$4*_xlfn.NORM.S.INV(RAND())*SQRT(1))</f>
        <v>0.12571898187455846</v>
      </c>
      <c r="Q484" s="30"/>
      <c r="R484">
        <f ca="1">M484/Acciones!$B$751*$I$10 + N484/Acciones!$C$751*$I$11 + O484/Acciones!$D$751*$I$12 + P484/Acciones!$D$751*$I$13</f>
        <v>23909.266504588155</v>
      </c>
      <c r="T484" s="14">
        <f t="shared" ca="1" si="10"/>
        <v>-4590.7334954118451</v>
      </c>
      <c r="V484">
        <v>-5283.5076460629207</v>
      </c>
    </row>
    <row r="485" spans="1:22" x14ac:dyDescent="0.2">
      <c r="A485" s="1">
        <f>Acciones!A485</f>
        <v>45702</v>
      </c>
      <c r="B485" s="29">
        <f>LN(Acciones!B485/Acciones!B484)</f>
        <v>-3.9427004902088066E-2</v>
      </c>
      <c r="C485" s="29">
        <f>LN(Acciones!C485/Acciones!C484)</f>
        <v>-3.6392790083914495E-3</v>
      </c>
      <c r="D485" s="29">
        <f>LN(Acciones!D485/Acciones!D484)</f>
        <v>-9.9819658951231863E-3</v>
      </c>
      <c r="E485" s="29">
        <f>LN(Acciones!E485/Acciones!E484)</f>
        <v>-9.4028943190568634E-2</v>
      </c>
      <c r="M485" s="30">
        <f ca="1">Acciones!$B$751*EXP((H$2-H$3/2)*(1)+H$4*_xlfn.NORM.S.INV(RAND())*SQRT(1))</f>
        <v>11.469098475274484</v>
      </c>
      <c r="N485" s="30">
        <f ca="1">Acciones!$C$751*EXP((I$2-I$3/2)*(1)+I$4*_xlfn.NORM.S.INV(RAND())*SQRT(1))</f>
        <v>144.28644690579546</v>
      </c>
      <c r="O485" s="30">
        <f ca="1">Acciones!$D$751*EXP((J$2-J$3/2)*(1)+J$4*_xlfn.NORM.S.INV(RAND())*SQRT(1))</f>
        <v>1008.3957012951785</v>
      </c>
      <c r="P485" s="30">
        <f ca="1">Acciones!$E$751*EXP((K$2-K$3/2)*(1)+K$4*_xlfn.NORM.S.INV(RAND())*SQRT(1))</f>
        <v>0.12661046501958517</v>
      </c>
      <c r="Q485" s="30"/>
      <c r="R485">
        <f ca="1">M485/Acciones!$B$751*$I$10 + N485/Acciones!$C$751*$I$11 + O485/Acciones!$D$751*$I$12 + P485/Acciones!$D$751*$I$13</f>
        <v>22789.59487074579</v>
      </c>
      <c r="T485" s="14">
        <f t="shared" ca="1" si="10"/>
        <v>-5710.4051292542099</v>
      </c>
      <c r="V485">
        <v>-5283.2073418951186</v>
      </c>
    </row>
    <row r="486" spans="1:22" x14ac:dyDescent="0.2">
      <c r="A486" s="1">
        <f>Acciones!A486</f>
        <v>45705</v>
      </c>
      <c r="B486" s="29">
        <f>LN(Acciones!B486/Acciones!B485)</f>
        <v>-6.7040495034313404E-4</v>
      </c>
      <c r="C486" s="29">
        <f>LN(Acciones!C486/Acciones!C485)</f>
        <v>1.3471613472183836E-2</v>
      </c>
      <c r="D486" s="29">
        <f>LN(Acciones!D486/Acciones!D485)</f>
        <v>3.8530886975730394E-3</v>
      </c>
      <c r="E486" s="29">
        <f>LN(Acciones!E486/Acciones!E485)</f>
        <v>4.1385259272419879E-2</v>
      </c>
      <c r="M486" s="30">
        <f ca="1">Acciones!$B$751*EXP((H$2-H$3/2)*(1)+H$4*_xlfn.NORM.S.INV(RAND())*SQRT(1))</f>
        <v>11.265929097255446</v>
      </c>
      <c r="N486" s="30">
        <f ca="1">Acciones!$C$751*EXP((I$2-I$3/2)*(1)+I$4*_xlfn.NORM.S.INV(RAND())*SQRT(1))</f>
        <v>162.68140618455405</v>
      </c>
      <c r="O486" s="30">
        <f ca="1">Acciones!$D$751*EXP((J$2-J$3/2)*(1)+J$4*_xlfn.NORM.S.INV(RAND())*SQRT(1))</f>
        <v>1028.4237472380635</v>
      </c>
      <c r="P486" s="30">
        <f ca="1">Acciones!$E$751*EXP((K$2-K$3/2)*(1)+K$4*_xlfn.NORM.S.INV(RAND())*SQRT(1))</f>
        <v>0.12757950043031047</v>
      </c>
      <c r="Q486" s="30"/>
      <c r="R486">
        <f ca="1">M486/Acciones!$B$751*$I$10 + N486/Acciones!$C$751*$I$11 + O486/Acciones!$D$751*$I$12 + P486/Acciones!$D$751*$I$13</f>
        <v>24073.58315489511</v>
      </c>
      <c r="T486" s="14">
        <f t="shared" ca="1" si="10"/>
        <v>-4426.4168451048899</v>
      </c>
      <c r="V486">
        <v>-5282.7631597209402</v>
      </c>
    </row>
    <row r="487" spans="1:22" x14ac:dyDescent="0.2">
      <c r="A487" s="1">
        <f>Acciones!A487</f>
        <v>45706</v>
      </c>
      <c r="B487" s="29">
        <f>LN(Acciones!B487/Acciones!B486)</f>
        <v>6.0179837418859817E-3</v>
      </c>
      <c r="C487" s="29">
        <f>LN(Acciones!C487/Acciones!C486)</f>
        <v>-6.3805969525031939E-2</v>
      </c>
      <c r="D487" s="29">
        <f>LN(Acciones!D487/Acciones!D486)</f>
        <v>5.1630462363505755E-2</v>
      </c>
      <c r="E487" s="29">
        <f>LN(Acciones!E487/Acciones!E486)</f>
        <v>7.7961543483382398E-2</v>
      </c>
      <c r="M487" s="30">
        <f ca="1">Acciones!$B$751*EXP((H$2-H$3/2)*(1)+H$4*_xlfn.NORM.S.INV(RAND())*SQRT(1))</f>
        <v>10.772422749281539</v>
      </c>
      <c r="N487" s="30">
        <f ca="1">Acciones!$C$751*EXP((I$2-I$3/2)*(1)+I$4*_xlfn.NORM.S.INV(RAND())*SQRT(1))</f>
        <v>170.84282575832088</v>
      </c>
      <c r="O487" s="30">
        <f ca="1">Acciones!$D$751*EXP((J$2-J$3/2)*(1)+J$4*_xlfn.NORM.S.INV(RAND())*SQRT(1))</f>
        <v>968.19190095831391</v>
      </c>
      <c r="P487" s="30">
        <f ca="1">Acciones!$E$751*EXP((K$2-K$3/2)*(1)+K$4*_xlfn.NORM.S.INV(RAND())*SQRT(1))</f>
        <v>0.12675317892635501</v>
      </c>
      <c r="Q487" s="30"/>
      <c r="R487">
        <f ca="1">M487/Acciones!$B$751*$I$10 + N487/Acciones!$C$751*$I$11 + O487/Acciones!$D$751*$I$12 + P487/Acciones!$D$751*$I$13</f>
        <v>23821.536473597709</v>
      </c>
      <c r="T487" s="14">
        <f t="shared" ca="1" si="10"/>
        <v>-4678.4635264022909</v>
      </c>
      <c r="V487">
        <v>-5274.6781098608626</v>
      </c>
    </row>
    <row r="488" spans="1:22" x14ac:dyDescent="0.2">
      <c r="A488" s="1">
        <f>Acciones!A488</f>
        <v>45707</v>
      </c>
      <c r="B488" s="29">
        <f>LN(Acciones!B488/Acciones!B487)</f>
        <v>-6.4005313098432715E-2</v>
      </c>
      <c r="C488" s="29">
        <f>LN(Acciones!C488/Acciones!C487)</f>
        <v>-5.3822272637834619E-3</v>
      </c>
      <c r="D488" s="29">
        <f>LN(Acciones!D488/Acciones!D487)</f>
        <v>1.942252936613955E-3</v>
      </c>
      <c r="E488" s="29">
        <f>LN(Acciones!E488/Acciones!E487)</f>
        <v>-1.2578769946411402E-2</v>
      </c>
      <c r="M488" s="30">
        <f ca="1">Acciones!$B$751*EXP((H$2-H$3/2)*(1)+H$4*_xlfn.NORM.S.INV(RAND())*SQRT(1))</f>
        <v>10.777396665694065</v>
      </c>
      <c r="N488" s="30">
        <f ca="1">Acciones!$C$751*EXP((I$2-I$3/2)*(1)+I$4*_xlfn.NORM.S.INV(RAND())*SQRT(1))</f>
        <v>151.80292150777328</v>
      </c>
      <c r="O488" s="30">
        <f ca="1">Acciones!$D$751*EXP((J$2-J$3/2)*(1)+J$4*_xlfn.NORM.S.INV(RAND())*SQRT(1))</f>
        <v>1019.8761001308103</v>
      </c>
      <c r="P488" s="30">
        <f ca="1">Acciones!$E$751*EXP((K$2-K$3/2)*(1)+K$4*_xlfn.NORM.S.INV(RAND())*SQRT(1))</f>
        <v>0.13149058828945981</v>
      </c>
      <c r="Q488" s="30"/>
      <c r="R488">
        <f ca="1">M488/Acciones!$B$751*$I$10 + N488/Acciones!$C$751*$I$11 + O488/Acciones!$D$751*$I$12 + P488/Acciones!$D$751*$I$13</f>
        <v>23152.028365061567</v>
      </c>
      <c r="T488" s="14">
        <f t="shared" ca="1" si="10"/>
        <v>-5347.9716349384325</v>
      </c>
      <c r="V488">
        <v>-5269.1230954216917</v>
      </c>
    </row>
    <row r="489" spans="1:22" x14ac:dyDescent="0.2">
      <c r="A489" s="1">
        <f>Acciones!A489</f>
        <v>45708</v>
      </c>
      <c r="B489" s="29">
        <f>LN(Acciones!B489/Acciones!B488)</f>
        <v>1.3413569829566457E-2</v>
      </c>
      <c r="C489" s="29">
        <f>LN(Acciones!C489/Acciones!C488)</f>
        <v>-3.3051037998126846E-3</v>
      </c>
      <c r="D489" s="29">
        <f>LN(Acciones!D489/Acciones!D488)</f>
        <v>-4.0988100537802828E-3</v>
      </c>
      <c r="E489" s="29">
        <f>LN(Acciones!E489/Acciones!E488)</f>
        <v>-5.3293971916401513E-2</v>
      </c>
      <c r="M489" s="30">
        <f ca="1">Acciones!$B$751*EXP((H$2-H$3/2)*(1)+H$4*_xlfn.NORM.S.INV(RAND())*SQRT(1))</f>
        <v>11.030143386386273</v>
      </c>
      <c r="N489" s="30">
        <f ca="1">Acciones!$C$751*EXP((I$2-I$3/2)*(1)+I$4*_xlfn.NORM.S.INV(RAND())*SQRT(1))</f>
        <v>143.61525589841304</v>
      </c>
      <c r="O489" s="30">
        <f ca="1">Acciones!$D$751*EXP((J$2-J$3/2)*(1)+J$4*_xlfn.NORM.S.INV(RAND())*SQRT(1))</f>
        <v>1051.0400424619984</v>
      </c>
      <c r="P489" s="30">
        <f ca="1">Acciones!$E$751*EXP((K$2-K$3/2)*(1)+K$4*_xlfn.NORM.S.INV(RAND())*SQRT(1))</f>
        <v>0.13820892264820597</v>
      </c>
      <c r="Q489" s="30"/>
      <c r="R489">
        <f ca="1">M489/Acciones!$B$751*$I$10 + N489/Acciones!$C$751*$I$11 + O489/Acciones!$D$751*$I$12 + P489/Acciones!$D$751*$I$13</f>
        <v>23034.074926700141</v>
      </c>
      <c r="T489" s="14">
        <f t="shared" ca="1" si="10"/>
        <v>-5465.9250732998589</v>
      </c>
      <c r="V489">
        <v>-5265.4536844573595</v>
      </c>
    </row>
    <row r="490" spans="1:22" x14ac:dyDescent="0.2">
      <c r="A490" s="1">
        <f>Acciones!A490</f>
        <v>45709</v>
      </c>
      <c r="B490" s="29">
        <f>LN(Acciones!B490/Acciones!B489)</f>
        <v>-2.808941542295548E-3</v>
      </c>
      <c r="C490" s="29">
        <f>LN(Acciones!C490/Acciones!C489)</f>
        <v>-7.1659542462289685E-2</v>
      </c>
      <c r="D490" s="29">
        <f>LN(Acciones!D490/Acciones!D489)</f>
        <v>-6.774445008385384E-3</v>
      </c>
      <c r="E490" s="29">
        <f>LN(Acciones!E490/Acciones!E489)</f>
        <v>-1.2088801620569457E-2</v>
      </c>
      <c r="M490" s="30">
        <f ca="1">Acciones!$B$751*EXP((H$2-H$3/2)*(1)+H$4*_xlfn.NORM.S.INV(RAND())*SQRT(1))</f>
        <v>11.040504365655215</v>
      </c>
      <c r="N490" s="30">
        <f ca="1">Acciones!$C$751*EXP((I$2-I$3/2)*(1)+I$4*_xlfn.NORM.S.INV(RAND())*SQRT(1))</f>
        <v>158.15697404474412</v>
      </c>
      <c r="O490" s="30">
        <f ca="1">Acciones!$D$751*EXP((J$2-J$3/2)*(1)+J$4*_xlfn.NORM.S.INV(RAND())*SQRT(1))</f>
        <v>959.24520144701921</v>
      </c>
      <c r="P490" s="30">
        <f ca="1">Acciones!$E$751*EXP((K$2-K$3/2)*(1)+K$4*_xlfn.NORM.S.INV(RAND())*SQRT(1))</f>
        <v>0.14250112954952487</v>
      </c>
      <c r="Q490" s="30"/>
      <c r="R490">
        <f ca="1">M490/Acciones!$B$751*$I$10 + N490/Acciones!$C$751*$I$11 + O490/Acciones!$D$751*$I$12 + P490/Acciones!$D$751*$I$13</f>
        <v>23025.927517246771</v>
      </c>
      <c r="T490" s="14">
        <f t="shared" ca="1" si="10"/>
        <v>-5474.0724827532285</v>
      </c>
      <c r="V490">
        <v>-5264.1919016127395</v>
      </c>
    </row>
    <row r="491" spans="1:22" x14ac:dyDescent="0.2">
      <c r="A491" s="1">
        <f>Acciones!A491</f>
        <v>45712</v>
      </c>
      <c r="B491" s="29">
        <f>LN(Acciones!B491/Acciones!B490)</f>
        <v>-3.5794844024129635E-2</v>
      </c>
      <c r="C491" s="29">
        <f>LN(Acciones!C491/Acciones!C490)</f>
        <v>-5.422790610010899E-2</v>
      </c>
      <c r="D491" s="29">
        <f>LN(Acciones!D491/Acciones!D490)</f>
        <v>5.9293597697711392E-2</v>
      </c>
      <c r="E491" s="29">
        <f>LN(Acciones!E491/Acciones!E490)</f>
        <v>-5.5569881072199963E-2</v>
      </c>
      <c r="M491" s="30">
        <f ca="1">Acciones!$B$751*EXP((H$2-H$3/2)*(1)+H$4*_xlfn.NORM.S.INV(RAND())*SQRT(1))</f>
        <v>11.085793852404695</v>
      </c>
      <c r="N491" s="30">
        <f ca="1">Acciones!$C$751*EXP((I$2-I$3/2)*(1)+I$4*_xlfn.NORM.S.INV(RAND())*SQRT(1))</f>
        <v>143.92552604398006</v>
      </c>
      <c r="O491" s="30">
        <f ca="1">Acciones!$D$751*EXP((J$2-J$3/2)*(1)+J$4*_xlfn.NORM.S.INV(RAND())*SQRT(1))</f>
        <v>1000.0487736972866</v>
      </c>
      <c r="P491" s="30">
        <f ca="1">Acciones!$E$751*EXP((K$2-K$3/2)*(1)+K$4*_xlfn.NORM.S.INV(RAND())*SQRT(1))</f>
        <v>0.12467605984938841</v>
      </c>
      <c r="Q491" s="30"/>
      <c r="R491">
        <f ca="1">M491/Acciones!$B$751*$I$10 + N491/Acciones!$C$751*$I$11 + O491/Acciones!$D$751*$I$12 + P491/Acciones!$D$751*$I$13</f>
        <v>22560.475852048352</v>
      </c>
      <c r="T491" s="14">
        <f t="shared" ca="1" si="10"/>
        <v>-5939.524147951648</v>
      </c>
      <c r="V491">
        <v>-5261.4237866517287</v>
      </c>
    </row>
    <row r="492" spans="1:22" x14ac:dyDescent="0.2">
      <c r="A492" s="1">
        <f>Acciones!A492</f>
        <v>45713</v>
      </c>
      <c r="B492" s="29">
        <f>LN(Acciones!B492/Acciones!B491)</f>
        <v>-2.7338213182636083E-2</v>
      </c>
      <c r="C492" s="29">
        <f>LN(Acciones!C492/Acciones!C491)</f>
        <v>-0.1144986219790687</v>
      </c>
      <c r="D492" s="29">
        <f>LN(Acciones!D492/Acciones!D491)</f>
        <v>1.4781328192341002E-2</v>
      </c>
      <c r="E492" s="29">
        <f>LN(Acciones!E492/Acciones!E491)</f>
        <v>-2.8987509324887441E-2</v>
      </c>
      <c r="M492" s="30">
        <f ca="1">Acciones!$B$751*EXP((H$2-H$3/2)*(1)+H$4*_xlfn.NORM.S.INV(RAND())*SQRT(1))</f>
        <v>11.122529401298808</v>
      </c>
      <c r="N492" s="30">
        <f ca="1">Acciones!$C$751*EXP((I$2-I$3/2)*(1)+I$4*_xlfn.NORM.S.INV(RAND())*SQRT(1))</f>
        <v>151.24150004006862</v>
      </c>
      <c r="O492" s="30">
        <f ca="1">Acciones!$D$751*EXP((J$2-J$3/2)*(1)+J$4*_xlfn.NORM.S.INV(RAND())*SQRT(1))</f>
        <v>1013.4203090283256</v>
      </c>
      <c r="P492" s="30">
        <f ca="1">Acciones!$E$751*EXP((K$2-K$3/2)*(1)+K$4*_xlfn.NORM.S.INV(RAND())*SQRT(1))</f>
        <v>0.13393034164649892</v>
      </c>
      <c r="Q492" s="30"/>
      <c r="R492">
        <f ca="1">M492/Acciones!$B$751*$I$10 + N492/Acciones!$C$751*$I$11 + O492/Acciones!$D$751*$I$12 + P492/Acciones!$D$751*$I$13</f>
        <v>23163.044455567717</v>
      </c>
      <c r="T492" s="14">
        <f t="shared" ca="1" si="10"/>
        <v>-5336.9555444322832</v>
      </c>
      <c r="V492">
        <v>-5260.9522320555043</v>
      </c>
    </row>
    <row r="493" spans="1:22" x14ac:dyDescent="0.2">
      <c r="A493" s="1">
        <f>Acciones!A493</f>
        <v>45714</v>
      </c>
      <c r="B493" s="29">
        <f>LN(Acciones!B493/Acciones!B492)</f>
        <v>-3.7523761459466688E-3</v>
      </c>
      <c r="C493" s="29">
        <f>LN(Acciones!C493/Acciones!C492)</f>
        <v>-7.6628824444795662E-3</v>
      </c>
      <c r="D493" s="29">
        <f>LN(Acciones!D493/Acciones!D492)</f>
        <v>-1.4169373304114082E-2</v>
      </c>
      <c r="E493" s="29">
        <f>LN(Acciones!E493/Acciones!E492)</f>
        <v>-0.12516311373604461</v>
      </c>
      <c r="M493" s="30">
        <f ca="1">Acciones!$B$751*EXP((H$2-H$3/2)*(1)+H$4*_xlfn.NORM.S.INV(RAND())*SQRT(1))</f>
        <v>11.088255922998398</v>
      </c>
      <c r="N493" s="30">
        <f ca="1">Acciones!$C$751*EXP((I$2-I$3/2)*(1)+I$4*_xlfn.NORM.S.INV(RAND())*SQRT(1))</f>
        <v>132.94816659939238</v>
      </c>
      <c r="O493" s="30">
        <f ca="1">Acciones!$D$751*EXP((J$2-J$3/2)*(1)+J$4*_xlfn.NORM.S.INV(RAND())*SQRT(1))</f>
        <v>966.51704778919657</v>
      </c>
      <c r="P493" s="30">
        <f ca="1">Acciones!$E$751*EXP((K$2-K$3/2)*(1)+K$4*_xlfn.NORM.S.INV(RAND())*SQRT(1))</f>
        <v>0.12279713500224602</v>
      </c>
      <c r="Q493" s="30"/>
      <c r="R493">
        <f ca="1">M493/Acciones!$B$751*$I$10 + N493/Acciones!$C$751*$I$11 + O493/Acciones!$D$751*$I$12 + P493/Acciones!$D$751*$I$13</f>
        <v>21539.978659086381</v>
      </c>
      <c r="T493" s="14">
        <f t="shared" ca="1" si="10"/>
        <v>-6960.0213409136195</v>
      </c>
      <c r="V493">
        <v>-5258.7039140817178</v>
      </c>
    </row>
    <row r="494" spans="1:22" x14ac:dyDescent="0.2">
      <c r="A494" s="1">
        <f>Acciones!A494</f>
        <v>45715</v>
      </c>
      <c r="B494" s="29">
        <f>LN(Acciones!B494/Acciones!B493)</f>
        <v>-1.4388765253001394E-2</v>
      </c>
      <c r="C494" s="29">
        <f>LN(Acciones!C494/Acciones!C493)</f>
        <v>6.4488968171567296E-2</v>
      </c>
      <c r="D494" s="29">
        <f>LN(Acciones!D494/Acciones!D493)</f>
        <v>-1.2163212371291129E-2</v>
      </c>
      <c r="E494" s="29">
        <f>LN(Acciones!E494/Acciones!E493)</f>
        <v>1.6529285665789276E-2</v>
      </c>
      <c r="M494" s="30">
        <f ca="1">Acciones!$B$751*EXP((H$2-H$3/2)*(1)+H$4*_xlfn.NORM.S.INV(RAND())*SQRT(1))</f>
        <v>10.570661573949261</v>
      </c>
      <c r="N494" s="30">
        <f ca="1">Acciones!$C$751*EXP((I$2-I$3/2)*(1)+I$4*_xlfn.NORM.S.INV(RAND())*SQRT(1))</f>
        <v>140.449358972124</v>
      </c>
      <c r="O494" s="30">
        <f ca="1">Acciones!$D$751*EXP((J$2-J$3/2)*(1)+J$4*_xlfn.NORM.S.INV(RAND())*SQRT(1))</f>
        <v>988.04374629473648</v>
      </c>
      <c r="P494" s="30">
        <f ca="1">Acciones!$E$751*EXP((K$2-K$3/2)*(1)+K$4*_xlfn.NORM.S.INV(RAND())*SQRT(1))</f>
        <v>0.12570371370612615</v>
      </c>
      <c r="Q494" s="30"/>
      <c r="R494">
        <f ca="1">M494/Acciones!$B$751*$I$10 + N494/Acciones!$C$751*$I$11 + O494/Acciones!$D$751*$I$12 + P494/Acciones!$D$751*$I$13</f>
        <v>22057.929934624946</v>
      </c>
      <c r="T494" s="14">
        <f t="shared" ca="1" si="10"/>
        <v>-6442.0700653750537</v>
      </c>
      <c r="V494">
        <v>-5255.1207045091978</v>
      </c>
    </row>
    <row r="495" spans="1:22" x14ac:dyDescent="0.2">
      <c r="A495" s="1">
        <f>Acciones!A495</f>
        <v>45716</v>
      </c>
      <c r="B495" s="29">
        <f>LN(Acciones!B495/Acciones!B494)</f>
        <v>-4.7646607959416172E-2</v>
      </c>
      <c r="C495" s="29">
        <f>LN(Acciones!C495/Acciones!C494)</f>
        <v>4.9710227434169467E-2</v>
      </c>
      <c r="D495" s="29">
        <f>LN(Acciones!D495/Acciones!D494)</f>
        <v>-3.4577829497077074E-3</v>
      </c>
      <c r="E495" s="29">
        <f>LN(Acciones!E495/Acciones!E494)</f>
        <v>6.3513345591537373E-2</v>
      </c>
      <c r="M495" s="30">
        <f ca="1">Acciones!$B$751*EXP((H$2-H$3/2)*(1)+H$4*_xlfn.NORM.S.INV(RAND())*SQRT(1))</f>
        <v>11.001142584746569</v>
      </c>
      <c r="N495" s="30">
        <f ca="1">Acciones!$C$751*EXP((I$2-I$3/2)*(1)+I$4*_xlfn.NORM.S.INV(RAND())*SQRT(1))</f>
        <v>156.14041410100623</v>
      </c>
      <c r="O495" s="30">
        <f ca="1">Acciones!$D$751*EXP((J$2-J$3/2)*(1)+J$4*_xlfn.NORM.S.INV(RAND())*SQRT(1))</f>
        <v>1009.0565386799177</v>
      </c>
      <c r="P495" s="30">
        <f ca="1">Acciones!$E$751*EXP((K$2-K$3/2)*(1)+K$4*_xlfn.NORM.S.INV(RAND())*SQRT(1))</f>
        <v>0.11734730235322112</v>
      </c>
      <c r="Q495" s="30"/>
      <c r="R495">
        <f ca="1">M495/Acciones!$B$751*$I$10 + N495/Acciones!$C$751*$I$11 + O495/Acciones!$D$751*$I$12 + P495/Acciones!$D$751*$I$13</f>
        <v>23386.182304671005</v>
      </c>
      <c r="T495" s="14">
        <f t="shared" ca="1" si="10"/>
        <v>-5113.8176953289949</v>
      </c>
      <c r="V495">
        <v>-5253.1265327807705</v>
      </c>
    </row>
    <row r="496" spans="1:22" x14ac:dyDescent="0.2">
      <c r="A496" s="1">
        <f>Acciones!A496</f>
        <v>45719</v>
      </c>
      <c r="B496" s="29">
        <f>LN(Acciones!B496/Acciones!B495)</f>
        <v>-8.0322286739410598E-3</v>
      </c>
      <c r="C496" s="29">
        <f>LN(Acciones!C496/Acciones!C495)</f>
        <v>-2.5145360978950614E-3</v>
      </c>
      <c r="D496" s="29">
        <f>LN(Acciones!D496/Acciones!D495)</f>
        <v>-5.4424916990816466E-3</v>
      </c>
      <c r="E496" s="29">
        <f>LN(Acciones!E496/Acciones!E495)</f>
        <v>-6.351334559153736E-2</v>
      </c>
      <c r="M496" s="30">
        <f ca="1">Acciones!$B$751*EXP((H$2-H$3/2)*(1)+H$4*_xlfn.NORM.S.INV(RAND())*SQRT(1))</f>
        <v>11.089476481215192</v>
      </c>
      <c r="N496" s="30">
        <f ca="1">Acciones!$C$751*EXP((I$2-I$3/2)*(1)+I$4*_xlfn.NORM.S.INV(RAND())*SQRT(1))</f>
        <v>164.39038760724759</v>
      </c>
      <c r="O496" s="30">
        <f ca="1">Acciones!$D$751*EXP((J$2-J$3/2)*(1)+J$4*_xlfn.NORM.S.INV(RAND())*SQRT(1))</f>
        <v>962.1809730428032</v>
      </c>
      <c r="P496" s="30">
        <f ca="1">Acciones!$E$751*EXP((K$2-K$3/2)*(1)+K$4*_xlfn.NORM.S.INV(RAND())*SQRT(1))</f>
        <v>0.13521062935833852</v>
      </c>
      <c r="Q496" s="30"/>
      <c r="R496">
        <f ca="1">M496/Acciones!$B$751*$I$10 + N496/Acciones!$C$751*$I$11 + O496/Acciones!$D$751*$I$12 + P496/Acciones!$D$751*$I$13</f>
        <v>23460.208153954569</v>
      </c>
      <c r="T496" s="14">
        <f t="shared" ca="1" si="10"/>
        <v>-5039.7918460454312</v>
      </c>
      <c r="V496">
        <v>-5252.8516632770588</v>
      </c>
    </row>
    <row r="497" spans="1:22" x14ac:dyDescent="0.2">
      <c r="A497" s="1">
        <f>Acciones!A497</f>
        <v>45720</v>
      </c>
      <c r="B497" s="29">
        <f>LN(Acciones!B497/Acciones!B496)</f>
        <v>-2.8631775241518147E-2</v>
      </c>
      <c r="C497" s="29">
        <f>LN(Acciones!C497/Acciones!C496)</f>
        <v>2.7732418333361309E-2</v>
      </c>
      <c r="D497" s="29">
        <f>LN(Acciones!D497/Acciones!D496)</f>
        <v>-3.8373230233709156E-3</v>
      </c>
      <c r="E497" s="29">
        <f>LN(Acciones!E497/Acciones!E496)</f>
        <v>-0.10354068071743057</v>
      </c>
      <c r="M497" s="30">
        <f ca="1">Acciones!$B$751*EXP((H$2-H$3/2)*(1)+H$4*_xlfn.NORM.S.INV(RAND())*SQRT(1))</f>
        <v>10.902888429619571</v>
      </c>
      <c r="N497" s="30">
        <f ca="1">Acciones!$C$751*EXP((I$2-I$3/2)*(1)+I$4*_xlfn.NORM.S.INV(RAND())*SQRT(1))</f>
        <v>155.32096643480921</v>
      </c>
      <c r="O497" s="30">
        <f ca="1">Acciones!$D$751*EXP((J$2-J$3/2)*(1)+J$4*_xlfn.NORM.S.INV(RAND())*SQRT(1))</f>
        <v>996.68821103316236</v>
      </c>
      <c r="P497" s="30">
        <f ca="1">Acciones!$E$751*EXP((K$2-K$3/2)*(1)+K$4*_xlfn.NORM.S.INV(RAND())*SQRT(1))</f>
        <v>0.13936044957813074</v>
      </c>
      <c r="Q497" s="30"/>
      <c r="R497">
        <f ca="1">M497/Acciones!$B$751*$I$10 + N497/Acciones!$C$751*$I$11 + O497/Acciones!$D$751*$I$12 + P497/Acciones!$D$751*$I$13</f>
        <v>23179.731552548674</v>
      </c>
      <c r="T497" s="14">
        <f t="shared" ca="1" si="10"/>
        <v>-5320.2684474513262</v>
      </c>
      <c r="V497">
        <v>-5250.2244601817983</v>
      </c>
    </row>
    <row r="498" spans="1:22" x14ac:dyDescent="0.2">
      <c r="A498" s="1">
        <f>Acciones!A498</f>
        <v>45721</v>
      </c>
      <c r="B498" s="29">
        <f>LN(Acciones!B498/Acciones!B497)</f>
        <v>-1.5050476081077502E-2</v>
      </c>
      <c r="C498" s="29">
        <f>LN(Acciones!C498/Acciones!C497)</f>
        <v>5.3749523003660239E-2</v>
      </c>
      <c r="D498" s="29">
        <f>LN(Acciones!D498/Acciones!D497)</f>
        <v>-2.9390460680922055E-2</v>
      </c>
      <c r="E498" s="29">
        <f>LN(Acciones!E498/Acciones!E497)</f>
        <v>3.5718048379315616E-2</v>
      </c>
      <c r="M498" s="30">
        <f ca="1">Acciones!$B$751*EXP((H$2-H$3/2)*(1)+H$4*_xlfn.NORM.S.INV(RAND())*SQRT(1))</f>
        <v>10.780401553328135</v>
      </c>
      <c r="N498" s="30">
        <f ca="1">Acciones!$C$751*EXP((I$2-I$3/2)*(1)+I$4*_xlfn.NORM.S.INV(RAND())*SQRT(1))</f>
        <v>148.93235222193732</v>
      </c>
      <c r="O498" s="30">
        <f ca="1">Acciones!$D$751*EXP((J$2-J$3/2)*(1)+J$4*_xlfn.NORM.S.INV(RAND())*SQRT(1))</f>
        <v>999.78329287199313</v>
      </c>
      <c r="P498" s="30">
        <f ca="1">Acciones!$E$751*EXP((K$2-K$3/2)*(1)+K$4*_xlfn.NORM.S.INV(RAND())*SQRT(1))</f>
        <v>0.11520942944973062</v>
      </c>
      <c r="Q498" s="30"/>
      <c r="R498">
        <f ca="1">M498/Acciones!$B$751*$I$10 + N498/Acciones!$C$751*$I$11 + O498/Acciones!$D$751*$I$12 + P498/Acciones!$D$751*$I$13</f>
        <v>22772.410808314424</v>
      </c>
      <c r="T498" s="14">
        <f t="shared" ca="1" si="10"/>
        <v>-5727.5891916855762</v>
      </c>
      <c r="V498">
        <v>-5248.5121669055734</v>
      </c>
    </row>
    <row r="499" spans="1:22" x14ac:dyDescent="0.2">
      <c r="A499" s="1">
        <f>Acciones!A499</f>
        <v>45722</v>
      </c>
      <c r="B499" s="29">
        <f>LN(Acciones!B499/Acciones!B498)</f>
        <v>1.5880094683202509E-2</v>
      </c>
      <c r="C499" s="29">
        <f>LN(Acciones!C499/Acciones!C498)</f>
        <v>-1.4187895403990618E-2</v>
      </c>
      <c r="D499" s="29">
        <f>LN(Acciones!D499/Acciones!D498)</f>
        <v>8.6805674232091744E-3</v>
      </c>
      <c r="E499" s="29">
        <f>LN(Acciones!E499/Acciones!E498)</f>
        <v>-1.7559040975993385E-3</v>
      </c>
      <c r="M499" s="30">
        <f ca="1">Acciones!$B$751*EXP((H$2-H$3/2)*(1)+H$4*_xlfn.NORM.S.INV(RAND())*SQRT(1))</f>
        <v>10.67566852915758</v>
      </c>
      <c r="N499" s="30">
        <f ca="1">Acciones!$C$751*EXP((I$2-I$3/2)*(1)+I$4*_xlfn.NORM.S.INV(RAND())*SQRT(1))</f>
        <v>156.56136497790609</v>
      </c>
      <c r="O499" s="30">
        <f ca="1">Acciones!$D$751*EXP((J$2-J$3/2)*(1)+J$4*_xlfn.NORM.S.INV(RAND())*SQRT(1))</f>
        <v>1008.0447480616629</v>
      </c>
      <c r="P499" s="30">
        <f ca="1">Acciones!$E$751*EXP((K$2-K$3/2)*(1)+K$4*_xlfn.NORM.S.INV(RAND())*SQRT(1))</f>
        <v>0.13282863715523618</v>
      </c>
      <c r="Q499" s="30"/>
      <c r="R499">
        <f ca="1">M499/Acciones!$B$751*$I$10 + N499/Acciones!$C$751*$I$11 + O499/Acciones!$D$751*$I$12 + P499/Acciones!$D$751*$I$13</f>
        <v>23298.002331690306</v>
      </c>
      <c r="T499" s="14">
        <f t="shared" ca="1" si="10"/>
        <v>-5201.9976683096938</v>
      </c>
      <c r="V499">
        <v>-5248.4823769678005</v>
      </c>
    </row>
    <row r="500" spans="1:22" x14ac:dyDescent="0.2">
      <c r="A500" s="1">
        <f>Acciones!A500</f>
        <v>45723</v>
      </c>
      <c r="B500" s="29">
        <f>LN(Acciones!B500/Acciones!B499)</f>
        <v>3.3112033393263795E-3</v>
      </c>
      <c r="C500" s="29">
        <f>LN(Acciones!C500/Acciones!C499)</f>
        <v>7.6867734200608162E-2</v>
      </c>
      <c r="D500" s="29">
        <f>LN(Acciones!D500/Acciones!D499)</f>
        <v>2.5332529919151773E-3</v>
      </c>
      <c r="E500" s="29">
        <f>LN(Acciones!E500/Acciones!E499)</f>
        <v>-1.5943656195980861E-2</v>
      </c>
      <c r="M500" s="30">
        <f ca="1">Acciones!$B$751*EXP((H$2-H$3/2)*(1)+H$4*_xlfn.NORM.S.INV(RAND())*SQRT(1))</f>
        <v>11.044581833751854</v>
      </c>
      <c r="N500" s="30">
        <f ca="1">Acciones!$C$751*EXP((I$2-I$3/2)*(1)+I$4*_xlfn.NORM.S.INV(RAND())*SQRT(1))</f>
        <v>147.01088437668989</v>
      </c>
      <c r="O500" s="30">
        <f ca="1">Acciones!$D$751*EXP((J$2-J$3/2)*(1)+J$4*_xlfn.NORM.S.INV(RAND())*SQRT(1))</f>
        <v>1013.4379107150276</v>
      </c>
      <c r="P500" s="30">
        <f ca="1">Acciones!$E$751*EXP((K$2-K$3/2)*(1)+K$4*_xlfn.NORM.S.INV(RAND())*SQRT(1))</f>
        <v>0.13766396160582708</v>
      </c>
      <c r="Q500" s="30"/>
      <c r="R500">
        <f ca="1">M500/Acciones!$B$751*$I$10 + N500/Acciones!$C$751*$I$11 + O500/Acciones!$D$751*$I$12 + P500/Acciones!$D$751*$I$13</f>
        <v>22874.082423341351</v>
      </c>
      <c r="T500" s="14">
        <f t="shared" ca="1" si="10"/>
        <v>-5625.9175766586486</v>
      </c>
      <c r="V500">
        <v>-5247.678723603065</v>
      </c>
    </row>
    <row r="501" spans="1:22" x14ac:dyDescent="0.2">
      <c r="A501" s="1">
        <f>Acciones!A501</f>
        <v>45726</v>
      </c>
      <c r="B501" s="29">
        <f>LN(Acciones!B501/Acciones!B500)</f>
        <v>-2.7651562404779857E-2</v>
      </c>
      <c r="C501" s="29">
        <f>LN(Acciones!C501/Acciones!C500)</f>
        <v>-0.17535242293273504</v>
      </c>
      <c r="D501" s="29">
        <f>LN(Acciones!D501/Acciones!D500)</f>
        <v>-1.980264894429784E-2</v>
      </c>
      <c r="E501" s="29">
        <f>LN(Acciones!E501/Acciones!E500)</f>
        <v>6.5653949218844807E-2</v>
      </c>
      <c r="M501" s="30">
        <f ca="1">Acciones!$B$751*EXP((H$2-H$3/2)*(1)+H$4*_xlfn.NORM.S.INV(RAND())*SQRT(1))</f>
        <v>10.545770713034958</v>
      </c>
      <c r="N501" s="30">
        <f ca="1">Acciones!$C$751*EXP((I$2-I$3/2)*(1)+I$4*_xlfn.NORM.S.INV(RAND())*SQRT(1))</f>
        <v>138.14106805405493</v>
      </c>
      <c r="O501" s="30">
        <f ca="1">Acciones!$D$751*EXP((J$2-J$3/2)*(1)+J$4*_xlfn.NORM.S.INV(RAND())*SQRT(1))</f>
        <v>965.5328117687452</v>
      </c>
      <c r="P501" s="30">
        <f ca="1">Acciones!$E$751*EXP((K$2-K$3/2)*(1)+K$4*_xlfn.NORM.S.INV(RAND())*SQRT(1))</f>
        <v>0.1312992633126249</v>
      </c>
      <c r="Q501" s="30"/>
      <c r="R501">
        <f ca="1">M501/Acciones!$B$751*$I$10 + N501/Acciones!$C$751*$I$11 + O501/Acciones!$D$751*$I$12 + P501/Acciones!$D$751*$I$13</f>
        <v>21680.370515198618</v>
      </c>
      <c r="T501" s="14">
        <f t="shared" ca="1" si="10"/>
        <v>-6819.6294848013822</v>
      </c>
      <c r="V501">
        <v>-5245.9304311631495</v>
      </c>
    </row>
    <row r="502" spans="1:22" x14ac:dyDescent="0.2">
      <c r="A502" s="1">
        <f>Acciones!A502</f>
        <v>45727</v>
      </c>
      <c r="B502" s="29">
        <f>LN(Acciones!B502/Acciones!B501)</f>
        <v>-2.9312396711168941E-2</v>
      </c>
      <c r="C502" s="29">
        <f>LN(Acciones!C502/Acciones!C501)</f>
        <v>-1.4779084456312038E-2</v>
      </c>
      <c r="D502" s="29">
        <f>LN(Acciones!D502/Acciones!D501)</f>
        <v>-3.2783177489806456E-2</v>
      </c>
      <c r="E502" s="29">
        <f>LN(Acciones!E502/Acciones!E501)</f>
        <v>-3.0562662439705127E-2</v>
      </c>
      <c r="M502" s="30">
        <f ca="1">Acciones!$B$751*EXP((H$2-H$3/2)*(1)+H$4*_xlfn.NORM.S.INV(RAND())*SQRT(1))</f>
        <v>10.955005588865811</v>
      </c>
      <c r="N502" s="30">
        <f ca="1">Acciones!$C$751*EXP((I$2-I$3/2)*(1)+I$4*_xlfn.NORM.S.INV(RAND())*SQRT(1))</f>
        <v>152.07412397677464</v>
      </c>
      <c r="O502" s="30">
        <f ca="1">Acciones!$D$751*EXP((J$2-J$3/2)*(1)+J$4*_xlfn.NORM.S.INV(RAND())*SQRT(1))</f>
        <v>961.60380958869769</v>
      </c>
      <c r="P502" s="30">
        <f ca="1">Acciones!$E$751*EXP((K$2-K$3/2)*(1)+K$4*_xlfn.NORM.S.INV(RAND())*SQRT(1))</f>
        <v>0.13247405577975105</v>
      </c>
      <c r="Q502" s="30"/>
      <c r="R502">
        <f ca="1">M502/Acciones!$B$751*$I$10 + N502/Acciones!$C$751*$I$11 + O502/Acciones!$D$751*$I$12 + P502/Acciones!$D$751*$I$13</f>
        <v>22642.265193430398</v>
      </c>
      <c r="T502" s="14">
        <f t="shared" ca="1" si="10"/>
        <v>-5857.7348065696024</v>
      </c>
      <c r="V502">
        <v>-5243.6517415410453</v>
      </c>
    </row>
    <row r="503" spans="1:22" x14ac:dyDescent="0.2">
      <c r="A503" s="1">
        <f>Acciones!A503</f>
        <v>45728</v>
      </c>
      <c r="B503" s="29">
        <f>LN(Acciones!B503/Acciones!B502)</f>
        <v>-8.7874649000359295E-3</v>
      </c>
      <c r="C503" s="29">
        <f>LN(Acciones!C503/Acciones!C502)</f>
        <v>-1.1651904785650636E-2</v>
      </c>
      <c r="D503" s="29">
        <f>LN(Acciones!D503/Acciones!D502)</f>
        <v>-8.7110505368645907E-3</v>
      </c>
      <c r="E503" s="29">
        <f>LN(Acciones!E503/Acciones!E502)</f>
        <v>-5.3109774864875094E-2</v>
      </c>
      <c r="M503" s="30">
        <f ca="1">Acciones!$B$751*EXP((H$2-H$3/2)*(1)+H$4*_xlfn.NORM.S.INV(RAND())*SQRT(1))</f>
        <v>10.86490936305921</v>
      </c>
      <c r="N503" s="30">
        <f ca="1">Acciones!$C$751*EXP((I$2-I$3/2)*(1)+I$4*_xlfn.NORM.S.INV(RAND())*SQRT(1))</f>
        <v>159.26403402952593</v>
      </c>
      <c r="O503" s="30">
        <f ca="1">Acciones!$D$751*EXP((J$2-J$3/2)*(1)+J$4*_xlfn.NORM.S.INV(RAND())*SQRT(1))</f>
        <v>988.89267722901354</v>
      </c>
      <c r="P503" s="30">
        <f ca="1">Acciones!$E$751*EXP((K$2-K$3/2)*(1)+K$4*_xlfn.NORM.S.INV(RAND())*SQRT(1))</f>
        <v>0.12751588176684464</v>
      </c>
      <c r="Q503" s="30"/>
      <c r="R503">
        <f ca="1">M503/Acciones!$B$751*$I$10 + N503/Acciones!$C$751*$I$11 + O503/Acciones!$D$751*$I$12 + P503/Acciones!$D$751*$I$13</f>
        <v>23335.597744330844</v>
      </c>
      <c r="T503" s="14">
        <f t="shared" ca="1" si="10"/>
        <v>-5164.4022556691561</v>
      </c>
      <c r="V503">
        <v>-5238.6638356548974</v>
      </c>
    </row>
    <row r="504" spans="1:22" x14ac:dyDescent="0.2">
      <c r="A504" s="1">
        <f>Acciones!A504</f>
        <v>45729</v>
      </c>
      <c r="B504" s="29">
        <f>LN(Acciones!B504/Acciones!B503)</f>
        <v>-1.4222387989496836E-2</v>
      </c>
      <c r="C504" s="29">
        <f>LN(Acciones!C504/Acciones!C503)</f>
        <v>-8.3313013365460833E-2</v>
      </c>
      <c r="D504" s="29">
        <f>LN(Acciones!D504/Acciones!D503)</f>
        <v>-1.880384419957E-2</v>
      </c>
      <c r="E504" s="29">
        <f>LN(Acciones!E504/Acciones!E503)</f>
        <v>-1.834912060618378E-2</v>
      </c>
      <c r="M504" s="30">
        <f ca="1">Acciones!$B$751*EXP((H$2-H$3/2)*(1)+H$4*_xlfn.NORM.S.INV(RAND())*SQRT(1))</f>
        <v>10.877876193755366</v>
      </c>
      <c r="N504" s="30">
        <f ca="1">Acciones!$C$751*EXP((I$2-I$3/2)*(1)+I$4*_xlfn.NORM.S.INV(RAND())*SQRT(1))</f>
        <v>145.86306492086027</v>
      </c>
      <c r="O504" s="30">
        <f ca="1">Acciones!$D$751*EXP((J$2-J$3/2)*(1)+J$4*_xlfn.NORM.S.INV(RAND())*SQRT(1))</f>
        <v>997.95611744142559</v>
      </c>
      <c r="P504" s="30">
        <f ca="1">Acciones!$E$751*EXP((K$2-K$3/2)*(1)+K$4*_xlfn.NORM.S.INV(RAND())*SQRT(1))</f>
        <v>0.14618032878633674</v>
      </c>
      <c r="Q504" s="30"/>
      <c r="R504">
        <f ca="1">M504/Acciones!$B$751*$I$10 + N504/Acciones!$C$751*$I$11 + O504/Acciones!$D$751*$I$12 + P504/Acciones!$D$751*$I$13</f>
        <v>22593.908822704416</v>
      </c>
      <c r="T504" s="14">
        <f t="shared" ca="1" si="10"/>
        <v>-5906.0911772955842</v>
      </c>
      <c r="V504">
        <v>-5237.2505499964573</v>
      </c>
    </row>
    <row r="505" spans="1:22" x14ac:dyDescent="0.2">
      <c r="A505" s="1">
        <f>Acciones!A505</f>
        <v>45730</v>
      </c>
      <c r="B505" s="29">
        <f>LN(Acciones!B505/Acciones!B504)</f>
        <v>3.5183831848266373E-2</v>
      </c>
      <c r="C505" s="29">
        <f>LN(Acciones!C505/Acciones!C504)</f>
        <v>6.8783277123548911E-2</v>
      </c>
      <c r="D505" s="29">
        <f>LN(Acciones!D505/Acciones!D504)</f>
        <v>-2.3777936449580182E-2</v>
      </c>
      <c r="E505" s="29">
        <f>LN(Acciones!E505/Acciones!E504)</f>
        <v>-3.5819084457784631E-2</v>
      </c>
      <c r="M505" s="30">
        <f ca="1">Acciones!$B$751*EXP((H$2-H$3/2)*(1)+H$4*_xlfn.NORM.S.INV(RAND())*SQRT(1))</f>
        <v>11.146916347620159</v>
      </c>
      <c r="N505" s="30">
        <f ca="1">Acciones!$C$751*EXP((I$2-I$3/2)*(1)+I$4*_xlfn.NORM.S.INV(RAND())*SQRT(1))</f>
        <v>148.46184914303348</v>
      </c>
      <c r="O505" s="30">
        <f ca="1">Acciones!$D$751*EXP((J$2-J$3/2)*(1)+J$4*_xlfn.NORM.S.INV(RAND())*SQRT(1))</f>
        <v>1017.9423800932705</v>
      </c>
      <c r="P505" s="30">
        <f ca="1">Acciones!$E$751*EXP((K$2-K$3/2)*(1)+K$4*_xlfn.NORM.S.INV(RAND())*SQRT(1))</f>
        <v>0.12562374110214652</v>
      </c>
      <c r="Q505" s="30"/>
      <c r="R505">
        <f ca="1">M505/Acciones!$B$751*$I$10 + N505/Acciones!$C$751*$I$11 + O505/Acciones!$D$751*$I$12 + P505/Acciones!$D$751*$I$13</f>
        <v>23042.560267987425</v>
      </c>
      <c r="T505" s="14">
        <f t="shared" ca="1" si="10"/>
        <v>-5457.4397320125754</v>
      </c>
      <c r="V505">
        <v>-5235.9412588630985</v>
      </c>
    </row>
    <row r="506" spans="1:22" x14ac:dyDescent="0.2">
      <c r="A506" s="1">
        <f>Acciones!A506</f>
        <v>45734</v>
      </c>
      <c r="B506" s="29">
        <f>LN(Acciones!B506/Acciones!B505)</f>
        <v>2.9802164971696889E-2</v>
      </c>
      <c r="C506" s="29">
        <f>LN(Acciones!C506/Acciones!C505)</f>
        <v>-8.4336581450201939E-2</v>
      </c>
      <c r="D506" s="29">
        <f>LN(Acciones!D506/Acciones!D505)</f>
        <v>2.0854545199055441E-2</v>
      </c>
      <c r="E506" s="29">
        <f>LN(Acciones!E506/Acciones!E505)</f>
        <v>1.7126857727635721E-2</v>
      </c>
      <c r="M506" s="30">
        <f ca="1">Acciones!$B$751*EXP((H$2-H$3/2)*(1)+H$4*_xlfn.NORM.S.INV(RAND())*SQRT(1))</f>
        <v>11.100655711659355</v>
      </c>
      <c r="N506" s="30">
        <f ca="1">Acciones!$C$751*EXP((I$2-I$3/2)*(1)+I$4*_xlfn.NORM.S.INV(RAND())*SQRT(1))</f>
        <v>143.69068484346047</v>
      </c>
      <c r="O506" s="30">
        <f ca="1">Acciones!$D$751*EXP((J$2-J$3/2)*(1)+J$4*_xlfn.NORM.S.INV(RAND())*SQRT(1))</f>
        <v>993.16032640374681</v>
      </c>
      <c r="P506" s="30">
        <f ca="1">Acciones!$E$751*EXP((K$2-K$3/2)*(1)+K$4*_xlfn.NORM.S.INV(RAND())*SQRT(1))</f>
        <v>0.13810473159460612</v>
      </c>
      <c r="Q506" s="30"/>
      <c r="R506">
        <f ca="1">M506/Acciones!$B$751*$I$10 + N506/Acciones!$C$751*$I$11 + O506/Acciones!$D$751*$I$12 + P506/Acciones!$D$751*$I$13</f>
        <v>22481.656878154485</v>
      </c>
      <c r="T506" s="14">
        <f t="shared" ca="1" si="10"/>
        <v>-6018.3431218455153</v>
      </c>
      <c r="V506">
        <v>-5235.7729833813355</v>
      </c>
    </row>
    <row r="507" spans="1:22" x14ac:dyDescent="0.2">
      <c r="A507" s="1">
        <f>Acciones!A507</f>
        <v>45735</v>
      </c>
      <c r="B507" s="29">
        <f>LN(Acciones!B507/Acciones!B506)</f>
        <v>-4.2034828370104364E-3</v>
      </c>
      <c r="C507" s="29">
        <f>LN(Acciones!C507/Acciones!C506)</f>
        <v>4.2858536657251631E-2</v>
      </c>
      <c r="D507" s="29">
        <f>LN(Acciones!D507/Acciones!D506)</f>
        <v>8.930230808284293E-4</v>
      </c>
      <c r="E507" s="29">
        <f>LN(Acciones!E507/Acciones!E506)</f>
        <v>5.5059835422068285E-2</v>
      </c>
      <c r="M507" s="30">
        <f ca="1">Acciones!$B$751*EXP((H$2-H$3/2)*(1)+H$4*_xlfn.NORM.S.INV(RAND())*SQRT(1))</f>
        <v>11.089935668879377</v>
      </c>
      <c r="N507" s="30">
        <f ca="1">Acciones!$C$751*EXP((I$2-I$3/2)*(1)+I$4*_xlfn.NORM.S.INV(RAND())*SQRT(1))</f>
        <v>156.10119409608748</v>
      </c>
      <c r="O507" s="30">
        <f ca="1">Acciones!$D$751*EXP((J$2-J$3/2)*(1)+J$4*_xlfn.NORM.S.INV(RAND())*SQRT(1))</f>
        <v>1003.6090462913988</v>
      </c>
      <c r="P507" s="30">
        <f ca="1">Acciones!$E$751*EXP((K$2-K$3/2)*(1)+K$4*_xlfn.NORM.S.INV(RAND())*SQRT(1))</f>
        <v>0.12863156695020003</v>
      </c>
      <c r="Q507" s="30"/>
      <c r="R507">
        <f ca="1">M507/Acciones!$B$751*$I$10 + N507/Acciones!$C$751*$I$11 + O507/Acciones!$D$751*$I$12 + P507/Acciones!$D$751*$I$13</f>
        <v>23357.716633741344</v>
      </c>
      <c r="T507" s="14">
        <f t="shared" ca="1" si="10"/>
        <v>-5142.2833662586563</v>
      </c>
      <c r="V507">
        <v>-5234.7215610021522</v>
      </c>
    </row>
    <row r="508" spans="1:22" x14ac:dyDescent="0.2">
      <c r="A508" s="1">
        <f>Acciones!A508</f>
        <v>45736</v>
      </c>
      <c r="B508" s="29">
        <f>LN(Acciones!B508/Acciones!B507)</f>
        <v>-1.6992800079628979E-2</v>
      </c>
      <c r="C508" s="29">
        <f>LN(Acciones!C508/Acciones!C507)</f>
        <v>-2.7450236094961086E-3</v>
      </c>
      <c r="D508" s="29">
        <f>LN(Acciones!D508/Acciones!D507)</f>
        <v>-8.3293275117381823E-3</v>
      </c>
      <c r="E508" s="29">
        <f>LN(Acciones!E508/Acciones!E507)</f>
        <v>-2.3488002127586529E-2</v>
      </c>
      <c r="M508" s="30">
        <f ca="1">Acciones!$B$751*EXP((H$2-H$3/2)*(1)+H$4*_xlfn.NORM.S.INV(RAND())*SQRT(1))</f>
        <v>10.917793227384118</v>
      </c>
      <c r="N508" s="30">
        <f ca="1">Acciones!$C$751*EXP((I$2-I$3/2)*(1)+I$4*_xlfn.NORM.S.INV(RAND())*SQRT(1))</f>
        <v>150.64744260416217</v>
      </c>
      <c r="O508" s="30">
        <f ca="1">Acciones!$D$751*EXP((J$2-J$3/2)*(1)+J$4*_xlfn.NORM.S.INV(RAND())*SQRT(1))</f>
        <v>970.10166705339554</v>
      </c>
      <c r="P508" s="30">
        <f ca="1">Acciones!$E$751*EXP((K$2-K$3/2)*(1)+K$4*_xlfn.NORM.S.INV(RAND())*SQRT(1))</f>
        <v>0.13887489099915212</v>
      </c>
      <c r="Q508" s="30"/>
      <c r="R508">
        <f ca="1">M508/Acciones!$B$751*$I$10 + N508/Acciones!$C$751*$I$11 + O508/Acciones!$D$751*$I$12 + P508/Acciones!$D$751*$I$13</f>
        <v>22626.400972451163</v>
      </c>
      <c r="T508" s="14">
        <f t="shared" ca="1" si="10"/>
        <v>-5873.5990275488366</v>
      </c>
      <c r="V508">
        <v>-5234.5902522329561</v>
      </c>
    </row>
    <row r="509" spans="1:22" x14ac:dyDescent="0.2">
      <c r="A509" s="1">
        <f>Acciones!A509</f>
        <v>45737</v>
      </c>
      <c r="B509" s="29">
        <f>LN(Acciones!B509/Acciones!B508)</f>
        <v>1.0230340995592824E-2</v>
      </c>
      <c r="C509" s="29">
        <f>LN(Acciones!C509/Acciones!C508)</f>
        <v>2.2284034362471195E-3</v>
      </c>
      <c r="D509" s="29">
        <f>LN(Acciones!D509/Acciones!D508)</f>
        <v>-5.0671738516817985E-2</v>
      </c>
      <c r="E509" s="29">
        <f>LN(Acciones!E509/Acciones!E508)</f>
        <v>2.1700714592598393E-2</v>
      </c>
      <c r="M509" s="30">
        <f ca="1">Acciones!$B$751*EXP((H$2-H$3/2)*(1)+H$4*_xlfn.NORM.S.INV(RAND())*SQRT(1))</f>
        <v>11.095678908431838</v>
      </c>
      <c r="N509" s="30">
        <f ca="1">Acciones!$C$751*EXP((I$2-I$3/2)*(1)+I$4*_xlfn.NORM.S.INV(RAND())*SQRT(1))</f>
        <v>157.87737850154122</v>
      </c>
      <c r="O509" s="30">
        <f ca="1">Acciones!$D$751*EXP((J$2-J$3/2)*(1)+J$4*_xlfn.NORM.S.INV(RAND())*SQRT(1))</f>
        <v>1002.2241810396874</v>
      </c>
      <c r="P509" s="30">
        <f ca="1">Acciones!$E$751*EXP((K$2-K$3/2)*(1)+K$4*_xlfn.NORM.S.INV(RAND())*SQRT(1))</f>
        <v>0.12359029208966661</v>
      </c>
      <c r="Q509" s="30"/>
      <c r="R509">
        <f ca="1">M509/Acciones!$B$751*$I$10 + N509/Acciones!$C$751*$I$11 + O509/Acciones!$D$751*$I$12 + P509/Acciones!$D$751*$I$13</f>
        <v>23456.562015484476</v>
      </c>
      <c r="T509" s="14">
        <f t="shared" ca="1" si="10"/>
        <v>-5043.4379845155236</v>
      </c>
      <c r="V509">
        <v>-5234.3839192550695</v>
      </c>
    </row>
    <row r="510" spans="1:22" x14ac:dyDescent="0.2">
      <c r="A510" s="1">
        <f>Acciones!A510</f>
        <v>45740</v>
      </c>
      <c r="B510" s="29">
        <f>LN(Acciones!B510/Acciones!B509)</f>
        <v>8.4459731238007985E-3</v>
      </c>
      <c r="C510" s="29">
        <f>LN(Acciones!C510/Acciones!C509)</f>
        <v>0.14229224213717101</v>
      </c>
      <c r="D510" s="29">
        <f>LN(Acciones!D510/Acciones!D509)</f>
        <v>-1.0558961746200475E-2</v>
      </c>
      <c r="E510" s="29">
        <f>LN(Acciones!E510/Acciones!E509)</f>
        <v>-1.6231200550747456E-2</v>
      </c>
      <c r="M510" s="30">
        <f ca="1">Acciones!$B$751*EXP((H$2-H$3/2)*(1)+H$4*_xlfn.NORM.S.INV(RAND())*SQRT(1))</f>
        <v>10.742968247416766</v>
      </c>
      <c r="N510" s="30">
        <f ca="1">Acciones!$C$751*EXP((I$2-I$3/2)*(1)+I$4*_xlfn.NORM.S.INV(RAND())*SQRT(1))</f>
        <v>157.97448541782933</v>
      </c>
      <c r="O510" s="30">
        <f ca="1">Acciones!$D$751*EXP((J$2-J$3/2)*(1)+J$4*_xlfn.NORM.S.INV(RAND())*SQRT(1))</f>
        <v>1012.1552061604285</v>
      </c>
      <c r="P510" s="30">
        <f ca="1">Acciones!$E$751*EXP((K$2-K$3/2)*(1)+K$4*_xlfn.NORM.S.INV(RAND())*SQRT(1))</f>
        <v>0.12471504667534587</v>
      </c>
      <c r="Q510" s="30"/>
      <c r="R510">
        <f ca="1">M510/Acciones!$B$751*$I$10 + N510/Acciones!$C$751*$I$11 + O510/Acciones!$D$751*$I$12 + P510/Acciones!$D$751*$I$13</f>
        <v>23448.952890578024</v>
      </c>
      <c r="T510" s="14">
        <f t="shared" ca="1" si="10"/>
        <v>-5051.0471094219756</v>
      </c>
      <c r="V510">
        <v>-5234.0725992407461</v>
      </c>
    </row>
    <row r="511" spans="1:22" x14ac:dyDescent="0.2">
      <c r="A511" s="1">
        <f>Acciones!A511</f>
        <v>45741</v>
      </c>
      <c r="B511" s="29">
        <f>LN(Acciones!B511/Acciones!B510)</f>
        <v>8.4069537904453949E-4</v>
      </c>
      <c r="C511" s="29">
        <f>LN(Acciones!C511/Acciones!C510)</f>
        <v>-5.3928903745911966E-3</v>
      </c>
      <c r="D511" s="29">
        <f>LN(Acciones!D511/Acciones!D510)</f>
        <v>-1.5878276414613993E-2</v>
      </c>
      <c r="E511" s="29">
        <f>LN(Acciones!E511/Acciones!E510)</f>
        <v>-3.6430529793960824E-3</v>
      </c>
      <c r="M511" s="30">
        <f ca="1">Acciones!$B$751*EXP((H$2-H$3/2)*(1)+H$4*_xlfn.NORM.S.INV(RAND())*SQRT(1))</f>
        <v>11.048531483143847</v>
      </c>
      <c r="N511" s="30">
        <f ca="1">Acciones!$C$751*EXP((I$2-I$3/2)*(1)+I$4*_xlfn.NORM.S.INV(RAND())*SQRT(1))</f>
        <v>157.46434266991292</v>
      </c>
      <c r="O511" s="30">
        <f ca="1">Acciones!$D$751*EXP((J$2-J$3/2)*(1)+J$4*_xlfn.NORM.S.INV(RAND())*SQRT(1))</f>
        <v>1017.9680715150898</v>
      </c>
      <c r="P511" s="30">
        <f ca="1">Acciones!$E$751*EXP((K$2-K$3/2)*(1)+K$4*_xlfn.NORM.S.INV(RAND())*SQRT(1))</f>
        <v>0.13561883775276598</v>
      </c>
      <c r="Q511" s="30"/>
      <c r="R511">
        <f ca="1">M511/Acciones!$B$751*$I$10 + N511/Acciones!$C$751*$I$11 + O511/Acciones!$D$751*$I$12 + P511/Acciones!$D$751*$I$13</f>
        <v>23573.411316231664</v>
      </c>
      <c r="T511" s="14">
        <f t="shared" ca="1" si="10"/>
        <v>-4926.5886837683356</v>
      </c>
      <c r="V511">
        <v>-5233.7448231424714</v>
      </c>
    </row>
    <row r="512" spans="1:22" x14ac:dyDescent="0.2">
      <c r="A512" s="1">
        <f>Acciones!A512</f>
        <v>45742</v>
      </c>
      <c r="B512" s="29">
        <f>LN(Acciones!B512/Acciones!B511)</f>
        <v>1.679273418201346E-3</v>
      </c>
      <c r="C512" s="29">
        <f>LN(Acciones!C512/Acciones!C511)</f>
        <v>-4.0137542925226213E-2</v>
      </c>
      <c r="D512" s="29">
        <f>LN(Acciones!D512/Acciones!D511)</f>
        <v>-9.3323170405139062E-3</v>
      </c>
      <c r="E512" s="29">
        <f>LN(Acciones!E512/Acciones!E511)</f>
        <v>3.6430529793960564E-3</v>
      </c>
      <c r="M512" s="30">
        <f ca="1">Acciones!$B$751*EXP((H$2-H$3/2)*(1)+H$4*_xlfn.NORM.S.INV(RAND())*SQRT(1))</f>
        <v>10.562950018993776</v>
      </c>
      <c r="N512" s="30">
        <f ca="1">Acciones!$C$751*EXP((I$2-I$3/2)*(1)+I$4*_xlfn.NORM.S.INV(RAND())*SQRT(1))</f>
        <v>132.83019194017493</v>
      </c>
      <c r="O512" s="30">
        <f ca="1">Acciones!$D$751*EXP((J$2-J$3/2)*(1)+J$4*_xlfn.NORM.S.INV(RAND())*SQRT(1))</f>
        <v>974.12065298883101</v>
      </c>
      <c r="P512" s="30">
        <f ca="1">Acciones!$E$751*EXP((K$2-K$3/2)*(1)+K$4*_xlfn.NORM.S.INV(RAND())*SQRT(1))</f>
        <v>0.12911406036891224</v>
      </c>
      <c r="Q512" s="30"/>
      <c r="R512">
        <f ca="1">M512/Acciones!$B$751*$I$10 + N512/Acciones!$C$751*$I$11 + O512/Acciones!$D$751*$I$12 + P512/Acciones!$D$751*$I$13</f>
        <v>21440.28666596597</v>
      </c>
      <c r="T512" s="14">
        <f t="shared" ca="1" si="10"/>
        <v>-7059.7133340340297</v>
      </c>
      <c r="V512">
        <v>-5233.3671183390506</v>
      </c>
    </row>
    <row r="513" spans="1:22" x14ac:dyDescent="0.2">
      <c r="A513" s="1">
        <f>Acciones!A513</f>
        <v>45743</v>
      </c>
      <c r="B513" s="29">
        <f>LN(Acciones!B513/Acciones!B512)</f>
        <v>1.7464102988186785E-2</v>
      </c>
      <c r="C513" s="29">
        <f>LN(Acciones!C513/Acciones!C512)</f>
        <v>7.5742198148995136E-4</v>
      </c>
      <c r="D513" s="29">
        <f>LN(Acciones!D513/Acciones!D512)</f>
        <v>1.304999256113564E-2</v>
      </c>
      <c r="E513" s="29">
        <f>LN(Acciones!E513/Acciones!E512)</f>
        <v>-3.7041347336332686E-2</v>
      </c>
      <c r="M513" s="30">
        <f ca="1">Acciones!$B$751*EXP((H$2-H$3/2)*(1)+H$4*_xlfn.NORM.S.INV(RAND())*SQRT(1))</f>
        <v>10.689201312397117</v>
      </c>
      <c r="N513" s="30">
        <f ca="1">Acciones!$C$751*EXP((I$2-I$3/2)*(1)+I$4*_xlfn.NORM.S.INV(RAND())*SQRT(1))</f>
        <v>148.02137139987141</v>
      </c>
      <c r="O513" s="30">
        <f ca="1">Acciones!$D$751*EXP((J$2-J$3/2)*(1)+J$4*_xlfn.NORM.S.INV(RAND())*SQRT(1))</f>
        <v>955.30793994792134</v>
      </c>
      <c r="P513" s="30">
        <f ca="1">Acciones!$E$751*EXP((K$2-K$3/2)*(1)+K$4*_xlfn.NORM.S.INV(RAND())*SQRT(1))</f>
        <v>0.12206688918625229</v>
      </c>
      <c r="Q513" s="30"/>
      <c r="R513">
        <f ca="1">M513/Acciones!$B$751*$I$10 + N513/Acciones!$C$751*$I$11 + O513/Acciones!$D$751*$I$12 + P513/Acciones!$D$751*$I$13</f>
        <v>22240.826645074452</v>
      </c>
      <c r="T513" s="14">
        <f t="shared" ca="1" si="10"/>
        <v>-6259.1733549255478</v>
      </c>
      <c r="V513">
        <v>-5231.314121633739</v>
      </c>
    </row>
    <row r="514" spans="1:22" x14ac:dyDescent="0.2">
      <c r="A514" s="1">
        <f>Acciones!A514</f>
        <v>45744</v>
      </c>
      <c r="B514" s="29">
        <f>LN(Acciones!B514/Acciones!B513)</f>
        <v>-1.1608836094164009E-2</v>
      </c>
      <c r="C514" s="29">
        <f>LN(Acciones!C514/Acciones!C513)</f>
        <v>-8.7946001489250844E-2</v>
      </c>
      <c r="D514" s="29">
        <f>LN(Acciones!D514/Acciones!D513)</f>
        <v>-3.569510094670645E-2</v>
      </c>
      <c r="E514" s="29">
        <f>LN(Acciones!E514/Acciones!E513)</f>
        <v>0</v>
      </c>
      <c r="M514" s="30">
        <f ca="1">Acciones!$B$751*EXP((H$2-H$3/2)*(1)+H$4*_xlfn.NORM.S.INV(RAND())*SQRT(1))</f>
        <v>10.489280462244556</v>
      </c>
      <c r="N514" s="30">
        <f ca="1">Acciones!$C$751*EXP((I$2-I$3/2)*(1)+I$4*_xlfn.NORM.S.INV(RAND())*SQRT(1))</f>
        <v>172.85236278901428</v>
      </c>
      <c r="O514" s="30">
        <f ca="1">Acciones!$D$751*EXP((J$2-J$3/2)*(1)+J$4*_xlfn.NORM.S.INV(RAND())*SQRT(1))</f>
        <v>970.81871878248819</v>
      </c>
      <c r="P514" s="30">
        <f ca="1">Acciones!$E$751*EXP((K$2-K$3/2)*(1)+K$4*_xlfn.NORM.S.INV(RAND())*SQRT(1))</f>
        <v>0.121428165753973</v>
      </c>
      <c r="Q514" s="30"/>
      <c r="R514">
        <f ca="1">M514/Acciones!$B$751*$I$10 + N514/Acciones!$C$751*$I$11 + O514/Acciones!$D$751*$I$12 + P514/Acciones!$D$751*$I$13</f>
        <v>23882.456799745236</v>
      </c>
      <c r="T514" s="14">
        <f t="shared" ca="1" si="10"/>
        <v>-4617.5432002547641</v>
      </c>
      <c r="V514">
        <v>-5229.9614726784675</v>
      </c>
    </row>
    <row r="515" spans="1:22" x14ac:dyDescent="0.2">
      <c r="A515" s="1">
        <f>Acciones!A515</f>
        <v>45747</v>
      </c>
      <c r="B515" s="29">
        <f>LN(Acciones!B515/Acciones!B514)</f>
        <v>-5.0166042352476929E-3</v>
      </c>
      <c r="C515" s="29">
        <f>LN(Acciones!C515/Acciones!C514)</f>
        <v>-7.6515499660290573E-2</v>
      </c>
      <c r="D515" s="29">
        <f>LN(Acciones!D515/Acciones!D514)</f>
        <v>8.2208667056105564E-3</v>
      </c>
      <c r="E515" s="29">
        <f>LN(Acciones!E515/Acciones!E514)</f>
        <v>-2.6770239756910664E-2</v>
      </c>
      <c r="M515" s="30">
        <f ca="1">Acciones!$B$751*EXP((H$2-H$3/2)*(1)+H$4*_xlfn.NORM.S.INV(RAND())*SQRT(1))</f>
        <v>10.937032223119134</v>
      </c>
      <c r="N515" s="30">
        <f ca="1">Acciones!$C$751*EXP((I$2-I$3/2)*(1)+I$4*_xlfn.NORM.S.INV(RAND())*SQRT(1))</f>
        <v>156.20770331878478</v>
      </c>
      <c r="O515" s="30">
        <f ca="1">Acciones!$D$751*EXP((J$2-J$3/2)*(1)+J$4*_xlfn.NORM.S.INV(RAND())*SQRT(1))</f>
        <v>989.01679191082155</v>
      </c>
      <c r="P515" s="30">
        <f ca="1">Acciones!$E$751*EXP((K$2-K$3/2)*(1)+K$4*_xlfn.NORM.S.INV(RAND())*SQRT(1))</f>
        <v>0.1307156814892978</v>
      </c>
      <c r="Q515" s="30"/>
      <c r="R515">
        <f ca="1">M515/Acciones!$B$751*$I$10 + N515/Acciones!$C$751*$I$11 + O515/Acciones!$D$751*$I$12 + P515/Acciones!$D$751*$I$13</f>
        <v>23169.163691921487</v>
      </c>
      <c r="T515" s="14">
        <f t="shared" ca="1" si="10"/>
        <v>-5330.836308078513</v>
      </c>
      <c r="V515">
        <v>-5227.8778440532406</v>
      </c>
    </row>
    <row r="516" spans="1:22" x14ac:dyDescent="0.2">
      <c r="A516" s="1">
        <f>Acciones!A516</f>
        <v>45748</v>
      </c>
      <c r="B516" s="29">
        <f>LN(Acciones!B516/Acciones!B515)</f>
        <v>-1.3502409878036449E-2</v>
      </c>
      <c r="C516" s="29">
        <f>LN(Acciones!C516/Acciones!C515)</f>
        <v>1.5644784573264757E-2</v>
      </c>
      <c r="D516" s="29">
        <f>LN(Acciones!D516/Acciones!D515)</f>
        <v>9.2851167374150521E-3</v>
      </c>
      <c r="E516" s="29">
        <f>LN(Acciones!E516/Acciones!E515)</f>
        <v>2.6770239756910667E-2</v>
      </c>
      <c r="M516" s="30">
        <f ca="1">Acciones!$B$751*EXP((H$2-H$3/2)*(1)+H$4*_xlfn.NORM.S.INV(RAND())*SQRT(1))</f>
        <v>11.062275829214121</v>
      </c>
      <c r="N516" s="30">
        <f ca="1">Acciones!$C$751*EXP((I$2-I$3/2)*(1)+I$4*_xlfn.NORM.S.INV(RAND())*SQRT(1))</f>
        <v>147.67207801286582</v>
      </c>
      <c r="O516" s="30">
        <f ca="1">Acciones!$D$751*EXP((J$2-J$3/2)*(1)+J$4*_xlfn.NORM.S.INV(RAND())*SQRT(1))</f>
        <v>1007.5703621666972</v>
      </c>
      <c r="P516" s="30">
        <f ca="1">Acciones!$E$751*EXP((K$2-K$3/2)*(1)+K$4*_xlfn.NORM.S.INV(RAND())*SQRT(1))</f>
        <v>0.11712020302947837</v>
      </c>
      <c r="Q516" s="30"/>
      <c r="R516">
        <f ca="1">M516/Acciones!$B$751*$I$10 + N516/Acciones!$C$751*$I$11 + O516/Acciones!$D$751*$I$12 + P516/Acciones!$D$751*$I$13</f>
        <v>22862.157588702295</v>
      </c>
      <c r="T516" s="14">
        <f t="shared" ca="1" si="10"/>
        <v>-5637.8424112977045</v>
      </c>
      <c r="V516">
        <v>-5224.6597663103967</v>
      </c>
    </row>
    <row r="517" spans="1:22" x14ac:dyDescent="0.2">
      <c r="A517" s="1">
        <f>Acciones!A517</f>
        <v>45749</v>
      </c>
      <c r="B517" s="29">
        <f>LN(Acciones!B517/Acciones!B516)</f>
        <v>-3.2818121781162606E-2</v>
      </c>
      <c r="C517" s="29">
        <f>LN(Acciones!C517/Acciones!C516)</f>
        <v>5.7479141021667478E-2</v>
      </c>
      <c r="D517" s="29">
        <f>LN(Acciones!D517/Acciones!D516)</f>
        <v>9.9137970646620468E-3</v>
      </c>
      <c r="E517" s="29">
        <f>LN(Acciones!E517/Acciones!E516)</f>
        <v>-1.3295484852740255E-2</v>
      </c>
      <c r="M517" s="30">
        <f ca="1">Acciones!$B$751*EXP((H$2-H$3/2)*(1)+H$4*_xlfn.NORM.S.INV(RAND())*SQRT(1))</f>
        <v>11.101896617572498</v>
      </c>
      <c r="N517" s="30">
        <f ca="1">Acciones!$C$751*EXP((I$2-I$3/2)*(1)+I$4*_xlfn.NORM.S.INV(RAND())*SQRT(1))</f>
        <v>163.47250594313988</v>
      </c>
      <c r="O517" s="30">
        <f ca="1">Acciones!$D$751*EXP((J$2-J$3/2)*(1)+J$4*_xlfn.NORM.S.INV(RAND())*SQRT(1))</f>
        <v>957.9489561381788</v>
      </c>
      <c r="P517" s="30">
        <f ca="1">Acciones!$E$751*EXP((K$2-K$3/2)*(1)+K$4*_xlfn.NORM.S.INV(RAND())*SQRT(1))</f>
        <v>0.12802849904121721</v>
      </c>
      <c r="Q517" s="30"/>
      <c r="R517">
        <f ca="1">M517/Acciones!$B$751*$I$10 + N517/Acciones!$C$751*$I$11 + O517/Acciones!$D$751*$I$12 + P517/Acciones!$D$751*$I$13</f>
        <v>23364.45231100504</v>
      </c>
      <c r="T517" s="14">
        <f t="shared" ca="1" si="10"/>
        <v>-5135.5476889949605</v>
      </c>
      <c r="V517">
        <v>-5222.9007457195548</v>
      </c>
    </row>
    <row r="518" spans="1:22" x14ac:dyDescent="0.2">
      <c r="A518" s="1">
        <f>Acciones!A518</f>
        <v>45750</v>
      </c>
      <c r="B518" s="29">
        <f>LN(Acciones!B518/Acciones!B517)</f>
        <v>1.8269279359943161E-2</v>
      </c>
      <c r="C518" s="29">
        <f>LN(Acciones!C518/Acciones!C517)</f>
        <v>-0.11784229074875792</v>
      </c>
      <c r="D518" s="29">
        <f>LN(Acciones!D518/Acciones!D517)</f>
        <v>-0.17717468864794583</v>
      </c>
      <c r="E518" s="29">
        <f>LN(Acciones!E518/Acciones!E517)</f>
        <v>-7.543254727929645E-2</v>
      </c>
      <c r="M518" s="30">
        <f ca="1">Acciones!$B$751*EXP((H$2-H$3/2)*(1)+H$4*_xlfn.NORM.S.INV(RAND())*SQRT(1))</f>
        <v>11.199281042571974</v>
      </c>
      <c r="N518" s="30">
        <f ca="1">Acciones!$C$751*EXP((I$2-I$3/2)*(1)+I$4*_xlfn.NORM.S.INV(RAND())*SQRT(1))</f>
        <v>155.07433396833056</v>
      </c>
      <c r="O518" s="30">
        <f ca="1">Acciones!$D$751*EXP((J$2-J$3/2)*(1)+J$4*_xlfn.NORM.S.INV(RAND())*SQRT(1))</f>
        <v>1019.0316748616958</v>
      </c>
      <c r="P518" s="30">
        <f ca="1">Acciones!$E$751*EXP((K$2-K$3/2)*(1)+K$4*_xlfn.NORM.S.INV(RAND())*SQRT(1))</f>
        <v>0.11158765771220407</v>
      </c>
      <c r="Q518" s="30"/>
      <c r="R518">
        <f ca="1">M518/Acciones!$B$751*$I$10 + N518/Acciones!$C$751*$I$11 + O518/Acciones!$D$751*$I$12 + P518/Acciones!$D$751*$I$13</f>
        <v>23483.065602112132</v>
      </c>
      <c r="T518" s="14">
        <f t="shared" ref="T518:T581" ca="1" si="11">R518-$I$14</f>
        <v>-5016.9343978878678</v>
      </c>
      <c r="V518">
        <v>-5222.4394883300993</v>
      </c>
    </row>
    <row r="519" spans="1:22" x14ac:dyDescent="0.2">
      <c r="A519" s="1">
        <f>Acciones!A519</f>
        <v>45751</v>
      </c>
      <c r="B519" s="29">
        <f>LN(Acciones!B519/Acciones!B518)</f>
        <v>-2.1787337788251749E-2</v>
      </c>
      <c r="C519" s="29">
        <f>LN(Acciones!C519/Acciones!C518)</f>
        <v>2.20223601522045E-2</v>
      </c>
      <c r="D519" s="29">
        <f>LN(Acciones!D519/Acciones!D518)</f>
        <v>5.7681823754699789E-2</v>
      </c>
      <c r="E519" s="29">
        <f>LN(Acciones!E519/Acciones!E518)</f>
        <v>-7.4901364159151523E-2</v>
      </c>
      <c r="M519" s="30">
        <f ca="1">Acciones!$B$751*EXP((H$2-H$3/2)*(1)+H$4*_xlfn.NORM.S.INV(RAND())*SQRT(1))</f>
        <v>10.906071463393191</v>
      </c>
      <c r="N519" s="30">
        <f ca="1">Acciones!$C$751*EXP((I$2-I$3/2)*(1)+I$4*_xlfn.NORM.S.INV(RAND())*SQRT(1))</f>
        <v>140.81052647985095</v>
      </c>
      <c r="O519" s="30">
        <f ca="1">Acciones!$D$751*EXP((J$2-J$3/2)*(1)+J$4*_xlfn.NORM.S.INV(RAND())*SQRT(1))</f>
        <v>1003.8372107069271</v>
      </c>
      <c r="P519" s="30">
        <f ca="1">Acciones!$E$751*EXP((K$2-K$3/2)*(1)+K$4*_xlfn.NORM.S.INV(RAND())*SQRT(1))</f>
        <v>0.13442917606708021</v>
      </c>
      <c r="Q519" s="30"/>
      <c r="R519">
        <f ca="1">M519/Acciones!$B$751*$I$10 + N519/Acciones!$C$751*$I$11 + O519/Acciones!$D$751*$I$12 + P519/Acciones!$D$751*$I$13</f>
        <v>22346.32451194137</v>
      </c>
      <c r="T519" s="14">
        <f t="shared" ca="1" si="11"/>
        <v>-6153.6754880586304</v>
      </c>
      <c r="V519">
        <v>-5221.2693760821421</v>
      </c>
    </row>
    <row r="520" spans="1:22" x14ac:dyDescent="0.2">
      <c r="A520" s="1">
        <f>Acciones!A520</f>
        <v>45754</v>
      </c>
      <c r="B520" s="29">
        <f>LN(Acciones!B520/Acciones!B519)</f>
        <v>-5.7106638770642031E-2</v>
      </c>
      <c r="C520" s="29">
        <f>LN(Acciones!C520/Acciones!C519)</f>
        <v>1.5187780929727699E-2</v>
      </c>
      <c r="D520" s="29">
        <f>LN(Acciones!D520/Acciones!D519)</f>
        <v>-2.6675693014166564E-2</v>
      </c>
      <c r="E520" s="29">
        <f>LN(Acciones!E520/Acciones!E519)</f>
        <v>-5.7158359299752944E-2</v>
      </c>
      <c r="M520" s="30">
        <f ca="1">Acciones!$B$751*EXP((H$2-H$3/2)*(1)+H$4*_xlfn.NORM.S.INV(RAND())*SQRT(1))</f>
        <v>10.576562295800409</v>
      </c>
      <c r="N520" s="30">
        <f ca="1">Acciones!$C$751*EXP((I$2-I$3/2)*(1)+I$4*_xlfn.NORM.S.INV(RAND())*SQRT(1))</f>
        <v>137.32765937390735</v>
      </c>
      <c r="O520" s="30">
        <f ca="1">Acciones!$D$751*EXP((J$2-J$3/2)*(1)+J$4*_xlfn.NORM.S.INV(RAND())*SQRT(1))</f>
        <v>987.00117260742275</v>
      </c>
      <c r="P520" s="30">
        <f ca="1">Acciones!$E$751*EXP((K$2-K$3/2)*(1)+K$4*_xlfn.NORM.S.INV(RAND())*SQRT(1))</f>
        <v>0.14122233386744323</v>
      </c>
      <c r="Q520" s="30"/>
      <c r="R520">
        <f ca="1">M520/Acciones!$B$751*$I$10 + N520/Acciones!$C$751*$I$11 + O520/Acciones!$D$751*$I$12 + P520/Acciones!$D$751*$I$13</f>
        <v>21854.551670972742</v>
      </c>
      <c r="T520" s="14">
        <f t="shared" ca="1" si="11"/>
        <v>-6645.4483290272583</v>
      </c>
      <c r="V520">
        <v>-5215.010783477821</v>
      </c>
    </row>
    <row r="521" spans="1:22" x14ac:dyDescent="0.2">
      <c r="A521" s="1">
        <f>Acciones!A521</f>
        <v>45755</v>
      </c>
      <c r="B521" s="29">
        <f>LN(Acciones!B521/Acciones!B520)</f>
        <v>3.4834020296752748E-2</v>
      </c>
      <c r="C521" s="29">
        <f>LN(Acciones!C521/Acciones!C520)</f>
        <v>-8.4907549255256759E-2</v>
      </c>
      <c r="D521" s="29">
        <f>LN(Acciones!D521/Acciones!D520)</f>
        <v>-4.864233503479766E-2</v>
      </c>
      <c r="E521" s="29">
        <f>LN(Acciones!E521/Acciones!E520)</f>
        <v>-3.5932045997937076E-2</v>
      </c>
      <c r="M521" s="30">
        <f ca="1">Acciones!$B$751*EXP((H$2-H$3/2)*(1)+H$4*_xlfn.NORM.S.INV(RAND())*SQRT(1))</f>
        <v>10.924782812121716</v>
      </c>
      <c r="N521" s="30">
        <f ca="1">Acciones!$C$751*EXP((I$2-I$3/2)*(1)+I$4*_xlfn.NORM.S.INV(RAND())*SQRT(1))</f>
        <v>150.71934113106718</v>
      </c>
      <c r="O521" s="30">
        <f ca="1">Acciones!$D$751*EXP((J$2-J$3/2)*(1)+J$4*_xlfn.NORM.S.INV(RAND())*SQRT(1))</f>
        <v>996.0991052812426</v>
      </c>
      <c r="P521" s="30">
        <f ca="1">Acciones!$E$751*EXP((K$2-K$3/2)*(1)+K$4*_xlfn.NORM.S.INV(RAND())*SQRT(1))</f>
        <v>0.12624876703613869</v>
      </c>
      <c r="Q521" s="30"/>
      <c r="R521">
        <f ca="1">M521/Acciones!$B$751*$I$10 + N521/Acciones!$C$751*$I$11 + O521/Acciones!$D$751*$I$12 + P521/Acciones!$D$751*$I$13</f>
        <v>22893.464392050751</v>
      </c>
      <c r="T521" s="14">
        <f t="shared" ca="1" si="11"/>
        <v>-5606.5356079492485</v>
      </c>
      <c r="V521">
        <v>-5210.7782020840314</v>
      </c>
    </row>
    <row r="522" spans="1:22" x14ac:dyDescent="0.2">
      <c r="A522" s="1">
        <f>Acciones!A522</f>
        <v>45756</v>
      </c>
      <c r="B522" s="29">
        <f>LN(Acciones!B522/Acciones!B521)</f>
        <v>8.9686455142776629E-3</v>
      </c>
      <c r="C522" s="29">
        <f>LN(Acciones!C522/Acciones!C521)</f>
        <v>0.15317791174949652</v>
      </c>
      <c r="D522" s="29">
        <f>LN(Acciones!D522/Acciones!D521)</f>
        <v>8.5351574086477366E-2</v>
      </c>
      <c r="E522" s="29">
        <f>LN(Acciones!E522/Acciones!E521)</f>
        <v>0</v>
      </c>
      <c r="M522" s="30">
        <f ca="1">Acciones!$B$751*EXP((H$2-H$3/2)*(1)+H$4*_xlfn.NORM.S.INV(RAND())*SQRT(1))</f>
        <v>11.143565712671201</v>
      </c>
      <c r="N522" s="30">
        <f ca="1">Acciones!$C$751*EXP((I$2-I$3/2)*(1)+I$4*_xlfn.NORM.S.INV(RAND())*SQRT(1))</f>
        <v>141.82716180746417</v>
      </c>
      <c r="O522" s="30">
        <f ca="1">Acciones!$D$751*EXP((J$2-J$3/2)*(1)+J$4*_xlfn.NORM.S.INV(RAND())*SQRT(1))</f>
        <v>974.58528812902284</v>
      </c>
      <c r="P522" s="30">
        <f ca="1">Acciones!$E$751*EXP((K$2-K$3/2)*(1)+K$4*_xlfn.NORM.S.INV(RAND())*SQRT(1))</f>
        <v>0.12788827313423404</v>
      </c>
      <c r="Q522" s="30"/>
      <c r="R522">
        <f ca="1">M522/Acciones!$B$751*$I$10 + N522/Acciones!$C$751*$I$11 + O522/Acciones!$D$751*$I$12 + P522/Acciones!$D$751*$I$13</f>
        <v>22192.955520464428</v>
      </c>
      <c r="T522" s="14">
        <f t="shared" ca="1" si="11"/>
        <v>-6307.0444795355725</v>
      </c>
      <c r="V522">
        <v>-5210.2468375257195</v>
      </c>
    </row>
    <row r="523" spans="1:22" x14ac:dyDescent="0.2">
      <c r="A523" s="1">
        <f>Acciones!A523</f>
        <v>45757</v>
      </c>
      <c r="B523" s="29">
        <f>LN(Acciones!B523/Acciones!B522)</f>
        <v>0</v>
      </c>
      <c r="C523" s="29">
        <f>LN(Acciones!C523/Acciones!C522)</f>
        <v>-5.5590438670352307E-2</v>
      </c>
      <c r="D523" s="29">
        <f>LN(Acciones!D523/Acciones!D522)</f>
        <v>-7.211109428440092E-2</v>
      </c>
      <c r="E523" s="29">
        <f>LN(Acciones!E523/Acciones!E522)</f>
        <v>-7.335774393472469E-2</v>
      </c>
      <c r="M523" s="30">
        <f ca="1">Acciones!$B$751*EXP((H$2-H$3/2)*(1)+H$4*_xlfn.NORM.S.INV(RAND())*SQRT(1))</f>
        <v>10.754960216569518</v>
      </c>
      <c r="N523" s="30">
        <f ca="1">Acciones!$C$751*EXP((I$2-I$3/2)*(1)+I$4*_xlfn.NORM.S.INV(RAND())*SQRT(1))</f>
        <v>157.28302495450163</v>
      </c>
      <c r="O523" s="30">
        <f ca="1">Acciones!$D$751*EXP((J$2-J$3/2)*(1)+J$4*_xlfn.NORM.S.INV(RAND())*SQRT(1))</f>
        <v>1031.0222096682926</v>
      </c>
      <c r="P523" s="30">
        <f ca="1">Acciones!$E$751*EXP((K$2-K$3/2)*(1)+K$4*_xlfn.NORM.S.INV(RAND())*SQRT(1))</f>
        <v>0.12362116550126258</v>
      </c>
      <c r="Q523" s="30"/>
      <c r="R523">
        <f ca="1">M523/Acciones!$B$751*$I$10 + N523/Acciones!$C$751*$I$11 + O523/Acciones!$D$751*$I$12 + P523/Acciones!$D$751*$I$13</f>
        <v>23598.600257145168</v>
      </c>
      <c r="T523" s="14">
        <f t="shared" ca="1" si="11"/>
        <v>-4901.3997428548319</v>
      </c>
      <c r="V523">
        <v>-5209.9477697300754</v>
      </c>
    </row>
    <row r="524" spans="1:22" x14ac:dyDescent="0.2">
      <c r="A524" s="1">
        <f>Acciones!A524</f>
        <v>45758</v>
      </c>
      <c r="B524" s="29">
        <f>LN(Acciones!B524/Acciones!B523)</f>
        <v>-4.0078148982413568E-2</v>
      </c>
      <c r="C524" s="29">
        <f>LN(Acciones!C524/Acciones!C523)</f>
        <v>6.5341553625291357E-2</v>
      </c>
      <c r="D524" s="29">
        <f>LN(Acciones!D524/Acciones!D523)</f>
        <v>-6.5530449711492704E-3</v>
      </c>
      <c r="E524" s="29">
        <f>LN(Acciones!E524/Acciones!E523)</f>
        <v>0</v>
      </c>
      <c r="M524" s="30">
        <f ca="1">Acciones!$B$751*EXP((H$2-H$3/2)*(1)+H$4*_xlfn.NORM.S.INV(RAND())*SQRT(1))</f>
        <v>11.010418918643998</v>
      </c>
      <c r="N524" s="30">
        <f ca="1">Acciones!$C$751*EXP((I$2-I$3/2)*(1)+I$4*_xlfn.NORM.S.INV(RAND())*SQRT(1))</f>
        <v>154.82017086101607</v>
      </c>
      <c r="O524" s="30">
        <f ca="1">Acciones!$D$751*EXP((J$2-J$3/2)*(1)+J$4*_xlfn.NORM.S.INV(RAND())*SQRT(1))</f>
        <v>992.69790104061917</v>
      </c>
      <c r="P524" s="30">
        <f ca="1">Acciones!$E$751*EXP((K$2-K$3/2)*(1)+K$4*_xlfn.NORM.S.INV(RAND())*SQRT(1))</f>
        <v>0.13391486589423041</v>
      </c>
      <c r="Q524" s="30"/>
      <c r="R524">
        <f ca="1">M524/Acciones!$B$751*$I$10 + N524/Acciones!$C$751*$I$11 + O524/Acciones!$D$751*$I$12 + P524/Acciones!$D$751*$I$13</f>
        <v>23142.960527363346</v>
      </c>
      <c r="T524" s="14">
        <f t="shared" ca="1" si="11"/>
        <v>-5357.039472636654</v>
      </c>
      <c r="V524">
        <v>-5209.2833662277335</v>
      </c>
    </row>
    <row r="525" spans="1:22" x14ac:dyDescent="0.2">
      <c r="A525" s="1">
        <f>Acciones!A525</f>
        <v>45761</v>
      </c>
      <c r="B525" s="29">
        <f>LN(Acciones!B525/Acciones!B524)</f>
        <v>1.3844161773085331E-2</v>
      </c>
      <c r="C525" s="29">
        <f>LN(Acciones!C525/Acciones!C524)</f>
        <v>3.1309264923595787E-2</v>
      </c>
      <c r="D525" s="29">
        <f>LN(Acciones!D525/Acciones!D524)</f>
        <v>1.3492755807750988E-2</v>
      </c>
      <c r="E525" s="29">
        <f>LN(Acciones!E525/Acciones!E524)</f>
        <v>-8.4866269587437704E-2</v>
      </c>
      <c r="M525" s="30">
        <f ca="1">Acciones!$B$751*EXP((H$2-H$3/2)*(1)+H$4*_xlfn.NORM.S.INV(RAND())*SQRT(1))</f>
        <v>11.193782968103237</v>
      </c>
      <c r="N525" s="30">
        <f ca="1">Acciones!$C$751*EXP((I$2-I$3/2)*(1)+I$4*_xlfn.NORM.S.INV(RAND())*SQRT(1))</f>
        <v>150.74313956914293</v>
      </c>
      <c r="O525" s="30">
        <f ca="1">Acciones!$D$751*EXP((J$2-J$3/2)*(1)+J$4*_xlfn.NORM.S.INV(RAND())*SQRT(1))</f>
        <v>1006.1209649258941</v>
      </c>
      <c r="P525" s="30">
        <f ca="1">Acciones!$E$751*EXP((K$2-K$3/2)*(1)+K$4*_xlfn.NORM.S.INV(RAND())*SQRT(1))</f>
        <v>0.14670886673777983</v>
      </c>
      <c r="Q525" s="30"/>
      <c r="R525">
        <f ca="1">M525/Acciones!$B$751*$I$10 + N525/Acciones!$C$751*$I$11 + O525/Acciones!$D$751*$I$12 + P525/Acciones!$D$751*$I$13</f>
        <v>23081.743296416356</v>
      </c>
      <c r="T525" s="14">
        <f t="shared" ca="1" si="11"/>
        <v>-5418.2567035836437</v>
      </c>
      <c r="V525">
        <v>-5209.1596051970846</v>
      </c>
    </row>
    <row r="526" spans="1:22" x14ac:dyDescent="0.2">
      <c r="A526" s="1">
        <f>Acciones!A526</f>
        <v>45762</v>
      </c>
      <c r="B526" s="29">
        <f>LN(Acciones!B526/Acciones!B525)</f>
        <v>-1.1060008654936218E-2</v>
      </c>
      <c r="C526" s="29">
        <f>LN(Acciones!C526/Acciones!C525)</f>
        <v>-4.0780423371255786E-2</v>
      </c>
      <c r="D526" s="29">
        <f>LN(Acciones!D526/Acciones!D525)</f>
        <v>-1.6089681602259806E-2</v>
      </c>
      <c r="E526" s="29">
        <f>LN(Acciones!E526/Acciones!E525)</f>
        <v>0.13353142455558248</v>
      </c>
      <c r="M526" s="30">
        <f ca="1">Acciones!$B$751*EXP((H$2-H$3/2)*(1)+H$4*_xlfn.NORM.S.INV(RAND())*SQRT(1))</f>
        <v>10.750606558656145</v>
      </c>
      <c r="N526" s="30">
        <f ca="1">Acciones!$C$751*EXP((I$2-I$3/2)*(1)+I$4*_xlfn.NORM.S.INV(RAND())*SQRT(1))</f>
        <v>139.17581486814012</v>
      </c>
      <c r="O526" s="30">
        <f ca="1">Acciones!$D$751*EXP((J$2-J$3/2)*(1)+J$4*_xlfn.NORM.S.INV(RAND())*SQRT(1))</f>
        <v>958.36272306040814</v>
      </c>
      <c r="P526" s="30">
        <f ca="1">Acciones!$E$751*EXP((K$2-K$3/2)*(1)+K$4*_xlfn.NORM.S.INV(RAND())*SQRT(1))</f>
        <v>0.12432969509744747</v>
      </c>
      <c r="Q526" s="30"/>
      <c r="R526">
        <f ca="1">M526/Acciones!$B$751*$I$10 + N526/Acciones!$C$751*$I$11 + O526/Acciones!$D$751*$I$12 + P526/Acciones!$D$751*$I$13</f>
        <v>21738.834061505127</v>
      </c>
      <c r="T526" s="14">
        <f t="shared" ca="1" si="11"/>
        <v>-6761.1659384948725</v>
      </c>
      <c r="V526">
        <v>-5208.2966578058658</v>
      </c>
    </row>
    <row r="527" spans="1:22" x14ac:dyDescent="0.2">
      <c r="A527" s="1">
        <f>Acciones!A527</f>
        <v>45763</v>
      </c>
      <c r="B527" s="29">
        <f>LN(Acciones!B527/Acciones!B526)</f>
        <v>5.5453399430426655E-3</v>
      </c>
      <c r="C527" s="29">
        <f>LN(Acciones!C527/Acciones!C526)</f>
        <v>-8.5127817652302963E-3</v>
      </c>
      <c r="D527" s="29">
        <f>LN(Acciones!D527/Acciones!D526)</f>
        <v>-2.8776585323372877E-2</v>
      </c>
      <c r="E527" s="29">
        <f>LN(Acciones!E527/Acciones!E526)</f>
        <v>0</v>
      </c>
      <c r="M527" s="30">
        <f ca="1">Acciones!$B$751*EXP((H$2-H$3/2)*(1)+H$4*_xlfn.NORM.S.INV(RAND())*SQRT(1))</f>
        <v>10.484280535314873</v>
      </c>
      <c r="N527" s="30">
        <f ca="1">Acciones!$C$751*EXP((I$2-I$3/2)*(1)+I$4*_xlfn.NORM.S.INV(RAND())*SQRT(1))</f>
        <v>143.38265325012645</v>
      </c>
      <c r="O527" s="30">
        <f ca="1">Acciones!$D$751*EXP((J$2-J$3/2)*(1)+J$4*_xlfn.NORM.S.INV(RAND())*SQRT(1))</f>
        <v>992.41860294110722</v>
      </c>
      <c r="P527" s="30">
        <f ca="1">Acciones!$E$751*EXP((K$2-K$3/2)*(1)+K$4*_xlfn.NORM.S.INV(RAND())*SQRT(1))</f>
        <v>0.11560826598133256</v>
      </c>
      <c r="Q527" s="30"/>
      <c r="R527">
        <f ca="1">M527/Acciones!$B$751*$I$10 + N527/Acciones!$C$751*$I$11 + O527/Acciones!$D$751*$I$12 + P527/Acciones!$D$751*$I$13</f>
        <v>22257.133302857954</v>
      </c>
      <c r="T527" s="14">
        <f t="shared" ca="1" si="11"/>
        <v>-6242.8666971420462</v>
      </c>
      <c r="V527">
        <v>-5205.4298044771167</v>
      </c>
    </row>
    <row r="528" spans="1:22" x14ac:dyDescent="0.2">
      <c r="A528" s="1">
        <f>Acciones!A528</f>
        <v>45768</v>
      </c>
      <c r="B528" s="29">
        <f>LN(Acciones!B528/Acciones!B527)</f>
        <v>-5.1050770729457982E-2</v>
      </c>
      <c r="C528" s="29">
        <f>LN(Acciones!C528/Acciones!C527)</f>
        <v>-1.9217272913807117E-2</v>
      </c>
      <c r="D528" s="29">
        <f>LN(Acciones!D528/Acciones!D527)</f>
        <v>3.2506372513601937E-2</v>
      </c>
      <c r="E528" s="29">
        <f>LN(Acciones!E528/Acciones!E527)</f>
        <v>-0.16251893388047006</v>
      </c>
      <c r="M528" s="30">
        <f ca="1">Acciones!$B$751*EXP((H$2-H$3/2)*(1)+H$4*_xlfn.NORM.S.INV(RAND())*SQRT(1))</f>
        <v>10.992380773398111</v>
      </c>
      <c r="N528" s="30">
        <f ca="1">Acciones!$C$751*EXP((I$2-I$3/2)*(1)+I$4*_xlfn.NORM.S.INV(RAND())*SQRT(1))</f>
        <v>155.28422369881338</v>
      </c>
      <c r="O528" s="30">
        <f ca="1">Acciones!$D$751*EXP((J$2-J$3/2)*(1)+J$4*_xlfn.NORM.S.INV(RAND())*SQRT(1))</f>
        <v>1036.4983692317805</v>
      </c>
      <c r="P528" s="30">
        <f ca="1">Acciones!$E$751*EXP((K$2-K$3/2)*(1)+K$4*_xlfn.NORM.S.INV(RAND())*SQRT(1))</f>
        <v>0.12874875026664981</v>
      </c>
      <c r="Q528" s="30"/>
      <c r="R528">
        <f ca="1">M528/Acciones!$B$751*$I$10 + N528/Acciones!$C$751*$I$11 + O528/Acciones!$D$751*$I$12 + P528/Acciones!$D$751*$I$13</f>
        <v>23604.844217016049</v>
      </c>
      <c r="T528" s="14">
        <f t="shared" ca="1" si="11"/>
        <v>-4895.1557829839512</v>
      </c>
      <c r="V528">
        <v>-5204.2748162613861</v>
      </c>
    </row>
    <row r="529" spans="1:22" x14ac:dyDescent="0.2">
      <c r="A529" s="1">
        <f>Acciones!A529</f>
        <v>45769</v>
      </c>
      <c r="B529" s="29">
        <f>LN(Acciones!B529/Acciones!B528)</f>
        <v>2.9054965858349401E-3</v>
      </c>
      <c r="C529" s="29">
        <f>LN(Acciones!C529/Acciones!C528)</f>
        <v>0.12052902081551815</v>
      </c>
      <c r="D529" s="29">
        <f>LN(Acciones!D529/Acciones!D528)</f>
        <v>1.4388753269203743E-2</v>
      </c>
      <c r="E529" s="29">
        <f>LN(Acciones!E529/Acciones!E528)</f>
        <v>-6.3754507406382194E-2</v>
      </c>
      <c r="M529" s="30">
        <f ca="1">Acciones!$B$751*EXP((H$2-H$3/2)*(1)+H$4*_xlfn.NORM.S.INV(RAND())*SQRT(1))</f>
        <v>11.11841735144578</v>
      </c>
      <c r="N529" s="30">
        <f ca="1">Acciones!$C$751*EXP((I$2-I$3/2)*(1)+I$4*_xlfn.NORM.S.INV(RAND())*SQRT(1))</f>
        <v>155.1077566302649</v>
      </c>
      <c r="O529" s="30">
        <f ca="1">Acciones!$D$751*EXP((J$2-J$3/2)*(1)+J$4*_xlfn.NORM.S.INV(RAND())*SQRT(1))</f>
        <v>961.52902153755997</v>
      </c>
      <c r="P529" s="30">
        <f ca="1">Acciones!$E$751*EXP((K$2-K$3/2)*(1)+K$4*_xlfn.NORM.S.INV(RAND())*SQRT(1))</f>
        <v>0.1293066321686194</v>
      </c>
      <c r="Q529" s="30"/>
      <c r="R529">
        <f ca="1">M529/Acciones!$B$751*$I$10 + N529/Acciones!$C$751*$I$11 + O529/Acciones!$D$751*$I$12 + P529/Acciones!$D$751*$I$13</f>
        <v>22883.337333146301</v>
      </c>
      <c r="T529" s="14">
        <f t="shared" ca="1" si="11"/>
        <v>-5616.6626668536992</v>
      </c>
      <c r="V529">
        <v>-5204.1291442285365</v>
      </c>
    </row>
    <row r="530" spans="1:22" x14ac:dyDescent="0.2">
      <c r="A530" s="1">
        <f>Acciones!A530</f>
        <v>45770</v>
      </c>
      <c r="B530" s="29">
        <f>LN(Acciones!B530/Acciones!B529)</f>
        <v>3.4223928440597871E-2</v>
      </c>
      <c r="C530" s="29">
        <f>LN(Acciones!C530/Acciones!C529)</f>
        <v>1.3177080536900587E-2</v>
      </c>
      <c r="D530" s="29">
        <f>LN(Acciones!D530/Acciones!D529)</f>
        <v>6.6563888213493558E-3</v>
      </c>
      <c r="E530" s="29">
        <f>LN(Acciones!E530/Acciones!E529)</f>
        <v>-6.14086063296626E-2</v>
      </c>
      <c r="M530" s="30">
        <f ca="1">Acciones!$B$751*EXP((H$2-H$3/2)*(1)+H$4*_xlfn.NORM.S.INV(RAND())*SQRT(1))</f>
        <v>11.126454632278445</v>
      </c>
      <c r="N530" s="30">
        <f ca="1">Acciones!$C$751*EXP((I$2-I$3/2)*(1)+I$4*_xlfn.NORM.S.INV(RAND())*SQRT(1))</f>
        <v>155.76705318777005</v>
      </c>
      <c r="O530" s="30">
        <f ca="1">Acciones!$D$751*EXP((J$2-J$3/2)*(1)+J$4*_xlfn.NORM.S.INV(RAND())*SQRT(1))</f>
        <v>1012.1976039210484</v>
      </c>
      <c r="P530" s="30">
        <f ca="1">Acciones!$E$751*EXP((K$2-K$3/2)*(1)+K$4*_xlfn.NORM.S.INV(RAND())*SQRT(1))</f>
        <v>0.12222110174288993</v>
      </c>
      <c r="Q530" s="30"/>
      <c r="R530">
        <f ca="1">M530/Acciones!$B$751*$I$10 + N530/Acciones!$C$751*$I$11 + O530/Acciones!$D$751*$I$12 + P530/Acciones!$D$751*$I$13</f>
        <v>23434.560285268584</v>
      </c>
      <c r="T530" s="14">
        <f t="shared" ca="1" si="11"/>
        <v>-5065.4397147314157</v>
      </c>
      <c r="V530">
        <v>-5187.4152170972702</v>
      </c>
    </row>
    <row r="531" spans="1:22" x14ac:dyDescent="0.2">
      <c r="A531" s="1">
        <f>Acciones!A531</f>
        <v>45771</v>
      </c>
      <c r="B531" s="29">
        <f>LN(Acciones!B531/Acciones!B530)</f>
        <v>5.0124383514287156E-2</v>
      </c>
      <c r="C531" s="29">
        <f>LN(Acciones!C531/Acciones!C530)</f>
        <v>-1.2485053027176557E-2</v>
      </c>
      <c r="D531" s="29">
        <f>LN(Acciones!D531/Acciones!D530)</f>
        <v>1.2796058130307094E-2</v>
      </c>
      <c r="E531" s="29">
        <f>LN(Acciones!E531/Acciones!E530)</f>
        <v>-3.3389577470610528E-3</v>
      </c>
      <c r="M531" s="30">
        <f ca="1">Acciones!$B$751*EXP((H$2-H$3/2)*(1)+H$4*_xlfn.NORM.S.INV(RAND())*SQRT(1))</f>
        <v>10.664703877103081</v>
      </c>
      <c r="N531" s="30">
        <f ca="1">Acciones!$C$751*EXP((I$2-I$3/2)*(1)+I$4*_xlfn.NORM.S.INV(RAND())*SQRT(1))</f>
        <v>154.96391055949019</v>
      </c>
      <c r="O531" s="30">
        <f ca="1">Acciones!$D$751*EXP((J$2-J$3/2)*(1)+J$4*_xlfn.NORM.S.INV(RAND())*SQRT(1))</f>
        <v>1052.6352150377907</v>
      </c>
      <c r="P531" s="30">
        <f ca="1">Acciones!$E$751*EXP((K$2-K$3/2)*(1)+K$4*_xlfn.NORM.S.INV(RAND())*SQRT(1))</f>
        <v>0.13636424912174494</v>
      </c>
      <c r="Q531" s="30"/>
      <c r="R531">
        <f ca="1">M531/Acciones!$B$751*$I$10 + N531/Acciones!$C$751*$I$11 + O531/Acciones!$D$751*$I$12 + P531/Acciones!$D$751*$I$13</f>
        <v>23641.398962877294</v>
      </c>
      <c r="T531" s="14">
        <f t="shared" ca="1" si="11"/>
        <v>-4858.6010371227057</v>
      </c>
      <c r="V531">
        <v>-5185.5373583519904</v>
      </c>
    </row>
    <row r="532" spans="1:22" x14ac:dyDescent="0.2">
      <c r="A532" s="1">
        <f>Acciones!A532</f>
        <v>45772</v>
      </c>
      <c r="B532" s="29">
        <f>LN(Acciones!B532/Acciones!B531)</f>
        <v>1.7762119391575442E-3</v>
      </c>
      <c r="C532" s="29">
        <f>LN(Acciones!C532/Acciones!C531)</f>
        <v>9.7841492602318801E-3</v>
      </c>
      <c r="D532" s="29">
        <f>LN(Acciones!D532/Acciones!D531)</f>
        <v>-1.4980164174216395E-2</v>
      </c>
      <c r="E532" s="29">
        <f>LN(Acciones!E532/Acciones!E531)</f>
        <v>-6.5653949218844876E-2</v>
      </c>
      <c r="M532" s="30">
        <f ca="1">Acciones!$B$751*EXP((H$2-H$3/2)*(1)+H$4*_xlfn.NORM.S.INV(RAND())*SQRT(1))</f>
        <v>10.806532241796351</v>
      </c>
      <c r="N532" s="30">
        <f ca="1">Acciones!$C$751*EXP((I$2-I$3/2)*(1)+I$4*_xlfn.NORM.S.INV(RAND())*SQRT(1))</f>
        <v>137.66848668786358</v>
      </c>
      <c r="O532" s="30">
        <f ca="1">Acciones!$D$751*EXP((J$2-J$3/2)*(1)+J$4*_xlfn.NORM.S.INV(RAND())*SQRT(1))</f>
        <v>1007.0360415242524</v>
      </c>
      <c r="P532" s="30">
        <f ca="1">Acciones!$E$751*EXP((K$2-K$3/2)*(1)+K$4*_xlfn.NORM.S.INV(RAND())*SQRT(1))</f>
        <v>0.13268898161879025</v>
      </c>
      <c r="Q532" s="30"/>
      <c r="R532">
        <f ca="1">M532/Acciones!$B$751*$I$10 + N532/Acciones!$C$751*$I$11 + O532/Acciones!$D$751*$I$12 + P532/Acciones!$D$751*$I$13</f>
        <v>22150.239048804713</v>
      </c>
      <c r="T532" s="14">
        <f t="shared" ca="1" si="11"/>
        <v>-6349.7609511952869</v>
      </c>
      <c r="V532">
        <v>-5184.7676629858324</v>
      </c>
    </row>
    <row r="533" spans="1:22" x14ac:dyDescent="0.2">
      <c r="A533" s="1">
        <f>Acciones!A533</f>
        <v>45775</v>
      </c>
      <c r="B533" s="29">
        <f>LN(Acciones!B533/Acciones!B532)</f>
        <v>2.6584163902462726E-3</v>
      </c>
      <c r="C533" s="29">
        <f>LN(Acciones!C533/Acciones!C532)</f>
        <v>-6.693608725677572E-3</v>
      </c>
      <c r="D533" s="29">
        <f>LN(Acciones!D533/Acciones!D532)</f>
        <v>-1.9575242440591232E-3</v>
      </c>
      <c r="E533" s="29">
        <f>LN(Acciones!E533/Acciones!E532)</f>
        <v>6.5653949218844807E-2</v>
      </c>
      <c r="M533" s="30">
        <f ca="1">Acciones!$B$751*EXP((H$2-H$3/2)*(1)+H$4*_xlfn.NORM.S.INV(RAND())*SQRT(1))</f>
        <v>11.006772157639253</v>
      </c>
      <c r="N533" s="30">
        <f ca="1">Acciones!$C$751*EXP((I$2-I$3/2)*(1)+I$4*_xlfn.NORM.S.INV(RAND())*SQRT(1))</f>
        <v>148.74399961769419</v>
      </c>
      <c r="O533" s="30">
        <f ca="1">Acciones!$D$751*EXP((J$2-J$3/2)*(1)+J$4*_xlfn.NORM.S.INV(RAND())*SQRT(1))</f>
        <v>998.58256676973406</v>
      </c>
      <c r="P533" s="30">
        <f ca="1">Acciones!$E$751*EXP((K$2-K$3/2)*(1)+K$4*_xlfn.NORM.S.INV(RAND())*SQRT(1))</f>
        <v>0.13082295574526501</v>
      </c>
      <c r="Q533" s="30"/>
      <c r="R533">
        <f ca="1">M533/Acciones!$B$751*$I$10 + N533/Acciones!$C$751*$I$11 + O533/Acciones!$D$751*$I$12 + P533/Acciones!$D$751*$I$13</f>
        <v>22821.330590573518</v>
      </c>
      <c r="T533" s="14">
        <f t="shared" ca="1" si="11"/>
        <v>-5678.6694094264822</v>
      </c>
      <c r="V533">
        <v>-5179.6619608829205</v>
      </c>
    </row>
    <row r="534" spans="1:22" x14ac:dyDescent="0.2">
      <c r="A534" s="1">
        <f>Acciones!A534</f>
        <v>45776</v>
      </c>
      <c r="B534" s="29">
        <f>LN(Acciones!B534/Acciones!B533)</f>
        <v>5.927015706292256E-2</v>
      </c>
      <c r="C534" s="29">
        <f>LN(Acciones!C534/Acciones!C533)</f>
        <v>2.3464674469483034E-2</v>
      </c>
      <c r="D534" s="29">
        <f>LN(Acciones!D534/Acciones!D533)</f>
        <v>4.6913547892634263E-3</v>
      </c>
      <c r="E534" s="29">
        <f>LN(Acciones!E534/Acciones!E533)</f>
        <v>-6.7114483476007425E-3</v>
      </c>
      <c r="M534" s="30">
        <f ca="1">Acciones!$B$751*EXP((H$2-H$3/2)*(1)+H$4*_xlfn.NORM.S.INV(RAND())*SQRT(1))</f>
        <v>11.008158243000334</v>
      </c>
      <c r="N534" s="30">
        <f ca="1">Acciones!$C$751*EXP((I$2-I$3/2)*(1)+I$4*_xlfn.NORM.S.INV(RAND())*SQRT(1))</f>
        <v>158.59184185382748</v>
      </c>
      <c r="O534" s="30">
        <f ca="1">Acciones!$D$751*EXP((J$2-J$3/2)*(1)+J$4*_xlfn.NORM.S.INV(RAND())*SQRT(1))</f>
        <v>974.42310080386858</v>
      </c>
      <c r="P534" s="30">
        <f ca="1">Acciones!$E$751*EXP((K$2-K$3/2)*(1)+K$4*_xlfn.NORM.S.INV(RAND())*SQRT(1))</f>
        <v>0.12825015040799362</v>
      </c>
      <c r="Q534" s="30"/>
      <c r="R534">
        <f ca="1">M534/Acciones!$B$751*$I$10 + N534/Acciones!$C$751*$I$11 + O534/Acciones!$D$751*$I$12 + P534/Acciones!$D$751*$I$13</f>
        <v>23194.652924572889</v>
      </c>
      <c r="T534" s="14">
        <f t="shared" ca="1" si="11"/>
        <v>-5305.3470754271111</v>
      </c>
      <c r="V534">
        <v>-5176.2626501715858</v>
      </c>
    </row>
    <row r="535" spans="1:22" x14ac:dyDescent="0.2">
      <c r="A535" s="1">
        <f>Acciones!A535</f>
        <v>45777</v>
      </c>
      <c r="B535" s="29">
        <f>LN(Acciones!B535/Acciones!B534)</f>
        <v>1.0784087972503459E-2</v>
      </c>
      <c r="C535" s="29">
        <f>LN(Acciones!C535/Acciones!C534)</f>
        <v>-6.9448953545465639E-2</v>
      </c>
      <c r="D535" s="29">
        <f>LN(Acciones!D535/Acciones!D534)</f>
        <v>-2.0924683254746661E-2</v>
      </c>
      <c r="E535" s="29">
        <f>LN(Acciones!E535/Acciones!E534)</f>
        <v>-6.756796409068358E-3</v>
      </c>
      <c r="M535" s="30">
        <f ca="1">Acciones!$B$751*EXP((H$2-H$3/2)*(1)+H$4*_xlfn.NORM.S.INV(RAND())*SQRT(1))</f>
        <v>10.949094132909309</v>
      </c>
      <c r="N535" s="30">
        <f ca="1">Acciones!$C$751*EXP((I$2-I$3/2)*(1)+I$4*_xlfn.NORM.S.INV(RAND())*SQRT(1))</f>
        <v>140.94418144281261</v>
      </c>
      <c r="O535" s="30">
        <f ca="1">Acciones!$D$751*EXP((J$2-J$3/2)*(1)+J$4*_xlfn.NORM.S.INV(RAND())*SQRT(1))</f>
        <v>1021.4982328980084</v>
      </c>
      <c r="P535" s="30">
        <f ca="1">Acciones!$E$751*EXP((K$2-K$3/2)*(1)+K$4*_xlfn.NORM.S.INV(RAND())*SQRT(1))</f>
        <v>0.11969737290771452</v>
      </c>
      <c r="Q535" s="30"/>
      <c r="R535">
        <f ca="1">M535/Acciones!$B$751*$I$10 + N535/Acciones!$C$751*$I$11 + O535/Acciones!$D$751*$I$12 + P535/Acciones!$D$751*$I$13</f>
        <v>22545.290851610229</v>
      </c>
      <c r="T535" s="14">
        <f t="shared" ca="1" si="11"/>
        <v>-5954.7091483897711</v>
      </c>
      <c r="V535">
        <v>-5174.6182611539953</v>
      </c>
    </row>
    <row r="536" spans="1:22" x14ac:dyDescent="0.2">
      <c r="A536" s="1">
        <f>Acciones!A536</f>
        <v>45779</v>
      </c>
      <c r="B536" s="29">
        <f>LN(Acciones!B536/Acciones!B535)</f>
        <v>3.1671328111132671E-2</v>
      </c>
      <c r="C536" s="29">
        <f>LN(Acciones!C536/Acciones!C535)</f>
        <v>7.5036105565979991E-2</v>
      </c>
      <c r="D536" s="29">
        <f>LN(Acciones!D536/Acciones!D535)</f>
        <v>4.0003993849058547E-2</v>
      </c>
      <c r="E536" s="29">
        <f>LN(Acciones!E536/Acciones!E535)</f>
        <v>-0.20633641089865148</v>
      </c>
      <c r="M536" s="30">
        <f ca="1">Acciones!$B$751*EXP((H$2-H$3/2)*(1)+H$4*_xlfn.NORM.S.INV(RAND())*SQRT(1))</f>
        <v>10.733112720614587</v>
      </c>
      <c r="N536" s="30">
        <f ca="1">Acciones!$C$751*EXP((I$2-I$3/2)*(1)+I$4*_xlfn.NORM.S.INV(RAND())*SQRT(1))</f>
        <v>159.24200371471866</v>
      </c>
      <c r="O536" s="30">
        <f ca="1">Acciones!$D$751*EXP((J$2-J$3/2)*(1)+J$4*_xlfn.NORM.S.INV(RAND())*SQRT(1))</f>
        <v>958.29485353507425</v>
      </c>
      <c r="P536" s="30">
        <f ca="1">Acciones!$E$751*EXP((K$2-K$3/2)*(1)+K$4*_xlfn.NORM.S.INV(RAND())*SQRT(1))</f>
        <v>0.12241476200643579</v>
      </c>
      <c r="Q536" s="30"/>
      <c r="R536">
        <f ca="1">M536/Acciones!$B$751*$I$10 + N536/Acciones!$C$751*$I$11 + O536/Acciones!$D$751*$I$12 + P536/Acciones!$D$751*$I$13</f>
        <v>22985.432001462803</v>
      </c>
      <c r="T536" s="14">
        <f t="shared" ca="1" si="11"/>
        <v>-5514.5679985371971</v>
      </c>
      <c r="V536">
        <v>-5174.2080577980014</v>
      </c>
    </row>
    <row r="537" spans="1:22" x14ac:dyDescent="0.2">
      <c r="A537" s="1">
        <f>Acciones!A537</f>
        <v>45782</v>
      </c>
      <c r="B537" s="29">
        <f>LN(Acciones!B537/Acciones!B536)</f>
        <v>-5.6112768914373399E-3</v>
      </c>
      <c r="C537" s="29">
        <f>LN(Acciones!C537/Acciones!C536)</f>
        <v>-9.1361355266603328E-2</v>
      </c>
      <c r="D537" s="29">
        <f>LN(Acciones!D537/Acciones!D536)</f>
        <v>-1.6565076551561607E-2</v>
      </c>
      <c r="E537" s="29">
        <f>LN(Acciones!E537/Acciones!E536)</f>
        <v>-6.8992818268518427E-2</v>
      </c>
      <c r="M537" s="30">
        <f ca="1">Acciones!$B$751*EXP((H$2-H$3/2)*(1)+H$4*_xlfn.NORM.S.INV(RAND())*SQRT(1))</f>
        <v>10.951311199856409</v>
      </c>
      <c r="N537" s="30">
        <f ca="1">Acciones!$C$751*EXP((I$2-I$3/2)*(1)+I$4*_xlfn.NORM.S.INV(RAND())*SQRT(1))</f>
        <v>126.31659234011924</v>
      </c>
      <c r="O537" s="30">
        <f ca="1">Acciones!$D$751*EXP((J$2-J$3/2)*(1)+J$4*_xlfn.NORM.S.INV(RAND())*SQRT(1))</f>
        <v>970.29598048761693</v>
      </c>
      <c r="P537" s="30">
        <f ca="1">Acciones!$E$751*EXP((K$2-K$3/2)*(1)+K$4*_xlfn.NORM.S.INV(RAND())*SQRT(1))</f>
        <v>0.1371587077877314</v>
      </c>
      <c r="Q537" s="30"/>
      <c r="R537">
        <f ca="1">M537/Acciones!$B$751*$I$10 + N537/Acciones!$C$751*$I$11 + O537/Acciones!$D$751*$I$12 + P537/Acciones!$D$751*$I$13</f>
        <v>21119.911618513859</v>
      </c>
      <c r="T537" s="14">
        <f t="shared" ca="1" si="11"/>
        <v>-7380.0883814861409</v>
      </c>
      <c r="V537">
        <v>-5172.7957496442177</v>
      </c>
    </row>
    <row r="538" spans="1:22" x14ac:dyDescent="0.2">
      <c r="A538" s="1">
        <f>Acciones!A538</f>
        <v>45783</v>
      </c>
      <c r="B538" s="29">
        <f>LN(Acciones!B538/Acciones!B537)</f>
        <v>1.6740090573855119E-2</v>
      </c>
      <c r="C538" s="29">
        <f>LN(Acciones!C538/Acciones!C537)</f>
        <v>6.9519400751312055E-4</v>
      </c>
      <c r="D538" s="29">
        <f>LN(Acciones!D538/Acciones!D537)</f>
        <v>-5.256974010531738E-3</v>
      </c>
      <c r="E538" s="29">
        <f>LN(Acciones!E538/Acciones!E537)</f>
        <v>2.6433244342011841E-2</v>
      </c>
      <c r="M538" s="30">
        <f ca="1">Acciones!$B$751*EXP((H$2-H$3/2)*(1)+H$4*_xlfn.NORM.S.INV(RAND())*SQRT(1))</f>
        <v>11.190268171045005</v>
      </c>
      <c r="N538" s="30">
        <f ca="1">Acciones!$C$751*EXP((I$2-I$3/2)*(1)+I$4*_xlfn.NORM.S.INV(RAND())*SQRT(1))</f>
        <v>148.44118030298594</v>
      </c>
      <c r="O538" s="30">
        <f ca="1">Acciones!$D$751*EXP((J$2-J$3/2)*(1)+J$4*_xlfn.NORM.S.INV(RAND())*SQRT(1))</f>
        <v>1028.3748962857076</v>
      </c>
      <c r="P538" s="30">
        <f ca="1">Acciones!$E$751*EXP((K$2-K$3/2)*(1)+K$4*_xlfn.NORM.S.INV(RAND())*SQRT(1))</f>
        <v>0.12694994224200382</v>
      </c>
      <c r="Q538" s="30"/>
      <c r="R538">
        <f ca="1">M538/Acciones!$B$751*$I$10 + N538/Acciones!$C$751*$I$11 + O538/Acciones!$D$751*$I$12 + P538/Acciones!$D$751*$I$13</f>
        <v>23159.681134093786</v>
      </c>
      <c r="T538" s="14">
        <f t="shared" ca="1" si="11"/>
        <v>-5340.3188659062143</v>
      </c>
      <c r="V538">
        <v>-5169.3987000427151</v>
      </c>
    </row>
    <row r="539" spans="1:22" x14ac:dyDescent="0.2">
      <c r="A539" s="1">
        <f>Acciones!A539</f>
        <v>45784</v>
      </c>
      <c r="B539" s="29">
        <f>LN(Acciones!B539/Acciones!B538)</f>
        <v>-3.960273779091329E-3</v>
      </c>
      <c r="C539" s="29">
        <f>LN(Acciones!C539/Acciones!C538)</f>
        <v>4.7761829401003451E-3</v>
      </c>
      <c r="D539" s="29">
        <f>LN(Acciones!D539/Acciones!D538)</f>
        <v>2.0229372330640358E-2</v>
      </c>
      <c r="E539" s="29">
        <f>LN(Acciones!E539/Acciones!E538)</f>
        <v>0.23180156714212211</v>
      </c>
      <c r="M539" s="30">
        <f ca="1">Acciones!$B$751*EXP((H$2-H$3/2)*(1)+H$4*_xlfn.NORM.S.INV(RAND())*SQRT(1))</f>
        <v>10.864901848520296</v>
      </c>
      <c r="N539" s="30">
        <f ca="1">Acciones!$C$751*EXP((I$2-I$3/2)*(1)+I$4*_xlfn.NORM.S.INV(RAND())*SQRT(1))</f>
        <v>142.64434232469236</v>
      </c>
      <c r="O539" s="30">
        <f ca="1">Acciones!$D$751*EXP((J$2-J$3/2)*(1)+J$4*_xlfn.NORM.S.INV(RAND())*SQRT(1))</f>
        <v>964.05264321550715</v>
      </c>
      <c r="P539" s="30">
        <f ca="1">Acciones!$E$751*EXP((K$2-K$3/2)*(1)+K$4*_xlfn.NORM.S.INV(RAND())*SQRT(1))</f>
        <v>0.14476910230274553</v>
      </c>
      <c r="Q539" s="30"/>
      <c r="R539">
        <f ca="1">M539/Acciones!$B$751*$I$10 + N539/Acciones!$C$751*$I$11 + O539/Acciones!$D$751*$I$12 + P539/Acciones!$D$751*$I$13</f>
        <v>22049.175272136432</v>
      </c>
      <c r="T539" s="14">
        <f t="shared" ca="1" si="11"/>
        <v>-6450.8247278635681</v>
      </c>
      <c r="V539">
        <v>-5167.3390775979096</v>
      </c>
    </row>
    <row r="540" spans="1:22" x14ac:dyDescent="0.2">
      <c r="A540" s="1">
        <f>Acciones!A540</f>
        <v>45785</v>
      </c>
      <c r="B540" s="29">
        <f>LN(Acciones!B540/Acciones!B539)</f>
        <v>0</v>
      </c>
      <c r="C540" s="29">
        <f>LN(Acciones!C540/Acciones!C539)</f>
        <v>6.6088769392981597E-2</v>
      </c>
      <c r="D540" s="29">
        <f>LN(Acciones!D540/Acciones!D539)</f>
        <v>1.1268943504832832E-2</v>
      </c>
      <c r="E540" s="29">
        <f>LN(Acciones!E540/Acciones!E539)</f>
        <v>0.27029034596622314</v>
      </c>
      <c r="M540" s="30">
        <f ca="1">Acciones!$B$751*EXP((H$2-H$3/2)*(1)+H$4*_xlfn.NORM.S.INV(RAND())*SQRT(1))</f>
        <v>10.596910243972587</v>
      </c>
      <c r="N540" s="30">
        <f ca="1">Acciones!$C$751*EXP((I$2-I$3/2)*(1)+I$4*_xlfn.NORM.S.INV(RAND())*SQRT(1))</f>
        <v>147.30026220925279</v>
      </c>
      <c r="O540" s="30">
        <f ca="1">Acciones!$D$751*EXP((J$2-J$3/2)*(1)+J$4*_xlfn.NORM.S.INV(RAND())*SQRT(1))</f>
        <v>1028.4512421736715</v>
      </c>
      <c r="P540" s="30">
        <f ca="1">Acciones!$E$751*EXP((K$2-K$3/2)*(1)+K$4*_xlfn.NORM.S.INV(RAND())*SQRT(1))</f>
        <v>0.11861205590827195</v>
      </c>
      <c r="Q540" s="30"/>
      <c r="R540">
        <f ca="1">M540/Acciones!$B$751*$I$10 + N540/Acciones!$C$751*$I$11 + O540/Acciones!$D$751*$I$12 + P540/Acciones!$D$751*$I$13</f>
        <v>22898.809687939152</v>
      </c>
      <c r="T540" s="14">
        <f t="shared" ca="1" si="11"/>
        <v>-5601.1903120608476</v>
      </c>
      <c r="V540">
        <v>-5163.9864990822171</v>
      </c>
    </row>
    <row r="541" spans="1:22" x14ac:dyDescent="0.2">
      <c r="A541" s="1">
        <f>Acciones!A541</f>
        <v>45786</v>
      </c>
      <c r="B541" s="29">
        <f>LN(Acciones!B541/Acciones!B540)</f>
        <v>-3.9762544925204153E-3</v>
      </c>
      <c r="C541" s="29">
        <f>LN(Acciones!C541/Acciones!C540)</f>
        <v>8.6006755400948848E-2</v>
      </c>
      <c r="D541" s="29">
        <f>LN(Acciones!D541/Acciones!D540)</f>
        <v>-1.8788483482927502E-2</v>
      </c>
      <c r="E541" s="29">
        <f>LN(Acciones!E541/Acciones!E540)</f>
        <v>-0.23638872577945694</v>
      </c>
      <c r="M541" s="30">
        <f ca="1">Acciones!$B$751*EXP((H$2-H$3/2)*(1)+H$4*_xlfn.NORM.S.INV(RAND())*SQRT(1))</f>
        <v>11.204367510891677</v>
      </c>
      <c r="N541" s="30">
        <f ca="1">Acciones!$C$751*EXP((I$2-I$3/2)*(1)+I$4*_xlfn.NORM.S.INV(RAND())*SQRT(1))</f>
        <v>145.12959850630551</v>
      </c>
      <c r="O541" s="30">
        <f ca="1">Acciones!$D$751*EXP((J$2-J$3/2)*(1)+J$4*_xlfn.NORM.S.INV(RAND())*SQRT(1))</f>
        <v>1011.9385179176302</v>
      </c>
      <c r="P541" s="30">
        <f ca="1">Acciones!$E$751*EXP((K$2-K$3/2)*(1)+K$4*_xlfn.NORM.S.INV(RAND())*SQRT(1))</f>
        <v>0.12069999975465254</v>
      </c>
      <c r="Q541" s="30"/>
      <c r="R541">
        <f ca="1">M541/Acciones!$B$751*$I$10 + N541/Acciones!$C$751*$I$11 + O541/Acciones!$D$751*$I$12 + P541/Acciones!$D$751*$I$13</f>
        <v>22792.766257346426</v>
      </c>
      <c r="T541" s="14">
        <f t="shared" ca="1" si="11"/>
        <v>-5707.2337426535742</v>
      </c>
      <c r="V541">
        <v>-5163.9212494715102</v>
      </c>
    </row>
    <row r="542" spans="1:22" x14ac:dyDescent="0.2">
      <c r="A542" s="1">
        <f>Acciones!A542</f>
        <v>45789</v>
      </c>
      <c r="B542" s="29">
        <f>LN(Acciones!B542/Acciones!B541)</f>
        <v>-3.991971228938399E-3</v>
      </c>
      <c r="C542" s="29">
        <f>LN(Acciones!C542/Acciones!C541)</f>
        <v>2.9303418375913871E-2</v>
      </c>
      <c r="D542" s="29">
        <f>LN(Acciones!D542/Acciones!D541)</f>
        <v>7.1450803287793352E-2</v>
      </c>
      <c r="E542" s="29">
        <f>LN(Acciones!E542/Acciones!E541)</f>
        <v>4.8790116864161598E-2</v>
      </c>
      <c r="M542" s="30">
        <f ca="1">Acciones!$B$751*EXP((H$2-H$3/2)*(1)+H$4*_xlfn.NORM.S.INV(RAND())*SQRT(1))</f>
        <v>11.089535835879552</v>
      </c>
      <c r="N542" s="30">
        <f ca="1">Acciones!$C$751*EXP((I$2-I$3/2)*(1)+I$4*_xlfn.NORM.S.INV(RAND())*SQRT(1))</f>
        <v>159.77297594868176</v>
      </c>
      <c r="O542" s="30">
        <f ca="1">Acciones!$D$751*EXP((J$2-J$3/2)*(1)+J$4*_xlfn.NORM.S.INV(RAND())*SQRT(1))</f>
        <v>961.18743418178497</v>
      </c>
      <c r="P542" s="30">
        <f ca="1">Acciones!$E$751*EXP((K$2-K$3/2)*(1)+K$4*_xlfn.NORM.S.INV(RAND())*SQRT(1))</f>
        <v>0.138816554519056</v>
      </c>
      <c r="Q542" s="30"/>
      <c r="R542">
        <f ca="1">M542/Acciones!$B$751*$I$10 + N542/Acciones!$C$751*$I$11 + O542/Acciones!$D$751*$I$12 + P542/Acciones!$D$751*$I$13</f>
        <v>23161.991620953515</v>
      </c>
      <c r="T542" s="14">
        <f t="shared" ca="1" si="11"/>
        <v>-5338.0083790464851</v>
      </c>
      <c r="V542">
        <v>-5162.6537142435627</v>
      </c>
    </row>
    <row r="543" spans="1:22" x14ac:dyDescent="0.2">
      <c r="A543" s="1">
        <f>Acciones!A543</f>
        <v>45790</v>
      </c>
      <c r="B543" s="29">
        <f>LN(Acciones!B543/Acciones!B542)</f>
        <v>0</v>
      </c>
      <c r="C543" s="29">
        <f>LN(Acciones!C543/Acciones!C542)</f>
        <v>1.4699113414466829E-2</v>
      </c>
      <c r="D543" s="29">
        <f>LN(Acciones!D543/Acciones!D542)</f>
        <v>-7.3731348199000367E-3</v>
      </c>
      <c r="E543" s="29">
        <f>LN(Acciones!E543/Acciones!E542)</f>
        <v>7.3427436738879234E-2</v>
      </c>
      <c r="M543" s="30">
        <f ca="1">Acciones!$B$751*EXP((H$2-H$3/2)*(1)+H$4*_xlfn.NORM.S.INV(RAND())*SQRT(1))</f>
        <v>10.927317857697888</v>
      </c>
      <c r="N543" s="30">
        <f ca="1">Acciones!$C$751*EXP((I$2-I$3/2)*(1)+I$4*_xlfn.NORM.S.INV(RAND())*SQRT(1))</f>
        <v>135.07635350464105</v>
      </c>
      <c r="O543" s="30">
        <f ca="1">Acciones!$D$751*EXP((J$2-J$3/2)*(1)+J$4*_xlfn.NORM.S.INV(RAND())*SQRT(1))</f>
        <v>1033.3360129147256</v>
      </c>
      <c r="P543" s="30">
        <f ca="1">Acciones!$E$751*EXP((K$2-K$3/2)*(1)+K$4*_xlfn.NORM.S.INV(RAND())*SQRT(1))</f>
        <v>0.13525667208961301</v>
      </c>
      <c r="Q543" s="30"/>
      <c r="R543">
        <f ca="1">M543/Acciones!$B$751*$I$10 + N543/Acciones!$C$751*$I$11 + O543/Acciones!$D$751*$I$12 + P543/Acciones!$D$751*$I$13</f>
        <v>22290.585151943713</v>
      </c>
      <c r="T543" s="14">
        <f t="shared" ca="1" si="11"/>
        <v>-6209.4148480562872</v>
      </c>
      <c r="V543">
        <v>-5161.7837812107609</v>
      </c>
    </row>
    <row r="544" spans="1:22" x14ac:dyDescent="0.2">
      <c r="A544" s="1">
        <f>Acciones!A544</f>
        <v>45791</v>
      </c>
      <c r="B544" s="29">
        <f>LN(Acciones!B544/Acciones!B543)</f>
        <v>1.9802534941827113E-2</v>
      </c>
      <c r="C544" s="29">
        <f>LN(Acciones!C544/Acciones!C543)</f>
        <v>-2.7602518250374693E-2</v>
      </c>
      <c r="D544" s="29">
        <f>LN(Acciones!D544/Acciones!D543)</f>
        <v>-1.3283494374238831E-2</v>
      </c>
      <c r="E544" s="29">
        <f>LN(Acciones!E544/Acciones!E543)</f>
        <v>-5.7679094553639593E-2</v>
      </c>
      <c r="M544" s="30">
        <f ca="1">Acciones!$B$751*EXP((H$2-H$3/2)*(1)+H$4*_xlfn.NORM.S.INV(RAND())*SQRT(1))</f>
        <v>11.064879123878274</v>
      </c>
      <c r="N544" s="30">
        <f ca="1">Acciones!$C$751*EXP((I$2-I$3/2)*(1)+I$4*_xlfn.NORM.S.INV(RAND())*SQRT(1))</f>
        <v>155.53337281442177</v>
      </c>
      <c r="O544" s="30">
        <f ca="1">Acciones!$D$751*EXP((J$2-J$3/2)*(1)+J$4*_xlfn.NORM.S.INV(RAND())*SQRT(1))</f>
        <v>972.86557050902684</v>
      </c>
      <c r="P544" s="30">
        <f ca="1">Acciones!$E$751*EXP((K$2-K$3/2)*(1)+K$4*_xlfn.NORM.S.INV(RAND())*SQRT(1))</f>
        <v>0.12731498906635713</v>
      </c>
      <c r="Q544" s="30"/>
      <c r="R544">
        <f ca="1">M544/Acciones!$B$751*$I$10 + N544/Acciones!$C$751*$I$11 + O544/Acciones!$D$751*$I$12 + P544/Acciones!$D$751*$I$13</f>
        <v>23006.2774477985</v>
      </c>
      <c r="T544" s="14">
        <f t="shared" ca="1" si="11"/>
        <v>-5493.7225522014996</v>
      </c>
      <c r="V544">
        <v>-5161.6021899485859</v>
      </c>
    </row>
    <row r="545" spans="1:22" x14ac:dyDescent="0.2">
      <c r="A545" s="1">
        <f>Acciones!A545</f>
        <v>45792</v>
      </c>
      <c r="B545" s="29">
        <f>LN(Acciones!B545/Acciones!B544)</f>
        <v>1.5564627081070471E-2</v>
      </c>
      <c r="C545" s="29">
        <f>LN(Acciones!C545/Acciones!C544)</f>
        <v>-1.4520506480447021E-2</v>
      </c>
      <c r="D545" s="29">
        <f>LN(Acciones!D545/Acciones!D544)</f>
        <v>1.5848556498222224E-2</v>
      </c>
      <c r="E545" s="29">
        <f>LN(Acciones!E545/Acciones!E544)</f>
        <v>0</v>
      </c>
      <c r="M545" s="30">
        <f ca="1">Acciones!$B$751*EXP((H$2-H$3/2)*(1)+H$4*_xlfn.NORM.S.INV(RAND())*SQRT(1))</f>
        <v>10.964264149448814</v>
      </c>
      <c r="N545" s="30">
        <f ca="1">Acciones!$C$751*EXP((I$2-I$3/2)*(1)+I$4*_xlfn.NORM.S.INV(RAND())*SQRT(1))</f>
        <v>180.3161230713344</v>
      </c>
      <c r="O545" s="30">
        <f ca="1">Acciones!$D$751*EXP((J$2-J$3/2)*(1)+J$4*_xlfn.NORM.S.INV(RAND())*SQRT(1))</f>
        <v>1003.0354149891867</v>
      </c>
      <c r="P545" s="30">
        <f ca="1">Acciones!$E$751*EXP((K$2-K$3/2)*(1)+K$4*_xlfn.NORM.S.INV(RAND())*SQRT(1))</f>
        <v>0.12829029506578959</v>
      </c>
      <c r="Q545" s="30"/>
      <c r="R545">
        <f ca="1">M545/Acciones!$B$751*$I$10 + N545/Acciones!$C$751*$I$11 + O545/Acciones!$D$751*$I$12 + P545/Acciones!$D$751*$I$13</f>
        <v>24823.593838740453</v>
      </c>
      <c r="T545" s="14">
        <f t="shared" ca="1" si="11"/>
        <v>-3676.4061612595469</v>
      </c>
      <c r="V545">
        <v>-5161.4124102540227</v>
      </c>
    </row>
    <row r="546" spans="1:22" x14ac:dyDescent="0.2">
      <c r="A546" s="1">
        <f>Acciones!A546</f>
        <v>45793</v>
      </c>
      <c r="B546" s="29">
        <f>LN(Acciones!B546/Acciones!B545)</f>
        <v>8.4583199214550951E-3</v>
      </c>
      <c r="C546" s="29">
        <f>LN(Acciones!C546/Acciones!C545)</f>
        <v>4.00047353622945E-2</v>
      </c>
      <c r="D546" s="29">
        <f>LN(Acciones!D546/Acciones!D545)</f>
        <v>9.8695460034342909E-3</v>
      </c>
      <c r="E546" s="29">
        <f>LN(Acciones!E546/Acciones!E545)</f>
        <v>3.3797402655330704E-2</v>
      </c>
      <c r="M546" s="30">
        <f ca="1">Acciones!$B$751*EXP((H$2-H$3/2)*(1)+H$4*_xlfn.NORM.S.INV(RAND())*SQRT(1))</f>
        <v>10.782170170259116</v>
      </c>
      <c r="N546" s="30">
        <f ca="1">Acciones!$C$751*EXP((I$2-I$3/2)*(1)+I$4*_xlfn.NORM.S.INV(RAND())*SQRT(1))</f>
        <v>146.76076920479611</v>
      </c>
      <c r="O546" s="30">
        <f ca="1">Acciones!$D$751*EXP((J$2-J$3/2)*(1)+J$4*_xlfn.NORM.S.INV(RAND())*SQRT(1))</f>
        <v>973.91017466158598</v>
      </c>
      <c r="P546" s="30">
        <f ca="1">Acciones!$E$751*EXP((K$2-K$3/2)*(1)+K$4*_xlfn.NORM.S.INV(RAND())*SQRT(1))</f>
        <v>0.13371723267584459</v>
      </c>
      <c r="Q546" s="30"/>
      <c r="R546">
        <f ca="1">M546/Acciones!$B$751*$I$10 + N546/Acciones!$C$751*$I$11 + O546/Acciones!$D$751*$I$12 + P546/Acciones!$D$751*$I$13</f>
        <v>22378.333812409157</v>
      </c>
      <c r="T546" s="14">
        <f t="shared" ca="1" si="11"/>
        <v>-6121.666187590843</v>
      </c>
      <c r="V546">
        <v>-5158.5588421497232</v>
      </c>
    </row>
    <row r="547" spans="1:22" x14ac:dyDescent="0.2">
      <c r="A547" s="1">
        <f>Acciones!A547</f>
        <v>45796</v>
      </c>
      <c r="B547" s="29">
        <f>LN(Acciones!B547/Acciones!B546)</f>
        <v>3.8307253878664127E-2</v>
      </c>
      <c r="C547" s="29">
        <f>LN(Acciones!C547/Acciones!C546)</f>
        <v>-6.1910259471684688E-3</v>
      </c>
      <c r="D547" s="29">
        <f>LN(Acciones!D547/Acciones!D546)</f>
        <v>-2.6043531064921938E-2</v>
      </c>
      <c r="E547" s="29">
        <f>LN(Acciones!E547/Acciones!E546)</f>
        <v>2.3881691898308809E-2</v>
      </c>
      <c r="M547" s="30">
        <f ca="1">Acciones!$B$751*EXP((H$2-H$3/2)*(1)+H$4*_xlfn.NORM.S.INV(RAND())*SQRT(1))</f>
        <v>10.75620474646292</v>
      </c>
      <c r="N547" s="30">
        <f ca="1">Acciones!$C$751*EXP((I$2-I$3/2)*(1)+I$4*_xlfn.NORM.S.INV(RAND())*SQRT(1))</f>
        <v>156.61936176378657</v>
      </c>
      <c r="O547" s="30">
        <f ca="1">Acciones!$D$751*EXP((J$2-J$3/2)*(1)+J$4*_xlfn.NORM.S.INV(RAND())*SQRT(1))</f>
        <v>1004.5616939584095</v>
      </c>
      <c r="P547" s="30">
        <f ca="1">Acciones!$E$751*EXP((K$2-K$3/2)*(1)+K$4*_xlfn.NORM.S.INV(RAND())*SQRT(1))</f>
        <v>0.13260227207273165</v>
      </c>
      <c r="Q547" s="30"/>
      <c r="R547">
        <f ca="1">M547/Acciones!$B$751*$I$10 + N547/Acciones!$C$751*$I$11 + O547/Acciones!$D$751*$I$12 + P547/Acciones!$D$751*$I$13</f>
        <v>23292.571103223945</v>
      </c>
      <c r="T547" s="14">
        <f t="shared" ca="1" si="11"/>
        <v>-5207.4288967760549</v>
      </c>
      <c r="V547">
        <v>-5153.2658507071465</v>
      </c>
    </row>
    <row r="548" spans="1:22" x14ac:dyDescent="0.2">
      <c r="A548" s="1">
        <f>Acciones!A548</f>
        <v>45797</v>
      </c>
      <c r="B548" s="29">
        <f>LN(Acciones!B548/Acciones!B547)</f>
        <v>9.5343552925660439E-3</v>
      </c>
      <c r="C548" s="29">
        <f>LN(Acciones!C548/Acciones!C547)</f>
        <v>-8.9893199510198852E-3</v>
      </c>
      <c r="D548" s="29">
        <f>LN(Acciones!D548/Acciones!D547)</f>
        <v>5.5089059436562926E-3</v>
      </c>
      <c r="E548" s="29">
        <f>LN(Acciones!E548/Acciones!E547)</f>
        <v>-1.785756512773461E-2</v>
      </c>
      <c r="M548" s="30">
        <f ca="1">Acciones!$B$751*EXP((H$2-H$3/2)*(1)+H$4*_xlfn.NORM.S.INV(RAND())*SQRT(1))</f>
        <v>10.693069327817167</v>
      </c>
      <c r="N548" s="30">
        <f ca="1">Acciones!$C$751*EXP((I$2-I$3/2)*(1)+I$4*_xlfn.NORM.S.INV(RAND())*SQRT(1))</f>
        <v>160.50363029704363</v>
      </c>
      <c r="O548" s="30">
        <f ca="1">Acciones!$D$751*EXP((J$2-J$3/2)*(1)+J$4*_xlfn.NORM.S.INV(RAND())*SQRT(1))</f>
        <v>1016.4681773988059</v>
      </c>
      <c r="P548" s="30">
        <f ca="1">Acciones!$E$751*EXP((K$2-K$3/2)*(1)+K$4*_xlfn.NORM.S.INV(RAND())*SQRT(1))</f>
        <v>0.13920309428370436</v>
      </c>
      <c r="Q548" s="30"/>
      <c r="R548">
        <f ca="1">M548/Acciones!$B$751*$I$10 + N548/Acciones!$C$751*$I$11 + O548/Acciones!$D$751*$I$12 + P548/Acciones!$D$751*$I$13</f>
        <v>23634.141088146225</v>
      </c>
      <c r="T548" s="14">
        <f t="shared" ca="1" si="11"/>
        <v>-4865.8589118537748</v>
      </c>
      <c r="V548">
        <v>-5151.761398063918</v>
      </c>
    </row>
    <row r="549" spans="1:22" x14ac:dyDescent="0.2">
      <c r="A549" s="1">
        <f>Acciones!A549</f>
        <v>45798</v>
      </c>
      <c r="B549" s="29">
        <f>LN(Acciones!B549/Acciones!B548)</f>
        <v>-1.4607876514092229E-3</v>
      </c>
      <c r="C549" s="29">
        <f>LN(Acciones!C549/Acciones!C548)</f>
        <v>-8.1308773994977039E-3</v>
      </c>
      <c r="D549" s="29">
        <f>LN(Acciones!D549/Acciones!D548)</f>
        <v>-3.3981608125066461E-2</v>
      </c>
      <c r="E549" s="29">
        <f>LN(Acciones!E549/Acciones!E548)</f>
        <v>-7.1570197697821886E-2</v>
      </c>
      <c r="M549" s="30">
        <f ca="1">Acciones!$B$751*EXP((H$2-H$3/2)*(1)+H$4*_xlfn.NORM.S.INV(RAND())*SQRT(1))</f>
        <v>10.881607350707297</v>
      </c>
      <c r="N549" s="30">
        <f ca="1">Acciones!$C$751*EXP((I$2-I$3/2)*(1)+I$4*_xlfn.NORM.S.INV(RAND())*SQRT(1))</f>
        <v>154.84878171842539</v>
      </c>
      <c r="O549" s="30">
        <f ca="1">Acciones!$D$751*EXP((J$2-J$3/2)*(1)+J$4*_xlfn.NORM.S.INV(RAND())*SQRT(1))</f>
        <v>972.2420839002076</v>
      </c>
      <c r="P549" s="30">
        <f ca="1">Acciones!$E$751*EXP((K$2-K$3/2)*(1)+K$4*_xlfn.NORM.S.INV(RAND())*SQRT(1))</f>
        <v>0.14180697126378508</v>
      </c>
      <c r="Q549" s="30"/>
      <c r="R549">
        <f ca="1">M549/Acciones!$B$751*$I$10 + N549/Acciones!$C$751*$I$11 + O549/Acciones!$D$751*$I$12 + P549/Acciones!$D$751*$I$13</f>
        <v>22898.572618444265</v>
      </c>
      <c r="T549" s="14">
        <f t="shared" ca="1" si="11"/>
        <v>-5601.4273815557353</v>
      </c>
      <c r="V549">
        <v>-5151.6605943050272</v>
      </c>
    </row>
    <row r="550" spans="1:22" x14ac:dyDescent="0.2">
      <c r="A550" s="1">
        <f>Acciones!A550</f>
        <v>45799</v>
      </c>
      <c r="B550" s="29">
        <f>LN(Acciones!B550/Acciones!B549)</f>
        <v>-2.0680278894503353E-2</v>
      </c>
      <c r="C550" s="29">
        <f>LN(Acciones!C550/Acciones!C549)</f>
        <v>-2.1812626812858737E-2</v>
      </c>
      <c r="D550" s="29">
        <f>LN(Acciones!D550/Acciones!D549)</f>
        <v>1.7725780065763964E-2</v>
      </c>
      <c r="E550" s="29">
        <f>LN(Acciones!E550/Acciones!E549)</f>
        <v>4.7252840479843974E-2</v>
      </c>
      <c r="M550" s="30">
        <f ca="1">Acciones!$B$751*EXP((H$2-H$3/2)*(1)+H$4*_xlfn.NORM.S.INV(RAND())*SQRT(1))</f>
        <v>10.930589740990348</v>
      </c>
      <c r="N550" s="30">
        <f ca="1">Acciones!$C$751*EXP((I$2-I$3/2)*(1)+I$4*_xlfn.NORM.S.INV(RAND())*SQRT(1))</f>
        <v>146.37841155436135</v>
      </c>
      <c r="O550" s="30">
        <f ca="1">Acciones!$D$751*EXP((J$2-J$3/2)*(1)+J$4*_xlfn.NORM.S.INV(RAND())*SQRT(1))</f>
        <v>974.97309541719778</v>
      </c>
      <c r="P550" s="30">
        <f ca="1">Acciones!$E$751*EXP((K$2-K$3/2)*(1)+K$4*_xlfn.NORM.S.INV(RAND())*SQRT(1))</f>
        <v>0.12777447855647414</v>
      </c>
      <c r="Q550" s="30"/>
      <c r="R550">
        <f ca="1">M550/Acciones!$B$751*$I$10 + N550/Acciones!$C$751*$I$11 + O550/Acciones!$D$751*$I$12 + P550/Acciones!$D$751*$I$13</f>
        <v>22412.687925816132</v>
      </c>
      <c r="T550" s="14">
        <f t="shared" ca="1" si="11"/>
        <v>-6087.3120741838684</v>
      </c>
      <c r="V550">
        <v>-5150.7996746393437</v>
      </c>
    </row>
    <row r="551" spans="1:22" x14ac:dyDescent="0.2">
      <c r="A551" s="1">
        <f>Acciones!A551</f>
        <v>45800</v>
      </c>
      <c r="B551" s="29">
        <f>LN(Acciones!B551/Acciones!B550)</f>
        <v>-2.7233120807462874E-2</v>
      </c>
      <c r="C551" s="29">
        <f>LN(Acciones!C551/Acciones!C550)</f>
        <v>-5.6183072788372382E-2</v>
      </c>
      <c r="D551" s="29">
        <f>LN(Acciones!D551/Acciones!D550)</f>
        <v>-2.5205887832722016E-2</v>
      </c>
      <c r="E551" s="29">
        <f>LN(Acciones!E551/Acciones!E550)</f>
        <v>-9.273609731143195E-3</v>
      </c>
      <c r="M551" s="30">
        <f ca="1">Acciones!$B$751*EXP((H$2-H$3/2)*(1)+H$4*_xlfn.NORM.S.INV(RAND())*SQRT(1))</f>
        <v>10.718554093499911</v>
      </c>
      <c r="N551" s="30">
        <f ca="1">Acciones!$C$751*EXP((I$2-I$3/2)*(1)+I$4*_xlfn.NORM.S.INV(RAND())*SQRT(1))</f>
        <v>155.12287307618024</v>
      </c>
      <c r="O551" s="30">
        <f ca="1">Acciones!$D$751*EXP((J$2-J$3/2)*(1)+J$4*_xlfn.NORM.S.INV(RAND())*SQRT(1))</f>
        <v>996.93931962041688</v>
      </c>
      <c r="P551" s="30">
        <f ca="1">Acciones!$E$751*EXP((K$2-K$3/2)*(1)+K$4*_xlfn.NORM.S.INV(RAND())*SQRT(1))</f>
        <v>0.12704327463246551</v>
      </c>
      <c r="Q551" s="30"/>
      <c r="R551">
        <f ca="1">M551/Acciones!$B$751*$I$10 + N551/Acciones!$C$751*$I$11 + O551/Acciones!$D$751*$I$12 + P551/Acciones!$D$751*$I$13</f>
        <v>23110.674605771175</v>
      </c>
      <c r="T551" s="14">
        <f t="shared" ca="1" si="11"/>
        <v>-5389.3253942288247</v>
      </c>
      <c r="V551">
        <v>-5145.87955743364</v>
      </c>
    </row>
    <row r="552" spans="1:22" x14ac:dyDescent="0.2">
      <c r="A552" s="1">
        <f>Acciones!A552</f>
        <v>45803</v>
      </c>
      <c r="B552" s="29">
        <f>LN(Acciones!B552/Acciones!B551)</f>
        <v>8.4001866746234444E-3</v>
      </c>
      <c r="C552" s="29">
        <f>LN(Acciones!C552/Acciones!C551)</f>
        <v>-1.787908687854053E-3</v>
      </c>
      <c r="D552" s="29">
        <f>LN(Acciones!D552/Acciones!D551)</f>
        <v>1.7284153293082754E-3</v>
      </c>
      <c r="E552" s="29">
        <f>LN(Acciones!E552/Acciones!E551)</f>
        <v>9.2736097311432505E-3</v>
      </c>
      <c r="M552" s="30">
        <f ca="1">Acciones!$B$751*EXP((H$2-H$3/2)*(1)+H$4*_xlfn.NORM.S.INV(RAND())*SQRT(1))</f>
        <v>10.862404895561342</v>
      </c>
      <c r="N552" s="30">
        <f ca="1">Acciones!$C$751*EXP((I$2-I$3/2)*(1)+I$4*_xlfn.NORM.S.INV(RAND())*SQRT(1))</f>
        <v>143.82387685144286</v>
      </c>
      <c r="O552" s="30">
        <f ca="1">Acciones!$D$751*EXP((J$2-J$3/2)*(1)+J$4*_xlfn.NORM.S.INV(RAND())*SQRT(1))</f>
        <v>1010.2908063893574</v>
      </c>
      <c r="P552" s="30">
        <f ca="1">Acciones!$E$751*EXP((K$2-K$3/2)*(1)+K$4*_xlfn.NORM.S.INV(RAND())*SQRT(1))</f>
        <v>0.12000126510198794</v>
      </c>
      <c r="Q552" s="30"/>
      <c r="R552">
        <f ca="1">M552/Acciones!$B$751*$I$10 + N552/Acciones!$C$751*$I$11 + O552/Acciones!$D$751*$I$12 + P552/Acciones!$D$751*$I$13</f>
        <v>22585.027208035724</v>
      </c>
      <c r="T552" s="14">
        <f t="shared" ca="1" si="11"/>
        <v>-5914.9727919642755</v>
      </c>
      <c r="V552">
        <v>-5141.1117428865145</v>
      </c>
    </row>
    <row r="553" spans="1:22" x14ac:dyDescent="0.2">
      <c r="A553" s="1">
        <f>Acciones!A553</f>
        <v>45804</v>
      </c>
      <c r="B553" s="29">
        <f>LN(Acciones!B553/Acciones!B552)</f>
        <v>-1.5325928413933439E-2</v>
      </c>
      <c r="C553" s="29">
        <f>LN(Acciones!C553/Acciones!C552)</f>
        <v>9.6234819322355267E-2</v>
      </c>
      <c r="D553" s="29">
        <f>LN(Acciones!D553/Acciones!D552)</f>
        <v>3.7548343274790626E-2</v>
      </c>
      <c r="E553" s="29">
        <f>LN(Acciones!E553/Acciones!E552)</f>
        <v>-1.8634024927665648E-2</v>
      </c>
      <c r="M553" s="30">
        <f ca="1">Acciones!$B$751*EXP((H$2-H$3/2)*(1)+H$4*_xlfn.NORM.S.INV(RAND())*SQRT(1))</f>
        <v>10.921090387836223</v>
      </c>
      <c r="N553" s="30">
        <f ca="1">Acciones!$C$751*EXP((I$2-I$3/2)*(1)+I$4*_xlfn.NORM.S.INV(RAND())*SQRT(1))</f>
        <v>155.07681301905379</v>
      </c>
      <c r="O553" s="30">
        <f ca="1">Acciones!$D$751*EXP((J$2-J$3/2)*(1)+J$4*_xlfn.NORM.S.INV(RAND())*SQRT(1))</f>
        <v>1010.7615346982295</v>
      </c>
      <c r="P553" s="30">
        <f ca="1">Acciones!$E$751*EXP((K$2-K$3/2)*(1)+K$4*_xlfn.NORM.S.INV(RAND())*SQRT(1))</f>
        <v>0.13690975375565775</v>
      </c>
      <c r="Q553" s="30"/>
      <c r="R553">
        <f ca="1">M553/Acciones!$B$751*$I$10 + N553/Acciones!$C$751*$I$11 + O553/Acciones!$D$751*$I$12 + P553/Acciones!$D$751*$I$13</f>
        <v>23311.27723520749</v>
      </c>
      <c r="T553" s="14">
        <f t="shared" ca="1" si="11"/>
        <v>-5188.7227647925101</v>
      </c>
      <c r="V553">
        <v>-5140.862576288444</v>
      </c>
    </row>
    <row r="554" spans="1:22" x14ac:dyDescent="0.2">
      <c r="A554" s="1">
        <f>Acciones!A554</f>
        <v>45805</v>
      </c>
      <c r="B554" s="29">
        <f>LN(Acciones!B554/Acciones!B553)</f>
        <v>8.4583199214550951E-3</v>
      </c>
      <c r="C554" s="29">
        <f>LN(Acciones!C554/Acciones!C553)</f>
        <v>-8.3890245459042168E-2</v>
      </c>
      <c r="D554" s="29">
        <f>LN(Acciones!D554/Acciones!D553)</f>
        <v>-3.2154267042037847E-3</v>
      </c>
      <c r="E554" s="29">
        <f>LN(Acciones!E554/Acciones!E553)</f>
        <v>-9.4488611115399364E-3</v>
      </c>
      <c r="M554" s="30">
        <f ca="1">Acciones!$B$751*EXP((H$2-H$3/2)*(1)+H$4*_xlfn.NORM.S.INV(RAND())*SQRT(1))</f>
        <v>10.882466069414898</v>
      </c>
      <c r="N554" s="30">
        <f ca="1">Acciones!$C$751*EXP((I$2-I$3/2)*(1)+I$4*_xlfn.NORM.S.INV(RAND())*SQRT(1))</f>
        <v>165.46721201750321</v>
      </c>
      <c r="O554" s="30">
        <f ca="1">Acciones!$D$751*EXP((J$2-J$3/2)*(1)+J$4*_xlfn.NORM.S.INV(RAND())*SQRT(1))</f>
        <v>1026.8915489295975</v>
      </c>
      <c r="P554" s="30">
        <f ca="1">Acciones!$E$751*EXP((K$2-K$3/2)*(1)+K$4*_xlfn.NORM.S.INV(RAND())*SQRT(1))</f>
        <v>0.11923617691371091</v>
      </c>
      <c r="Q554" s="30"/>
      <c r="R554">
        <f ca="1">M554/Acciones!$B$751*$I$10 + N554/Acciones!$C$751*$I$11 + O554/Acciones!$D$751*$I$12 + P554/Acciones!$D$751*$I$13</f>
        <v>24109.11378592312</v>
      </c>
      <c r="T554" s="14">
        <f t="shared" ca="1" si="11"/>
        <v>-4390.8862140768797</v>
      </c>
      <c r="V554">
        <v>-5140.6213048631907</v>
      </c>
    </row>
    <row r="555" spans="1:22" x14ac:dyDescent="0.2">
      <c r="A555" s="1">
        <f>Acciones!A555</f>
        <v>45806</v>
      </c>
      <c r="B555" s="29">
        <f>LN(Acciones!B555/Acciones!B554)</f>
        <v>2.0463006171292542E-2</v>
      </c>
      <c r="C555" s="29">
        <f>LN(Acciones!C555/Acciones!C554)</f>
        <v>-2.44172027846884E-2</v>
      </c>
      <c r="D555" s="29">
        <f>LN(Acciones!D555/Acciones!D554)</f>
        <v>-1.1209765117096503E-2</v>
      </c>
      <c r="E555" s="29">
        <f>LN(Acciones!E555/Acciones!E554)</f>
        <v>-1.9169954440638386E-2</v>
      </c>
      <c r="M555" s="30">
        <f ca="1">Acciones!$B$751*EXP((H$2-H$3/2)*(1)+H$4*_xlfn.NORM.S.INV(RAND())*SQRT(1))</f>
        <v>10.574338266748763</v>
      </c>
      <c r="N555" s="30">
        <f ca="1">Acciones!$C$751*EXP((I$2-I$3/2)*(1)+I$4*_xlfn.NORM.S.INV(RAND())*SQRT(1))</f>
        <v>147.69716134322857</v>
      </c>
      <c r="O555" s="30">
        <f ca="1">Acciones!$D$751*EXP((J$2-J$3/2)*(1)+J$4*_xlfn.NORM.S.INV(RAND())*SQRT(1))</f>
        <v>984.73577817760463</v>
      </c>
      <c r="P555" s="30">
        <f ca="1">Acciones!$E$751*EXP((K$2-K$3/2)*(1)+K$4*_xlfn.NORM.S.INV(RAND())*SQRT(1))</f>
        <v>0.13507032828282697</v>
      </c>
      <c r="Q555" s="30"/>
      <c r="R555">
        <f ca="1">M555/Acciones!$B$751*$I$10 + N555/Acciones!$C$751*$I$11 + O555/Acciones!$D$751*$I$12 + P555/Acciones!$D$751*$I$13</f>
        <v>22478.5681012842</v>
      </c>
      <c r="T555" s="14">
        <f t="shared" ca="1" si="11"/>
        <v>-6021.4318987158003</v>
      </c>
      <c r="V555">
        <v>-5140.4724041358022</v>
      </c>
    </row>
    <row r="556" spans="1:22" x14ac:dyDescent="0.2">
      <c r="A556" s="1">
        <f>Acciones!A556</f>
        <v>45807</v>
      </c>
      <c r="B556" s="29">
        <f>LN(Acciones!B556/Acciones!B555)</f>
        <v>-9.8002998580488491E-3</v>
      </c>
      <c r="C556" s="29">
        <f>LN(Acciones!C556/Acciones!C555)</f>
        <v>-2.2482467214547851E-2</v>
      </c>
      <c r="D556" s="29">
        <f>LN(Acciones!D556/Acciones!D555)</f>
        <v>-2.6529372904336708E-3</v>
      </c>
      <c r="E556" s="29">
        <f>LN(Acciones!E556/Acciones!E555)</f>
        <v>0</v>
      </c>
      <c r="M556" s="30">
        <f ca="1">Acciones!$B$751*EXP((H$2-H$3/2)*(1)+H$4*_xlfn.NORM.S.INV(RAND())*SQRT(1))</f>
        <v>10.921997820453353</v>
      </c>
      <c r="N556" s="30">
        <f ca="1">Acciones!$C$751*EXP((I$2-I$3/2)*(1)+I$4*_xlfn.NORM.S.INV(RAND())*SQRT(1))</f>
        <v>153.33252262683416</v>
      </c>
      <c r="O556" s="30">
        <f ca="1">Acciones!$D$751*EXP((J$2-J$3/2)*(1)+J$4*_xlfn.NORM.S.INV(RAND())*SQRT(1))</f>
        <v>994.52137662684697</v>
      </c>
      <c r="P556" s="30">
        <f ca="1">Acciones!$E$751*EXP((K$2-K$3/2)*(1)+K$4*_xlfn.NORM.S.INV(RAND())*SQRT(1))</f>
        <v>0.12116778588945193</v>
      </c>
      <c r="Q556" s="30"/>
      <c r="R556">
        <f ca="1">M556/Acciones!$B$751*$I$10 + N556/Acciones!$C$751*$I$11 + O556/Acciones!$D$751*$I$12 + P556/Acciones!$D$751*$I$13</f>
        <v>23039.902587081626</v>
      </c>
      <c r="T556" s="14">
        <f t="shared" ca="1" si="11"/>
        <v>-5460.0974129183742</v>
      </c>
      <c r="V556">
        <v>-5139.5559003040471</v>
      </c>
    </row>
    <row r="557" spans="1:22" x14ac:dyDescent="0.2">
      <c r="A557" s="1">
        <f>Acciones!A557</f>
        <v>45810</v>
      </c>
      <c r="B557" s="29">
        <f>LN(Acciones!B557/Acciones!B556)</f>
        <v>1.4291357036857591E-2</v>
      </c>
      <c r="C557" s="29">
        <f>LN(Acciones!C557/Acciones!C556)</f>
        <v>-8.7216849502011538E-4</v>
      </c>
      <c r="D557" s="29">
        <f>LN(Acciones!D557/Acciones!D556)</f>
        <v>-2.2028349250564432E-3</v>
      </c>
      <c r="E557" s="29">
        <f>LN(Acciones!E557/Acciones!E556)</f>
        <v>6.4309032717458827E-3</v>
      </c>
      <c r="M557" s="30">
        <f ca="1">Acciones!$B$751*EXP((H$2-H$3/2)*(1)+H$4*_xlfn.NORM.S.INV(RAND())*SQRT(1))</f>
        <v>11.151949244875386</v>
      </c>
      <c r="N557" s="30">
        <f ca="1">Acciones!$C$751*EXP((I$2-I$3/2)*(1)+I$4*_xlfn.NORM.S.INV(RAND())*SQRT(1))</f>
        <v>142.21204677070091</v>
      </c>
      <c r="O557" s="30">
        <f ca="1">Acciones!$D$751*EXP((J$2-J$3/2)*(1)+J$4*_xlfn.NORM.S.INV(RAND())*SQRT(1))</f>
        <v>1013.4862301952573</v>
      </c>
      <c r="P557" s="30">
        <f ca="1">Acciones!$E$751*EXP((K$2-K$3/2)*(1)+K$4*_xlfn.NORM.S.INV(RAND())*SQRT(1))</f>
        <v>0.12844172753856975</v>
      </c>
      <c r="Q557" s="30"/>
      <c r="R557">
        <f ca="1">M557/Acciones!$B$751*$I$10 + N557/Acciones!$C$751*$I$11 + O557/Acciones!$D$751*$I$12 + P557/Acciones!$D$751*$I$13</f>
        <v>22609.32810756399</v>
      </c>
      <c r="T557" s="14">
        <f t="shared" ca="1" si="11"/>
        <v>-5890.6718924360102</v>
      </c>
      <c r="V557">
        <v>-5137.9868747447435</v>
      </c>
    </row>
    <row r="558" spans="1:22" x14ac:dyDescent="0.2">
      <c r="A558" s="1">
        <f>Acciones!A558</f>
        <v>45811</v>
      </c>
      <c r="B558" s="29">
        <f>LN(Acciones!B558/Acciones!B557)</f>
        <v>2.9435451538203809E-2</v>
      </c>
      <c r="C558" s="29">
        <f>LN(Acciones!C558/Acciones!C557)</f>
        <v>7.3196186323021051E-2</v>
      </c>
      <c r="D558" s="29">
        <f>LN(Acciones!D558/Acciones!D557)</f>
        <v>1.6111941151368072E-2</v>
      </c>
      <c r="E558" s="29">
        <f>LN(Acciones!E558/Acciones!E557)</f>
        <v>2.2187912280432279E-2</v>
      </c>
      <c r="M558" s="30">
        <f ca="1">Acciones!$B$751*EXP((H$2-H$3/2)*(1)+H$4*_xlfn.NORM.S.INV(RAND())*SQRT(1))</f>
        <v>11.018371038039286</v>
      </c>
      <c r="N558" s="30">
        <f ca="1">Acciones!$C$751*EXP((I$2-I$3/2)*(1)+I$4*_xlfn.NORM.S.INV(RAND())*SQRT(1))</f>
        <v>148.77512629972395</v>
      </c>
      <c r="O558" s="30">
        <f ca="1">Acciones!$D$751*EXP((J$2-J$3/2)*(1)+J$4*_xlfn.NORM.S.INV(RAND())*SQRT(1))</f>
        <v>1020.5388065390634</v>
      </c>
      <c r="P558" s="30">
        <f ca="1">Acciones!$E$751*EXP((K$2-K$3/2)*(1)+K$4*_xlfn.NORM.S.INV(RAND())*SQRT(1))</f>
        <v>0.12825982586800228</v>
      </c>
      <c r="Q558" s="30"/>
      <c r="R558">
        <f ca="1">M558/Acciones!$B$751*$I$10 + N558/Acciones!$C$751*$I$11 + O558/Acciones!$D$751*$I$12 + P558/Acciones!$D$751*$I$13</f>
        <v>23046.904042167094</v>
      </c>
      <c r="T558" s="14">
        <f t="shared" ca="1" si="11"/>
        <v>-5453.0959578329057</v>
      </c>
      <c r="V558">
        <v>-5136.6662906723759</v>
      </c>
    </row>
    <row r="559" spans="1:22" x14ac:dyDescent="0.2">
      <c r="A559" s="1">
        <f>Acciones!A559</f>
        <v>45812</v>
      </c>
      <c r="B559" s="29">
        <f>LN(Acciones!B559/Acciones!B558)</f>
        <v>-3.7684525466550371E-2</v>
      </c>
      <c r="C559" s="29">
        <f>LN(Acciones!C559/Acciones!C558)</f>
        <v>1.5987969661459402E-2</v>
      </c>
      <c r="D559" s="29">
        <f>LN(Acciones!D559/Acciones!D558)</f>
        <v>4.2474749328468694E-3</v>
      </c>
      <c r="E559" s="29">
        <f>LN(Acciones!E559/Acciones!E558)</f>
        <v>-2.8618815552178312E-2</v>
      </c>
      <c r="M559" s="30">
        <f ca="1">Acciones!$B$751*EXP((H$2-H$3/2)*(1)+H$4*_xlfn.NORM.S.INV(RAND())*SQRT(1))</f>
        <v>10.850325944280307</v>
      </c>
      <c r="N559" s="30">
        <f ca="1">Acciones!$C$751*EXP((I$2-I$3/2)*(1)+I$4*_xlfn.NORM.S.INV(RAND())*SQRT(1))</f>
        <v>139.31580735062295</v>
      </c>
      <c r="O559" s="30">
        <f ca="1">Acciones!$D$751*EXP((J$2-J$3/2)*(1)+J$4*_xlfn.NORM.S.INV(RAND())*SQRT(1))</f>
        <v>997.61685469728047</v>
      </c>
      <c r="P559" s="30">
        <f ca="1">Acciones!$E$751*EXP((K$2-K$3/2)*(1)+K$4*_xlfn.NORM.S.INV(RAND())*SQRT(1))</f>
        <v>0.12209593982881617</v>
      </c>
      <c r="Q559" s="30"/>
      <c r="R559">
        <f ca="1">M559/Acciones!$B$751*$I$10 + N559/Acciones!$C$751*$I$11 + O559/Acciones!$D$751*$I$12 + P559/Acciones!$D$751*$I$13</f>
        <v>22172.739445141644</v>
      </c>
      <c r="T559" s="14">
        <f t="shared" ca="1" si="11"/>
        <v>-6327.260554858356</v>
      </c>
      <c r="V559">
        <v>-5134.6336886890385</v>
      </c>
    </row>
    <row r="560" spans="1:22" x14ac:dyDescent="0.2">
      <c r="A560" s="1">
        <f>Acciones!A560</f>
        <v>45813</v>
      </c>
      <c r="B560" s="29">
        <f>LN(Acciones!B560/Acciones!B559)</f>
        <v>0</v>
      </c>
      <c r="C560" s="29">
        <f>LN(Acciones!C560/Acciones!C559)</f>
        <v>-5.3406054295231244E-2</v>
      </c>
      <c r="D560" s="29">
        <f>LN(Acciones!D560/Acciones!D559)</f>
        <v>-3.5465802822564323E-3</v>
      </c>
      <c r="E560" s="29">
        <f>LN(Acciones!E560/Acciones!E559)</f>
        <v>-4.28401968721462E-2</v>
      </c>
      <c r="M560" s="30">
        <f ca="1">Acciones!$B$751*EXP((H$2-H$3/2)*(1)+H$4*_xlfn.NORM.S.INV(RAND())*SQRT(1))</f>
        <v>10.725583619966478</v>
      </c>
      <c r="N560" s="30">
        <f ca="1">Acciones!$C$751*EXP((I$2-I$3/2)*(1)+I$4*_xlfn.NORM.S.INV(RAND())*SQRT(1))</f>
        <v>158.75749910020801</v>
      </c>
      <c r="O560" s="30">
        <f ca="1">Acciones!$D$751*EXP((J$2-J$3/2)*(1)+J$4*_xlfn.NORM.S.INV(RAND())*SQRT(1))</f>
        <v>971.53508610560493</v>
      </c>
      <c r="P560" s="30">
        <f ca="1">Acciones!$E$751*EXP((K$2-K$3/2)*(1)+K$4*_xlfn.NORM.S.INV(RAND())*SQRT(1))</f>
        <v>0.14959356864400786</v>
      </c>
      <c r="Q560" s="30"/>
      <c r="R560">
        <f ca="1">M560/Acciones!$B$751*$I$10 + N560/Acciones!$C$751*$I$11 + O560/Acciones!$D$751*$I$12 + P560/Acciones!$D$751*$I$13</f>
        <v>23085.534483422856</v>
      </c>
      <c r="T560" s="14">
        <f t="shared" ca="1" si="11"/>
        <v>-5414.4655165771437</v>
      </c>
      <c r="V560">
        <v>-5133.420897243137</v>
      </c>
    </row>
    <row r="561" spans="1:22" x14ac:dyDescent="0.2">
      <c r="A561" s="1">
        <f>Acciones!A561</f>
        <v>45814</v>
      </c>
      <c r="B561" s="29">
        <f>LN(Acciones!B561/Acciones!B560)</f>
        <v>7.5018903291609778E-3</v>
      </c>
      <c r="C561" s="29">
        <f>LN(Acciones!C561/Acciones!C560)</f>
        <v>5.3572357923521746E-2</v>
      </c>
      <c r="D561" s="29">
        <f>LN(Acciones!D561/Acciones!D560)</f>
        <v>8.3360321007825788E-4</v>
      </c>
      <c r="E561" s="29">
        <f>LN(Acciones!E561/Acciones!E560)</f>
        <v>-6.756796409068358E-3</v>
      </c>
      <c r="M561" s="30">
        <f ca="1">Acciones!$B$751*EXP((H$2-H$3/2)*(1)+H$4*_xlfn.NORM.S.INV(RAND())*SQRT(1))</f>
        <v>10.579597788041465</v>
      </c>
      <c r="N561" s="30">
        <f ca="1">Acciones!$C$751*EXP((I$2-I$3/2)*(1)+I$4*_xlfn.NORM.S.INV(RAND())*SQRT(1))</f>
        <v>163.90062454840646</v>
      </c>
      <c r="O561" s="30">
        <f ca="1">Acciones!$D$751*EXP((J$2-J$3/2)*(1)+J$4*_xlfn.NORM.S.INV(RAND())*SQRT(1))</f>
        <v>998.83647381839273</v>
      </c>
      <c r="P561" s="30">
        <f ca="1">Acciones!$E$751*EXP((K$2-K$3/2)*(1)+K$4*_xlfn.NORM.S.INV(RAND())*SQRT(1))</f>
        <v>0.11500929717747502</v>
      </c>
      <c r="Q561" s="30"/>
      <c r="R561">
        <f ca="1">M561/Acciones!$B$751*$I$10 + N561/Acciones!$C$751*$I$11 + O561/Acciones!$D$751*$I$12 + P561/Acciones!$D$751*$I$13</f>
        <v>23633.101548236002</v>
      </c>
      <c r="T561" s="14">
        <f t="shared" ca="1" si="11"/>
        <v>-4866.8984517639983</v>
      </c>
      <c r="V561">
        <v>-5129.5656705308393</v>
      </c>
    </row>
    <row r="562" spans="1:22" x14ac:dyDescent="0.2">
      <c r="A562" s="1">
        <f>Acciones!A562</f>
        <v>45817</v>
      </c>
      <c r="B562" s="29">
        <f>LN(Acciones!B562/Acciones!B561)</f>
        <v>3.2355777118386449E-2</v>
      </c>
      <c r="C562" s="29">
        <f>LN(Acciones!C562/Acciones!C561)</f>
        <v>2.8998004393994144E-2</v>
      </c>
      <c r="D562" s="29">
        <f>LN(Acciones!D562/Acciones!D561)</f>
        <v>-1.4893704399571795E-2</v>
      </c>
      <c r="E562" s="29">
        <f>LN(Acciones!E562/Acciones!E561)</f>
        <v>3.3841553226534372E-3</v>
      </c>
      <c r="M562" s="30">
        <f ca="1">Acciones!$B$751*EXP((H$2-H$3/2)*(1)+H$4*_xlfn.NORM.S.INV(RAND())*SQRT(1))</f>
        <v>11.365157407721004</v>
      </c>
      <c r="N562" s="30">
        <f ca="1">Acciones!$C$751*EXP((I$2-I$3/2)*(1)+I$4*_xlfn.NORM.S.INV(RAND())*SQRT(1))</f>
        <v>156.66562252679296</v>
      </c>
      <c r="O562" s="30">
        <f ca="1">Acciones!$D$751*EXP((J$2-J$3/2)*(1)+J$4*_xlfn.NORM.S.INV(RAND())*SQRT(1))</f>
        <v>1009.8282731890487</v>
      </c>
      <c r="P562" s="30">
        <f ca="1">Acciones!$E$751*EXP((K$2-K$3/2)*(1)+K$4*_xlfn.NORM.S.INV(RAND())*SQRT(1))</f>
        <v>0.12858577818996347</v>
      </c>
      <c r="Q562" s="30"/>
      <c r="R562">
        <f ca="1">M562/Acciones!$B$751*$I$10 + N562/Acciones!$C$751*$I$11 + O562/Acciones!$D$751*$I$12 + P562/Acciones!$D$751*$I$13</f>
        <v>23543.545765660292</v>
      </c>
      <c r="T562" s="14">
        <f t="shared" ca="1" si="11"/>
        <v>-4956.4542343397079</v>
      </c>
      <c r="V562">
        <v>-5123.4026241480715</v>
      </c>
    </row>
    <row r="563" spans="1:22" x14ac:dyDescent="0.2">
      <c r="A563" s="1">
        <f>Acciones!A563</f>
        <v>45818</v>
      </c>
      <c r="B563" s="29">
        <f>LN(Acciones!B563/Acciones!B562)</f>
        <v>5.7719920677061732E-3</v>
      </c>
      <c r="C563" s="29">
        <f>LN(Acciones!C563/Acciones!C562)</f>
        <v>2.2449884945315898E-2</v>
      </c>
      <c r="D563" s="29">
        <f>LN(Acciones!D563/Acciones!D562)</f>
        <v>3.0602952411776529E-2</v>
      </c>
      <c r="E563" s="29">
        <f>LN(Acciones!E563/Acciones!E562)</f>
        <v>1.34230471810769E-2</v>
      </c>
      <c r="M563" s="30">
        <f ca="1">Acciones!$B$751*EXP((H$2-H$3/2)*(1)+H$4*_xlfn.NORM.S.INV(RAND())*SQRT(1))</f>
        <v>10.649096552121865</v>
      </c>
      <c r="N563" s="30">
        <f ca="1">Acciones!$C$751*EXP((I$2-I$3/2)*(1)+I$4*_xlfn.NORM.S.INV(RAND())*SQRT(1))</f>
        <v>152.67312150543071</v>
      </c>
      <c r="O563" s="30">
        <f ca="1">Acciones!$D$751*EXP((J$2-J$3/2)*(1)+J$4*_xlfn.NORM.S.INV(RAND())*SQRT(1))</f>
        <v>1014.9100632463859</v>
      </c>
      <c r="P563" s="30">
        <f ca="1">Acciones!$E$751*EXP((K$2-K$3/2)*(1)+K$4*_xlfn.NORM.S.INV(RAND())*SQRT(1))</f>
        <v>0.12355347877499044</v>
      </c>
      <c r="Q563" s="30"/>
      <c r="R563">
        <f ca="1">M563/Acciones!$B$751*$I$10 + N563/Acciones!$C$751*$I$11 + O563/Acciones!$D$751*$I$12 + P563/Acciones!$D$751*$I$13</f>
        <v>23115.417052235323</v>
      </c>
      <c r="T563" s="14">
        <f t="shared" ca="1" si="11"/>
        <v>-5384.5829477646766</v>
      </c>
      <c r="V563">
        <v>-5122.2458907081382</v>
      </c>
    </row>
    <row r="564" spans="1:22" x14ac:dyDescent="0.2">
      <c r="A564" s="1">
        <f>Acciones!A564</f>
        <v>45819</v>
      </c>
      <c r="B564" s="29">
        <f>LN(Acciones!B564/Acciones!B563)</f>
        <v>1.8532309749631697E-2</v>
      </c>
      <c r="C564" s="29">
        <f>LN(Acciones!C564/Acciones!C563)</f>
        <v>-3.2251084632119904E-2</v>
      </c>
      <c r="D564" s="29">
        <f>LN(Acciones!D564/Acciones!D563)</f>
        <v>-2.1559730742009845E-2</v>
      </c>
      <c r="E564" s="29">
        <f>LN(Acciones!E564/Acciones!E563)</f>
        <v>0</v>
      </c>
      <c r="M564" s="30">
        <f ca="1">Acciones!$B$751*EXP((H$2-H$3/2)*(1)+H$4*_xlfn.NORM.S.INV(RAND())*SQRT(1))</f>
        <v>11.147349196276453</v>
      </c>
      <c r="N564" s="30">
        <f ca="1">Acciones!$C$751*EXP((I$2-I$3/2)*(1)+I$4*_xlfn.NORM.S.INV(RAND())*SQRT(1))</f>
        <v>171.83158387478861</v>
      </c>
      <c r="O564" s="30">
        <f ca="1">Acciones!$D$751*EXP((J$2-J$3/2)*(1)+J$4*_xlfn.NORM.S.INV(RAND())*SQRT(1))</f>
        <v>971.03434783589285</v>
      </c>
      <c r="P564" s="30">
        <f ca="1">Acciones!$E$751*EXP((K$2-K$3/2)*(1)+K$4*_xlfn.NORM.S.INV(RAND())*SQRT(1))</f>
        <v>0.13257854826151796</v>
      </c>
      <c r="Q564" s="30"/>
      <c r="R564">
        <f ca="1">M564/Acciones!$B$751*$I$10 + N564/Acciones!$C$751*$I$11 + O564/Acciones!$D$751*$I$12 + P564/Acciones!$D$751*$I$13</f>
        <v>24032.055068465059</v>
      </c>
      <c r="T564" s="14">
        <f t="shared" ca="1" si="11"/>
        <v>-4467.9449315349411</v>
      </c>
      <c r="V564">
        <v>-5117.714407877731</v>
      </c>
    </row>
    <row r="565" spans="1:22" x14ac:dyDescent="0.2">
      <c r="A565" s="1">
        <f>Acciones!A565</f>
        <v>45820</v>
      </c>
      <c r="B565" s="29">
        <f>LN(Acciones!B565/Acciones!B564)</f>
        <v>1.6112409229251595E-2</v>
      </c>
      <c r="C565" s="29">
        <f>LN(Acciones!C565/Acciones!C564)</f>
        <v>-1.5016653786863555E-2</v>
      </c>
      <c r="D565" s="29">
        <f>LN(Acciones!D565/Acciones!D564)</f>
        <v>-6.0449303359333875E-3</v>
      </c>
      <c r="E565" s="29">
        <f>LN(Acciones!E565/Acciones!E564)</f>
        <v>-1.6807202503730176E-2</v>
      </c>
      <c r="M565" s="30">
        <f ca="1">Acciones!$B$751*EXP((H$2-H$3/2)*(1)+H$4*_xlfn.NORM.S.INV(RAND())*SQRT(1))</f>
        <v>11.142260636914356</v>
      </c>
      <c r="N565" s="30">
        <f ca="1">Acciones!$C$751*EXP((I$2-I$3/2)*(1)+I$4*_xlfn.NORM.S.INV(RAND())*SQRT(1))</f>
        <v>155.83327728116274</v>
      </c>
      <c r="O565" s="30">
        <f ca="1">Acciones!$D$751*EXP((J$2-J$3/2)*(1)+J$4*_xlfn.NORM.S.INV(RAND())*SQRT(1))</f>
        <v>970.62976497767772</v>
      </c>
      <c r="P565" s="30">
        <f ca="1">Acciones!$E$751*EXP((K$2-K$3/2)*(1)+K$4*_xlfn.NORM.S.INV(RAND())*SQRT(1))</f>
        <v>0.13068524732001663</v>
      </c>
      <c r="Q565" s="30"/>
      <c r="R565">
        <f ca="1">M565/Acciones!$B$751*$I$10 + N565/Acciones!$C$751*$I$11 + O565/Acciones!$D$751*$I$12 + P565/Acciones!$D$751*$I$13</f>
        <v>23027.451282748934</v>
      </c>
      <c r="T565" s="14">
        <f t="shared" ca="1" si="11"/>
        <v>-5472.5487172510657</v>
      </c>
      <c r="V565">
        <v>-5116.6390725237361</v>
      </c>
    </row>
    <row r="566" spans="1:22" x14ac:dyDescent="0.2">
      <c r="A566" s="1">
        <f>Acciones!A566</f>
        <v>45821</v>
      </c>
      <c r="B566" s="29">
        <f>LN(Acciones!B566/Acciones!B565)</f>
        <v>-1.4700966421261097E-2</v>
      </c>
      <c r="C566" s="29">
        <f>LN(Acciones!C566/Acciones!C565)</f>
        <v>-6.1442290142610774E-2</v>
      </c>
      <c r="D566" s="29">
        <f>LN(Acciones!D566/Acciones!D565)</f>
        <v>-3.7645018762824549E-2</v>
      </c>
      <c r="E566" s="29">
        <f>LN(Acciones!E566/Acciones!E565)</f>
        <v>1.3468244756669244E-2</v>
      </c>
      <c r="M566" s="30">
        <f ca="1">Acciones!$B$751*EXP((H$2-H$3/2)*(1)+H$4*_xlfn.NORM.S.INV(RAND())*SQRT(1))</f>
        <v>10.6050408593662</v>
      </c>
      <c r="N566" s="30">
        <f ca="1">Acciones!$C$751*EXP((I$2-I$3/2)*(1)+I$4*_xlfn.NORM.S.INV(RAND())*SQRT(1))</f>
        <v>149.94863982362739</v>
      </c>
      <c r="O566" s="30">
        <f ca="1">Acciones!$D$751*EXP((J$2-J$3/2)*(1)+J$4*_xlfn.NORM.S.INV(RAND())*SQRT(1))</f>
        <v>1006.5546186572836</v>
      </c>
      <c r="P566" s="30">
        <f ca="1">Acciones!$E$751*EXP((K$2-K$3/2)*(1)+K$4*_xlfn.NORM.S.INV(RAND())*SQRT(1))</f>
        <v>0.13463831709282506</v>
      </c>
      <c r="Q566" s="30"/>
      <c r="R566">
        <f ca="1">M566/Acciones!$B$751*$I$10 + N566/Acciones!$C$751*$I$11 + O566/Acciones!$D$751*$I$12 + P566/Acciones!$D$751*$I$13</f>
        <v>22847.540822287559</v>
      </c>
      <c r="T566" s="14">
        <f t="shared" ca="1" si="11"/>
        <v>-5652.4591777124406</v>
      </c>
      <c r="V566">
        <v>-5115.4516408116906</v>
      </c>
    </row>
    <row r="567" spans="1:22" x14ac:dyDescent="0.2">
      <c r="A567" s="1">
        <f>Acciones!A567</f>
        <v>45824</v>
      </c>
      <c r="B567" s="29">
        <f>LN(Acciones!B567/Acciones!B566)</f>
        <v>-5.6576941746230977E-3</v>
      </c>
      <c r="C567" s="29">
        <f>LN(Acciones!C567/Acciones!C566)</f>
        <v>2.0523777414941095E-2</v>
      </c>
      <c r="D567" s="29">
        <f>LN(Acciones!D567/Acciones!D566)</f>
        <v>2.5042739139906435E-2</v>
      </c>
      <c r="E567" s="29">
        <f>LN(Acciones!E567/Acciones!E566)</f>
        <v>6.6667049349544566E-3</v>
      </c>
      <c r="M567" s="30">
        <f ca="1">Acciones!$B$751*EXP((H$2-H$3/2)*(1)+H$4*_xlfn.NORM.S.INV(RAND())*SQRT(1))</f>
        <v>10.812308035575585</v>
      </c>
      <c r="N567" s="30">
        <f ca="1">Acciones!$C$751*EXP((I$2-I$3/2)*(1)+I$4*_xlfn.NORM.S.INV(RAND())*SQRT(1))</f>
        <v>149.10934415298439</v>
      </c>
      <c r="O567" s="30">
        <f ca="1">Acciones!$D$751*EXP((J$2-J$3/2)*(1)+J$4*_xlfn.NORM.S.INV(RAND())*SQRT(1))</f>
        <v>1016.3756338953467</v>
      </c>
      <c r="P567" s="30">
        <f ca="1">Acciones!$E$751*EXP((K$2-K$3/2)*(1)+K$4*_xlfn.NORM.S.INV(RAND())*SQRT(1))</f>
        <v>0.13385601333037234</v>
      </c>
      <c r="Q567" s="30"/>
      <c r="R567">
        <f ca="1">M567/Acciones!$B$751*$I$10 + N567/Acciones!$C$751*$I$11 + O567/Acciones!$D$751*$I$12 + P567/Acciones!$D$751*$I$13</f>
        <v>22959.996407727464</v>
      </c>
      <c r="T567" s="14">
        <f t="shared" ca="1" si="11"/>
        <v>-5540.0035922725365</v>
      </c>
      <c r="V567">
        <v>-5115.3716808660647</v>
      </c>
    </row>
    <row r="568" spans="1:22" x14ac:dyDescent="0.2">
      <c r="A568" s="1">
        <f>Acciones!A568</f>
        <v>45825</v>
      </c>
      <c r="B568" s="29">
        <f>LN(Acciones!B568/Acciones!B567)</f>
        <v>1.3385150678352026E-2</v>
      </c>
      <c r="C568" s="29">
        <f>LN(Acciones!C568/Acciones!C567)</f>
        <v>-4.097438877414384E-2</v>
      </c>
      <c r="D568" s="29">
        <f>LN(Acciones!D568/Acciones!D567)</f>
        <v>-2.7330860071671015E-2</v>
      </c>
      <c r="E568" s="29">
        <f>LN(Acciones!E568/Acciones!E567)</f>
        <v>0</v>
      </c>
      <c r="M568" s="30">
        <f ca="1">Acciones!$B$751*EXP((H$2-H$3/2)*(1)+H$4*_xlfn.NORM.S.INV(RAND())*SQRT(1))</f>
        <v>10.667241675494868</v>
      </c>
      <c r="N568" s="30">
        <f ca="1">Acciones!$C$751*EXP((I$2-I$3/2)*(1)+I$4*_xlfn.NORM.S.INV(RAND())*SQRT(1))</f>
        <v>159.53976387689693</v>
      </c>
      <c r="O568" s="30">
        <f ca="1">Acciones!$D$751*EXP((J$2-J$3/2)*(1)+J$4*_xlfn.NORM.S.INV(RAND())*SQRT(1))</f>
        <v>1016.0560238329044</v>
      </c>
      <c r="P568" s="30">
        <f ca="1">Acciones!$E$751*EXP((K$2-K$3/2)*(1)+K$4*_xlfn.NORM.S.INV(RAND())*SQRT(1))</f>
        <v>0.12830036009397655</v>
      </c>
      <c r="Q568" s="30"/>
      <c r="R568">
        <f ca="1">M568/Acciones!$B$751*$I$10 + N568/Acciones!$C$751*$I$11 + O568/Acciones!$D$751*$I$12 + P568/Acciones!$D$751*$I$13</f>
        <v>23561.484773747976</v>
      </c>
      <c r="T568" s="14">
        <f t="shared" ca="1" si="11"/>
        <v>-4938.5152262520241</v>
      </c>
      <c r="V568">
        <v>-5106.7250067438508</v>
      </c>
    </row>
    <row r="569" spans="1:22" x14ac:dyDescent="0.2">
      <c r="A569" s="1">
        <f>Acciones!A569</f>
        <v>45826</v>
      </c>
      <c r="B569" s="29">
        <f>LN(Acciones!B569/Acciones!B568)</f>
        <v>-7.7274565037289402E-3</v>
      </c>
      <c r="C569" s="29">
        <f>LN(Acciones!C569/Acciones!C568)</f>
        <v>-2.5147541790112205E-4</v>
      </c>
      <c r="D569" s="29">
        <f>LN(Acciones!D569/Acciones!D568)</f>
        <v>-7.3907531497610828E-3</v>
      </c>
      <c r="E569" s="29">
        <f>LN(Acciones!E569/Acciones!E568)</f>
        <v>-3.3277471878932806E-3</v>
      </c>
      <c r="M569" s="30">
        <f ca="1">Acciones!$B$751*EXP((H$2-H$3/2)*(1)+H$4*_xlfn.NORM.S.INV(RAND())*SQRT(1))</f>
        <v>11.03511190249573</v>
      </c>
      <c r="N569" s="30">
        <f ca="1">Acciones!$C$751*EXP((I$2-I$3/2)*(1)+I$4*_xlfn.NORM.S.INV(RAND())*SQRT(1))</f>
        <v>152.27947974066399</v>
      </c>
      <c r="O569" s="30">
        <f ca="1">Acciones!$D$751*EXP((J$2-J$3/2)*(1)+J$4*_xlfn.NORM.S.INV(RAND())*SQRT(1))</f>
        <v>1020.0190525543488</v>
      </c>
      <c r="P569" s="30">
        <f ca="1">Acciones!$E$751*EXP((K$2-K$3/2)*(1)+K$4*_xlfn.NORM.S.INV(RAND())*SQRT(1))</f>
        <v>0.13451228474384605</v>
      </c>
      <c r="Q569" s="30"/>
      <c r="R569">
        <f ca="1">M569/Acciones!$B$751*$I$10 + N569/Acciones!$C$751*$I$11 + O569/Acciones!$D$751*$I$12 + P569/Acciones!$D$751*$I$13</f>
        <v>23265.909160865056</v>
      </c>
      <c r="T569" s="14">
        <f t="shared" ca="1" si="11"/>
        <v>-5234.090839134944</v>
      </c>
      <c r="V569">
        <v>-5104.3978429940507</v>
      </c>
    </row>
    <row r="570" spans="1:22" x14ac:dyDescent="0.2">
      <c r="A570" s="1">
        <f>Acciones!A570</f>
        <v>45827</v>
      </c>
      <c r="B570" s="29">
        <f>LN(Acciones!B570/Acciones!B569)</f>
        <v>-7.0554163213090043E-4</v>
      </c>
      <c r="C570" s="29">
        <f>LN(Acciones!C570/Acciones!C569)</f>
        <v>9.5505631306777167E-3</v>
      </c>
      <c r="D570" s="29">
        <f>LN(Acciones!D570/Acciones!D569)</f>
        <v>0</v>
      </c>
      <c r="E570" s="29">
        <f>LN(Acciones!E570/Acciones!E569)</f>
        <v>0</v>
      </c>
      <c r="M570" s="30">
        <f ca="1">Acciones!$B$751*EXP((H$2-H$3/2)*(1)+H$4*_xlfn.NORM.S.INV(RAND())*SQRT(1))</f>
        <v>10.673370665256744</v>
      </c>
      <c r="N570" s="30">
        <f ca="1">Acciones!$C$751*EXP((I$2-I$3/2)*(1)+I$4*_xlfn.NORM.S.INV(RAND())*SQRT(1))</f>
        <v>162.09155645769772</v>
      </c>
      <c r="O570" s="30">
        <f ca="1">Acciones!$D$751*EXP((J$2-J$3/2)*(1)+J$4*_xlfn.NORM.S.INV(RAND())*SQRT(1))</f>
        <v>1010.0981634219701</v>
      </c>
      <c r="P570" s="30">
        <f ca="1">Acciones!$E$751*EXP((K$2-K$3/2)*(1)+K$4*_xlfn.NORM.S.INV(RAND())*SQRT(1))</f>
        <v>0.12952116186470805</v>
      </c>
      <c r="Q570" s="30"/>
      <c r="R570">
        <f ca="1">M570/Acciones!$B$751*$I$10 + N570/Acciones!$C$751*$I$11 + O570/Acciones!$D$751*$I$12 + P570/Acciones!$D$751*$I$13</f>
        <v>23663.111054510497</v>
      </c>
      <c r="T570" s="14">
        <f t="shared" ca="1" si="11"/>
        <v>-4836.8889454895034</v>
      </c>
      <c r="V570">
        <v>-5103.018901447027</v>
      </c>
    </row>
    <row r="571" spans="1:22" x14ac:dyDescent="0.2">
      <c r="A571" s="1">
        <f>Acciones!A571</f>
        <v>45828</v>
      </c>
      <c r="B571" s="29">
        <f>LN(Acciones!B571/Acciones!B570)</f>
        <v>-1.2069670517921462E-2</v>
      </c>
      <c r="C571" s="29">
        <f>LN(Acciones!C571/Acciones!C570)</f>
        <v>-2.1991511701415653E-2</v>
      </c>
      <c r="D571" s="29">
        <f>LN(Acciones!D571/Acciones!D570)</f>
        <v>1.660741710973293E-2</v>
      </c>
      <c r="E571" s="29">
        <f>LN(Acciones!E571/Acciones!E570)</f>
        <v>-1.0050406094661813E-2</v>
      </c>
      <c r="M571" s="30">
        <f ca="1">Acciones!$B$751*EXP((H$2-H$3/2)*(1)+H$4*_xlfn.NORM.S.INV(RAND())*SQRT(1))</f>
        <v>10.617343440976768</v>
      </c>
      <c r="N571" s="30">
        <f ca="1">Acciones!$C$751*EXP((I$2-I$3/2)*(1)+I$4*_xlfn.NORM.S.INV(RAND())*SQRT(1))</f>
        <v>151.62605644477466</v>
      </c>
      <c r="O571" s="30">
        <f ca="1">Acciones!$D$751*EXP((J$2-J$3/2)*(1)+J$4*_xlfn.NORM.S.INV(RAND())*SQRT(1))</f>
        <v>978.22580423586555</v>
      </c>
      <c r="P571" s="30">
        <f ca="1">Acciones!$E$751*EXP((K$2-K$3/2)*(1)+K$4*_xlfn.NORM.S.INV(RAND())*SQRT(1))</f>
        <v>0.11507975891272533</v>
      </c>
      <c r="Q571" s="30"/>
      <c r="R571">
        <f ca="1">M571/Acciones!$B$751*$I$10 + N571/Acciones!$C$751*$I$11 + O571/Acciones!$D$751*$I$12 + P571/Acciones!$D$751*$I$13</f>
        <v>22672.361504752589</v>
      </c>
      <c r="T571" s="14">
        <f t="shared" ca="1" si="11"/>
        <v>-5827.6384952474109</v>
      </c>
      <c r="V571">
        <v>-5100.0891489152818</v>
      </c>
    </row>
    <row r="572" spans="1:22" x14ac:dyDescent="0.2">
      <c r="A572" s="1">
        <f>Acciones!A572</f>
        <v>45831</v>
      </c>
      <c r="B572" s="29">
        <f>LN(Acciones!B572/Acciones!B571)</f>
        <v>-8.4935627919602394E-2</v>
      </c>
      <c r="C572" s="29">
        <f>LN(Acciones!C572/Acciones!C571)</f>
        <v>-1.721491728454053E-2</v>
      </c>
      <c r="D572" s="29">
        <f>LN(Acciones!D572/Acciones!D571)</f>
        <v>1.4375342464945293E-2</v>
      </c>
      <c r="E572" s="29">
        <f>LN(Acciones!E572/Acciones!E571)</f>
        <v>-6.756796409068358E-3</v>
      </c>
      <c r="M572" s="30">
        <f ca="1">Acciones!$B$751*EXP((H$2-H$3/2)*(1)+H$4*_xlfn.NORM.S.INV(RAND())*SQRT(1))</f>
        <v>10.813101728289439</v>
      </c>
      <c r="N572" s="30">
        <f ca="1">Acciones!$C$751*EXP((I$2-I$3/2)*(1)+I$4*_xlfn.NORM.S.INV(RAND())*SQRT(1))</f>
        <v>132.87837994418723</v>
      </c>
      <c r="O572" s="30">
        <f ca="1">Acciones!$D$751*EXP((J$2-J$3/2)*(1)+J$4*_xlfn.NORM.S.INV(RAND())*SQRT(1))</f>
        <v>1031.5615312815203</v>
      </c>
      <c r="P572" s="30">
        <f ca="1">Acciones!$E$751*EXP((K$2-K$3/2)*(1)+K$4*_xlfn.NORM.S.INV(RAND())*SQRT(1))</f>
        <v>0.1270967831212694</v>
      </c>
      <c r="Q572" s="30"/>
      <c r="R572">
        <f ca="1">M572/Acciones!$B$751*$I$10 + N572/Acciones!$C$751*$I$11 + O572/Acciones!$D$751*$I$12 + P572/Acciones!$D$751*$I$13</f>
        <v>22098.887023463449</v>
      </c>
      <c r="T572" s="14">
        <f t="shared" ca="1" si="11"/>
        <v>-6401.1129765365513</v>
      </c>
      <c r="V572">
        <v>-5096.091288779051</v>
      </c>
    </row>
    <row r="573" spans="1:22" x14ac:dyDescent="0.2">
      <c r="A573" s="1">
        <f>Acciones!A573</f>
        <v>45832</v>
      </c>
      <c r="B573" s="29">
        <f>LN(Acciones!B573/Acciones!B572)</f>
        <v>3.2890088176268886E-2</v>
      </c>
      <c r="C573" s="29">
        <f>LN(Acciones!C573/Acciones!C572)</f>
        <v>4.3292033510499039E-2</v>
      </c>
      <c r="D573" s="29">
        <f>LN(Acciones!D573/Acciones!D572)</f>
        <v>-1.9134058380683059E-3</v>
      </c>
      <c r="E573" s="29">
        <f>LN(Acciones!E573/Acciones!E572)</f>
        <v>0</v>
      </c>
      <c r="M573" s="30">
        <f ca="1">Acciones!$B$751*EXP((H$2-H$3/2)*(1)+H$4*_xlfn.NORM.S.INV(RAND())*SQRT(1))</f>
        <v>10.656658987289029</v>
      </c>
      <c r="N573" s="30">
        <f ca="1">Acciones!$C$751*EXP((I$2-I$3/2)*(1)+I$4*_xlfn.NORM.S.INV(RAND())*SQRT(1))</f>
        <v>153.70750191704926</v>
      </c>
      <c r="O573" s="30">
        <f ca="1">Acciones!$D$751*EXP((J$2-J$3/2)*(1)+J$4*_xlfn.NORM.S.INV(RAND())*SQRT(1))</f>
        <v>1010.7835688389355</v>
      </c>
      <c r="P573" s="30">
        <f ca="1">Acciones!$E$751*EXP((K$2-K$3/2)*(1)+K$4*_xlfn.NORM.S.INV(RAND())*SQRT(1))</f>
        <v>0.1195553245822657</v>
      </c>
      <c r="Q573" s="30"/>
      <c r="R573">
        <f ca="1">M573/Acciones!$B$751*$I$10 + N573/Acciones!$C$751*$I$11 + O573/Acciones!$D$751*$I$12 + P573/Acciones!$D$751*$I$13</f>
        <v>23141.073418129738</v>
      </c>
      <c r="T573" s="14">
        <f t="shared" ca="1" si="11"/>
        <v>-5358.9265818702625</v>
      </c>
      <c r="V573">
        <v>-5095.9756479229</v>
      </c>
    </row>
    <row r="574" spans="1:22" x14ac:dyDescent="0.2">
      <c r="A574" s="1">
        <f>Acciones!A574</f>
        <v>45833</v>
      </c>
      <c r="B574" s="29">
        <f>LN(Acciones!B574/Acciones!B573)</f>
        <v>4.3437174700241846E-2</v>
      </c>
      <c r="C574" s="29">
        <f>LN(Acciones!C574/Acciones!C573)</f>
        <v>6.1854048068331943E-3</v>
      </c>
      <c r="D574" s="29">
        <f>LN(Acciones!D574/Acciones!D573)</f>
        <v>-1.0090571757515262E-2</v>
      </c>
      <c r="E574" s="29">
        <f>LN(Acciones!E574/Acciones!E573)</f>
        <v>1.0118201018564484E-2</v>
      </c>
      <c r="M574" s="30">
        <f ca="1">Acciones!$B$751*EXP((H$2-H$3/2)*(1)+H$4*_xlfn.NORM.S.INV(RAND())*SQRT(1))</f>
        <v>11.120767706842614</v>
      </c>
      <c r="N574" s="30">
        <f ca="1">Acciones!$C$751*EXP((I$2-I$3/2)*(1)+I$4*_xlfn.NORM.S.INV(RAND())*SQRT(1))</f>
        <v>149.21227367671111</v>
      </c>
      <c r="O574" s="30">
        <f ca="1">Acciones!$D$751*EXP((J$2-J$3/2)*(1)+J$4*_xlfn.NORM.S.INV(RAND())*SQRT(1))</f>
        <v>1030.6140530840701</v>
      </c>
      <c r="P574" s="30">
        <f ca="1">Acciones!$E$751*EXP((K$2-K$3/2)*(1)+K$4*_xlfn.NORM.S.INV(RAND())*SQRT(1))</f>
        <v>0.1235414441336624</v>
      </c>
      <c r="Q574" s="30"/>
      <c r="R574">
        <f ca="1">M574/Acciones!$B$751*$I$10 + N574/Acciones!$C$751*$I$11 + O574/Acciones!$D$751*$I$12 + P574/Acciones!$D$751*$I$13</f>
        <v>23207.94032493679</v>
      </c>
      <c r="T574" s="14">
        <f t="shared" ca="1" si="11"/>
        <v>-5292.0596750632103</v>
      </c>
      <c r="V574">
        <v>-5092.7036915395474</v>
      </c>
    </row>
    <row r="575" spans="1:22" x14ac:dyDescent="0.2">
      <c r="A575" s="1">
        <f>Acciones!A575</f>
        <v>45834</v>
      </c>
      <c r="B575" s="29">
        <f>LN(Acciones!B575/Acciones!B574)</f>
        <v>0</v>
      </c>
      <c r="C575" s="29">
        <f>LN(Acciones!C575/Acciones!C574)</f>
        <v>1.5107321360867931E-2</v>
      </c>
      <c r="D575" s="29">
        <f>LN(Acciones!D575/Acciones!D574)</f>
        <v>2.1957736991212444E-2</v>
      </c>
      <c r="E575" s="29">
        <f>LN(Acciones!E575/Acciones!E574)</f>
        <v>3.3500437381047106E-3</v>
      </c>
      <c r="M575" s="30">
        <f ca="1">Acciones!$B$751*EXP((H$2-H$3/2)*(1)+H$4*_xlfn.NORM.S.INV(RAND())*SQRT(1))</f>
        <v>11.159886144519229</v>
      </c>
      <c r="N575" s="30">
        <f ca="1">Acciones!$C$751*EXP((I$2-I$3/2)*(1)+I$4*_xlfn.NORM.S.INV(RAND())*SQRT(1))</f>
        <v>153.31883424502945</v>
      </c>
      <c r="O575" s="30">
        <f ca="1">Acciones!$D$751*EXP((J$2-J$3/2)*(1)+J$4*_xlfn.NORM.S.INV(RAND())*SQRT(1))</f>
        <v>1029.4308949101039</v>
      </c>
      <c r="P575" s="30">
        <f ca="1">Acciones!$E$751*EXP((K$2-K$3/2)*(1)+K$4*_xlfn.NORM.S.INV(RAND())*SQRT(1))</f>
        <v>0.13380433182955759</v>
      </c>
      <c r="Q575" s="30"/>
      <c r="R575">
        <f ca="1">M575/Acciones!$B$751*$I$10 + N575/Acciones!$C$751*$I$11 + O575/Acciones!$D$751*$I$12 + P575/Acciones!$D$751*$I$13</f>
        <v>23465.102311683258</v>
      </c>
      <c r="T575" s="14">
        <f t="shared" ca="1" si="11"/>
        <v>-5034.8976883167416</v>
      </c>
      <c r="V575">
        <v>-5087.579478129137</v>
      </c>
    </row>
    <row r="576" spans="1:22" x14ac:dyDescent="0.2">
      <c r="A576" s="1">
        <f>Acciones!A576</f>
        <v>45835</v>
      </c>
      <c r="B576" s="29">
        <f>LN(Acciones!B576/Acciones!B575)</f>
        <v>-1.524534116487785E-2</v>
      </c>
      <c r="C576" s="29">
        <f>LN(Acciones!C576/Acciones!C575)</f>
        <v>-2.1434477143068915E-2</v>
      </c>
      <c r="D576" s="29">
        <f>LN(Acciones!D576/Acciones!D575)</f>
        <v>0.14519439288339961</v>
      </c>
      <c r="E576" s="29">
        <f>LN(Acciones!E576/Acciones!E575)</f>
        <v>3.3389577470609813E-3</v>
      </c>
      <c r="M576" s="30">
        <f ca="1">Acciones!$B$751*EXP((H$2-H$3/2)*(1)+H$4*_xlfn.NORM.S.INV(RAND())*SQRT(1))</f>
        <v>10.73231419592093</v>
      </c>
      <c r="N576" s="30">
        <f ca="1">Acciones!$C$751*EXP((I$2-I$3/2)*(1)+I$4*_xlfn.NORM.S.INV(RAND())*SQRT(1))</f>
        <v>157.69516551098266</v>
      </c>
      <c r="O576" s="30">
        <f ca="1">Acciones!$D$751*EXP((J$2-J$3/2)*(1)+J$4*_xlfn.NORM.S.INV(RAND())*SQRT(1))</f>
        <v>970.91890721950551</v>
      </c>
      <c r="P576" s="30">
        <f ca="1">Acciones!$E$751*EXP((K$2-K$3/2)*(1)+K$4*_xlfn.NORM.S.INV(RAND())*SQRT(1))</f>
        <v>0.14227206276357962</v>
      </c>
      <c r="Q576" s="30"/>
      <c r="R576">
        <f ca="1">M576/Acciones!$B$751*$I$10 + N576/Acciones!$C$751*$I$11 + O576/Acciones!$D$751*$I$12 + P576/Acciones!$D$751*$I$13</f>
        <v>23015.151056956645</v>
      </c>
      <c r="T576" s="14">
        <f t="shared" ca="1" si="11"/>
        <v>-5484.8489430433547</v>
      </c>
      <c r="V576">
        <v>-5087.3238873398586</v>
      </c>
    </row>
    <row r="577" spans="1:22" x14ac:dyDescent="0.2">
      <c r="A577" s="1">
        <f>Acciones!A577</f>
        <v>45838</v>
      </c>
      <c r="B577" s="29">
        <f>LN(Acciones!B577/Acciones!B576)</f>
        <v>2.1708534659449871E-2</v>
      </c>
      <c r="C577" s="29">
        <f>LN(Acciones!C577/Acciones!C576)</f>
        <v>4.4795449282245992E-2</v>
      </c>
      <c r="D577" s="29">
        <f>LN(Acciones!D577/Acciones!D576)</f>
        <v>-2.405412020748765E-2</v>
      </c>
      <c r="E577" s="29">
        <f>LN(Acciones!E577/Acciones!E576)</f>
        <v>-1.3423047181076822E-2</v>
      </c>
      <c r="M577" s="30">
        <f ca="1">Acciones!$B$751*EXP((H$2-H$3/2)*(1)+H$4*_xlfn.NORM.S.INV(RAND())*SQRT(1))</f>
        <v>10.589900241191954</v>
      </c>
      <c r="N577" s="30">
        <f ca="1">Acciones!$C$751*EXP((I$2-I$3/2)*(1)+I$4*_xlfn.NORM.S.INV(RAND())*SQRT(1))</f>
        <v>155.79287366184823</v>
      </c>
      <c r="O577" s="30">
        <f ca="1">Acciones!$D$751*EXP((J$2-J$3/2)*(1)+J$4*_xlfn.NORM.S.INV(RAND())*SQRT(1))</f>
        <v>1020.0869905241943</v>
      </c>
      <c r="P577" s="30">
        <f ca="1">Acciones!$E$751*EXP((K$2-K$3/2)*(1)+K$4*_xlfn.NORM.S.INV(RAND())*SQRT(1))</f>
        <v>0.1438314603741766</v>
      </c>
      <c r="Q577" s="30"/>
      <c r="R577">
        <f ca="1">M577/Acciones!$B$751*$I$10 + N577/Acciones!$C$751*$I$11 + O577/Acciones!$D$751*$I$12 + P577/Acciones!$D$751*$I$13</f>
        <v>23343.184799848215</v>
      </c>
      <c r="T577" s="14">
        <f t="shared" ca="1" si="11"/>
        <v>-5156.8152001517847</v>
      </c>
      <c r="V577">
        <v>-5086.5879152073285</v>
      </c>
    </row>
    <row r="578" spans="1:22" x14ac:dyDescent="0.2">
      <c r="A578" s="1">
        <f>Acciones!A578</f>
        <v>45839</v>
      </c>
      <c r="B578" s="29">
        <f>LN(Acciones!B578/Acciones!B577)</f>
        <v>3.5727336383155148E-3</v>
      </c>
      <c r="C578" s="29">
        <f>LN(Acciones!C578/Acciones!C577)</f>
        <v>1.2537321989564841E-3</v>
      </c>
      <c r="D578" s="29">
        <f>LN(Acciones!D578/Acciones!D577)</f>
        <v>3.3609206894964931E-2</v>
      </c>
      <c r="E578" s="29">
        <f>LN(Acciones!E578/Acciones!E577)</f>
        <v>3.3726410864150127E-3</v>
      </c>
      <c r="M578" s="30">
        <f ca="1">Acciones!$B$751*EXP((H$2-H$3/2)*(1)+H$4*_xlfn.NORM.S.INV(RAND())*SQRT(1))</f>
        <v>10.944396765748074</v>
      </c>
      <c r="N578" s="30">
        <f ca="1">Acciones!$C$751*EXP((I$2-I$3/2)*(1)+I$4*_xlfn.NORM.S.INV(RAND())*SQRT(1))</f>
        <v>152.02198093443749</v>
      </c>
      <c r="O578" s="30">
        <f ca="1">Acciones!$D$751*EXP((J$2-J$3/2)*(1)+J$4*_xlfn.NORM.S.INV(RAND())*SQRT(1))</f>
        <v>1021.7527944724933</v>
      </c>
      <c r="P578" s="30">
        <f ca="1">Acciones!$E$751*EXP((K$2-K$3/2)*(1)+K$4*_xlfn.NORM.S.INV(RAND())*SQRT(1))</f>
        <v>0.14642586970806792</v>
      </c>
      <c r="Q578" s="30"/>
      <c r="R578">
        <f ca="1">M578/Acciones!$B$751*$I$10 + N578/Acciones!$C$751*$I$11 + O578/Acciones!$D$751*$I$12 + P578/Acciones!$D$751*$I$13</f>
        <v>23238.160868010618</v>
      </c>
      <c r="T578" s="14">
        <f t="shared" ca="1" si="11"/>
        <v>-5261.8391319893817</v>
      </c>
      <c r="V578">
        <v>-5085.9362764147154</v>
      </c>
    </row>
    <row r="579" spans="1:22" x14ac:dyDescent="0.2">
      <c r="A579" s="1">
        <f>Acciones!A579</f>
        <v>45840</v>
      </c>
      <c r="B579" s="29">
        <f>LN(Acciones!B579/Acciones!B578)</f>
        <v>3.3663798808924186E-2</v>
      </c>
      <c r="C579" s="29">
        <f>LN(Acciones!C579/Acciones!C578)</f>
        <v>0.120901211646673</v>
      </c>
      <c r="D579" s="29">
        <f>LN(Acciones!D579/Acciones!D578)</f>
        <v>4.376941570723341E-2</v>
      </c>
      <c r="E579" s="29">
        <f>LN(Acciones!E579/Acciones!E578)</f>
        <v>1.0050406094661905E-2</v>
      </c>
      <c r="M579" s="30">
        <f ca="1">Acciones!$B$751*EXP((H$2-H$3/2)*(1)+H$4*_xlfn.NORM.S.INV(RAND())*SQRT(1))</f>
        <v>10.862911204828542</v>
      </c>
      <c r="N579" s="30">
        <f ca="1">Acciones!$C$751*EXP((I$2-I$3/2)*(1)+I$4*_xlfn.NORM.S.INV(RAND())*SQRT(1))</f>
        <v>156.31059061585853</v>
      </c>
      <c r="O579" s="30">
        <f ca="1">Acciones!$D$751*EXP((J$2-J$3/2)*(1)+J$4*_xlfn.NORM.S.INV(RAND())*SQRT(1))</f>
        <v>981.75373508562302</v>
      </c>
      <c r="P579" s="30">
        <f ca="1">Acciones!$E$751*EXP((K$2-K$3/2)*(1)+K$4*_xlfn.NORM.S.INV(RAND())*SQRT(1))</f>
        <v>0.12325183199285959</v>
      </c>
      <c r="Q579" s="30"/>
      <c r="R579">
        <f ca="1">M579/Acciones!$B$751*$I$10 + N579/Acciones!$C$751*$I$11 + O579/Acciones!$D$751*$I$12 + P579/Acciones!$D$751*$I$13</f>
        <v>23079.018298772757</v>
      </c>
      <c r="T579" s="14">
        <f t="shared" ca="1" si="11"/>
        <v>-5420.9817012272433</v>
      </c>
      <c r="V579">
        <v>-5085.0669684465756</v>
      </c>
    </row>
    <row r="580" spans="1:22" x14ac:dyDescent="0.2">
      <c r="A580" s="1">
        <f>Acciones!A580</f>
        <v>45841</v>
      </c>
      <c r="B580" s="29">
        <f>LN(Acciones!B580/Acciones!B579)</f>
        <v>-1.458869224493858E-2</v>
      </c>
      <c r="C580" s="29">
        <f>LN(Acciones!C580/Acciones!C579)</f>
        <v>-1.5879350674674306E-2</v>
      </c>
      <c r="D580" s="29">
        <f>LN(Acciones!D580/Acciones!D579)</f>
        <v>-7.6843387128922615E-3</v>
      </c>
      <c r="E580" s="29">
        <f>LN(Acciones!E580/Acciones!E579)</f>
        <v>-6.6890014851658085E-3</v>
      </c>
      <c r="M580" s="30">
        <f ca="1">Acciones!$B$751*EXP((H$2-H$3/2)*(1)+H$4*_xlfn.NORM.S.INV(RAND())*SQRT(1))</f>
        <v>11.12563990612971</v>
      </c>
      <c r="N580" s="30">
        <f ca="1">Acciones!$C$751*EXP((I$2-I$3/2)*(1)+I$4*_xlfn.NORM.S.INV(RAND())*SQRT(1))</f>
        <v>150.7039636097158</v>
      </c>
      <c r="O580" s="30">
        <f ca="1">Acciones!$D$751*EXP((J$2-J$3/2)*(1)+J$4*_xlfn.NORM.S.INV(RAND())*SQRT(1))</f>
        <v>1002.5323102674726</v>
      </c>
      <c r="P580" s="30">
        <f ca="1">Acciones!$E$751*EXP((K$2-K$3/2)*(1)+K$4*_xlfn.NORM.S.INV(RAND())*SQRT(1))</f>
        <v>0.1282598169173553</v>
      </c>
      <c r="Q580" s="30"/>
      <c r="R580">
        <f ca="1">M580/Acciones!$B$751*$I$10 + N580/Acciones!$C$751*$I$11 + O580/Acciones!$D$751*$I$12 + P580/Acciones!$D$751*$I$13</f>
        <v>23021.389334272382</v>
      </c>
      <c r="T580" s="14">
        <f t="shared" ca="1" si="11"/>
        <v>-5478.6106657276177</v>
      </c>
      <c r="V580">
        <v>-5082.7957089134361</v>
      </c>
    </row>
    <row r="581" spans="1:22" x14ac:dyDescent="0.2">
      <c r="A581" s="1">
        <f>Acciones!A581</f>
        <v>45842</v>
      </c>
      <c r="B581" s="29">
        <f>LN(Acciones!B581/Acciones!B580)</f>
        <v>-4.9105333775821668E-3</v>
      </c>
      <c r="C581" s="29">
        <f>LN(Acciones!C581/Acciones!C580)</f>
        <v>4.5323664456119565E-3</v>
      </c>
      <c r="D581" s="29">
        <f>LN(Acciones!D581/Acciones!D580)</f>
        <v>2.1016382994628485E-3</v>
      </c>
      <c r="E581" s="29">
        <f>LN(Acciones!E581/Acciones!E580)</f>
        <v>0</v>
      </c>
      <c r="M581" s="30">
        <f ca="1">Acciones!$B$751*EXP((H$2-H$3/2)*(1)+H$4*_xlfn.NORM.S.INV(RAND())*SQRT(1))</f>
        <v>10.999227711624355</v>
      </c>
      <c r="N581" s="30">
        <f ca="1">Acciones!$C$751*EXP((I$2-I$3/2)*(1)+I$4*_xlfn.NORM.S.INV(RAND())*SQRT(1))</f>
        <v>154.29622725178123</v>
      </c>
      <c r="O581" s="30">
        <f ca="1">Acciones!$D$751*EXP((J$2-J$3/2)*(1)+J$4*_xlfn.NORM.S.INV(RAND())*SQRT(1))</f>
        <v>1033.9336888848632</v>
      </c>
      <c r="P581" s="30">
        <f ca="1">Acciones!$E$751*EXP((K$2-K$3/2)*(1)+K$4*_xlfn.NORM.S.INV(RAND())*SQRT(1))</f>
        <v>0.13401947328496386</v>
      </c>
      <c r="Q581" s="30"/>
      <c r="R581">
        <f ca="1">M581/Acciones!$B$751*$I$10 + N581/Acciones!$C$751*$I$11 + O581/Acciones!$D$751*$I$12 + P581/Acciones!$D$751*$I$13</f>
        <v>23519.691959706586</v>
      </c>
      <c r="T581" s="14">
        <f t="shared" ca="1" si="11"/>
        <v>-4980.3080402934138</v>
      </c>
      <c r="V581">
        <v>-5080.0868506264087</v>
      </c>
    </row>
    <row r="582" spans="1:22" x14ac:dyDescent="0.2">
      <c r="A582" s="1">
        <f>Acciones!A582</f>
        <v>45845</v>
      </c>
      <c r="B582" s="29">
        <f>LN(Acciones!B582/Acciones!B581)</f>
        <v>-1.9887090028775815E-2</v>
      </c>
      <c r="C582" s="29">
        <f>LN(Acciones!C582/Acciones!C581)</f>
        <v>-6.1328531760598104E-2</v>
      </c>
      <c r="D582" s="29">
        <f>LN(Acciones!D582/Acciones!D581)</f>
        <v>-1.1133558189759135E-3</v>
      </c>
      <c r="E582" s="29">
        <f>LN(Acciones!E582/Acciones!E581)</f>
        <v>-1.0118201018564347E-2</v>
      </c>
      <c r="M582" s="30">
        <f ca="1">Acciones!$B$751*EXP((H$2-H$3/2)*(1)+H$4*_xlfn.NORM.S.INV(RAND())*SQRT(1))</f>
        <v>10.751968005394783</v>
      </c>
      <c r="N582" s="30">
        <f ca="1">Acciones!$C$751*EXP((I$2-I$3/2)*(1)+I$4*_xlfn.NORM.S.INV(RAND())*SQRT(1))</f>
        <v>153.63059520599919</v>
      </c>
      <c r="O582" s="30">
        <f ca="1">Acciones!$D$751*EXP((J$2-J$3/2)*(1)+J$4*_xlfn.NORM.S.INV(RAND())*SQRT(1))</f>
        <v>1015.9091330430908</v>
      </c>
      <c r="P582" s="30">
        <f ca="1">Acciones!$E$751*EXP((K$2-K$3/2)*(1)+K$4*_xlfn.NORM.S.INV(RAND())*SQRT(1))</f>
        <v>0.13075822823315394</v>
      </c>
      <c r="Q582" s="30"/>
      <c r="R582">
        <f ca="1">M582/Acciones!$B$751*$I$10 + N582/Acciones!$C$751*$I$11 + O582/Acciones!$D$751*$I$12 + P582/Acciones!$D$751*$I$13</f>
        <v>23218.248806985524</v>
      </c>
      <c r="T582" s="14">
        <f t="shared" ref="T582:T645" ca="1" si="12">R582-$I$14</f>
        <v>-5281.7511930144756</v>
      </c>
      <c r="V582">
        <v>-5075.6573663083036</v>
      </c>
    </row>
    <row r="583" spans="1:22" x14ac:dyDescent="0.2">
      <c r="A583" s="1">
        <f>Acciones!A583</f>
        <v>45846</v>
      </c>
      <c r="B583" s="29">
        <f>LN(Acciones!B583/Acciones!B582)</f>
        <v>-1.7366625420771185E-2</v>
      </c>
      <c r="C583" s="29">
        <f>LN(Acciones!C583/Acciones!C582)</f>
        <v>3.5441747635100537E-2</v>
      </c>
      <c r="D583" s="29">
        <f>LN(Acciones!D583/Acciones!D582)</f>
        <v>-3.7553289015000088E-2</v>
      </c>
      <c r="E583" s="29">
        <f>LN(Acciones!E583/Acciones!E582)</f>
        <v>-3.800104098711389E-2</v>
      </c>
      <c r="M583" s="30">
        <f ca="1">Acciones!$B$751*EXP((H$2-H$3/2)*(1)+H$4*_xlfn.NORM.S.INV(RAND())*SQRT(1))</f>
        <v>11.435240935700023</v>
      </c>
      <c r="N583" s="30">
        <f ca="1">Acciones!$C$751*EXP((I$2-I$3/2)*(1)+I$4*_xlfn.NORM.S.INV(RAND())*SQRT(1))</f>
        <v>150.68692437826064</v>
      </c>
      <c r="O583" s="30">
        <f ca="1">Acciones!$D$751*EXP((J$2-J$3/2)*(1)+J$4*_xlfn.NORM.S.INV(RAND())*SQRT(1))</f>
        <v>1001.7252472714447</v>
      </c>
      <c r="P583" s="30">
        <f ca="1">Acciones!$E$751*EXP((K$2-K$3/2)*(1)+K$4*_xlfn.NORM.S.INV(RAND())*SQRT(1))</f>
        <v>0.12931748404140894</v>
      </c>
      <c r="Q583" s="30"/>
      <c r="R583">
        <f ca="1">M583/Acciones!$B$751*$I$10 + N583/Acciones!$C$751*$I$11 + O583/Acciones!$D$751*$I$12 + P583/Acciones!$D$751*$I$13</f>
        <v>23111.569426109563</v>
      </c>
      <c r="T583" s="14">
        <f t="shared" ca="1" si="12"/>
        <v>-5388.4305738904368</v>
      </c>
      <c r="V583">
        <v>-5075.3920590628077</v>
      </c>
    </row>
    <row r="584" spans="1:22" x14ac:dyDescent="0.2">
      <c r="A584" s="1">
        <f>Acciones!A584</f>
        <v>45847</v>
      </c>
      <c r="B584" s="29">
        <f>LN(Acciones!B584/Acciones!B583)</f>
        <v>-1.1009147544005695E-2</v>
      </c>
      <c r="C584" s="29">
        <f>LN(Acciones!C584/Acciones!C583)</f>
        <v>6.309309724183311E-2</v>
      </c>
      <c r="D584" s="29">
        <f>LN(Acciones!D584/Acciones!D583)</f>
        <v>-3.5340907638611654E-3</v>
      </c>
      <c r="E584" s="29">
        <f>LN(Acciones!E584/Acciones!E583)</f>
        <v>1.0507946519291066E-2</v>
      </c>
      <c r="M584" s="30">
        <f ca="1">Acciones!$B$751*EXP((H$2-H$3/2)*(1)+H$4*_xlfn.NORM.S.INV(RAND())*SQRT(1))</f>
        <v>10.918256281355555</v>
      </c>
      <c r="N584" s="30">
        <f ca="1">Acciones!$C$751*EXP((I$2-I$3/2)*(1)+I$4*_xlfn.NORM.S.INV(RAND())*SQRT(1))</f>
        <v>154.65798837367072</v>
      </c>
      <c r="O584" s="30">
        <f ca="1">Acciones!$D$751*EXP((J$2-J$3/2)*(1)+J$4*_xlfn.NORM.S.INV(RAND())*SQRT(1))</f>
        <v>956.80042368896181</v>
      </c>
      <c r="P584" s="30">
        <f ca="1">Acciones!$E$751*EXP((K$2-K$3/2)*(1)+K$4*_xlfn.NORM.S.INV(RAND())*SQRT(1))</f>
        <v>0.12737103293230023</v>
      </c>
      <c r="Q584" s="30"/>
      <c r="R584">
        <f ca="1">M584/Acciones!$B$751*$I$10 + N584/Acciones!$C$751*$I$11 + O584/Acciones!$D$751*$I$12 + P584/Acciones!$D$751*$I$13</f>
        <v>22743.667217280119</v>
      </c>
      <c r="T584" s="14">
        <f t="shared" ca="1" si="12"/>
        <v>-5756.3327827198809</v>
      </c>
      <c r="V584">
        <v>-5071.6312387637881</v>
      </c>
    </row>
    <row r="585" spans="1:22" x14ac:dyDescent="0.2">
      <c r="A585" s="1">
        <f>Acciones!A585</f>
        <v>45848</v>
      </c>
      <c r="B585" s="29">
        <f>LN(Acciones!B585/Acciones!B584)</f>
        <v>-2.2389079882240242E-2</v>
      </c>
      <c r="C585" s="29">
        <f>LN(Acciones!C585/Acciones!C584)</f>
        <v>2.5435490233323407E-2</v>
      </c>
      <c r="D585" s="29">
        <f>LN(Acciones!D585/Acciones!D584)</f>
        <v>1.5032971606608747E-2</v>
      </c>
      <c r="E585" s="29">
        <f>LN(Acciones!E585/Acciones!E584)</f>
        <v>-3.1861114021886724E-2</v>
      </c>
      <c r="M585" s="30">
        <f ca="1">Acciones!$B$751*EXP((H$2-H$3/2)*(1)+H$4*_xlfn.NORM.S.INV(RAND())*SQRT(1))</f>
        <v>10.998301692817339</v>
      </c>
      <c r="N585" s="30">
        <f ca="1">Acciones!$C$751*EXP((I$2-I$3/2)*(1)+I$4*_xlfn.NORM.S.INV(RAND())*SQRT(1))</f>
        <v>136.47048316761402</v>
      </c>
      <c r="O585" s="30">
        <f ca="1">Acciones!$D$751*EXP((J$2-J$3/2)*(1)+J$4*_xlfn.NORM.S.INV(RAND())*SQRT(1))</f>
        <v>1051.3600369558358</v>
      </c>
      <c r="P585" s="30">
        <f ca="1">Acciones!$E$751*EXP((K$2-K$3/2)*(1)+K$4*_xlfn.NORM.S.INV(RAND())*SQRT(1))</f>
        <v>0.12631548531444184</v>
      </c>
      <c r="Q585" s="30"/>
      <c r="R585">
        <f ca="1">M585/Acciones!$B$751*$I$10 + N585/Acciones!$C$751*$I$11 + O585/Acciones!$D$751*$I$12 + P585/Acciones!$D$751*$I$13</f>
        <v>22580.891505921154</v>
      </c>
      <c r="T585" s="14">
        <f t="shared" ca="1" si="12"/>
        <v>-5919.108494078846</v>
      </c>
      <c r="V585">
        <v>-5068.3524614179114</v>
      </c>
    </row>
    <row r="586" spans="1:22" x14ac:dyDescent="0.2">
      <c r="A586" s="1">
        <f>Acciones!A586</f>
        <v>45849</v>
      </c>
      <c r="B586" s="29">
        <f>LN(Acciones!B586/Acciones!B585)</f>
        <v>3.0142678562602491E-3</v>
      </c>
      <c r="C586" s="29">
        <f>LN(Acciones!C586/Acciones!C585)</f>
        <v>1.2605811720670537E-2</v>
      </c>
      <c r="D586" s="29">
        <f>LN(Acciones!D586/Acciones!D585)</f>
        <v>-2.6005740008245702E-2</v>
      </c>
      <c r="E586" s="29">
        <f>LN(Acciones!E586/Acciones!E585)</f>
        <v>-2.9199104664383722E-2</v>
      </c>
      <c r="M586" s="30">
        <f ca="1">Acciones!$B$751*EXP((H$2-H$3/2)*(1)+H$4*_xlfn.NORM.S.INV(RAND())*SQRT(1))</f>
        <v>10.999040687964243</v>
      </c>
      <c r="N586" s="30">
        <f ca="1">Acciones!$C$751*EXP((I$2-I$3/2)*(1)+I$4*_xlfn.NORM.S.INV(RAND())*SQRT(1))</f>
        <v>163.68596029514381</v>
      </c>
      <c r="O586" s="30">
        <f ca="1">Acciones!$D$751*EXP((J$2-J$3/2)*(1)+J$4*_xlfn.NORM.S.INV(RAND())*SQRT(1))</f>
        <v>1031.2014498912815</v>
      </c>
      <c r="P586" s="30">
        <f ca="1">Acciones!$E$751*EXP((K$2-K$3/2)*(1)+K$4*_xlfn.NORM.S.INV(RAND())*SQRT(1))</f>
        <v>0.12516373019392776</v>
      </c>
      <c r="Q586" s="30"/>
      <c r="R586">
        <f ca="1">M586/Acciones!$B$751*$I$10 + N586/Acciones!$C$751*$I$11 + O586/Acciones!$D$751*$I$12 + P586/Acciones!$D$751*$I$13</f>
        <v>24078.495675206137</v>
      </c>
      <c r="T586" s="14">
        <f t="shared" ca="1" si="12"/>
        <v>-4421.5043247938629</v>
      </c>
      <c r="V586">
        <v>-5065.3874401794492</v>
      </c>
    </row>
    <row r="587" spans="1:22" x14ac:dyDescent="0.2">
      <c r="A587" s="1">
        <f>Acciones!A587</f>
        <v>45852</v>
      </c>
      <c r="B587" s="29">
        <f>LN(Acciones!B587/Acciones!B586)</f>
        <v>-6.7949432880009663E-3</v>
      </c>
      <c r="C587" s="29">
        <f>LN(Acciones!C587/Acciones!C586)</f>
        <v>7.0688079231756799E-3</v>
      </c>
      <c r="D587" s="29">
        <f>LN(Acciones!D587/Acciones!D586)</f>
        <v>-3.6968795832280034E-3</v>
      </c>
      <c r="E587" s="29">
        <f>LN(Acciones!E587/Acciones!E586)</f>
        <v>-2.626792304338596E-2</v>
      </c>
      <c r="M587" s="30">
        <f ca="1">Acciones!$B$751*EXP((H$2-H$3/2)*(1)+H$4*_xlfn.NORM.S.INV(RAND())*SQRT(1))</f>
        <v>10.622698182343679</v>
      </c>
      <c r="N587" s="30">
        <f ca="1">Acciones!$C$751*EXP((I$2-I$3/2)*(1)+I$4*_xlfn.NORM.S.INV(RAND())*SQRT(1))</f>
        <v>161.85498192299377</v>
      </c>
      <c r="O587" s="30">
        <f ca="1">Acciones!$D$751*EXP((J$2-J$3/2)*(1)+J$4*_xlfn.NORM.S.INV(RAND())*SQRT(1))</f>
        <v>952.50202893495145</v>
      </c>
      <c r="P587" s="30">
        <f ca="1">Acciones!$E$751*EXP((K$2-K$3/2)*(1)+K$4*_xlfn.NORM.S.INV(RAND())*SQRT(1))</f>
        <v>0.11787996000744438</v>
      </c>
      <c r="Q587" s="30"/>
      <c r="R587">
        <f ca="1">M587/Acciones!$B$751*$I$10 + N587/Acciones!$C$751*$I$11 + O587/Acciones!$D$751*$I$12 + P587/Acciones!$D$751*$I$13</f>
        <v>23055.112041936307</v>
      </c>
      <c r="T587" s="14">
        <f t="shared" ca="1" si="12"/>
        <v>-5444.8879580636931</v>
      </c>
      <c r="V587">
        <v>-5064.4480860131989</v>
      </c>
    </row>
    <row r="588" spans="1:22" x14ac:dyDescent="0.2">
      <c r="A588" s="1">
        <f>Acciones!A588</f>
        <v>45853</v>
      </c>
      <c r="B588" s="29">
        <f>LN(Acciones!B588/Acciones!B587)</f>
        <v>1.8018412579864647E-2</v>
      </c>
      <c r="C588" s="29">
        <f>LN(Acciones!C588/Acciones!C587)</f>
        <v>-1.1724358359599799E-2</v>
      </c>
      <c r="D588" s="29">
        <f>LN(Acciones!D588/Acciones!D587)</f>
        <v>5.1717591205757071E-3</v>
      </c>
      <c r="E588" s="29">
        <f>LN(Acciones!E588/Acciones!E587)</f>
        <v>4.4617043649567839E-2</v>
      </c>
      <c r="M588" s="30">
        <f ca="1">Acciones!$B$751*EXP((H$2-H$3/2)*(1)+H$4*_xlfn.NORM.S.INV(RAND())*SQRT(1))</f>
        <v>10.802420955091755</v>
      </c>
      <c r="N588" s="30">
        <f ca="1">Acciones!$C$751*EXP((I$2-I$3/2)*(1)+I$4*_xlfn.NORM.S.INV(RAND())*SQRT(1))</f>
        <v>176.15900159733312</v>
      </c>
      <c r="O588" s="30">
        <f ca="1">Acciones!$D$751*EXP((J$2-J$3/2)*(1)+J$4*_xlfn.NORM.S.INV(RAND())*SQRT(1))</f>
        <v>1040.4948695284702</v>
      </c>
      <c r="P588" s="30">
        <f ca="1">Acciones!$E$751*EXP((K$2-K$3/2)*(1)+K$4*_xlfn.NORM.S.INV(RAND())*SQRT(1))</f>
        <v>0.12575957720524361</v>
      </c>
      <c r="Q588" s="30"/>
      <c r="R588">
        <f ca="1">M588/Acciones!$B$751*$I$10 + N588/Acciones!$C$751*$I$11 + O588/Acciones!$D$751*$I$12 + P588/Acciones!$D$751*$I$13</f>
        <v>24887.305472583452</v>
      </c>
      <c r="T588" s="14">
        <f t="shared" ca="1" si="12"/>
        <v>-3612.6945274165482</v>
      </c>
      <c r="V588">
        <v>-5062.9580561253024</v>
      </c>
    </row>
    <row r="589" spans="1:22" x14ac:dyDescent="0.2">
      <c r="A589" s="1">
        <f>Acciones!A589</f>
        <v>45854</v>
      </c>
      <c r="B589" s="29">
        <f>LN(Acciones!B589/Acciones!B588)</f>
        <v>8.1513427341162719E-3</v>
      </c>
      <c r="C589" s="29">
        <f>LN(Acciones!C589/Acciones!C588)</f>
        <v>3.1348287476801691E-2</v>
      </c>
      <c r="D589" s="29">
        <f>LN(Acciones!D589/Acciones!D588)</f>
        <v>-3.6913307018331342E-3</v>
      </c>
      <c r="E589" s="29">
        <f>LN(Acciones!E589/Acciones!E588)</f>
        <v>0</v>
      </c>
      <c r="M589" s="30">
        <f ca="1">Acciones!$B$751*EXP((H$2-H$3/2)*(1)+H$4*_xlfn.NORM.S.INV(RAND())*SQRT(1))</f>
        <v>11.125956760488179</v>
      </c>
      <c r="N589" s="30">
        <f ca="1">Acciones!$C$751*EXP((I$2-I$3/2)*(1)+I$4*_xlfn.NORM.S.INV(RAND())*SQRT(1))</f>
        <v>134.93239635493541</v>
      </c>
      <c r="O589" s="30">
        <f ca="1">Acciones!$D$751*EXP((J$2-J$3/2)*(1)+J$4*_xlfn.NORM.S.INV(RAND())*SQRT(1))</f>
        <v>992.37998722952716</v>
      </c>
      <c r="P589" s="30">
        <f ca="1">Acciones!$E$751*EXP((K$2-K$3/2)*(1)+K$4*_xlfn.NORM.S.INV(RAND())*SQRT(1))</f>
        <v>0.13102219660388309</v>
      </c>
      <c r="Q589" s="30"/>
      <c r="R589">
        <f ca="1">M589/Acciones!$B$751*$I$10 + N589/Acciones!$C$751*$I$11 + O589/Acciones!$D$751*$I$12 + P589/Acciones!$D$751*$I$13</f>
        <v>21935.064998794631</v>
      </c>
      <c r="T589" s="14">
        <f t="shared" ca="1" si="12"/>
        <v>-6564.9350012053692</v>
      </c>
      <c r="V589">
        <v>-5059.9703188077146</v>
      </c>
    </row>
    <row r="590" spans="1:22" x14ac:dyDescent="0.2">
      <c r="A590" s="1">
        <f>Acciones!A590</f>
        <v>45855</v>
      </c>
      <c r="B590" s="29">
        <f>LN(Acciones!B590/Acciones!B589)</f>
        <v>-3.2248844452149927E-2</v>
      </c>
      <c r="C590" s="29">
        <f>LN(Acciones!C590/Acciones!C589)</f>
        <v>2.4234535424412732E-2</v>
      </c>
      <c r="D590" s="29">
        <f>LN(Acciones!D590/Acciones!D589)</f>
        <v>1.3955471016822447E-2</v>
      </c>
      <c r="E590" s="29">
        <f>LN(Acciones!E590/Acciones!E589)</f>
        <v>3.6297213249358458E-3</v>
      </c>
      <c r="M590" s="30">
        <f ca="1">Acciones!$B$751*EXP((H$2-H$3/2)*(1)+H$4*_xlfn.NORM.S.INV(RAND())*SQRT(1))</f>
        <v>10.658977780269749</v>
      </c>
      <c r="N590" s="30">
        <f ca="1">Acciones!$C$751*EXP((I$2-I$3/2)*(1)+I$4*_xlfn.NORM.S.INV(RAND())*SQRT(1))</f>
        <v>142.70380853215138</v>
      </c>
      <c r="O590" s="30">
        <f ca="1">Acciones!$D$751*EXP((J$2-J$3/2)*(1)+J$4*_xlfn.NORM.S.INV(RAND())*SQRT(1))</f>
        <v>1012.3167655567074</v>
      </c>
      <c r="P590" s="30">
        <f ca="1">Acciones!$E$751*EXP((K$2-K$3/2)*(1)+K$4*_xlfn.NORM.S.INV(RAND())*SQRT(1))</f>
        <v>0.13078923267517983</v>
      </c>
      <c r="Q590" s="30"/>
      <c r="R590">
        <f ca="1">M590/Acciones!$B$751*$I$10 + N590/Acciones!$C$751*$I$11 + O590/Acciones!$D$751*$I$12 + P590/Acciones!$D$751*$I$13</f>
        <v>22470.183491894495</v>
      </c>
      <c r="T590" s="14">
        <f t="shared" ca="1" si="12"/>
        <v>-6029.8165081055049</v>
      </c>
      <c r="V590">
        <v>-5054.198183840952</v>
      </c>
    </row>
    <row r="591" spans="1:22" x14ac:dyDescent="0.2">
      <c r="A591" s="1">
        <f>Acciones!A591</f>
        <v>45856</v>
      </c>
      <c r="B591" s="29">
        <f>LN(Acciones!B591/Acciones!B590)</f>
        <v>1.5233150328202304E-3</v>
      </c>
      <c r="C591" s="29">
        <f>LN(Acciones!C591/Acciones!C590)</f>
        <v>-2.3303089589957346E-2</v>
      </c>
      <c r="D591" s="29">
        <f>LN(Acciones!D591/Acciones!D590)</f>
        <v>-1.173162516153043E-2</v>
      </c>
      <c r="E591" s="29">
        <f>LN(Acciones!E591/Acciones!E590)</f>
        <v>-1.8282027704183548E-2</v>
      </c>
      <c r="M591" s="30">
        <f ca="1">Acciones!$B$751*EXP((H$2-H$3/2)*(1)+H$4*_xlfn.NORM.S.INV(RAND())*SQRT(1))</f>
        <v>10.944952021969041</v>
      </c>
      <c r="N591" s="30">
        <f ca="1">Acciones!$C$751*EXP((I$2-I$3/2)*(1)+I$4*_xlfn.NORM.S.INV(RAND())*SQRT(1))</f>
        <v>153.47544676370487</v>
      </c>
      <c r="O591" s="30">
        <f ca="1">Acciones!$D$751*EXP((J$2-J$3/2)*(1)+J$4*_xlfn.NORM.S.INV(RAND())*SQRT(1))</f>
        <v>1000.7266557182653</v>
      </c>
      <c r="P591" s="30">
        <f ca="1">Acciones!$E$751*EXP((K$2-K$3/2)*(1)+K$4*_xlfn.NORM.S.INV(RAND())*SQRT(1))</f>
        <v>0.1295380532777565</v>
      </c>
      <c r="Q591" s="30"/>
      <c r="R591">
        <f ca="1">M591/Acciones!$B$751*$I$10 + N591/Acciones!$C$751*$I$11 + O591/Acciones!$D$751*$I$12 + P591/Acciones!$D$751*$I$13</f>
        <v>23118.391236566502</v>
      </c>
      <c r="T591" s="14">
        <f t="shared" ca="1" si="12"/>
        <v>-5381.6087634334981</v>
      </c>
      <c r="V591">
        <v>-5053.5637778008677</v>
      </c>
    </row>
    <row r="592" spans="1:22" x14ac:dyDescent="0.2">
      <c r="A592" s="1">
        <f>Acciones!A592</f>
        <v>45859</v>
      </c>
      <c r="B592" s="29">
        <f>LN(Acciones!B592/Acciones!B591)</f>
        <v>-1.1481263432889884E-2</v>
      </c>
      <c r="C592" s="29">
        <f>LN(Acciones!C592/Acciones!C591)</f>
        <v>-4.1342431131392098E-2</v>
      </c>
      <c r="D592" s="29">
        <f>LN(Acciones!D592/Acciones!D591)</f>
        <v>2.1884071348228909E-2</v>
      </c>
      <c r="E592" s="29">
        <f>LN(Acciones!E592/Acciones!E591)</f>
        <v>0.15045381829505078</v>
      </c>
      <c r="M592" s="30">
        <f ca="1">Acciones!$B$751*EXP((H$2-H$3/2)*(1)+H$4*_xlfn.NORM.S.INV(RAND())*SQRT(1))</f>
        <v>10.484599178922265</v>
      </c>
      <c r="N592" s="30">
        <f ca="1">Acciones!$C$751*EXP((I$2-I$3/2)*(1)+I$4*_xlfn.NORM.S.INV(RAND())*SQRT(1))</f>
        <v>157.40074702302758</v>
      </c>
      <c r="O592" s="30">
        <f ca="1">Acciones!$D$751*EXP((J$2-J$3/2)*(1)+J$4*_xlfn.NORM.S.INV(RAND())*SQRT(1))</f>
        <v>975.27708146825012</v>
      </c>
      <c r="P592" s="30">
        <f ca="1">Acciones!$E$751*EXP((K$2-K$3/2)*(1)+K$4*_xlfn.NORM.S.INV(RAND())*SQRT(1))</f>
        <v>0.12820593750743478</v>
      </c>
      <c r="Q592" s="30"/>
      <c r="R592">
        <f ca="1">M592/Acciones!$B$751*$I$10 + N592/Acciones!$C$751*$I$11 + O592/Acciones!$D$751*$I$12 + P592/Acciones!$D$751*$I$13</f>
        <v>22960.875272327827</v>
      </c>
      <c r="T592" s="14">
        <f t="shared" ca="1" si="12"/>
        <v>-5539.1247276721733</v>
      </c>
      <c r="V592">
        <v>-5052.4018706697098</v>
      </c>
    </row>
    <row r="593" spans="1:22" x14ac:dyDescent="0.2">
      <c r="A593" s="1">
        <f>Acciones!A593</f>
        <v>45860</v>
      </c>
      <c r="B593" s="29">
        <f>LN(Acciones!B593/Acciones!B592)</f>
        <v>2.2831980826239651E-2</v>
      </c>
      <c r="C593" s="29">
        <f>LN(Acciones!C593/Acciones!C592)</f>
        <v>5.3210674555216532E-2</v>
      </c>
      <c r="D593" s="29">
        <f>LN(Acciones!D593/Acciones!D592)</f>
        <v>1.7180280312990515E-2</v>
      </c>
      <c r="E593" s="29">
        <f>LN(Acciones!E593/Acciones!E592)</f>
        <v>-7.9249334590217352E-2</v>
      </c>
      <c r="M593" s="30">
        <f ca="1">Acciones!$B$751*EXP((H$2-H$3/2)*(1)+H$4*_xlfn.NORM.S.INV(RAND())*SQRT(1))</f>
        <v>10.781354340077986</v>
      </c>
      <c r="N593" s="30">
        <f ca="1">Acciones!$C$751*EXP((I$2-I$3/2)*(1)+I$4*_xlfn.NORM.S.INV(RAND())*SQRT(1))</f>
        <v>144.16450368759715</v>
      </c>
      <c r="O593" s="30">
        <f ca="1">Acciones!$D$751*EXP((J$2-J$3/2)*(1)+J$4*_xlfn.NORM.S.INV(RAND())*SQRT(1))</f>
        <v>949.45617840114801</v>
      </c>
      <c r="P593" s="30">
        <f ca="1">Acciones!$E$751*EXP((K$2-K$3/2)*(1)+K$4*_xlfn.NORM.S.INV(RAND())*SQRT(1))</f>
        <v>0.1216003563529728</v>
      </c>
      <c r="Q593" s="30"/>
      <c r="R593">
        <f ca="1">M593/Acciones!$B$751*$I$10 + N593/Acciones!$C$751*$I$11 + O593/Acciones!$D$751*$I$12 + P593/Acciones!$D$751*$I$13</f>
        <v>21970.957038184242</v>
      </c>
      <c r="T593" s="14">
        <f t="shared" ca="1" si="12"/>
        <v>-6529.0429618157577</v>
      </c>
      <c r="V593">
        <v>-5052.2998696321592</v>
      </c>
    </row>
    <row r="594" spans="1:22" x14ac:dyDescent="0.2">
      <c r="A594" s="1">
        <f>Acciones!A594</f>
        <v>45861</v>
      </c>
      <c r="B594" s="29">
        <f>LN(Acciones!B594/Acciones!B593)</f>
        <v>8.2428930240730901E-3</v>
      </c>
      <c r="C594" s="29">
        <f>LN(Acciones!C594/Acciones!C593)</f>
        <v>-0.13209818772195966</v>
      </c>
      <c r="D594" s="29">
        <f>LN(Acciones!D594/Acciones!D593)</f>
        <v>9.7886866422378233E-3</v>
      </c>
      <c r="E594" s="29">
        <f>LN(Acciones!E594/Acciones!E593)</f>
        <v>2.7120259978994799E-2</v>
      </c>
      <c r="M594" s="30">
        <f ca="1">Acciones!$B$751*EXP((H$2-H$3/2)*(1)+H$4*_xlfn.NORM.S.INV(RAND())*SQRT(1))</f>
        <v>10.984496810853628</v>
      </c>
      <c r="N594" s="30">
        <f ca="1">Acciones!$C$751*EXP((I$2-I$3/2)*(1)+I$4*_xlfn.NORM.S.INV(RAND())*SQRT(1))</f>
        <v>148.48843498674185</v>
      </c>
      <c r="O594" s="30">
        <f ca="1">Acciones!$D$751*EXP((J$2-J$3/2)*(1)+J$4*_xlfn.NORM.S.INV(RAND())*SQRT(1))</f>
        <v>966.22915689872036</v>
      </c>
      <c r="P594" s="30">
        <f ca="1">Acciones!$E$751*EXP((K$2-K$3/2)*(1)+K$4*_xlfn.NORM.S.INV(RAND())*SQRT(1))</f>
        <v>0.12362504968013885</v>
      </c>
      <c r="Q594" s="30"/>
      <c r="R594">
        <f ca="1">M594/Acciones!$B$751*$I$10 + N594/Acciones!$C$751*$I$11 + O594/Acciones!$D$751*$I$12 + P594/Acciones!$D$751*$I$13</f>
        <v>22474.122244717011</v>
      </c>
      <c r="T594" s="14">
        <f t="shared" ca="1" si="12"/>
        <v>-6025.8777552829888</v>
      </c>
      <c r="V594">
        <v>-5049.5605800169687</v>
      </c>
    </row>
    <row r="595" spans="1:22" x14ac:dyDescent="0.2">
      <c r="A595" s="1">
        <f>Acciones!A595</f>
        <v>45862</v>
      </c>
      <c r="B595" s="29">
        <f>LN(Acciones!B595/Acciones!B594)</f>
        <v>7.4349584174265874E-3</v>
      </c>
      <c r="C595" s="29">
        <f>LN(Acciones!C595/Acciones!C594)</f>
        <v>-7.2835979529474451E-3</v>
      </c>
      <c r="D595" s="29">
        <f>LN(Acciones!D595/Acciones!D594)</f>
        <v>-1.6925632803512766E-2</v>
      </c>
      <c r="E595" s="29">
        <f>LN(Acciones!E595/Acciones!E594)</f>
        <v>0</v>
      </c>
      <c r="M595" s="30">
        <f ca="1">Acciones!$B$751*EXP((H$2-H$3/2)*(1)+H$4*_xlfn.NORM.S.INV(RAND())*SQRT(1))</f>
        <v>11.280386198250774</v>
      </c>
      <c r="N595" s="30">
        <f ca="1">Acciones!$C$751*EXP((I$2-I$3/2)*(1)+I$4*_xlfn.NORM.S.INV(RAND())*SQRT(1))</f>
        <v>151.55696363825956</v>
      </c>
      <c r="O595" s="30">
        <f ca="1">Acciones!$D$751*EXP((J$2-J$3/2)*(1)+J$4*_xlfn.NORM.S.INV(RAND())*SQRT(1))</f>
        <v>973.98390324877585</v>
      </c>
      <c r="P595" s="30">
        <f ca="1">Acciones!$E$751*EXP((K$2-K$3/2)*(1)+K$4*_xlfn.NORM.S.INV(RAND())*SQRT(1))</f>
        <v>0.13074070859397888</v>
      </c>
      <c r="Q595" s="30"/>
      <c r="R595">
        <f ca="1">M595/Acciones!$B$751*$I$10 + N595/Acciones!$C$751*$I$11 + O595/Acciones!$D$751*$I$12 + P595/Acciones!$D$751*$I$13</f>
        <v>22838.353541447992</v>
      </c>
      <c r="T595" s="14">
        <f t="shared" ca="1" si="12"/>
        <v>-5661.646458552008</v>
      </c>
      <c r="V595">
        <v>-5048.2747659472843</v>
      </c>
    </row>
    <row r="596" spans="1:22" x14ac:dyDescent="0.2">
      <c r="A596" s="1">
        <f>Acciones!A596</f>
        <v>45863</v>
      </c>
      <c r="B596" s="29">
        <f>LN(Acciones!B596/Acciones!B595)</f>
        <v>7.4047180030508732E-4</v>
      </c>
      <c r="C596" s="29">
        <f>LN(Acciones!C596/Acciones!C595)</f>
        <v>-8.4344253863041767E-3</v>
      </c>
      <c r="D596" s="29">
        <f>LN(Acciones!D596/Acciones!D595)</f>
        <v>1.2805691103176893E-2</v>
      </c>
      <c r="E596" s="29">
        <f>LN(Acciones!E596/Acciones!E595)</f>
        <v>0</v>
      </c>
      <c r="M596" s="30">
        <f ca="1">Acciones!$B$751*EXP((H$2-H$3/2)*(1)+H$4*_xlfn.NORM.S.INV(RAND())*SQRT(1))</f>
        <v>10.299872572270004</v>
      </c>
      <c r="N596" s="30">
        <f ca="1">Acciones!$C$751*EXP((I$2-I$3/2)*(1)+I$4*_xlfn.NORM.S.INV(RAND())*SQRT(1))</f>
        <v>151.20667213690444</v>
      </c>
      <c r="O596" s="30">
        <f ca="1">Acciones!$D$751*EXP((J$2-J$3/2)*(1)+J$4*_xlfn.NORM.S.INV(RAND())*SQRT(1))</f>
        <v>1004.1026320961773</v>
      </c>
      <c r="P596" s="30">
        <f ca="1">Acciones!$E$751*EXP((K$2-K$3/2)*(1)+K$4*_xlfn.NORM.S.INV(RAND())*SQRT(1))</f>
        <v>0.12366946693871614</v>
      </c>
      <c r="Q596" s="30"/>
      <c r="R596">
        <f ca="1">M596/Acciones!$B$751*$I$10 + N596/Acciones!$C$751*$I$11 + O596/Acciones!$D$751*$I$12 + P596/Acciones!$D$751*$I$13</f>
        <v>22803.569754862037</v>
      </c>
      <c r="T596" s="14">
        <f t="shared" ca="1" si="12"/>
        <v>-5696.4302451379626</v>
      </c>
      <c r="V596">
        <v>-5042.3692148803457</v>
      </c>
    </row>
    <row r="597" spans="1:22" x14ac:dyDescent="0.2">
      <c r="A597" s="1">
        <f>Acciones!A597</f>
        <v>45866</v>
      </c>
      <c r="B597" s="29">
        <f>LN(Acciones!B597/Acciones!B596)</f>
        <v>1.0309370776282023E-2</v>
      </c>
      <c r="C597" s="29">
        <f>LN(Acciones!C597/Acciones!C596)</f>
        <v>5.2564909061070071E-3</v>
      </c>
      <c r="D597" s="29">
        <f>LN(Acciones!D597/Acciones!D596)</f>
        <v>4.8541578889909752E-2</v>
      </c>
      <c r="E597" s="29">
        <f>LN(Acciones!E597/Acciones!E596)</f>
        <v>-5.4996685961321519E-2</v>
      </c>
      <c r="M597" s="30">
        <f ca="1">Acciones!$B$751*EXP((H$2-H$3/2)*(1)+H$4*_xlfn.NORM.S.INV(RAND())*SQRT(1))</f>
        <v>10.939138098101411</v>
      </c>
      <c r="N597" s="30">
        <f ca="1">Acciones!$C$751*EXP((I$2-I$3/2)*(1)+I$4*_xlfn.NORM.S.INV(RAND())*SQRT(1))</f>
        <v>139.3684661763786</v>
      </c>
      <c r="O597" s="30">
        <f ca="1">Acciones!$D$751*EXP((J$2-J$3/2)*(1)+J$4*_xlfn.NORM.S.INV(RAND())*SQRT(1))</f>
        <v>959.60518098503167</v>
      </c>
      <c r="P597" s="30">
        <f ca="1">Acciones!$E$751*EXP((K$2-K$3/2)*(1)+K$4*_xlfn.NORM.S.INV(RAND())*SQRT(1))</f>
        <v>0.13477790463389636</v>
      </c>
      <c r="Q597" s="30"/>
      <c r="R597">
        <f ca="1">M597/Acciones!$B$751*$I$10 + N597/Acciones!$C$751*$I$11 + O597/Acciones!$D$751*$I$12 + P597/Acciones!$D$751*$I$13</f>
        <v>21823.847609856752</v>
      </c>
      <c r="T597" s="14">
        <f t="shared" ca="1" si="12"/>
        <v>-6676.1523901432483</v>
      </c>
      <c r="V597">
        <v>-5037.6212289122923</v>
      </c>
    </row>
    <row r="598" spans="1:22" x14ac:dyDescent="0.2">
      <c r="A598" s="1">
        <f>Acciones!A598</f>
        <v>45867</v>
      </c>
      <c r="B598" s="29">
        <f>LN(Acciones!B598/Acciones!B597)</f>
        <v>-1.2532433105440501E-2</v>
      </c>
      <c r="C598" s="29">
        <f>LN(Acciones!C598/Acciones!C597)</f>
        <v>-2.4833880046599133E-2</v>
      </c>
      <c r="D598" s="29">
        <f>LN(Acciones!D598/Acciones!D597)</f>
        <v>-1.7955504613042707E-2</v>
      </c>
      <c r="E598" s="29">
        <f>LN(Acciones!E598/Acciones!E597)</f>
        <v>3.130691688699961E-2</v>
      </c>
      <c r="M598" s="30">
        <f ca="1">Acciones!$B$751*EXP((H$2-H$3/2)*(1)+H$4*_xlfn.NORM.S.INV(RAND())*SQRT(1))</f>
        <v>11.339033856581167</v>
      </c>
      <c r="N598" s="30">
        <f ca="1">Acciones!$C$751*EXP((I$2-I$3/2)*(1)+I$4*_xlfn.NORM.S.INV(RAND())*SQRT(1))</f>
        <v>157.28144310941931</v>
      </c>
      <c r="O598" s="30">
        <f ca="1">Acciones!$D$751*EXP((J$2-J$3/2)*(1)+J$4*_xlfn.NORM.S.INV(RAND())*SQRT(1))</f>
        <v>979.99519747836325</v>
      </c>
      <c r="P598" s="30">
        <f ca="1">Acciones!$E$751*EXP((K$2-K$3/2)*(1)+K$4*_xlfn.NORM.S.INV(RAND())*SQRT(1))</f>
        <v>0.12085598153731064</v>
      </c>
      <c r="Q598" s="30"/>
      <c r="R598">
        <f ca="1">M598/Acciones!$B$751*$I$10 + N598/Acciones!$C$751*$I$11 + O598/Acciones!$D$751*$I$12 + P598/Acciones!$D$751*$I$13</f>
        <v>23274.752589622622</v>
      </c>
      <c r="T598" s="14">
        <f t="shared" ca="1" si="12"/>
        <v>-5225.2474103773784</v>
      </c>
      <c r="V598">
        <v>-5035.8357001371151</v>
      </c>
    </row>
    <row r="599" spans="1:22" x14ac:dyDescent="0.2">
      <c r="A599" s="1">
        <f>Acciones!A599</f>
        <v>45868</v>
      </c>
      <c r="B599" s="29">
        <f>LN(Acciones!B599/Acciones!B598)</f>
        <v>1.4727911005930391E-2</v>
      </c>
      <c r="C599" s="29">
        <f>LN(Acciones!C599/Acciones!C598)</f>
        <v>-5.7597657842260903E-4</v>
      </c>
      <c r="D599" s="29">
        <f>LN(Acciones!D599/Acciones!D598)</f>
        <v>-1.2272067851690282E-2</v>
      </c>
      <c r="E599" s="29">
        <f>LN(Acciones!E599/Acciones!E598)</f>
        <v>-2.0761930068035919E-2</v>
      </c>
      <c r="M599" s="30">
        <f ca="1">Acciones!$B$751*EXP((H$2-H$3/2)*(1)+H$4*_xlfn.NORM.S.INV(RAND())*SQRT(1))</f>
        <v>11.025248608103494</v>
      </c>
      <c r="N599" s="30">
        <f ca="1">Acciones!$C$751*EXP((I$2-I$3/2)*(1)+I$4*_xlfn.NORM.S.INV(RAND())*SQRT(1))</f>
        <v>159.88847946990509</v>
      </c>
      <c r="O599" s="30">
        <f ca="1">Acciones!$D$751*EXP((J$2-J$3/2)*(1)+J$4*_xlfn.NORM.S.INV(RAND())*SQRT(1))</f>
        <v>980.89922574390664</v>
      </c>
      <c r="P599" s="30">
        <f ca="1">Acciones!$E$751*EXP((K$2-K$3/2)*(1)+K$4*_xlfn.NORM.S.INV(RAND())*SQRT(1))</f>
        <v>0.13895285840436972</v>
      </c>
      <c r="Q599" s="30"/>
      <c r="R599">
        <f ca="1">M599/Acciones!$B$751*$I$10 + N599/Acciones!$C$751*$I$11 + O599/Acciones!$D$751*$I$12 + P599/Acciones!$D$751*$I$13</f>
        <v>23346.022180981519</v>
      </c>
      <c r="T599" s="14">
        <f t="shared" ca="1" si="12"/>
        <v>-5153.9778190184807</v>
      </c>
      <c r="V599">
        <v>-5032.9113052745233</v>
      </c>
    </row>
    <row r="600" spans="1:22" x14ac:dyDescent="0.2">
      <c r="A600" s="1">
        <f>Acciones!A600</f>
        <v>45869</v>
      </c>
      <c r="B600" s="29">
        <f>LN(Acciones!B600/Acciones!B599)</f>
        <v>2.1905251887908875E-3</v>
      </c>
      <c r="C600" s="29">
        <f>LN(Acciones!C600/Acciones!C599)</f>
        <v>-2.3250812646251513E-2</v>
      </c>
      <c r="D600" s="29">
        <f>LN(Acciones!D600/Acciones!D599)</f>
        <v>-2.4685635903205185E-2</v>
      </c>
      <c r="E600" s="29">
        <f>LN(Acciones!E600/Acciones!E599)</f>
        <v>6.9685795849347689E-3</v>
      </c>
      <c r="M600" s="30">
        <f ca="1">Acciones!$B$751*EXP((H$2-H$3/2)*(1)+H$4*_xlfn.NORM.S.INV(RAND())*SQRT(1))</f>
        <v>10.749679841099221</v>
      </c>
      <c r="N600" s="30">
        <f ca="1">Acciones!$C$751*EXP((I$2-I$3/2)*(1)+I$4*_xlfn.NORM.S.INV(RAND())*SQRT(1))</f>
        <v>162.68264683297011</v>
      </c>
      <c r="O600" s="30">
        <f ca="1">Acciones!$D$751*EXP((J$2-J$3/2)*(1)+J$4*_xlfn.NORM.S.INV(RAND())*SQRT(1))</f>
        <v>994.76419740806625</v>
      </c>
      <c r="P600" s="30">
        <f ca="1">Acciones!$E$751*EXP((K$2-K$3/2)*(1)+K$4*_xlfn.NORM.S.INV(RAND())*SQRT(1))</f>
        <v>0.11465856760338582</v>
      </c>
      <c r="Q600" s="30"/>
      <c r="R600">
        <f ca="1">M600/Acciones!$B$751*$I$10 + N600/Acciones!$C$751*$I$11 + O600/Acciones!$D$751*$I$12 + P600/Acciones!$D$751*$I$13</f>
        <v>23570.824839798748</v>
      </c>
      <c r="T600" s="14">
        <f t="shared" ca="1" si="12"/>
        <v>-4929.1751602012519</v>
      </c>
      <c r="V600">
        <v>-5032.4897922129894</v>
      </c>
    </row>
    <row r="601" spans="1:22" x14ac:dyDescent="0.2">
      <c r="A601" s="1">
        <f>Acciones!A601</f>
        <v>45870</v>
      </c>
      <c r="B601" s="29">
        <f>LN(Acciones!B601/Acciones!B600)</f>
        <v>1.8070660362093913E-2</v>
      </c>
      <c r="C601" s="29">
        <f>LN(Acciones!C601/Acciones!C600)</f>
        <v>-3.7621952180010305E-2</v>
      </c>
      <c r="D601" s="29">
        <f>LN(Acciones!D601/Acciones!D600)</f>
        <v>-9.6917451558201813E-3</v>
      </c>
      <c r="E601" s="29">
        <f>LN(Acciones!E601/Acciones!E600)</f>
        <v>6.9204571177177562E-3</v>
      </c>
      <c r="M601" s="30">
        <f ca="1">Acciones!$B$751*EXP((H$2-H$3/2)*(1)+H$4*_xlfn.NORM.S.INV(RAND())*SQRT(1))</f>
        <v>11.153197126684189</v>
      </c>
      <c r="N601" s="30">
        <f ca="1">Acciones!$C$751*EXP((I$2-I$3/2)*(1)+I$4*_xlfn.NORM.S.INV(RAND())*SQRT(1))</f>
        <v>158.25745614541862</v>
      </c>
      <c r="O601" s="30">
        <f ca="1">Acciones!$D$751*EXP((J$2-J$3/2)*(1)+J$4*_xlfn.NORM.S.INV(RAND())*SQRT(1))</f>
        <v>1024.9148467235675</v>
      </c>
      <c r="P601" s="30">
        <f ca="1">Acciones!$E$751*EXP((K$2-K$3/2)*(1)+K$4*_xlfn.NORM.S.INV(RAND())*SQRT(1))</f>
        <v>0.12088506779777515</v>
      </c>
      <c r="Q601" s="30"/>
      <c r="R601">
        <f ca="1">M601/Acciones!$B$751*$I$10 + N601/Acciones!$C$751*$I$11 + O601/Acciones!$D$751*$I$12 + P601/Acciones!$D$751*$I$13</f>
        <v>23726.010169469388</v>
      </c>
      <c r="T601" s="14">
        <f t="shared" ca="1" si="12"/>
        <v>-4773.9898305306124</v>
      </c>
      <c r="V601">
        <v>-5026.0907687805811</v>
      </c>
    </row>
    <row r="602" spans="1:22" x14ac:dyDescent="0.2">
      <c r="A602" s="1">
        <f>Acciones!A602</f>
        <v>45873</v>
      </c>
      <c r="B602" s="29">
        <f>LN(Acciones!B602/Acciones!B601)</f>
        <v>-1.9530524987633531E-2</v>
      </c>
      <c r="C602" s="29">
        <f>LN(Acciones!C602/Acciones!C601)</f>
        <v>3.5752738136514702E-2</v>
      </c>
      <c r="D602" s="29">
        <f>LN(Acciones!D602/Acciones!D601)</f>
        <v>1.6768862651064535E-2</v>
      </c>
      <c r="E602" s="29">
        <f>LN(Acciones!E602/Acciones!E601)</f>
        <v>3.4424024607105038E-3</v>
      </c>
      <c r="M602" s="30">
        <f ca="1">Acciones!$B$751*EXP((H$2-H$3/2)*(1)+H$4*_xlfn.NORM.S.INV(RAND())*SQRT(1))</f>
        <v>10.859555539005601</v>
      </c>
      <c r="N602" s="30">
        <f ca="1">Acciones!$C$751*EXP((I$2-I$3/2)*(1)+I$4*_xlfn.NORM.S.INV(RAND())*SQRT(1))</f>
        <v>154.88851997215886</v>
      </c>
      <c r="O602" s="30">
        <f ca="1">Acciones!$D$751*EXP((J$2-J$3/2)*(1)+J$4*_xlfn.NORM.S.INV(RAND())*SQRT(1))</f>
        <v>976.98635241460738</v>
      </c>
      <c r="P602" s="30">
        <f ca="1">Acciones!$E$751*EXP((K$2-K$3/2)*(1)+K$4*_xlfn.NORM.S.INV(RAND())*SQRT(1))</f>
        <v>0.13714411262984294</v>
      </c>
      <c r="Q602" s="30"/>
      <c r="R602">
        <f ca="1">M602/Acciones!$B$751*$I$10 + N602/Acciones!$C$751*$I$11 + O602/Acciones!$D$751*$I$12 + P602/Acciones!$D$751*$I$13</f>
        <v>22941.474375839818</v>
      </c>
      <c r="T602" s="14">
        <f t="shared" ca="1" si="12"/>
        <v>-5558.5256241601819</v>
      </c>
      <c r="V602">
        <v>-5022.2267165364829</v>
      </c>
    </row>
    <row r="603" spans="1:22" x14ac:dyDescent="0.2">
      <c r="A603" s="1">
        <f>Acciones!A603</f>
        <v>45874</v>
      </c>
      <c r="B603" s="29">
        <f>LN(Acciones!B603/Acciones!B602)</f>
        <v>0</v>
      </c>
      <c r="C603" s="29">
        <f>LN(Acciones!C603/Acciones!C602)</f>
        <v>-4.5770062281994102E-2</v>
      </c>
      <c r="D603" s="29">
        <f>LN(Acciones!D603/Acciones!D602)</f>
        <v>-1.7070092775676268E-2</v>
      </c>
      <c r="E603" s="29">
        <f>LN(Acciones!E603/Acciones!E602)</f>
        <v>-3.4424024607104526E-3</v>
      </c>
      <c r="M603" s="30">
        <f ca="1">Acciones!$B$751*EXP((H$2-H$3/2)*(1)+H$4*_xlfn.NORM.S.INV(RAND())*SQRT(1))</f>
        <v>10.582061406186952</v>
      </c>
      <c r="N603" s="30">
        <f ca="1">Acciones!$C$751*EXP((I$2-I$3/2)*(1)+I$4*_xlfn.NORM.S.INV(RAND())*SQRT(1))</f>
        <v>146.58221849305352</v>
      </c>
      <c r="O603" s="30">
        <f ca="1">Acciones!$D$751*EXP((J$2-J$3/2)*(1)+J$4*_xlfn.NORM.S.INV(RAND())*SQRT(1))</f>
        <v>1002.8588712826497</v>
      </c>
      <c r="P603" s="30">
        <f ca="1">Acciones!$E$751*EXP((K$2-K$3/2)*(1)+K$4*_xlfn.NORM.S.INV(RAND())*SQRT(1))</f>
        <v>0.12476487738623424</v>
      </c>
      <c r="Q603" s="30"/>
      <c r="R603">
        <f ca="1">M603/Acciones!$B$751*$I$10 + N603/Acciones!$C$751*$I$11 + O603/Acciones!$D$751*$I$12 + P603/Acciones!$D$751*$I$13</f>
        <v>22592.902371321223</v>
      </c>
      <c r="T603" s="14">
        <f t="shared" ca="1" si="12"/>
        <v>-5907.0976286787773</v>
      </c>
      <c r="V603">
        <v>-5020.8277773977934</v>
      </c>
    </row>
    <row r="604" spans="1:22" x14ac:dyDescent="0.2">
      <c r="A604" s="1">
        <f>Acciones!A604</f>
        <v>45875</v>
      </c>
      <c r="B604" s="29">
        <f>LN(Acciones!B604/Acciones!B603)</f>
        <v>-7.3313911477794246E-3</v>
      </c>
      <c r="C604" s="29">
        <f>LN(Acciones!C604/Acciones!C603)</f>
        <v>2.5209541426405468E-2</v>
      </c>
      <c r="D604" s="29">
        <f>LN(Acciones!D604/Acciones!D603)</f>
        <v>9.2825617986914237E-3</v>
      </c>
      <c r="E604" s="29">
        <f>LN(Acciones!E604/Acciones!E603)</f>
        <v>0</v>
      </c>
      <c r="M604" s="30">
        <f ca="1">Acciones!$B$751*EXP((H$2-H$3/2)*(1)+H$4*_xlfn.NORM.S.INV(RAND())*SQRT(1))</f>
        <v>10.691383464880845</v>
      </c>
      <c r="N604" s="30">
        <f ca="1">Acciones!$C$751*EXP((I$2-I$3/2)*(1)+I$4*_xlfn.NORM.S.INV(RAND())*SQRT(1))</f>
        <v>142.45767176644881</v>
      </c>
      <c r="O604" s="30">
        <f ca="1">Acciones!$D$751*EXP((J$2-J$3/2)*(1)+J$4*_xlfn.NORM.S.INV(RAND())*SQRT(1))</f>
        <v>953.76822881027499</v>
      </c>
      <c r="P604" s="30">
        <f ca="1">Acciones!$E$751*EXP((K$2-K$3/2)*(1)+K$4*_xlfn.NORM.S.INV(RAND())*SQRT(1))</f>
        <v>0.1282734709812107</v>
      </c>
      <c r="Q604" s="30"/>
      <c r="R604">
        <f ca="1">M604/Acciones!$B$751*$I$10 + N604/Acciones!$C$751*$I$11 + O604/Acciones!$D$751*$I$12 + P604/Acciones!$D$751*$I$13</f>
        <v>21878.750058417249</v>
      </c>
      <c r="T604" s="14">
        <f t="shared" ca="1" si="12"/>
        <v>-6621.2499415827515</v>
      </c>
      <c r="V604">
        <v>-5020.778586161985</v>
      </c>
    </row>
    <row r="605" spans="1:22" x14ac:dyDescent="0.2">
      <c r="A605" s="1">
        <f>Acciones!A605</f>
        <v>45876</v>
      </c>
      <c r="B605" s="29">
        <f>LN(Acciones!B605/Acciones!B604)</f>
        <v>-8.8692279311993506E-3</v>
      </c>
      <c r="C605" s="29">
        <f>LN(Acciones!C605/Acciones!C604)</f>
        <v>-5.2741427053874853E-3</v>
      </c>
      <c r="D605" s="29">
        <f>LN(Acciones!D605/Acciones!D604)</f>
        <v>-1.5759747725310483E-2</v>
      </c>
      <c r="E605" s="29">
        <f>LN(Acciones!E605/Acciones!E604)</f>
        <v>-1.0398676784786707E-2</v>
      </c>
      <c r="M605" s="30">
        <f ca="1">Acciones!$B$751*EXP((H$2-H$3/2)*(1)+H$4*_xlfn.NORM.S.INV(RAND())*SQRT(1))</f>
        <v>11.075594807999902</v>
      </c>
      <c r="N605" s="30">
        <f ca="1">Acciones!$C$751*EXP((I$2-I$3/2)*(1)+I$4*_xlfn.NORM.S.INV(RAND())*SQRT(1))</f>
        <v>144.9961293117251</v>
      </c>
      <c r="O605" s="30">
        <f ca="1">Acciones!$D$751*EXP((J$2-J$3/2)*(1)+J$4*_xlfn.NORM.S.INV(RAND())*SQRT(1))</f>
        <v>1020.9703179818192</v>
      </c>
      <c r="P605" s="30">
        <f ca="1">Acciones!$E$751*EXP((K$2-K$3/2)*(1)+K$4*_xlfn.NORM.S.INV(RAND())*SQRT(1))</f>
        <v>0.132662505892647</v>
      </c>
      <c r="Q605" s="30"/>
      <c r="R605">
        <f ca="1">M605/Acciones!$B$751*$I$10 + N605/Acciones!$C$751*$I$11 + O605/Acciones!$D$751*$I$12 + P605/Acciones!$D$751*$I$13</f>
        <v>22833.653791476867</v>
      </c>
      <c r="T605" s="14">
        <f t="shared" ca="1" si="12"/>
        <v>-5666.3462085231331</v>
      </c>
      <c r="V605">
        <v>-5015.0834913533909</v>
      </c>
    </row>
    <row r="606" spans="1:22" x14ac:dyDescent="0.2">
      <c r="A606" s="1">
        <f>Acciones!A606</f>
        <v>45877</v>
      </c>
      <c r="B606" s="29">
        <f>LN(Acciones!B606/Acciones!B605)</f>
        <v>5.921598623131223E-3</v>
      </c>
      <c r="C606" s="29">
        <f>LN(Acciones!C606/Acciones!C605)</f>
        <v>-3.2347597869010314E-2</v>
      </c>
      <c r="D606" s="29">
        <f>LN(Acciones!D606/Acciones!D605)</f>
        <v>-7.2463543017923489E-3</v>
      </c>
      <c r="E606" s="29">
        <f>LN(Acciones!E606/Acciones!E605)</f>
        <v>-6.9930497007710613E-3</v>
      </c>
      <c r="M606" s="30">
        <f ca="1">Acciones!$B$751*EXP((H$2-H$3/2)*(1)+H$4*_xlfn.NORM.S.INV(RAND())*SQRT(1))</f>
        <v>10.897766690790887</v>
      </c>
      <c r="N606" s="30">
        <f ca="1">Acciones!$C$751*EXP((I$2-I$3/2)*(1)+I$4*_xlfn.NORM.S.INV(RAND())*SQRT(1))</f>
        <v>145.12929255036406</v>
      </c>
      <c r="O606" s="30">
        <f ca="1">Acciones!$D$751*EXP((J$2-J$3/2)*(1)+J$4*_xlfn.NORM.S.INV(RAND())*SQRT(1))</f>
        <v>992.6797260886284</v>
      </c>
      <c r="P606" s="30">
        <f ca="1">Acciones!$E$751*EXP((K$2-K$3/2)*(1)+K$4*_xlfn.NORM.S.INV(RAND())*SQRT(1))</f>
        <v>0.12976994910989129</v>
      </c>
      <c r="Q606" s="30"/>
      <c r="R606">
        <f ca="1">M606/Acciones!$B$751*$I$10 + N606/Acciones!$C$751*$I$11 + O606/Acciones!$D$751*$I$12 + P606/Acciones!$D$751*$I$13</f>
        <v>22501.533268616324</v>
      </c>
      <c r="T606" s="14">
        <f t="shared" ca="1" si="12"/>
        <v>-5998.4667313836762</v>
      </c>
      <c r="V606">
        <v>-5013.202895519451</v>
      </c>
    </row>
    <row r="607" spans="1:22" x14ac:dyDescent="0.2">
      <c r="A607" s="1">
        <f>Acciones!A607</f>
        <v>45880</v>
      </c>
      <c r="B607" s="29">
        <f>LN(Acciones!B607/Acciones!B606)</f>
        <v>2.9476293080682799E-3</v>
      </c>
      <c r="C607" s="29">
        <f>LN(Acciones!C607/Acciones!C606)</f>
        <v>1.526003375076831E-2</v>
      </c>
      <c r="D607" s="29">
        <f>LN(Acciones!D607/Acciones!D606)</f>
        <v>4.3540045049845931E-3</v>
      </c>
      <c r="E607" s="29">
        <f>LN(Acciones!E607/Acciones!E606)</f>
        <v>1.7391726485557767E-2</v>
      </c>
      <c r="M607" s="30">
        <f ca="1">Acciones!$B$751*EXP((H$2-H$3/2)*(1)+H$4*_xlfn.NORM.S.INV(RAND())*SQRT(1))</f>
        <v>10.592860865029818</v>
      </c>
      <c r="N607" s="30">
        <f ca="1">Acciones!$C$751*EXP((I$2-I$3/2)*(1)+I$4*_xlfn.NORM.S.INV(RAND())*SQRT(1))</f>
        <v>150.92955544046686</v>
      </c>
      <c r="O607" s="30">
        <f ca="1">Acciones!$D$751*EXP((J$2-J$3/2)*(1)+J$4*_xlfn.NORM.S.INV(RAND())*SQRT(1))</f>
        <v>991.03541307808644</v>
      </c>
      <c r="P607" s="30">
        <f ca="1">Acciones!$E$751*EXP((K$2-K$3/2)*(1)+K$4*_xlfn.NORM.S.INV(RAND())*SQRT(1))</f>
        <v>0.12334035478534519</v>
      </c>
      <c r="Q607" s="30"/>
      <c r="R607">
        <f ca="1">M607/Acciones!$B$751*$I$10 + N607/Acciones!$C$751*$I$11 + O607/Acciones!$D$751*$I$12 + P607/Acciones!$D$751*$I$13</f>
        <v>22749.370955268419</v>
      </c>
      <c r="T607" s="14">
        <f t="shared" ca="1" si="12"/>
        <v>-5750.6290447315805</v>
      </c>
      <c r="V607">
        <v>-5012.2931732576435</v>
      </c>
    </row>
    <row r="608" spans="1:22" x14ac:dyDescent="0.2">
      <c r="A608" s="1">
        <f>Acciones!A608</f>
        <v>45881</v>
      </c>
      <c r="B608" s="29">
        <f>LN(Acciones!B608/Acciones!B607)</f>
        <v>-8.1271804214021158E-3</v>
      </c>
      <c r="C608" s="29">
        <f>LN(Acciones!C608/Acciones!C607)</f>
        <v>7.6456812634941619E-3</v>
      </c>
      <c r="D608" s="29">
        <f>LN(Acciones!D608/Acciones!D607)</f>
        <v>1.0796004449361876E-2</v>
      </c>
      <c r="E608" s="29">
        <f>LN(Acciones!E608/Acciones!E607)</f>
        <v>1.0291757938113525E-2</v>
      </c>
      <c r="M608" s="30">
        <f ca="1">Acciones!$B$751*EXP((H$2-H$3/2)*(1)+H$4*_xlfn.NORM.S.INV(RAND())*SQRT(1))</f>
        <v>10.77298409247121</v>
      </c>
      <c r="N608" s="30">
        <f ca="1">Acciones!$C$751*EXP((I$2-I$3/2)*(1)+I$4*_xlfn.NORM.S.INV(RAND())*SQRT(1))</f>
        <v>161.39451198994055</v>
      </c>
      <c r="O608" s="30">
        <f ca="1">Acciones!$D$751*EXP((J$2-J$3/2)*(1)+J$4*_xlfn.NORM.S.INV(RAND())*SQRT(1))</f>
        <v>1019.3509456817899</v>
      </c>
      <c r="P608" s="30">
        <f ca="1">Acciones!$E$751*EXP((K$2-K$3/2)*(1)+K$4*_xlfn.NORM.S.INV(RAND())*SQRT(1))</f>
        <v>0.1293462593069265</v>
      </c>
      <c r="Q608" s="30"/>
      <c r="R608">
        <f ca="1">M608/Acciones!$B$751*$I$10 + N608/Acciones!$C$751*$I$11 + O608/Acciones!$D$751*$I$12 + P608/Acciones!$D$751*$I$13</f>
        <v>23744.224223802736</v>
      </c>
      <c r="T608" s="14">
        <f t="shared" ca="1" si="12"/>
        <v>-4755.7757761972643</v>
      </c>
      <c r="V608">
        <v>-5011.6367425343087</v>
      </c>
    </row>
    <row r="609" spans="1:22" x14ac:dyDescent="0.2">
      <c r="A609" s="1">
        <f>Acciones!A609</f>
        <v>45882</v>
      </c>
      <c r="B609" s="29">
        <f>LN(Acciones!B609/Acciones!B608)</f>
        <v>1.4825905288535844E-3</v>
      </c>
      <c r="C609" s="29">
        <f>LN(Acciones!C609/Acciones!C608)</f>
        <v>8.9701671766321822E-3</v>
      </c>
      <c r="D609" s="29">
        <f>LN(Acciones!D609/Acciones!D608)</f>
        <v>3.4470969197757169E-2</v>
      </c>
      <c r="E609" s="29">
        <f>LN(Acciones!E609/Acciones!E608)</f>
        <v>-0.10801857645255661</v>
      </c>
      <c r="M609" s="30">
        <f ca="1">Acciones!$B$751*EXP((H$2-H$3/2)*(1)+H$4*_xlfn.NORM.S.INV(RAND())*SQRT(1))</f>
        <v>11.012377453906383</v>
      </c>
      <c r="N609" s="30">
        <f ca="1">Acciones!$C$751*EXP((I$2-I$3/2)*(1)+I$4*_xlfn.NORM.S.INV(RAND())*SQRT(1))</f>
        <v>145.20330126277202</v>
      </c>
      <c r="O609" s="30">
        <f ca="1">Acciones!$D$751*EXP((J$2-J$3/2)*(1)+J$4*_xlfn.NORM.S.INV(RAND())*SQRT(1))</f>
        <v>952.78859911121299</v>
      </c>
      <c r="P609" s="30">
        <f ca="1">Acciones!$E$751*EXP((K$2-K$3/2)*(1)+K$4*_xlfn.NORM.S.INV(RAND())*SQRT(1))</f>
        <v>0.14253993549445743</v>
      </c>
      <c r="Q609" s="30"/>
      <c r="R609">
        <f ca="1">M609/Acciones!$B$751*$I$10 + N609/Acciones!$C$751*$I$11 + O609/Acciones!$D$751*$I$12 + P609/Acciones!$D$751*$I$13</f>
        <v>22143.425928342167</v>
      </c>
      <c r="T609" s="14">
        <f t="shared" ca="1" si="12"/>
        <v>-6356.574071657833</v>
      </c>
      <c r="V609">
        <v>-5011.2368995074539</v>
      </c>
    </row>
    <row r="610" spans="1:22" x14ac:dyDescent="0.2">
      <c r="A610" s="1">
        <f>Acciones!A610</f>
        <v>45883</v>
      </c>
      <c r="B610" s="29">
        <f>LN(Acciones!B610/Acciones!B609)</f>
        <v>2.84795300360642E-2</v>
      </c>
      <c r="C610" s="29">
        <f>LN(Acciones!C610/Acciones!C609)</f>
        <v>-6.1520182765888044E-3</v>
      </c>
      <c r="D610" s="29">
        <f>LN(Acciones!D610/Acciones!D609)</f>
        <v>-4.1264285314584551E-3</v>
      </c>
      <c r="E610" s="29">
        <f>LN(Acciones!E610/Acciones!E609)</f>
        <v>9.080636139672521E-2</v>
      </c>
      <c r="M610" s="30">
        <f ca="1">Acciones!$B$751*EXP((H$2-H$3/2)*(1)+H$4*_xlfn.NORM.S.INV(RAND())*SQRT(1))</f>
        <v>10.291831413393403</v>
      </c>
      <c r="N610" s="30">
        <f ca="1">Acciones!$C$751*EXP((I$2-I$3/2)*(1)+I$4*_xlfn.NORM.S.INV(RAND())*SQRT(1))</f>
        <v>159.48447885970521</v>
      </c>
      <c r="O610" s="30">
        <f ca="1">Acciones!$D$751*EXP((J$2-J$3/2)*(1)+J$4*_xlfn.NORM.S.INV(RAND())*SQRT(1))</f>
        <v>1003.2013988511585</v>
      </c>
      <c r="P610" s="30">
        <f ca="1">Acciones!$E$751*EXP((K$2-K$3/2)*(1)+K$4*_xlfn.NORM.S.INV(RAND())*SQRT(1))</f>
        <v>0.1229261749002193</v>
      </c>
      <c r="Q610" s="30"/>
      <c r="R610">
        <f ca="1">M610/Acciones!$B$751*$I$10 + N610/Acciones!$C$751*$I$11 + O610/Acciones!$D$751*$I$12 + P610/Acciones!$D$751*$I$13</f>
        <v>23308.811754818391</v>
      </c>
      <c r="T610" s="14">
        <f t="shared" ca="1" si="12"/>
        <v>-5191.1882451816091</v>
      </c>
      <c r="V610">
        <v>-5007.0556648176935</v>
      </c>
    </row>
    <row r="611" spans="1:22" x14ac:dyDescent="0.2">
      <c r="A611" s="1">
        <f>Acciones!A611</f>
        <v>45884</v>
      </c>
      <c r="B611" s="29">
        <f>LN(Acciones!B611/Acciones!B610)</f>
        <v>-5.0523742095061755E-3</v>
      </c>
      <c r="C611" s="29">
        <f>LN(Acciones!C611/Acciones!C610)</f>
        <v>2.9117567544265214E-3</v>
      </c>
      <c r="D611" s="29">
        <f>LN(Acciones!D611/Acciones!D610)</f>
        <v>4.2786351986412018E-3</v>
      </c>
      <c r="E611" s="29">
        <f>LN(Acciones!E611/Acciones!E610)</f>
        <v>-0.17402271635006394</v>
      </c>
      <c r="M611" s="30">
        <f ca="1">Acciones!$B$751*EXP((H$2-H$3/2)*(1)+H$4*_xlfn.NORM.S.INV(RAND())*SQRT(1))</f>
        <v>11.150459034188971</v>
      </c>
      <c r="N611" s="30">
        <f ca="1">Acciones!$C$751*EXP((I$2-I$3/2)*(1)+I$4*_xlfn.NORM.S.INV(RAND())*SQRT(1))</f>
        <v>157.63348343041068</v>
      </c>
      <c r="O611" s="30">
        <f ca="1">Acciones!$D$751*EXP((J$2-J$3/2)*(1)+J$4*_xlfn.NORM.S.INV(RAND())*SQRT(1))</f>
        <v>1045.2639506696903</v>
      </c>
      <c r="P611" s="30">
        <f ca="1">Acciones!$E$751*EXP((K$2-K$3/2)*(1)+K$4*_xlfn.NORM.S.INV(RAND())*SQRT(1))</f>
        <v>0.12207074237326022</v>
      </c>
      <c r="Q611" s="30"/>
      <c r="R611">
        <f ca="1">M611/Acciones!$B$751*$I$10 + N611/Acciones!$C$751*$I$11 + O611/Acciones!$D$751*$I$12 + P611/Acciones!$D$751*$I$13</f>
        <v>23890.0037701695</v>
      </c>
      <c r="T611" s="14">
        <f t="shared" ca="1" si="12"/>
        <v>-4609.9962298304999</v>
      </c>
      <c r="V611">
        <v>-5001.6518493701842</v>
      </c>
    </row>
    <row r="612" spans="1:22" x14ac:dyDescent="0.2">
      <c r="A612" s="1">
        <f>Acciones!A612</f>
        <v>45887</v>
      </c>
      <c r="B612" s="29">
        <f>LN(Acciones!B612/Acciones!B611)</f>
        <v>5.0523742095061061E-3</v>
      </c>
      <c r="C612" s="29">
        <f>LN(Acciones!C612/Acciones!C611)</f>
        <v>1.7493747263623339E-2</v>
      </c>
      <c r="D612" s="29">
        <f>LN(Acciones!D612/Acciones!D611)</f>
        <v>5.8781355580700551E-3</v>
      </c>
      <c r="E612" s="29">
        <f>LN(Acciones!E612/Acciones!E611)</f>
        <v>7.1743873597663571E-2</v>
      </c>
      <c r="M612" s="30">
        <f ca="1">Acciones!$B$751*EXP((H$2-H$3/2)*(1)+H$4*_xlfn.NORM.S.INV(RAND())*SQRT(1))</f>
        <v>10.89082980439834</v>
      </c>
      <c r="N612" s="30">
        <f ca="1">Acciones!$C$751*EXP((I$2-I$3/2)*(1)+I$4*_xlfn.NORM.S.INV(RAND())*SQRT(1))</f>
        <v>135.24438551103162</v>
      </c>
      <c r="O612" s="30">
        <f ca="1">Acciones!$D$751*EXP((J$2-J$3/2)*(1)+J$4*_xlfn.NORM.S.INV(RAND())*SQRT(1))</f>
        <v>984.21562060269389</v>
      </c>
      <c r="P612" s="30">
        <f ca="1">Acciones!$E$751*EXP((K$2-K$3/2)*(1)+K$4*_xlfn.NORM.S.INV(RAND())*SQRT(1))</f>
        <v>0.12657523439676699</v>
      </c>
      <c r="Q612" s="30"/>
      <c r="R612">
        <f ca="1">M612/Acciones!$B$751*$I$10 + N612/Acciones!$C$751*$I$11 + O612/Acciones!$D$751*$I$12 + P612/Acciones!$D$751*$I$13</f>
        <v>21797.312536273104</v>
      </c>
      <c r="T612" s="14">
        <f t="shared" ca="1" si="12"/>
        <v>-6702.6874637268957</v>
      </c>
      <c r="V612">
        <v>-5000.6865769617434</v>
      </c>
    </row>
    <row r="613" spans="1:22" x14ac:dyDescent="0.2">
      <c r="A613" s="1">
        <f>Acciones!A613</f>
        <v>45888</v>
      </c>
      <c r="B613" s="29">
        <f>LN(Acciones!B613/Acciones!B612)</f>
        <v>-5.0523742095061755E-3</v>
      </c>
      <c r="C613" s="29">
        <f>LN(Acciones!C613/Acciones!C612)</f>
        <v>-5.0557432483784998E-2</v>
      </c>
      <c r="D613" s="29">
        <f>LN(Acciones!D613/Acciones!D612)</f>
        <v>-5.9888213309542086E-3</v>
      </c>
      <c r="E613" s="29">
        <f>LN(Acciones!E613/Acciones!E612)</f>
        <v>1.1472481355675229E-2</v>
      </c>
      <c r="M613" s="30">
        <f ca="1">Acciones!$B$751*EXP((H$2-H$3/2)*(1)+H$4*_xlfn.NORM.S.INV(RAND())*SQRT(1))</f>
        <v>10.852437422658975</v>
      </c>
      <c r="N613" s="30">
        <f ca="1">Acciones!$C$751*EXP((I$2-I$3/2)*(1)+I$4*_xlfn.NORM.S.INV(RAND())*SQRT(1))</f>
        <v>170.44687205758888</v>
      </c>
      <c r="O613" s="30">
        <f ca="1">Acciones!$D$751*EXP((J$2-J$3/2)*(1)+J$4*_xlfn.NORM.S.INV(RAND())*SQRT(1))</f>
        <v>1012.1928585397808</v>
      </c>
      <c r="P613" s="30">
        <f ca="1">Acciones!$E$751*EXP((K$2-K$3/2)*(1)+K$4*_xlfn.NORM.S.INV(RAND())*SQRT(1))</f>
        <v>0.13077550465393661</v>
      </c>
      <c r="Q613" s="30"/>
      <c r="R613">
        <f ca="1">M613/Acciones!$B$751*$I$10 + N613/Acciones!$C$751*$I$11 + O613/Acciones!$D$751*$I$12 + P613/Acciones!$D$751*$I$13</f>
        <v>24263.237541863877</v>
      </c>
      <c r="T613" s="14">
        <f t="shared" ca="1" si="12"/>
        <v>-4236.7624581361233</v>
      </c>
      <c r="V613">
        <v>-4996.0482510916881</v>
      </c>
    </row>
    <row r="614" spans="1:22" x14ac:dyDescent="0.2">
      <c r="A614" s="1">
        <f>Acciones!A614</f>
        <v>45889</v>
      </c>
      <c r="B614" s="29">
        <f>LN(Acciones!B614/Acciones!B613)</f>
        <v>1.0993139653180569E-2</v>
      </c>
      <c r="C614" s="29">
        <f>LN(Acciones!C614/Acciones!C613)</f>
        <v>5.2626390761974905E-3</v>
      </c>
      <c r="D614" s="29">
        <f>LN(Acciones!D614/Acciones!D613)</f>
        <v>-1.0427847420488663E-2</v>
      </c>
      <c r="E614" s="29">
        <f>LN(Acciones!E614/Acciones!E613)</f>
        <v>0</v>
      </c>
      <c r="M614" s="30">
        <f ca="1">Acciones!$B$751*EXP((H$2-H$3/2)*(1)+H$4*_xlfn.NORM.S.INV(RAND())*SQRT(1))</f>
        <v>10.878133663610861</v>
      </c>
      <c r="N614" s="30">
        <f ca="1">Acciones!$C$751*EXP((I$2-I$3/2)*(1)+I$4*_xlfn.NORM.S.INV(RAND())*SQRT(1))</f>
        <v>152.57667185747817</v>
      </c>
      <c r="O614" s="30">
        <f ca="1">Acciones!$D$751*EXP((J$2-J$3/2)*(1)+J$4*_xlfn.NORM.S.INV(RAND())*SQRT(1))</f>
        <v>1008.385104722814</v>
      </c>
      <c r="P614" s="30">
        <f ca="1">Acciones!$E$751*EXP((K$2-K$3/2)*(1)+K$4*_xlfn.NORM.S.INV(RAND())*SQRT(1))</f>
        <v>0.12848781149933902</v>
      </c>
      <c r="Q614" s="30"/>
      <c r="R614">
        <f ca="1">M614/Acciones!$B$751*$I$10 + N614/Acciones!$C$751*$I$11 + O614/Acciones!$D$751*$I$12 + P614/Acciones!$D$751*$I$13</f>
        <v>23117.541921943284</v>
      </c>
      <c r="T614" s="14">
        <f t="shared" ca="1" si="12"/>
        <v>-5382.4580780567157</v>
      </c>
      <c r="V614">
        <v>-4995.6846062842342</v>
      </c>
    </row>
    <row r="615" spans="1:22" x14ac:dyDescent="0.2">
      <c r="A615" s="1">
        <f>Acciones!A615</f>
        <v>45890</v>
      </c>
      <c r="B615" s="29">
        <f>LN(Acciones!B615/Acciones!B614)</f>
        <v>-5.8479416680662913E-3</v>
      </c>
      <c r="C615" s="29">
        <f>LN(Acciones!C615/Acciones!C614)</f>
        <v>1.4589374522361964E-3</v>
      </c>
      <c r="D615" s="29">
        <f>LN(Acciones!D615/Acciones!D614)</f>
        <v>-4.5627531133248965E-3</v>
      </c>
      <c r="E615" s="29">
        <f>LN(Acciones!E615/Acciones!E614)</f>
        <v>1.5094544311831158E-2</v>
      </c>
      <c r="M615" s="30">
        <f ca="1">Acciones!$B$751*EXP((H$2-H$3/2)*(1)+H$4*_xlfn.NORM.S.INV(RAND())*SQRT(1))</f>
        <v>11.228459500953988</v>
      </c>
      <c r="N615" s="30">
        <f ca="1">Acciones!$C$751*EXP((I$2-I$3/2)*(1)+I$4*_xlfn.NORM.S.INV(RAND())*SQRT(1))</f>
        <v>150.88603550945575</v>
      </c>
      <c r="O615" s="30">
        <f ca="1">Acciones!$D$751*EXP((J$2-J$3/2)*(1)+J$4*_xlfn.NORM.S.INV(RAND())*SQRT(1))</f>
        <v>1022.16238558553</v>
      </c>
      <c r="P615" s="30">
        <f ca="1">Acciones!$E$751*EXP((K$2-K$3/2)*(1)+K$4*_xlfn.NORM.S.INV(RAND())*SQRT(1))</f>
        <v>0.11725100162112456</v>
      </c>
      <c r="Q615" s="30"/>
      <c r="R615">
        <f ca="1">M615/Acciones!$B$751*$I$10 + N615/Acciones!$C$751*$I$11 + O615/Acciones!$D$751*$I$12 + P615/Acciones!$D$751*$I$13</f>
        <v>23262.305384994328</v>
      </c>
      <c r="T615" s="14">
        <f t="shared" ca="1" si="12"/>
        <v>-5237.6946150056719</v>
      </c>
      <c r="V615">
        <v>-4989.183861808895</v>
      </c>
    </row>
    <row r="616" spans="1:22" x14ac:dyDescent="0.2">
      <c r="A616" s="1">
        <f>Acciones!A616</f>
        <v>45891</v>
      </c>
      <c r="B616" s="29">
        <f>LN(Acciones!B616/Acciones!B615)</f>
        <v>1.0937030425577123E-2</v>
      </c>
      <c r="C616" s="29">
        <f>LN(Acciones!C616/Acciones!C615)</f>
        <v>5.0986085297064665E-2</v>
      </c>
      <c r="D616" s="29">
        <f>LN(Acciones!D616/Acciones!D615)</f>
        <v>2.6679627510833498E-2</v>
      </c>
      <c r="E616" s="29">
        <f>LN(Acciones!E616/Acciones!E615)</f>
        <v>-7.5188479985941392E-3</v>
      </c>
      <c r="M616" s="30">
        <f ca="1">Acciones!$B$751*EXP((H$2-H$3/2)*(1)+H$4*_xlfn.NORM.S.INV(RAND())*SQRT(1))</f>
        <v>10.698362165338885</v>
      </c>
      <c r="N616" s="30">
        <f ca="1">Acciones!$C$751*EXP((I$2-I$3/2)*(1)+I$4*_xlfn.NORM.S.INV(RAND())*SQRT(1))</f>
        <v>165.99768414381967</v>
      </c>
      <c r="O616" s="30">
        <f ca="1">Acciones!$D$751*EXP((J$2-J$3/2)*(1)+J$4*_xlfn.NORM.S.INV(RAND())*SQRT(1))</f>
        <v>1008.1860964556919</v>
      </c>
      <c r="P616" s="30">
        <f ca="1">Acciones!$E$751*EXP((K$2-K$3/2)*(1)+K$4*_xlfn.NORM.S.INV(RAND())*SQRT(1))</f>
        <v>0.13778690588085646</v>
      </c>
      <c r="Q616" s="30"/>
      <c r="R616">
        <f ca="1">M616/Acciones!$B$751*$I$10 + N616/Acciones!$C$751*$I$11 + O616/Acciones!$D$751*$I$12 + P616/Acciones!$D$751*$I$13</f>
        <v>23895.914256676282</v>
      </c>
      <c r="T616" s="14">
        <f t="shared" ca="1" si="12"/>
        <v>-4604.0857433237179</v>
      </c>
      <c r="V616">
        <v>-4984.7790485579753</v>
      </c>
    </row>
    <row r="617" spans="1:22" x14ac:dyDescent="0.2">
      <c r="A617" s="1">
        <f>Acciones!A617</f>
        <v>45894</v>
      </c>
      <c r="B617" s="29">
        <f>LN(Acciones!B617/Acciones!B616)</f>
        <v>0</v>
      </c>
      <c r="C617" s="29">
        <f>LN(Acciones!C617/Acciones!C616)</f>
        <v>-4.963335912142787E-2</v>
      </c>
      <c r="D617" s="29">
        <f>LN(Acciones!D617/Acciones!D616)</f>
        <v>1.3587230514977877E-2</v>
      </c>
      <c r="E617" s="29">
        <f>LN(Acciones!E617/Acciones!E616)</f>
        <v>0</v>
      </c>
      <c r="M617" s="30">
        <f ca="1">Acciones!$B$751*EXP((H$2-H$3/2)*(1)+H$4*_xlfn.NORM.S.INV(RAND())*SQRT(1))</f>
        <v>11.07250748262954</v>
      </c>
      <c r="N617" s="30">
        <f ca="1">Acciones!$C$751*EXP((I$2-I$3/2)*(1)+I$4*_xlfn.NORM.S.INV(RAND())*SQRT(1))</f>
        <v>157.35864988867547</v>
      </c>
      <c r="O617" s="30">
        <f ca="1">Acciones!$D$751*EXP((J$2-J$3/2)*(1)+J$4*_xlfn.NORM.S.INV(RAND())*SQRT(1))</f>
        <v>1004.7330108128276</v>
      </c>
      <c r="P617" s="30">
        <f ca="1">Acciones!$E$751*EXP((K$2-K$3/2)*(1)+K$4*_xlfn.NORM.S.INV(RAND())*SQRT(1))</f>
        <v>0.13479325930074945</v>
      </c>
      <c r="Q617" s="30"/>
      <c r="R617">
        <f ca="1">M617/Acciones!$B$751*$I$10 + N617/Acciones!$C$751*$I$11 + O617/Acciones!$D$751*$I$12 + P617/Acciones!$D$751*$I$13</f>
        <v>23441.931119905559</v>
      </c>
      <c r="T617" s="14">
        <f t="shared" ca="1" si="12"/>
        <v>-5058.0688800944408</v>
      </c>
      <c r="V617">
        <v>-4969.9666000260331</v>
      </c>
    </row>
    <row r="618" spans="1:22" x14ac:dyDescent="0.2">
      <c r="A618" s="1">
        <f>Acciones!A618</f>
        <v>45895</v>
      </c>
      <c r="B618" s="29">
        <f>LN(Acciones!B618/Acciones!B617)</f>
        <v>-1.0937030425577027E-2</v>
      </c>
      <c r="C618" s="29">
        <f>LN(Acciones!C618/Acciones!C617)</f>
        <v>2.8667643747907902E-2</v>
      </c>
      <c r="D618" s="29">
        <f>LN(Acciones!D618/Acciones!D617)</f>
        <v>-1.1189287063394412E-2</v>
      </c>
      <c r="E618" s="29">
        <f>LN(Acciones!E618/Acciones!E617)</f>
        <v>-3.7806742769444079E-3</v>
      </c>
      <c r="M618" s="30">
        <f ca="1">Acciones!$B$751*EXP((H$2-H$3/2)*(1)+H$4*_xlfn.NORM.S.INV(RAND())*SQRT(1))</f>
        <v>10.867293438934615</v>
      </c>
      <c r="N618" s="30">
        <f ca="1">Acciones!$C$751*EXP((I$2-I$3/2)*(1)+I$4*_xlfn.NORM.S.INV(RAND())*SQRT(1))</f>
        <v>159.46977578401405</v>
      </c>
      <c r="O618" s="30">
        <f ca="1">Acciones!$D$751*EXP((J$2-J$3/2)*(1)+J$4*_xlfn.NORM.S.INV(RAND())*SQRT(1))</f>
        <v>1006.3147173361868</v>
      </c>
      <c r="P618" s="30">
        <f ca="1">Acciones!$E$751*EXP((K$2-K$3/2)*(1)+K$4*_xlfn.NORM.S.INV(RAND())*SQRT(1))</f>
        <v>0.11711344191003265</v>
      </c>
      <c r="Q618" s="30"/>
      <c r="R618">
        <f ca="1">M618/Acciones!$B$751*$I$10 + N618/Acciones!$C$751*$I$11 + O618/Acciones!$D$751*$I$12 + P618/Acciones!$D$751*$I$13</f>
        <v>23523.658041671686</v>
      </c>
      <c r="T618" s="14">
        <f t="shared" ca="1" si="12"/>
        <v>-4976.3419583283139</v>
      </c>
      <c r="V618">
        <v>-4968.2653727166798</v>
      </c>
    </row>
    <row r="619" spans="1:22" x14ac:dyDescent="0.2">
      <c r="A619" s="1">
        <f>Acciones!A619</f>
        <v>45896</v>
      </c>
      <c r="B619" s="29">
        <f>LN(Acciones!B619/Acciones!B618)</f>
        <v>0</v>
      </c>
      <c r="C619" s="29">
        <f>LN(Acciones!C619/Acciones!C618)</f>
        <v>-5.6071879556883163E-3</v>
      </c>
      <c r="D619" s="29">
        <f>LN(Acciones!D619/Acciones!D618)</f>
        <v>-7.878027337235265E-3</v>
      </c>
      <c r="E619" s="29">
        <f>LN(Acciones!E619/Acciones!E618)</f>
        <v>2.6169715234027717E-2</v>
      </c>
      <c r="M619" s="30">
        <f ca="1">Acciones!$B$751*EXP((H$2-H$3/2)*(1)+H$4*_xlfn.NORM.S.INV(RAND())*SQRT(1))</f>
        <v>10.916649315413208</v>
      </c>
      <c r="N619" s="30">
        <f ca="1">Acciones!$C$751*EXP((I$2-I$3/2)*(1)+I$4*_xlfn.NORM.S.INV(RAND())*SQRT(1))</f>
        <v>137.04292880037923</v>
      </c>
      <c r="O619" s="30">
        <f ca="1">Acciones!$D$751*EXP((J$2-J$3/2)*(1)+J$4*_xlfn.NORM.S.INV(RAND())*SQRT(1))</f>
        <v>1002.1306833990133</v>
      </c>
      <c r="P619" s="30">
        <f ca="1">Acciones!$E$751*EXP((K$2-K$3/2)*(1)+K$4*_xlfn.NORM.S.INV(RAND())*SQRT(1))</f>
        <v>0.1217137652971168</v>
      </c>
      <c r="Q619" s="30"/>
      <c r="R619">
        <f ca="1">M619/Acciones!$B$751*$I$10 + N619/Acciones!$C$751*$I$11 + O619/Acciones!$D$751*$I$12 + P619/Acciones!$D$751*$I$13</f>
        <v>22097.311883736242</v>
      </c>
      <c r="T619" s="14">
        <f t="shared" ca="1" si="12"/>
        <v>-6402.6881162637583</v>
      </c>
      <c r="V619">
        <v>-4967.3785087114666</v>
      </c>
    </row>
    <row r="620" spans="1:22" x14ac:dyDescent="0.2">
      <c r="A620" s="1">
        <f>Acciones!A620</f>
        <v>45897</v>
      </c>
      <c r="B620" s="29">
        <f>LN(Acciones!B620/Acciones!B619)</f>
        <v>-2.2019047299352921E-3</v>
      </c>
      <c r="C620" s="29">
        <f>LN(Acciones!C620/Acciones!C619)</f>
        <v>1.0412360829631605E-2</v>
      </c>
      <c r="D620" s="29">
        <f>LN(Acciones!D620/Acciones!D619)</f>
        <v>-1.1216219193129107E-3</v>
      </c>
      <c r="E620" s="29">
        <f>LN(Acciones!E620/Acciones!E619)</f>
        <v>-1.8622494320625359E-2</v>
      </c>
      <c r="M620" s="30">
        <f ca="1">Acciones!$B$751*EXP((H$2-H$3/2)*(1)+H$4*_xlfn.NORM.S.INV(RAND())*SQRT(1))</f>
        <v>10.874073055400936</v>
      </c>
      <c r="N620" s="30">
        <f ca="1">Acciones!$C$751*EXP((I$2-I$3/2)*(1)+I$4*_xlfn.NORM.S.INV(RAND())*SQRT(1))</f>
        <v>146.16345848856091</v>
      </c>
      <c r="O620" s="30">
        <f ca="1">Acciones!$D$751*EXP((J$2-J$3/2)*(1)+J$4*_xlfn.NORM.S.INV(RAND())*SQRT(1))</f>
        <v>1017.3680765518408</v>
      </c>
      <c r="P620" s="30">
        <f ca="1">Acciones!$E$751*EXP((K$2-K$3/2)*(1)+K$4*_xlfn.NORM.S.INV(RAND())*SQRT(1))</f>
        <v>0.14123574606307426</v>
      </c>
      <c r="Q620" s="30"/>
      <c r="R620">
        <f ca="1">M620/Acciones!$B$751*$I$10 + N620/Acciones!$C$751*$I$11 + O620/Acciones!$D$751*$I$12 + P620/Acciones!$D$751*$I$13</f>
        <v>22805.856073409675</v>
      </c>
      <c r="T620" s="14">
        <f t="shared" ca="1" si="12"/>
        <v>-5694.1439265903246</v>
      </c>
      <c r="V620">
        <v>-4965.0120851785505</v>
      </c>
    </row>
    <row r="621" spans="1:22" x14ac:dyDescent="0.2">
      <c r="A621" s="1">
        <f>Acciones!A621</f>
        <v>45898</v>
      </c>
      <c r="B621" s="29">
        <f>LN(Acciones!B621/Acciones!B620)</f>
        <v>0</v>
      </c>
      <c r="C621" s="29">
        <f>LN(Acciones!C621/Acciones!C620)</f>
        <v>-3.7952148909070446E-3</v>
      </c>
      <c r="D621" s="29">
        <f>LN(Acciones!D621/Acciones!D620)</f>
        <v>-8.0953203181139601E-3</v>
      </c>
      <c r="E621" s="29">
        <f>LN(Acciones!E621/Acciones!E620)</f>
        <v>-3.7665466364578755E-3</v>
      </c>
      <c r="M621" s="30">
        <f ca="1">Acciones!$B$751*EXP((H$2-H$3/2)*(1)+H$4*_xlfn.NORM.S.INV(RAND())*SQRT(1))</f>
        <v>10.641693605817302</v>
      </c>
      <c r="N621" s="30">
        <f ca="1">Acciones!$C$751*EXP((I$2-I$3/2)*(1)+I$4*_xlfn.NORM.S.INV(RAND())*SQRT(1))</f>
        <v>129.38893036045292</v>
      </c>
      <c r="O621" s="30">
        <f ca="1">Acciones!$D$751*EXP((J$2-J$3/2)*(1)+J$4*_xlfn.NORM.S.INV(RAND())*SQRT(1))</f>
        <v>988.61272756034816</v>
      </c>
      <c r="P621" s="30">
        <f ca="1">Acciones!$E$751*EXP((K$2-K$3/2)*(1)+K$4*_xlfn.NORM.S.INV(RAND())*SQRT(1))</f>
        <v>0.11487777888398171</v>
      </c>
      <c r="Q621" s="30"/>
      <c r="R621">
        <f ca="1">M621/Acciones!$B$751*$I$10 + N621/Acciones!$C$751*$I$11 + O621/Acciones!$D$751*$I$12 + P621/Acciones!$D$751*$I$13</f>
        <v>21395.76169101445</v>
      </c>
      <c r="T621" s="14">
        <f t="shared" ca="1" si="12"/>
        <v>-7104.2383089855502</v>
      </c>
      <c r="V621">
        <v>-4963.7167906842478</v>
      </c>
    </row>
    <row r="622" spans="1:22" x14ac:dyDescent="0.2">
      <c r="A622" s="1">
        <f>Acciones!A622</f>
        <v>45901</v>
      </c>
      <c r="B622" s="29">
        <f>LN(Acciones!B622/Acciones!B621)</f>
        <v>-7.3497613503362657E-4</v>
      </c>
      <c r="C622" s="29">
        <f>LN(Acciones!C622/Acciones!C621)</f>
        <v>-1.4165382165400585E-2</v>
      </c>
      <c r="D622" s="29">
        <f>LN(Acciones!D622/Acciones!D621)</f>
        <v>6.4483216885457221E-3</v>
      </c>
      <c r="E622" s="29">
        <f>LN(Acciones!E622/Acciones!E621)</f>
        <v>3.7665466364579163E-3</v>
      </c>
      <c r="M622" s="30">
        <f ca="1">Acciones!$B$751*EXP((H$2-H$3/2)*(1)+H$4*_xlfn.NORM.S.INV(RAND())*SQRT(1))</f>
        <v>10.824542229160544</v>
      </c>
      <c r="N622" s="30">
        <f ca="1">Acciones!$C$751*EXP((I$2-I$3/2)*(1)+I$4*_xlfn.NORM.S.INV(RAND())*SQRT(1))</f>
        <v>136.5209702812206</v>
      </c>
      <c r="O622" s="30">
        <f ca="1">Acciones!$D$751*EXP((J$2-J$3/2)*(1)+J$4*_xlfn.NORM.S.INV(RAND())*SQRT(1))</f>
        <v>988.6331856324914</v>
      </c>
      <c r="P622" s="30">
        <f ca="1">Acciones!$E$751*EXP((K$2-K$3/2)*(1)+K$4*_xlfn.NORM.S.INV(RAND())*SQRT(1))</f>
        <v>0.1410737966766302</v>
      </c>
      <c r="Q622" s="30"/>
      <c r="R622">
        <f ca="1">M622/Acciones!$B$751*$I$10 + N622/Acciones!$C$751*$I$11 + O622/Acciones!$D$751*$I$12 + P622/Acciones!$D$751*$I$13</f>
        <v>21900.083027720404</v>
      </c>
      <c r="T622" s="14">
        <f t="shared" ca="1" si="12"/>
        <v>-6599.9169722795959</v>
      </c>
      <c r="V622">
        <v>-4961.0398428498338</v>
      </c>
    </row>
    <row r="623" spans="1:22" x14ac:dyDescent="0.2">
      <c r="A623" s="1">
        <f>Acciones!A623</f>
        <v>45902</v>
      </c>
      <c r="B623" s="29">
        <f>LN(Acciones!B623/Acciones!B622)</f>
        <v>1.8215448587318619E-2</v>
      </c>
      <c r="C623" s="29">
        <f>LN(Acciones!C623/Acciones!C622)</f>
        <v>2.6006994298123018E-2</v>
      </c>
      <c r="D623" s="29">
        <f>LN(Acciones!D623/Acciones!D622)</f>
        <v>-4.3027882992650889E-2</v>
      </c>
      <c r="E623" s="29">
        <f>LN(Acciones!E623/Acciones!E622)</f>
        <v>7.4906867791469127E-3</v>
      </c>
      <c r="M623" s="30">
        <f ca="1">Acciones!$B$751*EXP((H$2-H$3/2)*(1)+H$4*_xlfn.NORM.S.INV(RAND())*SQRT(1))</f>
        <v>10.943714838883505</v>
      </c>
      <c r="N623" s="30">
        <f ca="1">Acciones!$C$751*EXP((I$2-I$3/2)*(1)+I$4*_xlfn.NORM.S.INV(RAND())*SQRT(1))</f>
        <v>152.60515194657944</v>
      </c>
      <c r="O623" s="30">
        <f ca="1">Acciones!$D$751*EXP((J$2-J$3/2)*(1)+J$4*_xlfn.NORM.S.INV(RAND())*SQRT(1))</f>
        <v>989.02302803770965</v>
      </c>
      <c r="P623" s="30">
        <f ca="1">Acciones!$E$751*EXP((K$2-K$3/2)*(1)+K$4*_xlfn.NORM.S.INV(RAND())*SQRT(1))</f>
        <v>0.13878397257127642</v>
      </c>
      <c r="Q623" s="30"/>
      <c r="R623">
        <f ca="1">M623/Acciones!$B$751*$I$10 + N623/Acciones!$C$751*$I$11 + O623/Acciones!$D$751*$I$12 + P623/Acciones!$D$751*$I$13</f>
        <v>22946.476939390715</v>
      </c>
      <c r="T623" s="14">
        <f t="shared" ca="1" si="12"/>
        <v>-5553.5230606092846</v>
      </c>
      <c r="V623">
        <v>-4957.1756635235215</v>
      </c>
    </row>
    <row r="624" spans="1:22" x14ac:dyDescent="0.2">
      <c r="A624" s="1">
        <f>Acciones!A624</f>
        <v>45903</v>
      </c>
      <c r="B624" s="29">
        <f>LN(Acciones!B624/Acciones!B623)</f>
        <v>-4.3415372967726962E-3</v>
      </c>
      <c r="C624" s="29">
        <f>LN(Acciones!C624/Acciones!C623)</f>
        <v>-1.7341617347577054E-2</v>
      </c>
      <c r="D624" s="29">
        <f>LN(Acciones!D624/Acciones!D623)</f>
        <v>8.2193332140885599E-3</v>
      </c>
      <c r="E624" s="29">
        <f>LN(Acciones!E624/Acciones!E623)</f>
        <v>-1.503790769254916E-2</v>
      </c>
      <c r="M624" s="30">
        <f ca="1">Acciones!$B$751*EXP((H$2-H$3/2)*(1)+H$4*_xlfn.NORM.S.INV(RAND())*SQRT(1))</f>
        <v>10.565603104386559</v>
      </c>
      <c r="N624" s="30">
        <f ca="1">Acciones!$C$751*EXP((I$2-I$3/2)*(1)+I$4*_xlfn.NORM.S.INV(RAND())*SQRT(1))</f>
        <v>153.85259279682509</v>
      </c>
      <c r="O624" s="30">
        <f ca="1">Acciones!$D$751*EXP((J$2-J$3/2)*(1)+J$4*_xlfn.NORM.S.INV(RAND())*SQRT(1))</f>
        <v>980.02004842462793</v>
      </c>
      <c r="P624" s="30">
        <f ca="1">Acciones!$E$751*EXP((K$2-K$3/2)*(1)+K$4*_xlfn.NORM.S.INV(RAND())*SQRT(1))</f>
        <v>0.13955774523181472</v>
      </c>
      <c r="Q624" s="30"/>
      <c r="R624">
        <f ca="1">M624/Acciones!$B$751*$I$10 + N624/Acciones!$C$751*$I$11 + O624/Acciones!$D$751*$I$12 + P624/Acciones!$D$751*$I$13</f>
        <v>22812.890964736809</v>
      </c>
      <c r="T624" s="14">
        <f t="shared" ca="1" si="12"/>
        <v>-5687.1090352631909</v>
      </c>
      <c r="V624">
        <v>-4952.7067708527466</v>
      </c>
    </row>
    <row r="625" spans="1:22" x14ac:dyDescent="0.2">
      <c r="A625" s="1">
        <f>Acciones!A625</f>
        <v>45904</v>
      </c>
      <c r="B625" s="29">
        <f>LN(Acciones!B625/Acciones!B624)</f>
        <v>4.3415372967727647E-3</v>
      </c>
      <c r="C625" s="29">
        <f>LN(Acciones!C625/Acciones!C624)</f>
        <v>-4.1625862799806554E-2</v>
      </c>
      <c r="D625" s="29">
        <f>LN(Acciones!D625/Acciones!D624)</f>
        <v>1.0657356756220628E-2</v>
      </c>
      <c r="E625" s="29">
        <f>LN(Acciones!E625/Acciones!E624)</f>
        <v>3.780674276944407E-3</v>
      </c>
      <c r="M625" s="30">
        <f ca="1">Acciones!$B$751*EXP((H$2-H$3/2)*(1)+H$4*_xlfn.NORM.S.INV(RAND())*SQRT(1))</f>
        <v>10.343151260678557</v>
      </c>
      <c r="N625" s="30">
        <f ca="1">Acciones!$C$751*EXP((I$2-I$3/2)*(1)+I$4*_xlfn.NORM.S.INV(RAND())*SQRT(1))</f>
        <v>134.24968576162098</v>
      </c>
      <c r="O625" s="30">
        <f ca="1">Acciones!$D$751*EXP((J$2-J$3/2)*(1)+J$4*_xlfn.NORM.S.INV(RAND())*SQRT(1))</f>
        <v>995.40589590691422</v>
      </c>
      <c r="P625" s="30">
        <f ca="1">Acciones!$E$751*EXP((K$2-K$3/2)*(1)+K$4*_xlfn.NORM.S.INV(RAND())*SQRT(1))</f>
        <v>0.11982348669716648</v>
      </c>
      <c r="Q625" s="30"/>
      <c r="R625">
        <f ca="1">M625/Acciones!$B$751*$I$10 + N625/Acciones!$C$751*$I$11 + O625/Acciones!$D$751*$I$12 + P625/Acciones!$D$751*$I$13</f>
        <v>21671.555577080682</v>
      </c>
      <c r="T625" s="14">
        <f t="shared" ca="1" si="12"/>
        <v>-6828.4444229193177</v>
      </c>
      <c r="V625">
        <v>-4938.3044474034941</v>
      </c>
    </row>
    <row r="626" spans="1:22" x14ac:dyDescent="0.2">
      <c r="A626" s="1">
        <f>Acciones!A626</f>
        <v>45905</v>
      </c>
      <c r="B626" s="29">
        <f>LN(Acciones!B626/Acciones!B625)</f>
        <v>-8.7020759357112863E-3</v>
      </c>
      <c r="C626" s="29">
        <f>LN(Acciones!C626/Acciones!C625)</f>
        <v>2.8530603952761652E-3</v>
      </c>
      <c r="D626" s="29">
        <f>LN(Acciones!D626/Acciones!D625)</f>
        <v>-2.504606132895008E-2</v>
      </c>
      <c r="E626" s="29">
        <f>LN(Acciones!E626/Acciones!E625)</f>
        <v>-1.1385289173435799E-2</v>
      </c>
      <c r="M626" s="30">
        <f ca="1">Acciones!$B$751*EXP((H$2-H$3/2)*(1)+H$4*_xlfn.NORM.S.INV(RAND())*SQRT(1))</f>
        <v>10.961412493544197</v>
      </c>
      <c r="N626" s="30">
        <f ca="1">Acciones!$C$751*EXP((I$2-I$3/2)*(1)+I$4*_xlfn.NORM.S.INV(RAND())*SQRT(1))</f>
        <v>141.1938819740551</v>
      </c>
      <c r="O626" s="30">
        <f ca="1">Acciones!$D$751*EXP((J$2-J$3/2)*(1)+J$4*_xlfn.NORM.S.INV(RAND())*SQRT(1))</f>
        <v>995.51904828567922</v>
      </c>
      <c r="P626" s="30">
        <f ca="1">Acciones!$E$751*EXP((K$2-K$3/2)*(1)+K$4*_xlfn.NORM.S.INV(RAND())*SQRT(1))</f>
        <v>0.13067851756823726</v>
      </c>
      <c r="Q626" s="30"/>
      <c r="R626">
        <f ca="1">M626/Acciones!$B$751*$I$10 + N626/Acciones!$C$751*$I$11 + O626/Acciones!$D$751*$I$12 + P626/Acciones!$D$751*$I$13</f>
        <v>22304.675448181806</v>
      </c>
      <c r="T626" s="14">
        <f t="shared" ca="1" si="12"/>
        <v>-6195.3245518181939</v>
      </c>
      <c r="V626">
        <v>-4933.0840035059773</v>
      </c>
    </row>
    <row r="627" spans="1:22" x14ac:dyDescent="0.2">
      <c r="A627" s="1">
        <f>Acciones!A627</f>
        <v>45908</v>
      </c>
      <c r="B627" s="29">
        <f>LN(Acciones!B627/Acciones!B626)</f>
        <v>-2.1873149771565958E-3</v>
      </c>
      <c r="C627" s="29">
        <f>LN(Acciones!C627/Acciones!C626)</f>
        <v>-3.6647159289665532E-3</v>
      </c>
      <c r="D627" s="29">
        <f>LN(Acciones!D627/Acciones!D626)</f>
        <v>7.3162706213042189E-4</v>
      </c>
      <c r="E627" s="29">
        <f>LN(Acciones!E627/Acciones!E626)</f>
        <v>-7.6628884954763323E-3</v>
      </c>
      <c r="M627" s="30">
        <f ca="1">Acciones!$B$751*EXP((H$2-H$3/2)*(1)+H$4*_xlfn.NORM.S.INV(RAND())*SQRT(1))</f>
        <v>10.909117643412925</v>
      </c>
      <c r="N627" s="30">
        <f ca="1">Acciones!$C$751*EXP((I$2-I$3/2)*(1)+I$4*_xlfn.NORM.S.INV(RAND())*SQRT(1))</f>
        <v>155.29374867428623</v>
      </c>
      <c r="O627" s="30">
        <f ca="1">Acciones!$D$751*EXP((J$2-J$3/2)*(1)+J$4*_xlfn.NORM.S.INV(RAND())*SQRT(1))</f>
        <v>1006.9252928353468</v>
      </c>
      <c r="P627" s="30">
        <f ca="1">Acciones!$E$751*EXP((K$2-K$3/2)*(1)+K$4*_xlfn.NORM.S.INV(RAND())*SQRT(1))</f>
        <v>0.13860238188719848</v>
      </c>
      <c r="Q627" s="30"/>
      <c r="R627">
        <f ca="1">M627/Acciones!$B$751*$I$10 + N627/Acciones!$C$751*$I$11 + O627/Acciones!$D$751*$I$12 + P627/Acciones!$D$751*$I$13</f>
        <v>23282.565299677444</v>
      </c>
      <c r="T627" s="14">
        <f t="shared" ca="1" si="12"/>
        <v>-5217.4347003225557</v>
      </c>
      <c r="V627">
        <v>-4925.0841998383003</v>
      </c>
    </row>
    <row r="628" spans="1:22" x14ac:dyDescent="0.2">
      <c r="A628" s="1">
        <f>Acciones!A628</f>
        <v>45909</v>
      </c>
      <c r="B628" s="29">
        <f>LN(Acciones!B628/Acciones!B627)</f>
        <v>-4.389176809481846E-3</v>
      </c>
      <c r="C628" s="29">
        <f>LN(Acciones!C628/Acciones!C627)</f>
        <v>4.8341221310291338E-2</v>
      </c>
      <c r="D628" s="29">
        <f>LN(Acciones!D628/Acciones!D627)</f>
        <v>-8.7344721991372987E-3</v>
      </c>
      <c r="E628" s="29">
        <f>LN(Acciones!E628/Acciones!E627)</f>
        <v>-3.9220676473496023E-2</v>
      </c>
      <c r="M628" s="30">
        <f ca="1">Acciones!$B$751*EXP((H$2-H$3/2)*(1)+H$4*_xlfn.NORM.S.INV(RAND())*SQRT(1))</f>
        <v>10.731798081797093</v>
      </c>
      <c r="N628" s="30">
        <f ca="1">Acciones!$C$751*EXP((I$2-I$3/2)*(1)+I$4*_xlfn.NORM.S.INV(RAND())*SQRT(1))</f>
        <v>150.57555995536694</v>
      </c>
      <c r="O628" s="30">
        <f ca="1">Acciones!$D$751*EXP((J$2-J$3/2)*(1)+J$4*_xlfn.NORM.S.INV(RAND())*SQRT(1))</f>
        <v>985.31024765395102</v>
      </c>
      <c r="P628" s="30">
        <f ca="1">Acciones!$E$751*EXP((K$2-K$3/2)*(1)+K$4*_xlfn.NORM.S.INV(RAND())*SQRT(1))</f>
        <v>0.14356857670942708</v>
      </c>
      <c r="Q628" s="30"/>
      <c r="R628">
        <f ca="1">M628/Acciones!$B$751*$I$10 + N628/Acciones!$C$751*$I$11 + O628/Acciones!$D$751*$I$12 + P628/Acciones!$D$751*$I$13</f>
        <v>22714.60576126038</v>
      </c>
      <c r="T628" s="14">
        <f t="shared" ca="1" si="12"/>
        <v>-5785.3942387396201</v>
      </c>
      <c r="V628">
        <v>-4915.2085615758333</v>
      </c>
    </row>
    <row r="629" spans="1:22" x14ac:dyDescent="0.2">
      <c r="A629" s="1">
        <f>Acciones!A629</f>
        <v>45910</v>
      </c>
      <c r="B629" s="29">
        <f>LN(Acciones!B629/Acciones!B628)</f>
        <v>3.6589604148187806E-3</v>
      </c>
      <c r="C629" s="29">
        <f>LN(Acciones!C629/Acciones!C628)</f>
        <v>-7.5290477954041198E-3</v>
      </c>
      <c r="D629" s="29">
        <f>LN(Acciones!D629/Acciones!D628)</f>
        <v>7.995586357538758E-3</v>
      </c>
      <c r="E629" s="29">
        <f>LN(Acciones!E629/Acciones!E628)</f>
        <v>7.9681857329664749E-3</v>
      </c>
      <c r="M629" s="30">
        <f ca="1">Acciones!$B$751*EXP((H$2-H$3/2)*(1)+H$4*_xlfn.NORM.S.INV(RAND())*SQRT(1))</f>
        <v>10.649851854521925</v>
      </c>
      <c r="N629" s="30">
        <f ca="1">Acciones!$C$751*EXP((I$2-I$3/2)*(1)+I$4*_xlfn.NORM.S.INV(RAND())*SQRT(1))</f>
        <v>154.85035383107552</v>
      </c>
      <c r="O629" s="30">
        <f ca="1">Acciones!$D$751*EXP((J$2-J$3/2)*(1)+J$4*_xlfn.NORM.S.INV(RAND())*SQRT(1))</f>
        <v>1000.2127110445907</v>
      </c>
      <c r="P629" s="30">
        <f ca="1">Acciones!$E$751*EXP((K$2-K$3/2)*(1)+K$4*_xlfn.NORM.S.INV(RAND())*SQRT(1))</f>
        <v>0.12276999279829301</v>
      </c>
      <c r="Q629" s="30"/>
      <c r="R629">
        <f ca="1">M629/Acciones!$B$751*$I$10 + N629/Acciones!$C$751*$I$11 + O629/Acciones!$D$751*$I$12 + P629/Acciones!$D$751*$I$13</f>
        <v>23104.382956940113</v>
      </c>
      <c r="T629" s="14">
        <f t="shared" ca="1" si="12"/>
        <v>-5395.6170430598868</v>
      </c>
      <c r="V629">
        <v>-4911.0957644844129</v>
      </c>
    </row>
    <row r="630" spans="1:22" x14ac:dyDescent="0.2">
      <c r="A630" s="1">
        <f>Acciones!A630</f>
        <v>45911</v>
      </c>
      <c r="B630" s="29">
        <f>LN(Acciones!B630/Acciones!B629)</f>
        <v>3.6456212162733199E-3</v>
      </c>
      <c r="C630" s="29">
        <f>LN(Acciones!C630/Acciones!C629)</f>
        <v>-9.7741000561184406E-3</v>
      </c>
      <c r="D630" s="29">
        <f>LN(Acciones!D630/Acciones!D629)</f>
        <v>-3.622500901812961E-3</v>
      </c>
      <c r="E630" s="29">
        <f>LN(Acciones!E630/Acciones!E629)</f>
        <v>0</v>
      </c>
      <c r="M630" s="30">
        <f ca="1">Acciones!$B$751*EXP((H$2-H$3/2)*(1)+H$4*_xlfn.NORM.S.INV(RAND())*SQRT(1))</f>
        <v>11.075771208948636</v>
      </c>
      <c r="N630" s="30">
        <f ca="1">Acciones!$C$751*EXP((I$2-I$3/2)*(1)+I$4*_xlfn.NORM.S.INV(RAND())*SQRT(1))</f>
        <v>139.04421806184556</v>
      </c>
      <c r="O630" s="30">
        <f ca="1">Acciones!$D$751*EXP((J$2-J$3/2)*(1)+J$4*_xlfn.NORM.S.INV(RAND())*SQRT(1))</f>
        <v>1002.9015542112681</v>
      </c>
      <c r="P630" s="30">
        <f ca="1">Acciones!$E$751*EXP((K$2-K$3/2)*(1)+K$4*_xlfn.NORM.S.INV(RAND())*SQRT(1))</f>
        <v>0.1420610241354926</v>
      </c>
      <c r="Q630" s="30"/>
      <c r="R630">
        <f ca="1">M630/Acciones!$B$751*$I$10 + N630/Acciones!$C$751*$I$11 + O630/Acciones!$D$751*$I$12 + P630/Acciones!$D$751*$I$13</f>
        <v>22281.149973820044</v>
      </c>
      <c r="T630" s="14">
        <f t="shared" ca="1" si="12"/>
        <v>-6218.8500261799563</v>
      </c>
      <c r="V630">
        <v>-4911.0920870881964</v>
      </c>
    </row>
    <row r="631" spans="1:22" x14ac:dyDescent="0.2">
      <c r="A631" s="1">
        <f>Acciones!A631</f>
        <v>45912</v>
      </c>
      <c r="B631" s="29">
        <f>LN(Acciones!B631/Acciones!B630)</f>
        <v>-3.6456212162732423E-3</v>
      </c>
      <c r="C631" s="29">
        <f>LN(Acciones!C631/Acciones!C630)</f>
        <v>3.4179770884079412E-2</v>
      </c>
      <c r="D631" s="29">
        <f>LN(Acciones!D631/Acciones!D630)</f>
        <v>-1.909019992809596E-2</v>
      </c>
      <c r="E631" s="29">
        <f>LN(Acciones!E631/Acciones!E630)</f>
        <v>-3.9762157566733429E-3</v>
      </c>
      <c r="M631" s="30">
        <f ca="1">Acciones!$B$751*EXP((H$2-H$3/2)*(1)+H$4*_xlfn.NORM.S.INV(RAND())*SQRT(1))</f>
        <v>10.992286496818489</v>
      </c>
      <c r="N631" s="30">
        <f ca="1">Acciones!$C$751*EXP((I$2-I$3/2)*(1)+I$4*_xlfn.NORM.S.INV(RAND())*SQRT(1))</f>
        <v>137.68591485435397</v>
      </c>
      <c r="O631" s="30">
        <f ca="1">Acciones!$D$751*EXP((J$2-J$3/2)*(1)+J$4*_xlfn.NORM.S.INV(RAND())*SQRT(1))</f>
        <v>982.58749621368861</v>
      </c>
      <c r="P631" s="30">
        <f ca="1">Acciones!$E$751*EXP((K$2-K$3/2)*(1)+K$4*_xlfn.NORM.S.INV(RAND())*SQRT(1))</f>
        <v>0.13864171948998022</v>
      </c>
      <c r="Q631" s="30"/>
      <c r="R631">
        <f ca="1">M631/Acciones!$B$751*$I$10 + N631/Acciones!$C$751*$I$11 + O631/Acciones!$D$751*$I$12 + P631/Acciones!$D$751*$I$13</f>
        <v>21966.064149456768</v>
      </c>
      <c r="T631" s="14">
        <f t="shared" ca="1" si="12"/>
        <v>-6533.9358505432319</v>
      </c>
      <c r="V631">
        <v>-4910.8533645952593</v>
      </c>
    </row>
    <row r="632" spans="1:22" x14ac:dyDescent="0.2">
      <c r="A632" s="1">
        <f>Acciones!A632</f>
        <v>45915</v>
      </c>
      <c r="B632" s="29">
        <f>LN(Acciones!B632/Acciones!B631)</f>
        <v>-5.1263580603318525E-3</v>
      </c>
      <c r="C632" s="29">
        <f>LN(Acciones!C632/Acciones!C631)</f>
        <v>-1.6977532195456634E-2</v>
      </c>
      <c r="D632" s="29">
        <f>LN(Acciones!D632/Acciones!D631)</f>
        <v>-4.9938215618245832E-3</v>
      </c>
      <c r="E632" s="29">
        <f>LN(Acciones!E632/Acciones!E631)</f>
        <v>3.9762157566732986E-3</v>
      </c>
      <c r="M632" s="30">
        <f ca="1">Acciones!$B$751*EXP((H$2-H$3/2)*(1)+H$4*_xlfn.NORM.S.INV(RAND())*SQRT(1))</f>
        <v>10.982595447032422</v>
      </c>
      <c r="N632" s="30">
        <f ca="1">Acciones!$C$751*EXP((I$2-I$3/2)*(1)+I$4*_xlfn.NORM.S.INV(RAND())*SQRT(1))</f>
        <v>147.67787090595144</v>
      </c>
      <c r="O632" s="30">
        <f ca="1">Acciones!$D$751*EXP((J$2-J$3/2)*(1)+J$4*_xlfn.NORM.S.INV(RAND())*SQRT(1))</f>
        <v>993.22816791601588</v>
      </c>
      <c r="P632" s="30">
        <f ca="1">Acciones!$E$751*EXP((K$2-K$3/2)*(1)+K$4*_xlfn.NORM.S.INV(RAND())*SQRT(1))</f>
        <v>0.13737376635472107</v>
      </c>
      <c r="Q632" s="30"/>
      <c r="R632">
        <f ca="1">M632/Acciones!$B$751*$I$10 + N632/Acciones!$C$751*$I$11 + O632/Acciones!$D$751*$I$12 + P632/Acciones!$D$751*$I$13</f>
        <v>22693.411329392373</v>
      </c>
      <c r="T632" s="14">
        <f t="shared" ca="1" si="12"/>
        <v>-5806.5886706076271</v>
      </c>
      <c r="V632">
        <v>-4909.4199066761648</v>
      </c>
    </row>
    <row r="633" spans="1:22" x14ac:dyDescent="0.2">
      <c r="A633" s="1">
        <f>Acciones!A633</f>
        <v>45917</v>
      </c>
      <c r="B633" s="29">
        <f>LN(Acciones!B633/Acciones!B632)</f>
        <v>8.7719792766051442E-3</v>
      </c>
      <c r="C633" s="29">
        <f>LN(Acciones!C633/Acciones!C632)</f>
        <v>6.9954526613330986E-2</v>
      </c>
      <c r="D633" s="29">
        <f>LN(Acciones!D633/Acciones!D632)</f>
        <v>-9.190689239596506E-3</v>
      </c>
      <c r="E633" s="29">
        <f>LN(Acciones!E633/Acciones!E632)</f>
        <v>7.9051953376185966E-3</v>
      </c>
      <c r="M633" s="30">
        <f ca="1">Acciones!$B$751*EXP((H$2-H$3/2)*(1)+H$4*_xlfn.NORM.S.INV(RAND())*SQRT(1))</f>
        <v>11.161125196544075</v>
      </c>
      <c r="N633" s="30">
        <f ca="1">Acciones!$C$751*EXP((I$2-I$3/2)*(1)+I$4*_xlfn.NORM.S.INV(RAND())*SQRT(1))</f>
        <v>145.48167942634518</v>
      </c>
      <c r="O633" s="30">
        <f ca="1">Acciones!$D$751*EXP((J$2-J$3/2)*(1)+J$4*_xlfn.NORM.S.INV(RAND())*SQRT(1))</f>
        <v>957.87783059748335</v>
      </c>
      <c r="P633" s="30">
        <f ca="1">Acciones!$E$751*EXP((K$2-K$3/2)*(1)+K$4*_xlfn.NORM.S.INV(RAND())*SQRT(1))</f>
        <v>0.13912975484915763</v>
      </c>
      <c r="Q633" s="30"/>
      <c r="R633">
        <f ca="1">M633/Acciones!$B$751*$I$10 + N633/Acciones!$C$751*$I$11 + O633/Acciones!$D$751*$I$12 + P633/Acciones!$D$751*$I$13</f>
        <v>22259.483798950554</v>
      </c>
      <c r="T633" s="14">
        <f t="shared" ca="1" si="12"/>
        <v>-6240.516201049446</v>
      </c>
      <c r="V633">
        <v>-4907.2400460654972</v>
      </c>
    </row>
    <row r="634" spans="1:22" x14ac:dyDescent="0.2">
      <c r="A634" s="1">
        <f>Acciones!A634</f>
        <v>45918</v>
      </c>
      <c r="B634" s="29">
        <f>LN(Acciones!B634/Acciones!B633)</f>
        <v>7.2756011529921021E-4</v>
      </c>
      <c r="C634" s="29">
        <f>LN(Acciones!C634/Acciones!C633)</f>
        <v>6.9279298702470016E-2</v>
      </c>
      <c r="D634" s="29">
        <f>LN(Acciones!D634/Acciones!D633)</f>
        <v>-3.7740338715685669E-3</v>
      </c>
      <c r="E634" s="29">
        <f>LN(Acciones!E634/Acciones!E633)</f>
        <v>0</v>
      </c>
      <c r="M634" s="30">
        <f ca="1">Acciones!$B$751*EXP((H$2-H$3/2)*(1)+H$4*_xlfn.NORM.S.INV(RAND())*SQRT(1))</f>
        <v>10.923266385999792</v>
      </c>
      <c r="N634" s="30">
        <f ca="1">Acciones!$C$751*EXP((I$2-I$3/2)*(1)+I$4*_xlfn.NORM.S.INV(RAND())*SQRT(1))</f>
        <v>152.77649243249678</v>
      </c>
      <c r="O634" s="30">
        <f ca="1">Acciones!$D$751*EXP((J$2-J$3/2)*(1)+J$4*_xlfn.NORM.S.INV(RAND())*SQRT(1))</f>
        <v>936.35644804943126</v>
      </c>
      <c r="P634" s="30">
        <f ca="1">Acciones!$E$751*EXP((K$2-K$3/2)*(1)+K$4*_xlfn.NORM.S.INV(RAND())*SQRT(1))</f>
        <v>0.13366109373620907</v>
      </c>
      <c r="Q634" s="30"/>
      <c r="R634">
        <f ca="1">M634/Acciones!$B$751*$I$10 + N634/Acciones!$C$751*$I$11 + O634/Acciones!$D$751*$I$12 + P634/Acciones!$D$751*$I$13</f>
        <v>22423.055983507187</v>
      </c>
      <c r="T634" s="14">
        <f t="shared" ca="1" si="12"/>
        <v>-6076.9440164928128</v>
      </c>
      <c r="V634">
        <v>-4905.1391712363584</v>
      </c>
    </row>
    <row r="635" spans="1:22" x14ac:dyDescent="0.2">
      <c r="A635" s="1">
        <f>Acciones!A635</f>
        <v>45919</v>
      </c>
      <c r="B635" s="29">
        <f>LN(Acciones!B635/Acciones!B634)</f>
        <v>-4.2338260692511551E-2</v>
      </c>
      <c r="C635" s="29">
        <f>LN(Acciones!C635/Acciones!C634)</f>
        <v>-1.3732361923361197E-2</v>
      </c>
      <c r="D635" s="29">
        <f>LN(Acciones!D635/Acciones!D634)</f>
        <v>-1.3670525161210329E-2</v>
      </c>
      <c r="E635" s="29">
        <f>LN(Acciones!E635/Acciones!E634)</f>
        <v>1.1741783179290938E-2</v>
      </c>
      <c r="M635" s="30">
        <f ca="1">Acciones!$B$751*EXP((H$2-H$3/2)*(1)+H$4*_xlfn.NORM.S.INV(RAND())*SQRT(1))</f>
        <v>10.954485558672491</v>
      </c>
      <c r="N635" s="30">
        <f ca="1">Acciones!$C$751*EXP((I$2-I$3/2)*(1)+I$4*_xlfn.NORM.S.INV(RAND())*SQRT(1))</f>
        <v>163.44697757807975</v>
      </c>
      <c r="O635" s="30">
        <f ca="1">Acciones!$D$751*EXP((J$2-J$3/2)*(1)+J$4*_xlfn.NORM.S.INV(RAND())*SQRT(1))</f>
        <v>984.21403756781967</v>
      </c>
      <c r="P635" s="30">
        <f ca="1">Acciones!$E$751*EXP((K$2-K$3/2)*(1)+K$4*_xlfn.NORM.S.INV(RAND())*SQRT(1))</f>
        <v>0.11975490838413284</v>
      </c>
      <c r="Q635" s="30"/>
      <c r="R635">
        <f ca="1">M635/Acciones!$B$751*$I$10 + N635/Acciones!$C$751*$I$11 + O635/Acciones!$D$751*$I$12 + P635/Acciones!$D$751*$I$13</f>
        <v>23578.604613491549</v>
      </c>
      <c r="T635" s="14">
        <f t="shared" ca="1" si="12"/>
        <v>-4921.3953865084513</v>
      </c>
      <c r="V635">
        <v>-4904.6923423370608</v>
      </c>
    </row>
    <row r="636" spans="1:22" x14ac:dyDescent="0.2">
      <c r="A636" s="1">
        <f>Acciones!A636</f>
        <v>45922</v>
      </c>
      <c r="B636" s="29">
        <f>LN(Acciones!B636/Acciones!B635)</f>
        <v>3.7965079360939055E-2</v>
      </c>
      <c r="C636" s="29">
        <f>LN(Acciones!C636/Acciones!C635)</f>
        <v>-9.7500334594884663E-3</v>
      </c>
      <c r="D636" s="29">
        <f>LN(Acciones!D636/Acciones!D635)</f>
        <v>1.7658738490285032E-3</v>
      </c>
      <c r="E636" s="29">
        <f>LN(Acciones!E636/Acciones!E635)</f>
        <v>7.7519924749056453E-3</v>
      </c>
      <c r="M636" s="30">
        <f ca="1">Acciones!$B$751*EXP((H$2-H$3/2)*(1)+H$4*_xlfn.NORM.S.INV(RAND())*SQRT(1))</f>
        <v>11.049230927129411</v>
      </c>
      <c r="N636" s="30">
        <f ca="1">Acciones!$C$751*EXP((I$2-I$3/2)*(1)+I$4*_xlfn.NORM.S.INV(RAND())*SQRT(1))</f>
        <v>153.18270080220432</v>
      </c>
      <c r="O636" s="30">
        <f ca="1">Acciones!$D$751*EXP((J$2-J$3/2)*(1)+J$4*_xlfn.NORM.S.INV(RAND())*SQRT(1))</f>
        <v>996.62212304207844</v>
      </c>
      <c r="P636" s="30">
        <f ca="1">Acciones!$E$751*EXP((K$2-K$3/2)*(1)+K$4*_xlfn.NORM.S.INV(RAND())*SQRT(1))</f>
        <v>0.1293364702226</v>
      </c>
      <c r="Q636" s="30"/>
      <c r="R636">
        <f ca="1">M636/Acciones!$B$751*$I$10 + N636/Acciones!$C$751*$I$11 + O636/Acciones!$D$751*$I$12 + P636/Acciones!$D$751*$I$13</f>
        <v>23092.452149937122</v>
      </c>
      <c r="T636" s="14">
        <f t="shared" ca="1" si="12"/>
        <v>-5407.5478500628778</v>
      </c>
      <c r="V636">
        <v>-4896.0373569890762</v>
      </c>
    </row>
    <row r="637" spans="1:22" x14ac:dyDescent="0.2">
      <c r="A637" s="1">
        <f>Acciones!A637</f>
        <v>45923</v>
      </c>
      <c r="B637" s="29">
        <f>LN(Acciones!B637/Acciones!B636)</f>
        <v>-1.397596642026063E-2</v>
      </c>
      <c r="C637" s="29">
        <f>LN(Acciones!C637/Acciones!C636)</f>
        <v>-2.4569043464613038E-2</v>
      </c>
      <c r="D637" s="29">
        <f>LN(Acciones!D637/Acciones!D636)</f>
        <v>-7.1283260261461217E-3</v>
      </c>
      <c r="E637" s="29">
        <f>LN(Acciones!E637/Acciones!E636)</f>
        <v>-7.7519924749055247E-3</v>
      </c>
      <c r="M637" s="30">
        <f ca="1">Acciones!$B$751*EXP((H$2-H$3/2)*(1)+H$4*_xlfn.NORM.S.INV(RAND())*SQRT(1))</f>
        <v>10.814098568848026</v>
      </c>
      <c r="N637" s="30">
        <f ca="1">Acciones!$C$751*EXP((I$2-I$3/2)*(1)+I$4*_xlfn.NORM.S.INV(RAND())*SQRT(1))</f>
        <v>146.31536838584307</v>
      </c>
      <c r="O637" s="30">
        <f ca="1">Acciones!$D$751*EXP((J$2-J$3/2)*(1)+J$4*_xlfn.NORM.S.INV(RAND())*SQRT(1))</f>
        <v>1003.783076669027</v>
      </c>
      <c r="P637" s="30">
        <f ca="1">Acciones!$E$751*EXP((K$2-K$3/2)*(1)+K$4*_xlfn.NORM.S.INV(RAND())*SQRT(1))</f>
        <v>0.11965645880168214</v>
      </c>
      <c r="Q637" s="30"/>
      <c r="R637">
        <f ca="1">M637/Acciones!$B$751*$I$10 + N637/Acciones!$C$751*$I$11 + O637/Acciones!$D$751*$I$12 + P637/Acciones!$D$751*$I$13</f>
        <v>22659.908828959062</v>
      </c>
      <c r="T637" s="14">
        <f t="shared" ca="1" si="12"/>
        <v>-5840.0911710409382</v>
      </c>
      <c r="V637">
        <v>-4888.7953562230869</v>
      </c>
    </row>
    <row r="638" spans="1:22" x14ac:dyDescent="0.2">
      <c r="A638" s="1">
        <f>Acciones!A638</f>
        <v>45924</v>
      </c>
      <c r="B638" s="29">
        <f>LN(Acciones!B638/Acciones!B637)</f>
        <v>9.5835763396459987E-3</v>
      </c>
      <c r="C638" s="29">
        <f>LN(Acciones!C638/Acciones!C637)</f>
        <v>7.3677981294460683E-4</v>
      </c>
      <c r="D638" s="29">
        <f>LN(Acciones!D638/Acciones!D637)</f>
        <v>7.6551493970143858E-3</v>
      </c>
      <c r="E638" s="29">
        <f>LN(Acciones!E638/Acciones!E637)</f>
        <v>3.8834501356214491E-3</v>
      </c>
      <c r="M638" s="30">
        <f ca="1">Acciones!$B$751*EXP((H$2-H$3/2)*(1)+H$4*_xlfn.NORM.S.INV(RAND())*SQRT(1))</f>
        <v>10.995427301388984</v>
      </c>
      <c r="N638" s="30">
        <f ca="1">Acciones!$C$751*EXP((I$2-I$3/2)*(1)+I$4*_xlfn.NORM.S.INV(RAND())*SQRT(1))</f>
        <v>151.88025206172813</v>
      </c>
      <c r="O638" s="30">
        <f ca="1">Acciones!$D$751*EXP((J$2-J$3/2)*(1)+J$4*_xlfn.NORM.S.INV(RAND())*SQRT(1))</f>
        <v>1014.3407325061257</v>
      </c>
      <c r="P638" s="30">
        <f ca="1">Acciones!$E$751*EXP((K$2-K$3/2)*(1)+K$4*_xlfn.NORM.S.INV(RAND())*SQRT(1))</f>
        <v>0.13779370292891155</v>
      </c>
      <c r="Q638" s="30"/>
      <c r="R638">
        <f ca="1">M638/Acciones!$B$751*$I$10 + N638/Acciones!$C$751*$I$11 + O638/Acciones!$D$751*$I$12 + P638/Acciones!$D$751*$I$13</f>
        <v>23171.392545670973</v>
      </c>
      <c r="T638" s="14">
        <f t="shared" ca="1" si="12"/>
        <v>-5328.607454329027</v>
      </c>
      <c r="V638">
        <v>-4886.5459107516908</v>
      </c>
    </row>
    <row r="639" spans="1:22" x14ac:dyDescent="0.2">
      <c r="A639" s="1">
        <f>Acciones!A639</f>
        <v>45925</v>
      </c>
      <c r="B639" s="29">
        <f>LN(Acciones!B639/Acciones!B638)</f>
        <v>1.2395383131910369E-2</v>
      </c>
      <c r="C639" s="29">
        <f>LN(Acciones!C639/Acciones!C638)</f>
        <v>-9.41754957806889E-2</v>
      </c>
      <c r="D639" s="29">
        <f>LN(Acciones!D639/Acciones!D638)</f>
        <v>-2.2635847371199426E-2</v>
      </c>
      <c r="E639" s="29">
        <f>LN(Acciones!E639/Acciones!E638)</f>
        <v>-1.1696005788816119E-2</v>
      </c>
      <c r="M639" s="30">
        <f ca="1">Acciones!$B$751*EXP((H$2-H$3/2)*(1)+H$4*_xlfn.NORM.S.INV(RAND())*SQRT(1))</f>
        <v>11.157811714871194</v>
      </c>
      <c r="N639" s="30">
        <f ca="1">Acciones!$C$751*EXP((I$2-I$3/2)*(1)+I$4*_xlfn.NORM.S.INV(RAND())*SQRT(1))</f>
        <v>159.40410683885028</v>
      </c>
      <c r="O639" s="30">
        <f ca="1">Acciones!$D$751*EXP((J$2-J$3/2)*(1)+J$4*_xlfn.NORM.S.INV(RAND())*SQRT(1))</f>
        <v>1025.6988412867427</v>
      </c>
      <c r="P639" s="30">
        <f ca="1">Acciones!$E$751*EXP((K$2-K$3/2)*(1)+K$4*_xlfn.NORM.S.INV(RAND())*SQRT(1))</f>
        <v>0.13231456764458963</v>
      </c>
      <c r="Q639" s="30"/>
      <c r="R639">
        <f ca="1">M639/Acciones!$B$751*$I$10 + N639/Acciones!$C$751*$I$11 + O639/Acciones!$D$751*$I$12 + P639/Acciones!$D$751*$I$13</f>
        <v>23807.001367962348</v>
      </c>
      <c r="T639" s="14">
        <f t="shared" ca="1" si="12"/>
        <v>-4692.998632037652</v>
      </c>
      <c r="V639">
        <v>-4884.2773630419724</v>
      </c>
    </row>
    <row r="640" spans="1:22" x14ac:dyDescent="0.2">
      <c r="A640" s="1">
        <f>Acciones!A640</f>
        <v>45926</v>
      </c>
      <c r="B640" s="29">
        <f>LN(Acciones!B640/Acciones!B639)</f>
        <v>-1.0929131912287508E-2</v>
      </c>
      <c r="C640" s="29">
        <f>LN(Acciones!C640/Acciones!C639)</f>
        <v>-5.3751631090409547E-3</v>
      </c>
      <c r="D640" s="29">
        <f>LN(Acciones!D640/Acciones!D639)</f>
        <v>-1.2311166123650583E-2</v>
      </c>
      <c r="E640" s="29">
        <f>LN(Acciones!E640/Acciones!E639)</f>
        <v>1.9418067876814531E-2</v>
      </c>
      <c r="M640" s="30">
        <f ca="1">Acciones!$B$751*EXP((H$2-H$3/2)*(1)+H$4*_xlfn.NORM.S.INV(RAND())*SQRT(1))</f>
        <v>11.140214410810865</v>
      </c>
      <c r="N640" s="30">
        <f ca="1">Acciones!$C$751*EXP((I$2-I$3/2)*(1)+I$4*_xlfn.NORM.S.INV(RAND())*SQRT(1))</f>
        <v>142.97095599613345</v>
      </c>
      <c r="O640" s="30">
        <f ca="1">Acciones!$D$751*EXP((J$2-J$3/2)*(1)+J$4*_xlfn.NORM.S.INV(RAND())*SQRT(1))</f>
        <v>1041.1077012413173</v>
      </c>
      <c r="P640" s="30">
        <f ca="1">Acciones!$E$751*EXP((K$2-K$3/2)*(1)+K$4*_xlfn.NORM.S.INV(RAND())*SQRT(1))</f>
        <v>0.12439931964389855</v>
      </c>
      <c r="Q640" s="30"/>
      <c r="R640">
        <f ca="1">M640/Acciones!$B$751*$I$10 + N640/Acciones!$C$751*$I$11 + O640/Acciones!$D$751*$I$12 + P640/Acciones!$D$751*$I$13</f>
        <v>22929.594743219521</v>
      </c>
      <c r="T640" s="14">
        <f t="shared" ca="1" si="12"/>
        <v>-5570.4052567804792</v>
      </c>
      <c r="V640">
        <v>-4882.637302048839</v>
      </c>
    </row>
    <row r="641" spans="1:22" x14ac:dyDescent="0.2">
      <c r="A641" s="1">
        <f>Acciones!A641</f>
        <v>45929</v>
      </c>
      <c r="B641" s="29">
        <f>LN(Acciones!B641/Acciones!B640)</f>
        <v>-1.0309337839795107E-2</v>
      </c>
      <c r="C641" s="29">
        <f>LN(Acciones!C641/Acciones!C640)</f>
        <v>0.14745052540699566</v>
      </c>
      <c r="D641" s="29">
        <f>LN(Acciones!D641/Acciones!D640)</f>
        <v>1.0998455383519843E-2</v>
      </c>
      <c r="E641" s="29">
        <f>LN(Acciones!E641/Acciones!E640)</f>
        <v>-2.7292140475764299E-2</v>
      </c>
      <c r="M641" s="30">
        <f ca="1">Acciones!$B$751*EXP((H$2-H$3/2)*(1)+H$4*_xlfn.NORM.S.INV(RAND())*SQRT(1))</f>
        <v>11.268637616797523</v>
      </c>
      <c r="N641" s="30">
        <f ca="1">Acciones!$C$751*EXP((I$2-I$3/2)*(1)+I$4*_xlfn.NORM.S.INV(RAND())*SQRT(1))</f>
        <v>152.90512042995803</v>
      </c>
      <c r="O641" s="30">
        <f ca="1">Acciones!$D$751*EXP((J$2-J$3/2)*(1)+J$4*_xlfn.NORM.S.INV(RAND())*SQRT(1))</f>
        <v>1029.3121298788044</v>
      </c>
      <c r="P641" s="30">
        <f ca="1">Acciones!$E$751*EXP((K$2-K$3/2)*(1)+K$4*_xlfn.NORM.S.INV(RAND())*SQRT(1))</f>
        <v>0.10982648972313376</v>
      </c>
      <c r="Q641" s="30"/>
      <c r="R641">
        <f ca="1">M641/Acciones!$B$751*$I$10 + N641/Acciones!$C$751*$I$11 + O641/Acciones!$D$751*$I$12 + P641/Acciones!$D$751*$I$13</f>
        <v>23472.837183386288</v>
      </c>
      <c r="T641" s="14">
        <f t="shared" ca="1" si="12"/>
        <v>-5027.1628166137125</v>
      </c>
      <c r="V641">
        <v>-4882.1100603540181</v>
      </c>
    </row>
    <row r="642" spans="1:22" x14ac:dyDescent="0.2">
      <c r="A642" s="1">
        <f>Acciones!A642</f>
        <v>45930</v>
      </c>
      <c r="B642" s="29">
        <f>LN(Acciones!B642/Acciones!B641)</f>
        <v>1.7608658032359295E-2</v>
      </c>
      <c r="C642" s="29">
        <f>LN(Acciones!C642/Acciones!C641)</f>
        <v>-2.1673503839146319E-2</v>
      </c>
      <c r="D642" s="29">
        <f>LN(Acciones!D642/Acciones!D641)</f>
        <v>7.8937928128954005E-4</v>
      </c>
      <c r="E642" s="29">
        <f>LN(Acciones!E642/Acciones!E641)</f>
        <v>-3.9603502647652883E-3</v>
      </c>
      <c r="M642" s="30">
        <f ca="1">Acciones!$B$751*EXP((H$2-H$3/2)*(1)+H$4*_xlfn.NORM.S.INV(RAND())*SQRT(1))</f>
        <v>10.97567706384489</v>
      </c>
      <c r="N642" s="30">
        <f ca="1">Acciones!$C$751*EXP((I$2-I$3/2)*(1)+I$4*_xlfn.NORM.S.INV(RAND())*SQRT(1))</f>
        <v>172.37985683664613</v>
      </c>
      <c r="O642" s="30">
        <f ca="1">Acciones!$D$751*EXP((J$2-J$3/2)*(1)+J$4*_xlfn.NORM.S.INV(RAND())*SQRT(1))</f>
        <v>1009.0538105804328</v>
      </c>
      <c r="P642" s="30">
        <f ca="1">Acciones!$E$751*EXP((K$2-K$3/2)*(1)+K$4*_xlfn.NORM.S.INV(RAND())*SQRT(1))</f>
        <v>0.129187811006817</v>
      </c>
      <c r="Q642" s="30"/>
      <c r="R642">
        <f ca="1">M642/Acciones!$B$751*$I$10 + N642/Acciones!$C$751*$I$11 + O642/Acciones!$D$751*$I$12 + P642/Acciones!$D$751*$I$13</f>
        <v>24392.01529010239</v>
      </c>
      <c r="T642" s="14">
        <f t="shared" ca="1" si="12"/>
        <v>-4107.9847098976097</v>
      </c>
      <c r="V642">
        <v>-4878.0207732672352</v>
      </c>
    </row>
    <row r="643" spans="1:22" x14ac:dyDescent="0.2">
      <c r="A643" s="1">
        <f>Acciones!A643</f>
        <v>45931</v>
      </c>
      <c r="B643" s="29">
        <f>LN(Acciones!B643/Acciones!B642)</f>
        <v>2.1794397439697504E-3</v>
      </c>
      <c r="C643" s="29">
        <f>LN(Acciones!C643/Acciones!C642)</f>
        <v>2.0561370269934647E-2</v>
      </c>
      <c r="D643" s="29">
        <f>LN(Acciones!D643/Acciones!D642)</f>
        <v>5.9358609742667309E-2</v>
      </c>
      <c r="E643" s="29">
        <f>LN(Acciones!E643/Acciones!E642)</f>
        <v>-3.9762157566733429E-3</v>
      </c>
      <c r="M643" s="30">
        <f ca="1">Acciones!$B$751*EXP((H$2-H$3/2)*(1)+H$4*_xlfn.NORM.S.INV(RAND())*SQRT(1))</f>
        <v>10.588645151055818</v>
      </c>
      <c r="N643" s="30">
        <f ca="1">Acciones!$C$751*EXP((I$2-I$3/2)*(1)+I$4*_xlfn.NORM.S.INV(RAND())*SQRT(1))</f>
        <v>158.69735926081796</v>
      </c>
      <c r="O643" s="30">
        <f ca="1">Acciones!$D$751*EXP((J$2-J$3/2)*(1)+J$4*_xlfn.NORM.S.INV(RAND())*SQRT(1))</f>
        <v>1002.1036613635379</v>
      </c>
      <c r="P643" s="30">
        <f ca="1">Acciones!$E$751*EXP((K$2-K$3/2)*(1)+K$4*_xlfn.NORM.S.INV(RAND())*SQRT(1))</f>
        <v>0.12881622920069846</v>
      </c>
      <c r="Q643" s="30"/>
      <c r="R643">
        <f ca="1">M643/Acciones!$B$751*$I$10 + N643/Acciones!$C$751*$I$11 + O643/Acciones!$D$751*$I$12 + P643/Acciones!$D$751*$I$13</f>
        <v>23343.922125917794</v>
      </c>
      <c r="T643" s="14">
        <f t="shared" ca="1" si="12"/>
        <v>-5156.0778740822061</v>
      </c>
      <c r="V643">
        <v>-4872.2973684996687</v>
      </c>
    </row>
    <row r="644" spans="1:22" x14ac:dyDescent="0.2">
      <c r="A644" s="1">
        <f>Acciones!A644</f>
        <v>45932</v>
      </c>
      <c r="B644" s="29">
        <f>LN(Acciones!B644/Acciones!B643)</f>
        <v>-1.6093922846158962E-2</v>
      </c>
      <c r="C644" s="29">
        <f>LN(Acciones!C644/Acciones!C643)</f>
        <v>1.8423690905204772E-2</v>
      </c>
      <c r="D644" s="29">
        <f>LN(Acciones!D644/Acciones!D643)</f>
        <v>9.4305352696840046E-3</v>
      </c>
      <c r="E644" s="29">
        <f>LN(Acciones!E644/Acciones!E643)</f>
        <v>2.7506644409204306E-2</v>
      </c>
      <c r="M644" s="30">
        <f ca="1">Acciones!$B$751*EXP((H$2-H$3/2)*(1)+H$4*_xlfn.NORM.S.INV(RAND())*SQRT(1))</f>
        <v>10.894320900503166</v>
      </c>
      <c r="N644" s="30">
        <f ca="1">Acciones!$C$751*EXP((I$2-I$3/2)*(1)+I$4*_xlfn.NORM.S.INV(RAND())*SQRT(1))</f>
        <v>169.69633397400611</v>
      </c>
      <c r="O644" s="30">
        <f ca="1">Acciones!$D$751*EXP((J$2-J$3/2)*(1)+J$4*_xlfn.NORM.S.INV(RAND())*SQRT(1))</f>
        <v>1029.5952253186672</v>
      </c>
      <c r="P644" s="30">
        <f ca="1">Acciones!$E$751*EXP((K$2-K$3/2)*(1)+K$4*_xlfn.NORM.S.INV(RAND())*SQRT(1))</f>
        <v>0.11799973333641925</v>
      </c>
      <c r="Q644" s="30"/>
      <c r="R644">
        <f ca="1">M644/Acciones!$B$751*$I$10 + N644/Acciones!$C$751*$I$11 + O644/Acciones!$D$751*$I$12 + P644/Acciones!$D$751*$I$13</f>
        <v>24404.050807636933</v>
      </c>
      <c r="T644" s="14">
        <f t="shared" ca="1" si="12"/>
        <v>-4095.9491923630667</v>
      </c>
      <c r="V644">
        <v>-4872.204719116402</v>
      </c>
    </row>
    <row r="645" spans="1:22" x14ac:dyDescent="0.2">
      <c r="A645" s="1">
        <f>Acciones!A645</f>
        <v>45933</v>
      </c>
      <c r="B645" s="29">
        <f>LN(Acciones!B645/Acciones!B644)</f>
        <v>3.6804366258626551E-3</v>
      </c>
      <c r="C645" s="29">
        <f>LN(Acciones!C645/Acciones!C644)</f>
        <v>-4.5236770936699323E-3</v>
      </c>
      <c r="D645" s="29">
        <f>LN(Acciones!D645/Acciones!D644)</f>
        <v>-3.0478104369428778E-2</v>
      </c>
      <c r="E645" s="29">
        <f>LN(Acciones!E645/Acciones!E644)</f>
        <v>-3.8834501356214664E-3</v>
      </c>
      <c r="M645" s="30">
        <f ca="1">Acciones!$B$751*EXP((H$2-H$3/2)*(1)+H$4*_xlfn.NORM.S.INV(RAND())*SQRT(1))</f>
        <v>10.750428773202239</v>
      </c>
      <c r="N645" s="30">
        <f ca="1">Acciones!$C$751*EXP((I$2-I$3/2)*(1)+I$4*_xlfn.NORM.S.INV(RAND())*SQRT(1))</f>
        <v>164.00571784521355</v>
      </c>
      <c r="O645" s="30">
        <f ca="1">Acciones!$D$751*EXP((J$2-J$3/2)*(1)+J$4*_xlfn.NORM.S.INV(RAND())*SQRT(1))</f>
        <v>985.99779174711387</v>
      </c>
      <c r="P645" s="30">
        <f ca="1">Acciones!$E$751*EXP((K$2-K$3/2)*(1)+K$4*_xlfn.NORM.S.INV(RAND())*SQRT(1))</f>
        <v>0.12771674803468031</v>
      </c>
      <c r="Q645" s="30"/>
      <c r="R645">
        <f ca="1">M645/Acciones!$B$751*$I$10 + N645/Acciones!$C$751*$I$11 + O645/Acciones!$D$751*$I$12 + P645/Acciones!$D$751*$I$13</f>
        <v>23565.939395159156</v>
      </c>
      <c r="T645" s="14">
        <f t="shared" ca="1" si="12"/>
        <v>-4934.0606048408445</v>
      </c>
      <c r="V645">
        <v>-4868.8465843507511</v>
      </c>
    </row>
    <row r="646" spans="1:22" x14ac:dyDescent="0.2">
      <c r="A646" s="1">
        <f>Acciones!A646</f>
        <v>45936</v>
      </c>
      <c r="B646" s="29">
        <f>LN(Acciones!B646/Acciones!B645)</f>
        <v>-8.1151012755064575E-3</v>
      </c>
      <c r="C646" s="29">
        <f>LN(Acciones!C646/Acciones!C645)</f>
        <v>8.3643767701263166E-2</v>
      </c>
      <c r="D646" s="29">
        <f>LN(Acciones!D646/Acciones!D645)</f>
        <v>-1.6679742426274506E-2</v>
      </c>
      <c r="E646" s="29">
        <f>LN(Acciones!E646/Acciones!E645)</f>
        <v>3.8834501356214491E-3</v>
      </c>
      <c r="M646" s="30">
        <f ca="1">Acciones!$B$751*EXP((H$2-H$3/2)*(1)+H$4*_xlfn.NORM.S.INV(RAND())*SQRT(1))</f>
        <v>10.970061432928523</v>
      </c>
      <c r="N646" s="30">
        <f ca="1">Acciones!$C$751*EXP((I$2-I$3/2)*(1)+I$4*_xlfn.NORM.S.INV(RAND())*SQRT(1))</f>
        <v>154.12659860426027</v>
      </c>
      <c r="O646" s="30">
        <f ca="1">Acciones!$D$751*EXP((J$2-J$3/2)*(1)+J$4*_xlfn.NORM.S.INV(RAND())*SQRT(1))</f>
        <v>992.69404057847237</v>
      </c>
      <c r="P646" s="30">
        <f ca="1">Acciones!$E$751*EXP((K$2-K$3/2)*(1)+K$4*_xlfn.NORM.S.INV(RAND())*SQRT(1))</f>
        <v>0.13625182339796166</v>
      </c>
      <c r="Q646" s="30"/>
      <c r="R646">
        <f ca="1">M646/Acciones!$B$751*$I$10 + N646/Acciones!$C$751*$I$11 + O646/Acciones!$D$751*$I$12 + P646/Acciones!$D$751*$I$13</f>
        <v>23086.682253706633</v>
      </c>
      <c r="T646" s="14">
        <f t="shared" ref="T646:T709" ca="1" si="13">R646-$I$14</f>
        <v>-5413.3177462933672</v>
      </c>
      <c r="V646">
        <v>-4847.6496497949302</v>
      </c>
    </row>
    <row r="647" spans="1:22" x14ac:dyDescent="0.2">
      <c r="A647" s="1">
        <f>Acciones!A647</f>
        <v>45937</v>
      </c>
      <c r="B647" s="29">
        <f>LN(Acciones!B647/Acciones!B646)</f>
        <v>1.4706182814923596E-2</v>
      </c>
      <c r="C647" s="29">
        <f>LN(Acciones!C647/Acciones!C646)</f>
        <v>-1.0788627126405638E-2</v>
      </c>
      <c r="D647" s="29">
        <f>LN(Acciones!D647/Acciones!D646)</f>
        <v>-2.9482378891349928E-2</v>
      </c>
      <c r="E647" s="29">
        <f>LN(Acciones!E647/Acciones!E646)</f>
        <v>-3.1498614385497441E-2</v>
      </c>
      <c r="M647" s="30">
        <f ca="1">Acciones!$B$751*EXP((H$2-H$3/2)*(1)+H$4*_xlfn.NORM.S.INV(RAND())*SQRT(1))</f>
        <v>10.928255919507452</v>
      </c>
      <c r="N647" s="30">
        <f ca="1">Acciones!$C$751*EXP((I$2-I$3/2)*(1)+I$4*_xlfn.NORM.S.INV(RAND())*SQRT(1))</f>
        <v>158.2433570641349</v>
      </c>
      <c r="O647" s="30">
        <f ca="1">Acciones!$D$751*EXP((J$2-J$3/2)*(1)+J$4*_xlfn.NORM.S.INV(RAND())*SQRT(1))</f>
        <v>965.65420306317503</v>
      </c>
      <c r="P647" s="30">
        <f ca="1">Acciones!$E$751*EXP((K$2-K$3/2)*(1)+K$4*_xlfn.NORM.S.INV(RAND())*SQRT(1))</f>
        <v>0.13341131869855316</v>
      </c>
      <c r="Q647" s="30"/>
      <c r="R647">
        <f ca="1">M647/Acciones!$B$751*$I$10 + N647/Acciones!$C$751*$I$11 + O647/Acciones!$D$751*$I$12 + P647/Acciones!$D$751*$I$13</f>
        <v>23059.456312026217</v>
      </c>
      <c r="T647" s="14">
        <f t="shared" ca="1" si="13"/>
        <v>-5440.5436879737827</v>
      </c>
      <c r="V647">
        <v>-4843.9267324988941</v>
      </c>
    </row>
    <row r="648" spans="1:22" x14ac:dyDescent="0.2">
      <c r="A648" s="1">
        <f>Acciones!A648</f>
        <v>45938</v>
      </c>
      <c r="B648" s="29">
        <f>LN(Acciones!B648/Acciones!B647)</f>
        <v>-5.8565744549947613E-3</v>
      </c>
      <c r="C648" s="29">
        <f>LN(Acciones!C648/Acciones!C647)</f>
        <v>-1.5315986795059052E-3</v>
      </c>
      <c r="D648" s="29">
        <f>LN(Acciones!D648/Acciones!D647)</f>
        <v>-5.1787134344878465E-3</v>
      </c>
      <c r="E648" s="29">
        <f>LN(Acciones!E648/Acciones!E647)</f>
        <v>3.1498614385497475E-2</v>
      </c>
      <c r="M648" s="30">
        <f ca="1">Acciones!$B$751*EXP((H$2-H$3/2)*(1)+H$4*_xlfn.NORM.S.INV(RAND())*SQRT(1))</f>
        <v>10.835557492989507</v>
      </c>
      <c r="N648" s="30">
        <f ca="1">Acciones!$C$751*EXP((I$2-I$3/2)*(1)+I$4*_xlfn.NORM.S.INV(RAND())*SQRT(1))</f>
        <v>145.76669570710663</v>
      </c>
      <c r="O648" s="30">
        <f ca="1">Acciones!$D$751*EXP((J$2-J$3/2)*(1)+J$4*_xlfn.NORM.S.INV(RAND())*SQRT(1))</f>
        <v>1024.9858717638122</v>
      </c>
      <c r="P648" s="30">
        <f ca="1">Acciones!$E$751*EXP((K$2-K$3/2)*(1)+K$4*_xlfn.NORM.S.INV(RAND())*SQRT(1))</f>
        <v>0.13412262178729042</v>
      </c>
      <c r="Q648" s="30"/>
      <c r="R648">
        <f ca="1">M648/Acciones!$B$751*$I$10 + N648/Acciones!$C$751*$I$11 + O648/Acciones!$D$751*$I$12 + P648/Acciones!$D$751*$I$13</f>
        <v>22844.99070291781</v>
      </c>
      <c r="T648" s="14">
        <f t="shared" ca="1" si="13"/>
        <v>-5655.0092970821897</v>
      </c>
      <c r="V648">
        <v>-4842.762771588983</v>
      </c>
    </row>
    <row r="649" spans="1:22" x14ac:dyDescent="0.2">
      <c r="A649" s="1">
        <f>Acciones!A649</f>
        <v>45939</v>
      </c>
      <c r="B649" s="29">
        <f>LN(Acciones!B649/Acciones!B648)</f>
        <v>-6.6298533623840765E-3</v>
      </c>
      <c r="C649" s="29">
        <f>LN(Acciones!C649/Acciones!C648)</f>
        <v>3.5164451544194807E-3</v>
      </c>
      <c r="D649" s="29">
        <f>LN(Acciones!D649/Acciones!D648)</f>
        <v>-1.0006833055041148E-2</v>
      </c>
      <c r="E649" s="29">
        <f>LN(Acciones!E649/Acciones!E648)</f>
        <v>-1.1696005788816119E-2</v>
      </c>
      <c r="M649" s="30">
        <f ca="1">Acciones!$B$751*EXP((H$2-H$3/2)*(1)+H$4*_xlfn.NORM.S.INV(RAND())*SQRT(1))</f>
        <v>10.637783953833001</v>
      </c>
      <c r="N649" s="30">
        <f ca="1">Acciones!$C$751*EXP((I$2-I$3/2)*(1)+I$4*_xlfn.NORM.S.INV(RAND())*SQRT(1))</f>
        <v>156.99457018160732</v>
      </c>
      <c r="O649" s="30">
        <f ca="1">Acciones!$D$751*EXP((J$2-J$3/2)*(1)+J$4*_xlfn.NORM.S.INV(RAND())*SQRT(1))</f>
        <v>997.75624335974612</v>
      </c>
      <c r="P649" s="30">
        <f ca="1">Acciones!$E$751*EXP((K$2-K$3/2)*(1)+K$4*_xlfn.NORM.S.INV(RAND())*SQRT(1))</f>
        <v>0.13109271867796038</v>
      </c>
      <c r="Q649" s="30"/>
      <c r="R649">
        <f ca="1">M649/Acciones!$B$751*$I$10 + N649/Acciones!$C$751*$I$11 + O649/Acciones!$D$751*$I$12 + P649/Acciones!$D$751*$I$13</f>
        <v>23209.833722907781</v>
      </c>
      <c r="T649" s="14">
        <f t="shared" ca="1" si="13"/>
        <v>-5290.1662770922194</v>
      </c>
      <c r="V649">
        <v>-4830.8556191529096</v>
      </c>
    </row>
    <row r="650" spans="1:22" x14ac:dyDescent="0.2">
      <c r="A650" s="1">
        <f>Acciones!A650</f>
        <v>45940</v>
      </c>
      <c r="B650" s="29">
        <f>LN(Acciones!B650/Acciones!B649)</f>
        <v>-2.9607934483981838E-3</v>
      </c>
      <c r="C650" s="29">
        <f>LN(Acciones!C650/Acciones!C649)</f>
        <v>-8.5845248190012449E-2</v>
      </c>
      <c r="D650" s="29">
        <f>LN(Acciones!D650/Acciones!D649)</f>
        <v>-3.3202702314715192E-2</v>
      </c>
      <c r="E650" s="29">
        <f>LN(Acciones!E650/Acciones!E649)</f>
        <v>3.9139655180827366E-3</v>
      </c>
      <c r="M650" s="30">
        <f ca="1">Acciones!$B$751*EXP((H$2-H$3/2)*(1)+H$4*_xlfn.NORM.S.INV(RAND())*SQRT(1))</f>
        <v>11.016277825685467</v>
      </c>
      <c r="N650" s="30">
        <f ca="1">Acciones!$C$751*EXP((I$2-I$3/2)*(1)+I$4*_xlfn.NORM.S.INV(RAND())*SQRT(1))</f>
        <v>167.75694470039278</v>
      </c>
      <c r="O650" s="30">
        <f ca="1">Acciones!$D$751*EXP((J$2-J$3/2)*(1)+J$4*_xlfn.NORM.S.INV(RAND())*SQRT(1))</f>
        <v>972.04301729117128</v>
      </c>
      <c r="P650" s="30">
        <f ca="1">Acciones!$E$751*EXP((K$2-K$3/2)*(1)+K$4*_xlfn.NORM.S.INV(RAND())*SQRT(1))</f>
        <v>0.13270968073187889</v>
      </c>
      <c r="Q650" s="30"/>
      <c r="R650">
        <f ca="1">M650/Acciones!$B$751*$I$10 + N650/Acciones!$C$751*$I$11 + O650/Acciones!$D$751*$I$12 + P650/Acciones!$D$751*$I$13</f>
        <v>23745.696601385</v>
      </c>
      <c r="T650" s="14">
        <f t="shared" ca="1" si="13"/>
        <v>-4754.3033986150003</v>
      </c>
      <c r="V650">
        <v>-4827.959899109992</v>
      </c>
    </row>
    <row r="651" spans="1:22" x14ac:dyDescent="0.2">
      <c r="A651" s="1">
        <f>Acciones!A651</f>
        <v>45943</v>
      </c>
      <c r="B651" s="29">
        <f>LN(Acciones!B651/Acciones!B650)</f>
        <v>4.437944840554835E-3</v>
      </c>
      <c r="C651" s="29">
        <f>LN(Acciones!C651/Acciones!C650)</f>
        <v>9.0256826803689461E-2</v>
      </c>
      <c r="D651" s="29">
        <f>LN(Acciones!D651/Acciones!D650)</f>
        <v>2.9076937892182159E-2</v>
      </c>
      <c r="E651" s="29">
        <f>LN(Acciones!E651/Acciones!E650)</f>
        <v>-1.5748388381797596E-2</v>
      </c>
      <c r="M651" s="30">
        <f ca="1">Acciones!$B$751*EXP((H$2-H$3/2)*(1)+H$4*_xlfn.NORM.S.INV(RAND())*SQRT(1))</f>
        <v>10.964492188831223</v>
      </c>
      <c r="N651" s="30">
        <f ca="1">Acciones!$C$751*EXP((I$2-I$3/2)*(1)+I$4*_xlfn.NORM.S.INV(RAND())*SQRT(1))</f>
        <v>144.72719401678489</v>
      </c>
      <c r="O651" s="30">
        <f ca="1">Acciones!$D$751*EXP((J$2-J$3/2)*(1)+J$4*_xlfn.NORM.S.INV(RAND())*SQRT(1))</f>
        <v>1019.0286082749022</v>
      </c>
      <c r="P651" s="30">
        <f ca="1">Acciones!$E$751*EXP((K$2-K$3/2)*(1)+K$4*_xlfn.NORM.S.INV(RAND())*SQRT(1))</f>
        <v>0.13571991779768916</v>
      </c>
      <c r="Q651" s="30"/>
      <c r="R651">
        <f ca="1">M651/Acciones!$B$751*$I$10 + N651/Acciones!$C$751*$I$11 + O651/Acciones!$D$751*$I$12 + P651/Acciones!$D$751*$I$13</f>
        <v>22761.787301549779</v>
      </c>
      <c r="T651" s="14">
        <f t="shared" ca="1" si="13"/>
        <v>-5738.2126984502211</v>
      </c>
      <c r="V651">
        <v>-4824.5394499148206</v>
      </c>
    </row>
    <row r="652" spans="1:22" x14ac:dyDescent="0.2">
      <c r="A652" s="1">
        <f>Acciones!A652</f>
        <v>45944</v>
      </c>
      <c r="B652" s="29">
        <f>LN(Acciones!B652/Acciones!B651)</f>
        <v>1.1009276425222109E-2</v>
      </c>
      <c r="C652" s="29">
        <f>LN(Acciones!C652/Acciones!C651)</f>
        <v>9.2531798527276554E-2</v>
      </c>
      <c r="D652" s="29">
        <f>LN(Acciones!D652/Acciones!D651)</f>
        <v>8.2265042195470359E-3</v>
      </c>
      <c r="E652" s="29">
        <f>LN(Acciones!E652/Acciones!E651)</f>
        <v>3.9603502647653464E-3</v>
      </c>
      <c r="M652" s="30">
        <f ca="1">Acciones!$B$751*EXP((H$2-H$3/2)*(1)+H$4*_xlfn.NORM.S.INV(RAND())*SQRT(1))</f>
        <v>11.052074320160516</v>
      </c>
      <c r="N652" s="30">
        <f ca="1">Acciones!$C$751*EXP((I$2-I$3/2)*(1)+I$4*_xlfn.NORM.S.INV(RAND())*SQRT(1))</f>
        <v>145.48263246638601</v>
      </c>
      <c r="O652" s="30">
        <f ca="1">Acciones!$D$751*EXP((J$2-J$3/2)*(1)+J$4*_xlfn.NORM.S.INV(RAND())*SQRT(1))</f>
        <v>1003.1722783083102</v>
      </c>
      <c r="P652" s="30">
        <f ca="1">Acciones!$E$751*EXP((K$2-K$3/2)*(1)+K$4*_xlfn.NORM.S.INV(RAND())*SQRT(1))</f>
        <v>0.13690145235627507</v>
      </c>
      <c r="Q652" s="30"/>
      <c r="R652">
        <f ca="1">M652/Acciones!$B$751*$I$10 + N652/Acciones!$C$751*$I$11 + O652/Acciones!$D$751*$I$12 + P652/Acciones!$D$751*$I$13</f>
        <v>22678.235321075183</v>
      </c>
      <c r="T652" s="14">
        <f t="shared" ca="1" si="13"/>
        <v>-5821.7646789248174</v>
      </c>
      <c r="V652">
        <v>-4824.2141116907114</v>
      </c>
    </row>
    <row r="653" spans="1:22" x14ac:dyDescent="0.2">
      <c r="A653" s="1">
        <f>Acciones!A653</f>
        <v>45945</v>
      </c>
      <c r="B653" s="29">
        <f>LN(Acciones!B653/Acciones!B652)</f>
        <v>-3.656355255654773E-3</v>
      </c>
      <c r="C653" s="29">
        <f>LN(Acciones!C653/Acciones!C652)</f>
        <v>2.758431723167858E-2</v>
      </c>
      <c r="D653" s="29">
        <f>LN(Acciones!D653/Acciones!D652)</f>
        <v>8.7198130271365394E-3</v>
      </c>
      <c r="E653" s="29">
        <f>LN(Acciones!E653/Acciones!E652)</f>
        <v>0</v>
      </c>
      <c r="M653" s="30">
        <f ca="1">Acciones!$B$751*EXP((H$2-H$3/2)*(1)+H$4*_xlfn.NORM.S.INV(RAND())*SQRT(1))</f>
        <v>10.593663349880245</v>
      </c>
      <c r="N653" s="30">
        <f ca="1">Acciones!$C$751*EXP((I$2-I$3/2)*(1)+I$4*_xlfn.NORM.S.INV(RAND())*SQRT(1))</f>
        <v>150.43082129654746</v>
      </c>
      <c r="O653" s="30">
        <f ca="1">Acciones!$D$751*EXP((J$2-J$3/2)*(1)+J$4*_xlfn.NORM.S.INV(RAND())*SQRT(1))</f>
        <v>964.24389039163452</v>
      </c>
      <c r="P653" s="30">
        <f ca="1">Acciones!$E$751*EXP((K$2-K$3/2)*(1)+K$4*_xlfn.NORM.S.INV(RAND())*SQRT(1))</f>
        <v>0.12110405446735924</v>
      </c>
      <c r="Q653" s="30"/>
      <c r="R653">
        <f ca="1">M653/Acciones!$B$751*$I$10 + N653/Acciones!$C$751*$I$11 + O653/Acciones!$D$751*$I$12 + P653/Acciones!$D$751*$I$13</f>
        <v>22450.120589479546</v>
      </c>
      <c r="T653" s="14">
        <f t="shared" ca="1" si="13"/>
        <v>-6049.8794105204543</v>
      </c>
      <c r="V653">
        <v>-4822.6849099900064</v>
      </c>
    </row>
    <row r="654" spans="1:22" x14ac:dyDescent="0.2">
      <c r="A654" s="1">
        <f>Acciones!A654</f>
        <v>45946</v>
      </c>
      <c r="B654" s="29">
        <f>LN(Acciones!B654/Acciones!B653)</f>
        <v>3.6563552556547409E-3</v>
      </c>
      <c r="C654" s="29">
        <f>LN(Acciones!C654/Acciones!C653)</f>
        <v>-0.12321557765117373</v>
      </c>
      <c r="D654" s="29">
        <f>LN(Acciones!D654/Acciones!D653)</f>
        <v>-2.720161334841642E-2</v>
      </c>
      <c r="E654" s="29">
        <f>LN(Acciones!E654/Acciones!E653)</f>
        <v>1.5686628252144331E-2</v>
      </c>
      <c r="M654" s="30">
        <f ca="1">Acciones!$B$751*EXP((H$2-H$3/2)*(1)+H$4*_xlfn.NORM.S.INV(RAND())*SQRT(1))</f>
        <v>10.977778367014652</v>
      </c>
      <c r="N654" s="30">
        <f ca="1">Acciones!$C$751*EXP((I$2-I$3/2)*(1)+I$4*_xlfn.NORM.S.INV(RAND())*SQRT(1))</f>
        <v>142.86361898809704</v>
      </c>
      <c r="O654" s="30">
        <f ca="1">Acciones!$D$751*EXP((J$2-J$3/2)*(1)+J$4*_xlfn.NORM.S.INV(RAND())*SQRT(1))</f>
        <v>995.62842236687482</v>
      </c>
      <c r="P654" s="30">
        <f ca="1">Acciones!$E$751*EXP((K$2-K$3/2)*(1)+K$4*_xlfn.NORM.S.INV(RAND())*SQRT(1))</f>
        <v>0.13434813459157219</v>
      </c>
      <c r="Q654" s="30"/>
      <c r="R654">
        <f ca="1">M654/Acciones!$B$751*$I$10 + N654/Acciones!$C$751*$I$11 + O654/Acciones!$D$751*$I$12 + P654/Acciones!$D$751*$I$13</f>
        <v>22415.297165693712</v>
      </c>
      <c r="T654" s="14">
        <f t="shared" ca="1" si="13"/>
        <v>-6084.7028343062884</v>
      </c>
      <c r="V654">
        <v>-4822.6820849711439</v>
      </c>
    </row>
    <row r="655" spans="1:22" x14ac:dyDescent="0.2">
      <c r="A655" s="1">
        <f>Acciones!A655</f>
        <v>45947</v>
      </c>
      <c r="B655" s="29">
        <f>LN(Acciones!B655/Acciones!B654)</f>
        <v>-1.4706182814923559E-2</v>
      </c>
      <c r="C655" s="29">
        <f>LN(Acciones!C655/Acciones!C654)</f>
        <v>-4.2894770822979343E-2</v>
      </c>
      <c r="D655" s="29">
        <f>LN(Acciones!D655/Acciones!D654)</f>
        <v>5.2981442134629464E-3</v>
      </c>
      <c r="E655" s="29">
        <f>LN(Acciones!E655/Acciones!E654)</f>
        <v>-1.5686628252144248E-2</v>
      </c>
      <c r="M655" s="30">
        <f ca="1">Acciones!$B$751*EXP((H$2-H$3/2)*(1)+H$4*_xlfn.NORM.S.INV(RAND())*SQRT(1))</f>
        <v>10.460607927329676</v>
      </c>
      <c r="N655" s="30">
        <f ca="1">Acciones!$C$751*EXP((I$2-I$3/2)*(1)+I$4*_xlfn.NORM.S.INV(RAND())*SQRT(1))</f>
        <v>149.46648499475282</v>
      </c>
      <c r="O655" s="30">
        <f ca="1">Acciones!$D$751*EXP((J$2-J$3/2)*(1)+J$4*_xlfn.NORM.S.INV(RAND())*SQRT(1))</f>
        <v>961.44838863516247</v>
      </c>
      <c r="P655" s="30">
        <f ca="1">Acciones!$E$751*EXP((K$2-K$3/2)*(1)+K$4*_xlfn.NORM.S.INV(RAND())*SQRT(1))</f>
        <v>0.13517987529930098</v>
      </c>
      <c r="Q655" s="30"/>
      <c r="R655">
        <f ca="1">M655/Acciones!$B$751*$I$10 + N655/Acciones!$C$751*$I$11 + O655/Acciones!$D$751*$I$12 + P655/Acciones!$D$751*$I$13</f>
        <v>22319.300533972266</v>
      </c>
      <c r="T655" s="14">
        <f t="shared" ca="1" si="13"/>
        <v>-6180.6994660277342</v>
      </c>
      <c r="V655">
        <v>-4814.0965958490779</v>
      </c>
    </row>
    <row r="656" spans="1:22" x14ac:dyDescent="0.2">
      <c r="A656" s="1">
        <f>Acciones!A656</f>
        <v>45950</v>
      </c>
      <c r="B656" s="29">
        <f>LN(Acciones!B656/Acciones!B655)</f>
        <v>2.9586034406277983E-3</v>
      </c>
      <c r="C656" s="29">
        <f>LN(Acciones!C656/Acciones!C655)</f>
        <v>6.6668008293818221E-2</v>
      </c>
      <c r="D656" s="29">
        <f>LN(Acciones!D656/Acciones!D655)</f>
        <v>1.3175680694650228E-2</v>
      </c>
      <c r="E656" s="29">
        <f>LN(Acciones!E656/Acciones!E655)</f>
        <v>0</v>
      </c>
      <c r="M656" s="30">
        <f ca="1">Acciones!$B$751*EXP((H$2-H$3/2)*(1)+H$4*_xlfn.NORM.S.INV(RAND())*SQRT(1))</f>
        <v>10.950041017838238</v>
      </c>
      <c r="N656" s="30">
        <f ca="1">Acciones!$C$751*EXP((I$2-I$3/2)*(1)+I$4*_xlfn.NORM.S.INV(RAND())*SQRT(1))</f>
        <v>140.04027661979998</v>
      </c>
      <c r="O656" s="30">
        <f ca="1">Acciones!$D$751*EXP((J$2-J$3/2)*(1)+J$4*_xlfn.NORM.S.INV(RAND())*SQRT(1))</f>
        <v>981.94053590395197</v>
      </c>
      <c r="P656" s="30">
        <f ca="1">Acciones!$E$751*EXP((K$2-K$3/2)*(1)+K$4*_xlfn.NORM.S.INV(RAND())*SQRT(1))</f>
        <v>0.14113012217356682</v>
      </c>
      <c r="Q656" s="30"/>
      <c r="R656">
        <f ca="1">M656/Acciones!$B$751*$I$10 + N656/Acciones!$C$751*$I$11 + O656/Acciones!$D$751*$I$12 + P656/Acciones!$D$751*$I$13</f>
        <v>22093.04754667923</v>
      </c>
      <c r="T656" s="14">
        <f t="shared" ca="1" si="13"/>
        <v>-6406.9524533207696</v>
      </c>
      <c r="V656">
        <v>-4811.7680762346354</v>
      </c>
    </row>
    <row r="657" spans="1:22" x14ac:dyDescent="0.2">
      <c r="A657" s="1">
        <f>Acciones!A657</f>
        <v>45951</v>
      </c>
      <c r="B657" s="29">
        <f>LN(Acciones!B657/Acciones!B656)</f>
        <v>1.2477192663832263E-2</v>
      </c>
      <c r="C657" s="29">
        <f>LN(Acciones!C657/Acciones!C656)</f>
        <v>-4.164771828536961E-2</v>
      </c>
      <c r="D657" s="29">
        <f>LN(Acciones!D657/Acciones!D656)</f>
        <v>3.1876209202037777E-3</v>
      </c>
      <c r="E657" s="29">
        <f>LN(Acciones!E657/Acciones!E656)</f>
        <v>-3.9603502647652883E-3</v>
      </c>
      <c r="M657" s="30">
        <f ca="1">Acciones!$B$751*EXP((H$2-H$3/2)*(1)+H$4*_xlfn.NORM.S.INV(RAND())*SQRT(1))</f>
        <v>11.122859315874225</v>
      </c>
      <c r="N657" s="30">
        <f ca="1">Acciones!$C$751*EXP((I$2-I$3/2)*(1)+I$4*_xlfn.NORM.S.INV(RAND())*SQRT(1))</f>
        <v>156.85387708414189</v>
      </c>
      <c r="O657" s="30">
        <f ca="1">Acciones!$D$751*EXP((J$2-J$3/2)*(1)+J$4*_xlfn.NORM.S.INV(RAND())*SQRT(1))</f>
        <v>1035.5206529680945</v>
      </c>
      <c r="P657" s="30">
        <f ca="1">Acciones!$E$751*EXP((K$2-K$3/2)*(1)+K$4*_xlfn.NORM.S.INV(RAND())*SQRT(1))</f>
        <v>0.12674228063128581</v>
      </c>
      <c r="Q657" s="30"/>
      <c r="R657">
        <f ca="1">M657/Acciones!$B$751*$I$10 + N657/Acciones!$C$751*$I$11 + O657/Acciones!$D$751*$I$12 + P657/Acciones!$D$751*$I$13</f>
        <v>23734.904941191911</v>
      </c>
      <c r="T657" s="14">
        <f t="shared" ca="1" si="13"/>
        <v>-4765.0950588080887</v>
      </c>
      <c r="V657">
        <v>-4807.7036794518244</v>
      </c>
    </row>
    <row r="658" spans="1:22" x14ac:dyDescent="0.2">
      <c r="A658" s="1">
        <f>Acciones!A658</f>
        <v>45952</v>
      </c>
      <c r="B658" s="29">
        <f>LN(Acciones!B658/Acciones!B657)</f>
        <v>-1.4598296841992378E-3</v>
      </c>
      <c r="C658" s="29">
        <f>LN(Acciones!C658/Acciones!C657)</f>
        <v>-4.0531401556389325E-2</v>
      </c>
      <c r="D658" s="29">
        <f>LN(Acciones!D658/Acciones!D657)</f>
        <v>1.0586667083973697E-2</v>
      </c>
      <c r="E658" s="29">
        <f>LN(Acciones!E658/Acciones!E657)</f>
        <v>3.9603502647653464E-3</v>
      </c>
      <c r="M658" s="30">
        <f ca="1">Acciones!$B$751*EXP((H$2-H$3/2)*(1)+H$4*_xlfn.NORM.S.INV(RAND())*SQRT(1))</f>
        <v>10.707513234563452</v>
      </c>
      <c r="N658" s="30">
        <f ca="1">Acciones!$C$751*EXP((I$2-I$3/2)*(1)+I$4*_xlfn.NORM.S.INV(RAND())*SQRT(1))</f>
        <v>160.07750431546739</v>
      </c>
      <c r="O658" s="30">
        <f ca="1">Acciones!$D$751*EXP((J$2-J$3/2)*(1)+J$4*_xlfn.NORM.S.INV(RAND())*SQRT(1))</f>
        <v>965.31419197185414</v>
      </c>
      <c r="P658" s="30">
        <f ca="1">Acciones!$E$751*EXP((K$2-K$3/2)*(1)+K$4*_xlfn.NORM.S.INV(RAND())*SQRT(1))</f>
        <v>0.12182453612352362</v>
      </c>
      <c r="Q658" s="30"/>
      <c r="R658">
        <f ca="1">M658/Acciones!$B$751*$I$10 + N658/Acciones!$C$751*$I$11 + O658/Acciones!$D$751*$I$12 + P658/Acciones!$D$751*$I$13</f>
        <v>23099.692266102014</v>
      </c>
      <c r="T658" s="14">
        <f t="shared" ca="1" si="13"/>
        <v>-5400.3077338979856</v>
      </c>
      <c r="V658">
        <v>-4807.4859329487845</v>
      </c>
    </row>
    <row r="659" spans="1:22" x14ac:dyDescent="0.2">
      <c r="A659" s="1">
        <f>Acciones!A659</f>
        <v>45953</v>
      </c>
      <c r="B659" s="29">
        <f>LN(Acciones!B659/Acciones!B658)</f>
        <v>-5.1263580603318525E-3</v>
      </c>
      <c r="C659" s="29">
        <f>LN(Acciones!C659/Acciones!C658)</f>
        <v>9.4029594298887017E-3</v>
      </c>
      <c r="D659" s="29">
        <f>LN(Acciones!D659/Acciones!D658)</f>
        <v>5.1695747762063446E-3</v>
      </c>
      <c r="E659" s="29">
        <f>LN(Acciones!E659/Acciones!E658)</f>
        <v>-7.9365660214386624E-3</v>
      </c>
      <c r="M659" s="30">
        <f ca="1">Acciones!$B$751*EXP((H$2-H$3/2)*(1)+H$4*_xlfn.NORM.S.INV(RAND())*SQRT(1))</f>
        <v>10.757894143201115</v>
      </c>
      <c r="N659" s="30">
        <f ca="1">Acciones!$C$751*EXP((I$2-I$3/2)*(1)+I$4*_xlfn.NORM.S.INV(RAND())*SQRT(1))</f>
        <v>162.12931987338487</v>
      </c>
      <c r="O659" s="30">
        <f ca="1">Acciones!$D$751*EXP((J$2-J$3/2)*(1)+J$4*_xlfn.NORM.S.INV(RAND())*SQRT(1))</f>
        <v>1003.5436827750846</v>
      </c>
      <c r="P659" s="30">
        <f ca="1">Acciones!$E$751*EXP((K$2-K$3/2)*(1)+K$4*_xlfn.NORM.S.INV(RAND())*SQRT(1))</f>
        <v>0.12461813011172204</v>
      </c>
      <c r="Q659" s="30"/>
      <c r="R659">
        <f ca="1">M659/Acciones!$B$751*$I$10 + N659/Acciones!$C$751*$I$11 + O659/Acciones!$D$751*$I$12 + P659/Acciones!$D$751*$I$13</f>
        <v>23626.905142669319</v>
      </c>
      <c r="T659" s="14">
        <f t="shared" ca="1" si="13"/>
        <v>-4873.0948573306814</v>
      </c>
      <c r="V659">
        <v>-4805.2962649622423</v>
      </c>
    </row>
    <row r="660" spans="1:22" x14ac:dyDescent="0.2">
      <c r="A660" s="1">
        <f>Acciones!A660</f>
        <v>45954</v>
      </c>
      <c r="B660" s="29">
        <f>LN(Acciones!B660/Acciones!B659)</f>
        <v>5.1263580603317033E-3</v>
      </c>
      <c r="C660" s="29">
        <f>LN(Acciones!C660/Acciones!C659)</f>
        <v>4.5426446221980806E-3</v>
      </c>
      <c r="D660" s="29">
        <f>LN(Acciones!D660/Acciones!D659)</f>
        <v>-3.0751017747013788E-3</v>
      </c>
      <c r="E660" s="29">
        <f>LN(Acciones!E660/Acciones!E659)</f>
        <v>3.9762157566732986E-3</v>
      </c>
      <c r="M660" s="30">
        <f ca="1">Acciones!$B$751*EXP((H$2-H$3/2)*(1)+H$4*_xlfn.NORM.S.INV(RAND())*SQRT(1))</f>
        <v>10.858314043378449</v>
      </c>
      <c r="N660" s="30">
        <f ca="1">Acciones!$C$751*EXP((I$2-I$3/2)*(1)+I$4*_xlfn.NORM.S.INV(RAND())*SQRT(1))</f>
        <v>160.27914285767773</v>
      </c>
      <c r="O660" s="30">
        <f ca="1">Acciones!$D$751*EXP((J$2-J$3/2)*(1)+J$4*_xlfn.NORM.S.INV(RAND())*SQRT(1))</f>
        <v>1003.6122309870722</v>
      </c>
      <c r="P660" s="30">
        <f ca="1">Acciones!$E$751*EXP((K$2-K$3/2)*(1)+K$4*_xlfn.NORM.S.INV(RAND())*SQRT(1))</f>
        <v>0.12400424539502541</v>
      </c>
      <c r="Q660" s="30"/>
      <c r="R660">
        <f ca="1">M660/Acciones!$B$751*$I$10 + N660/Acciones!$C$751*$I$11 + O660/Acciones!$D$751*$I$12 + P660/Acciones!$D$751*$I$13</f>
        <v>23544.281669986332</v>
      </c>
      <c r="T660" s="14">
        <f t="shared" ca="1" si="13"/>
        <v>-4955.7183300136676</v>
      </c>
      <c r="V660">
        <v>-4804.4468449568412</v>
      </c>
    </row>
    <row r="661" spans="1:22" x14ac:dyDescent="0.2">
      <c r="A661" s="1">
        <f>Acciones!A661</f>
        <v>45957</v>
      </c>
      <c r="B661" s="29">
        <f>LN(Acciones!B661/Acciones!B660)</f>
        <v>-1.0279060030559131E-2</v>
      </c>
      <c r="C661" s="29">
        <f>LN(Acciones!C661/Acciones!C660)</f>
        <v>1.1073539804933389E-2</v>
      </c>
      <c r="D661" s="29">
        <f>LN(Acciones!D661/Acciones!D660)</f>
        <v>-1.2681140085478727E-2</v>
      </c>
      <c r="E661" s="29">
        <f>LN(Acciones!E661/Acciones!E660)</f>
        <v>7.9051953376185966E-3</v>
      </c>
      <c r="M661" s="30">
        <f ca="1">Acciones!$B$751*EXP((H$2-H$3/2)*(1)+H$4*_xlfn.NORM.S.INV(RAND())*SQRT(1))</f>
        <v>10.818858562951513</v>
      </c>
      <c r="N661" s="30">
        <f ca="1">Acciones!$C$751*EXP((I$2-I$3/2)*(1)+I$4*_xlfn.NORM.S.INV(RAND())*SQRT(1))</f>
        <v>146.21687485136033</v>
      </c>
      <c r="O661" s="30">
        <f ca="1">Acciones!$D$751*EXP((J$2-J$3/2)*(1)+J$4*_xlfn.NORM.S.INV(RAND())*SQRT(1))</f>
        <v>970.42818629498402</v>
      </c>
      <c r="P661" s="30">
        <f ca="1">Acciones!$E$751*EXP((K$2-K$3/2)*(1)+K$4*_xlfn.NORM.S.INV(RAND())*SQRT(1))</f>
        <v>0.13782070962799667</v>
      </c>
      <c r="Q661" s="30"/>
      <c r="R661">
        <f ca="1">M661/Acciones!$B$751*$I$10 + N661/Acciones!$C$751*$I$11 + O661/Acciones!$D$751*$I$12 + P661/Acciones!$D$751*$I$13</f>
        <v>22321.289329269501</v>
      </c>
      <c r="T661" s="14">
        <f t="shared" ca="1" si="13"/>
        <v>-6178.7106707304993</v>
      </c>
      <c r="V661">
        <v>-4792.6999341232295</v>
      </c>
    </row>
    <row r="662" spans="1:22" x14ac:dyDescent="0.2">
      <c r="A662" s="1">
        <f>Acciones!A662</f>
        <v>45958</v>
      </c>
      <c r="B662" s="29">
        <f>LN(Acciones!B662/Acciones!B661)</f>
        <v>3.6832187507714804E-3</v>
      </c>
      <c r="C662" s="29">
        <f>LN(Acciones!C662/Acciones!C661)</f>
        <v>-4.2563215988704453E-2</v>
      </c>
      <c r="D662" s="29">
        <f>LN(Acciones!D662/Acciones!D661)</f>
        <v>-1.4340313215854333E-2</v>
      </c>
      <c r="E662" s="29">
        <f>LN(Acciones!E662/Acciones!E661)</f>
        <v>2.3347295402911014E-2</v>
      </c>
      <c r="M662" s="30">
        <f ca="1">Acciones!$B$751*EXP((H$2-H$3/2)*(1)+H$4*_xlfn.NORM.S.INV(RAND())*SQRT(1))</f>
        <v>10.688024645947275</v>
      </c>
      <c r="N662" s="30">
        <f ca="1">Acciones!$C$751*EXP((I$2-I$3/2)*(1)+I$4*_xlfn.NORM.S.INV(RAND())*SQRT(1))</f>
        <v>162.69107528627768</v>
      </c>
      <c r="O662" s="30">
        <f ca="1">Acciones!$D$751*EXP((J$2-J$3/2)*(1)+J$4*_xlfn.NORM.S.INV(RAND())*SQRT(1))</f>
        <v>1004.150654249858</v>
      </c>
      <c r="P662" s="30">
        <f ca="1">Acciones!$E$751*EXP((K$2-K$3/2)*(1)+K$4*_xlfn.NORM.S.INV(RAND())*SQRT(1))</f>
        <v>0.12842015905394771</v>
      </c>
      <c r="Q662" s="30"/>
      <c r="R662">
        <f ca="1">M662/Acciones!$B$751*$I$10 + N662/Acciones!$C$751*$I$11 + O662/Acciones!$D$751*$I$12 + P662/Acciones!$D$751*$I$13</f>
        <v>23645.666278695298</v>
      </c>
      <c r="T662" s="14">
        <f t="shared" ca="1" si="13"/>
        <v>-4854.3337213047016</v>
      </c>
      <c r="V662">
        <v>-4782.961515949537</v>
      </c>
    </row>
    <row r="663" spans="1:22" x14ac:dyDescent="0.2">
      <c r="A663" s="1">
        <f>Acciones!A663</f>
        <v>45959</v>
      </c>
      <c r="B663" s="29">
        <f>LN(Acciones!B663/Acciones!B662)</f>
        <v>-6.6396354209991692E-3</v>
      </c>
      <c r="C663" s="29">
        <f>LN(Acciones!C663/Acciones!C662)</f>
        <v>6.1883881095740525E-3</v>
      </c>
      <c r="D663" s="29">
        <f>LN(Acciones!D663/Acciones!D662)</f>
        <v>-1.6544422096006019E-2</v>
      </c>
      <c r="E663" s="29">
        <f>LN(Acciones!E663/Acciones!E662)</f>
        <v>-3.8535197487144851E-3</v>
      </c>
      <c r="M663" s="30">
        <f ca="1">Acciones!$B$751*EXP((H$2-H$3/2)*(1)+H$4*_xlfn.NORM.S.INV(RAND())*SQRT(1))</f>
        <v>11.427914852975071</v>
      </c>
      <c r="N663" s="30">
        <f ca="1">Acciones!$C$751*EXP((I$2-I$3/2)*(1)+I$4*_xlfn.NORM.S.INV(RAND())*SQRT(1))</f>
        <v>149.73613245570155</v>
      </c>
      <c r="O663" s="30">
        <f ca="1">Acciones!$D$751*EXP((J$2-J$3/2)*(1)+J$4*_xlfn.NORM.S.INV(RAND())*SQRT(1))</f>
        <v>999.98689606577295</v>
      </c>
      <c r="P663" s="30">
        <f ca="1">Acciones!$E$751*EXP((K$2-K$3/2)*(1)+K$4*_xlfn.NORM.S.INV(RAND())*SQRT(1))</f>
        <v>0.1257160237045821</v>
      </c>
      <c r="Q663" s="30"/>
      <c r="R663">
        <f ca="1">M663/Acciones!$B$751*$I$10 + N663/Acciones!$C$751*$I$11 + O663/Acciones!$D$751*$I$12 + P663/Acciones!$D$751*$I$13</f>
        <v>23032.421348954827</v>
      </c>
      <c r="T663" s="14">
        <f t="shared" ca="1" si="13"/>
        <v>-5467.5786510451726</v>
      </c>
      <c r="V663">
        <v>-4780.7235433918613</v>
      </c>
    </row>
    <row r="664" spans="1:22" x14ac:dyDescent="0.2">
      <c r="A664" s="1">
        <f>Acciones!A664</f>
        <v>45960</v>
      </c>
      <c r="B664" s="29">
        <f>LN(Acciones!B664/Acciones!B663)</f>
        <v>2.2181137211540651E-3</v>
      </c>
      <c r="C664" s="29">
        <f>LN(Acciones!C664/Acciones!C663)</f>
        <v>-4.6517271829625513E-2</v>
      </c>
      <c r="D664" s="29">
        <f>LN(Acciones!D664/Acciones!D663)</f>
        <v>-1.5059385189812629E-2</v>
      </c>
      <c r="E664" s="29">
        <f>LN(Acciones!E664/Acciones!E663)</f>
        <v>-3.5367156724781586E-2</v>
      </c>
      <c r="M664" s="30">
        <f ca="1">Acciones!$B$751*EXP((H$2-H$3/2)*(1)+H$4*_xlfn.NORM.S.INV(RAND())*SQRT(1))</f>
        <v>10.908311530801742</v>
      </c>
      <c r="N664" s="30">
        <f ca="1">Acciones!$C$751*EXP((I$2-I$3/2)*(1)+I$4*_xlfn.NORM.S.INV(RAND())*SQRT(1))</f>
        <v>156.66851177074827</v>
      </c>
      <c r="O664" s="30">
        <f ca="1">Acciones!$D$751*EXP((J$2-J$3/2)*(1)+J$4*_xlfn.NORM.S.INV(RAND())*SQRT(1))</f>
        <v>1009.0225709392384</v>
      </c>
      <c r="P664" s="30">
        <f ca="1">Acciones!$E$751*EXP((K$2-K$3/2)*(1)+K$4*_xlfn.NORM.S.INV(RAND())*SQRT(1))</f>
        <v>0.13854899730423964</v>
      </c>
      <c r="Q664" s="30"/>
      <c r="R664">
        <f ca="1">M664/Acciones!$B$751*$I$10 + N664/Acciones!$C$751*$I$11 + O664/Acciones!$D$751*$I$12 + P664/Acciones!$D$751*$I$13</f>
        <v>23389.151620974288</v>
      </c>
      <c r="T664" s="14">
        <f t="shared" ca="1" si="13"/>
        <v>-5110.8483790257123</v>
      </c>
      <c r="V664">
        <v>-4780.0103373370403</v>
      </c>
    </row>
    <row r="665" spans="1:22" x14ac:dyDescent="0.2">
      <c r="A665" s="1">
        <f>Acciones!A665</f>
        <v>45961</v>
      </c>
      <c r="B665" s="29">
        <f>LN(Acciones!B665/Acciones!B664)</f>
        <v>-9.6475863223952959E-3</v>
      </c>
      <c r="C665" s="29">
        <f>LN(Acciones!C665/Acciones!C664)</f>
        <v>1.4770381376601924E-2</v>
      </c>
      <c r="D665" s="29">
        <f>LN(Acciones!D665/Acciones!D664)</f>
        <v>-4.5140823168326911E-3</v>
      </c>
      <c r="E665" s="29">
        <f>LN(Acciones!E665/Acciones!E664)</f>
        <v>0</v>
      </c>
      <c r="M665" s="30">
        <f ca="1">Acciones!$B$751*EXP((H$2-H$3/2)*(1)+H$4*_xlfn.NORM.S.INV(RAND())*SQRT(1))</f>
        <v>10.922360163938651</v>
      </c>
      <c r="N665" s="30">
        <f ca="1">Acciones!$C$751*EXP((I$2-I$3/2)*(1)+I$4*_xlfn.NORM.S.INV(RAND())*SQRT(1))</f>
        <v>138.13503606624752</v>
      </c>
      <c r="O665" s="30">
        <f ca="1">Acciones!$D$751*EXP((J$2-J$3/2)*(1)+J$4*_xlfn.NORM.S.INV(RAND())*SQRT(1))</f>
        <v>995.28101889084633</v>
      </c>
      <c r="P665" s="30">
        <f ca="1">Acciones!$E$751*EXP((K$2-K$3/2)*(1)+K$4*_xlfn.NORM.S.INV(RAND())*SQRT(1))</f>
        <v>0.13533219936227939</v>
      </c>
      <c r="Q665" s="30"/>
      <c r="R665">
        <f ca="1">M665/Acciones!$B$751*$I$10 + N665/Acciones!$C$751*$I$11 + O665/Acciones!$D$751*$I$12 + P665/Acciones!$D$751*$I$13</f>
        <v>22098.799235637693</v>
      </c>
      <c r="T665" s="14">
        <f t="shared" ca="1" si="13"/>
        <v>-6401.2007643623074</v>
      </c>
      <c r="V665">
        <v>-4775.2795470622332</v>
      </c>
    </row>
    <row r="666" spans="1:22" x14ac:dyDescent="0.2">
      <c r="A666" s="1">
        <f>Acciones!A666</f>
        <v>45964</v>
      </c>
      <c r="B666" s="29">
        <f>LN(Acciones!B666/Acciones!B665)</f>
        <v>8.9087378793123295E-3</v>
      </c>
      <c r="C666" s="29">
        <f>LN(Acciones!C666/Acciones!C665)</f>
        <v>-2.1708415145874033E-2</v>
      </c>
      <c r="D666" s="29">
        <f>LN(Acciones!D666/Acciones!D665)</f>
        <v>-3.0734717699814191E-2</v>
      </c>
      <c r="E666" s="29">
        <f>LN(Acciones!E666/Acciones!E665)</f>
        <v>-4.0080295363260224E-3</v>
      </c>
      <c r="M666" s="30">
        <f ca="1">Acciones!$B$751*EXP((H$2-H$3/2)*(1)+H$4*_xlfn.NORM.S.INV(RAND())*SQRT(1))</f>
        <v>11.18164106100148</v>
      </c>
      <c r="N666" s="30">
        <f ca="1">Acciones!$C$751*EXP((I$2-I$3/2)*(1)+I$4*_xlfn.NORM.S.INV(RAND())*SQRT(1))</f>
        <v>148.43922021219279</v>
      </c>
      <c r="O666" s="30">
        <f ca="1">Acciones!$D$751*EXP((J$2-J$3/2)*(1)+J$4*_xlfn.NORM.S.INV(RAND())*SQRT(1))</f>
        <v>1019.1907484942684</v>
      </c>
      <c r="P666" s="30">
        <f ca="1">Acciones!$E$751*EXP((K$2-K$3/2)*(1)+K$4*_xlfn.NORM.S.INV(RAND())*SQRT(1))</f>
        <v>0.12287085596171733</v>
      </c>
      <c r="Q666" s="30"/>
      <c r="R666">
        <f ca="1">M666/Acciones!$B$751*$I$10 + N666/Acciones!$C$751*$I$11 + O666/Acciones!$D$751*$I$12 + P666/Acciones!$D$751*$I$13</f>
        <v>23064.776296774813</v>
      </c>
      <c r="T666" s="14">
        <f t="shared" ca="1" si="13"/>
        <v>-5435.2237032251869</v>
      </c>
      <c r="V666">
        <v>-4766.8467348987397</v>
      </c>
    </row>
    <row r="667" spans="1:22" x14ac:dyDescent="0.2">
      <c r="A667" s="1">
        <f>Acciones!A667</f>
        <v>45965</v>
      </c>
      <c r="B667" s="29">
        <f>LN(Acciones!B667/Acciones!B666)</f>
        <v>-7.4183779858030237E-3</v>
      </c>
      <c r="C667" s="29">
        <f>LN(Acciones!C667/Acciones!C666)</f>
        <v>-5.7019532340463225E-2</v>
      </c>
      <c r="D667" s="29">
        <f>LN(Acciones!D667/Acciones!D666)</f>
        <v>-1.4514143117050664E-2</v>
      </c>
      <c r="E667" s="29">
        <f>LN(Acciones!E667/Acciones!E666)</f>
        <v>0</v>
      </c>
      <c r="M667" s="30">
        <f ca="1">Acciones!$B$751*EXP((H$2-H$3/2)*(1)+H$4*_xlfn.NORM.S.INV(RAND())*SQRT(1))</f>
        <v>10.712990220834287</v>
      </c>
      <c r="N667" s="30">
        <f ca="1">Acciones!$C$751*EXP((I$2-I$3/2)*(1)+I$4*_xlfn.NORM.S.INV(RAND())*SQRT(1))</f>
        <v>161.24573717036606</v>
      </c>
      <c r="O667" s="30">
        <f ca="1">Acciones!$D$751*EXP((J$2-J$3/2)*(1)+J$4*_xlfn.NORM.S.INV(RAND())*SQRT(1))</f>
        <v>962.83051213132649</v>
      </c>
      <c r="P667" s="30">
        <f ca="1">Acciones!$E$751*EXP((K$2-K$3/2)*(1)+K$4*_xlfn.NORM.S.INV(RAND())*SQRT(1))</f>
        <v>0.12488609452968949</v>
      </c>
      <c r="Q667" s="30"/>
      <c r="R667">
        <f ca="1">M667/Acciones!$B$751*$I$10 + N667/Acciones!$C$751*$I$11 + O667/Acciones!$D$751*$I$12 + P667/Acciones!$D$751*$I$13</f>
        <v>23149.531161226307</v>
      </c>
      <c r="T667" s="14">
        <f t="shared" ca="1" si="13"/>
        <v>-5350.4688387736933</v>
      </c>
      <c r="V667">
        <v>-4764.9543139642046</v>
      </c>
    </row>
    <row r="668" spans="1:22" x14ac:dyDescent="0.2">
      <c r="A668" s="1">
        <f>Acciones!A668</f>
        <v>45966</v>
      </c>
      <c r="B668" s="29">
        <f>LN(Acciones!B668/Acciones!B667)</f>
        <v>7.4427614372059422E-4</v>
      </c>
      <c r="C668" s="29">
        <f>LN(Acciones!C668/Acciones!C667)</f>
        <v>2.5220067249377802E-2</v>
      </c>
      <c r="D668" s="29">
        <f>LN(Acciones!D668/Acciones!D667)</f>
        <v>1.2290964486795286E-2</v>
      </c>
      <c r="E668" s="29">
        <f>LN(Acciones!E668/Acciones!E667)</f>
        <v>-8.0645763120081974E-3</v>
      </c>
      <c r="M668" s="30">
        <f ca="1">Acciones!$B$751*EXP((H$2-H$3/2)*(1)+H$4*_xlfn.NORM.S.INV(RAND())*SQRT(1))</f>
        <v>11.09612281992786</v>
      </c>
      <c r="N668" s="30">
        <f ca="1">Acciones!$C$751*EXP((I$2-I$3/2)*(1)+I$4*_xlfn.NORM.S.INV(RAND())*SQRT(1))</f>
        <v>150.09113889602017</v>
      </c>
      <c r="O668" s="30">
        <f ca="1">Acciones!$D$751*EXP((J$2-J$3/2)*(1)+J$4*_xlfn.NORM.S.INV(RAND())*SQRT(1))</f>
        <v>979.38668219741965</v>
      </c>
      <c r="P668" s="30">
        <f ca="1">Acciones!$E$751*EXP((K$2-K$3/2)*(1)+K$4*_xlfn.NORM.S.INV(RAND())*SQRT(1))</f>
        <v>0.13377166610567129</v>
      </c>
      <c r="Q668" s="30"/>
      <c r="R668">
        <f ca="1">M668/Acciones!$B$751*$I$10 + N668/Acciones!$C$751*$I$11 + O668/Acciones!$D$751*$I$12 + P668/Acciones!$D$751*$I$13</f>
        <v>22741.850141281964</v>
      </c>
      <c r="T668" s="14">
        <f t="shared" ca="1" si="13"/>
        <v>-5758.1498587180358</v>
      </c>
      <c r="V668">
        <v>-4762.9921636570107</v>
      </c>
    </row>
    <row r="669" spans="1:22" x14ac:dyDescent="0.2">
      <c r="A669" s="1">
        <f>Acciones!A669</f>
        <v>45967</v>
      </c>
      <c r="B669" s="29">
        <f>LN(Acciones!B669/Acciones!B668)</f>
        <v>2.9717203975859088E-3</v>
      </c>
      <c r="C669" s="29">
        <f>LN(Acciones!C669/Acciones!C668)</f>
        <v>-6.6168884101954831E-2</v>
      </c>
      <c r="D669" s="29">
        <f>LN(Acciones!D669/Acciones!D668)</f>
        <v>-7.0644839887143672E-3</v>
      </c>
      <c r="E669" s="29">
        <f>LN(Acciones!E669/Acciones!E668)</f>
        <v>1.2072605848334323E-2</v>
      </c>
      <c r="M669" s="30">
        <f ca="1">Acciones!$B$751*EXP((H$2-H$3/2)*(1)+H$4*_xlfn.NORM.S.INV(RAND())*SQRT(1))</f>
        <v>11.122998321597317</v>
      </c>
      <c r="N669" s="30">
        <f ca="1">Acciones!$C$751*EXP((I$2-I$3/2)*(1)+I$4*_xlfn.NORM.S.INV(RAND())*SQRT(1))</f>
        <v>162.16790862910216</v>
      </c>
      <c r="O669" s="30">
        <f ca="1">Acciones!$D$751*EXP((J$2-J$3/2)*(1)+J$4*_xlfn.NORM.S.INV(RAND())*SQRT(1))</f>
        <v>976.01356268525001</v>
      </c>
      <c r="P669" s="30">
        <f ca="1">Acciones!$E$751*EXP((K$2-K$3/2)*(1)+K$4*_xlfn.NORM.S.INV(RAND())*SQRT(1))</f>
        <v>0.13094406092870348</v>
      </c>
      <c r="Q669" s="30"/>
      <c r="R669">
        <f ca="1">M669/Acciones!$B$751*$I$10 + N669/Acciones!$C$751*$I$11 + O669/Acciones!$D$751*$I$12 + P669/Acciones!$D$751*$I$13</f>
        <v>23470.723803029498</v>
      </c>
      <c r="T669" s="14">
        <f t="shared" ca="1" si="13"/>
        <v>-5029.2761969705025</v>
      </c>
      <c r="V669">
        <v>-4762.21736726995</v>
      </c>
    </row>
    <row r="670" spans="1:22" x14ac:dyDescent="0.2">
      <c r="A670" s="1">
        <f>Acciones!A670</f>
        <v>45968</v>
      </c>
      <c r="B670" s="29">
        <f>LN(Acciones!B670/Acciones!B669)</f>
        <v>-7.4459972562232832E-3</v>
      </c>
      <c r="C670" s="29">
        <f>LN(Acciones!C670/Acciones!C669)</f>
        <v>-3.0679810481272177E-2</v>
      </c>
      <c r="D670" s="29">
        <f>LN(Acciones!D670/Acciones!D669)</f>
        <v>-2.0832323973396433E-2</v>
      </c>
      <c r="E670" s="29">
        <f>LN(Acciones!E670/Acciones!E669)</f>
        <v>-8.0321880404741162E-3</v>
      </c>
      <c r="M670" s="30">
        <f ca="1">Acciones!$B$751*EXP((H$2-H$3/2)*(1)+H$4*_xlfn.NORM.S.INV(RAND())*SQRT(1))</f>
        <v>10.610696590366095</v>
      </c>
      <c r="N670" s="30">
        <f ca="1">Acciones!$C$751*EXP((I$2-I$3/2)*(1)+I$4*_xlfn.NORM.S.INV(RAND())*SQRT(1))</f>
        <v>159.90881322028332</v>
      </c>
      <c r="O670" s="30">
        <f ca="1">Acciones!$D$751*EXP((J$2-J$3/2)*(1)+J$4*_xlfn.NORM.S.INV(RAND())*SQRT(1))</f>
        <v>1026.8103497993659</v>
      </c>
      <c r="P670" s="30">
        <f ca="1">Acciones!$E$751*EXP((K$2-K$3/2)*(1)+K$4*_xlfn.NORM.S.INV(RAND())*SQRT(1))</f>
        <v>0.12542193453492428</v>
      </c>
      <c r="Q670" s="30"/>
      <c r="R670">
        <f ca="1">M670/Acciones!$B$751*$I$10 + N670/Acciones!$C$751*$I$11 + O670/Acciones!$D$751*$I$12 + P670/Acciones!$D$751*$I$13</f>
        <v>23674.091646823148</v>
      </c>
      <c r="T670" s="14">
        <f t="shared" ca="1" si="13"/>
        <v>-4825.908353176852</v>
      </c>
      <c r="V670">
        <v>-4762.1241502619159</v>
      </c>
    </row>
    <row r="671" spans="1:22" x14ac:dyDescent="0.2">
      <c r="A671" s="1">
        <f>Acciones!A671</f>
        <v>45971</v>
      </c>
      <c r="B671" s="29">
        <f>LN(Acciones!B671/Acciones!B670)</f>
        <v>1.4936271064875904E-3</v>
      </c>
      <c r="C671" s="29">
        <f>LN(Acciones!C671/Acciones!C670)</f>
        <v>-1.1669398357924275E-2</v>
      </c>
      <c r="D671" s="29">
        <f>LN(Acciones!D671/Acciones!D670)</f>
        <v>-6.3808397541298611E-3</v>
      </c>
      <c r="E671" s="29">
        <f>LN(Acciones!E671/Acciones!E670)</f>
        <v>4.0241585041480652E-3</v>
      </c>
      <c r="M671" s="30">
        <f ca="1">Acciones!$B$751*EXP((H$2-H$3/2)*(1)+H$4*_xlfn.NORM.S.INV(RAND())*SQRT(1))</f>
        <v>10.809362072136768</v>
      </c>
      <c r="N671" s="30">
        <f ca="1">Acciones!$C$751*EXP((I$2-I$3/2)*(1)+I$4*_xlfn.NORM.S.INV(RAND())*SQRT(1))</f>
        <v>155.62013677487903</v>
      </c>
      <c r="O671" s="30">
        <f ca="1">Acciones!$D$751*EXP((J$2-J$3/2)*(1)+J$4*_xlfn.NORM.S.INV(RAND())*SQRT(1))</f>
        <v>1003.8078254513943</v>
      </c>
      <c r="P671" s="30">
        <f ca="1">Acciones!$E$751*EXP((K$2-K$3/2)*(1)+K$4*_xlfn.NORM.S.INV(RAND())*SQRT(1))</f>
        <v>0.14423937381497817</v>
      </c>
      <c r="Q671" s="30"/>
      <c r="R671">
        <f ca="1">M671/Acciones!$B$751*$I$10 + N671/Acciones!$C$751*$I$11 + O671/Acciones!$D$751*$I$12 + P671/Acciones!$D$751*$I$13</f>
        <v>23239.747369375807</v>
      </c>
      <c r="T671" s="14">
        <f t="shared" ca="1" si="13"/>
        <v>-5260.2526306241925</v>
      </c>
      <c r="V671">
        <v>-4760.7003273220071</v>
      </c>
    </row>
    <row r="672" spans="1:22" x14ac:dyDescent="0.2">
      <c r="A672" s="1">
        <f>Acciones!A672</f>
        <v>45972</v>
      </c>
      <c r="B672" s="29">
        <f>LN(Acciones!B672/Acciones!B671)</f>
        <v>3.7244439975961038E-3</v>
      </c>
      <c r="C672" s="29">
        <f>LN(Acciones!C672/Acciones!C671)</f>
        <v>-7.1718272054695734E-2</v>
      </c>
      <c r="D672" s="29">
        <f>LN(Acciones!D672/Acciones!D671)</f>
        <v>3.2412470090760363E-2</v>
      </c>
      <c r="E672" s="29">
        <f>LN(Acciones!E672/Acciones!E671)</f>
        <v>0</v>
      </c>
      <c r="M672" s="30">
        <f ca="1">Acciones!$B$751*EXP((H$2-H$3/2)*(1)+H$4*_xlfn.NORM.S.INV(RAND())*SQRT(1))</f>
        <v>10.89027290648214</v>
      </c>
      <c r="N672" s="30">
        <f ca="1">Acciones!$C$751*EXP((I$2-I$3/2)*(1)+I$4*_xlfn.NORM.S.INV(RAND())*SQRT(1))</f>
        <v>150.85463544389282</v>
      </c>
      <c r="O672" s="30">
        <f ca="1">Acciones!$D$751*EXP((J$2-J$3/2)*(1)+J$4*_xlfn.NORM.S.INV(RAND())*SQRT(1))</f>
        <v>996.18494230909175</v>
      </c>
      <c r="P672" s="30">
        <f ca="1">Acciones!$E$751*EXP((K$2-K$3/2)*(1)+K$4*_xlfn.NORM.S.INV(RAND())*SQRT(1))</f>
        <v>0.13499421385212912</v>
      </c>
      <c r="Q672" s="30"/>
      <c r="R672">
        <f ca="1">M672/Acciones!$B$751*$I$10 + N672/Acciones!$C$751*$I$11 + O672/Acciones!$D$751*$I$12 + P672/Acciones!$D$751*$I$13</f>
        <v>22891.748904207285</v>
      </c>
      <c r="T672" s="14">
        <f t="shared" ca="1" si="13"/>
        <v>-5608.2510957927152</v>
      </c>
      <c r="V672">
        <v>-4757.9413236668588</v>
      </c>
    </row>
    <row r="673" spans="1:22" x14ac:dyDescent="0.2">
      <c r="A673" s="1">
        <f>Acciones!A673</f>
        <v>45973</v>
      </c>
      <c r="B673" s="29">
        <f>LN(Acciones!B673/Acciones!B672)</f>
        <v>-1.8004972763279253E-2</v>
      </c>
      <c r="C673" s="29">
        <f>LN(Acciones!C673/Acciones!C672)</f>
        <v>-1.5156905470993987E-2</v>
      </c>
      <c r="D673" s="29">
        <f>LN(Acciones!D673/Acciones!D672)</f>
        <v>1.6543557281992735E-2</v>
      </c>
      <c r="E673" s="29">
        <f>LN(Acciones!E673/Acciones!E672)</f>
        <v>0</v>
      </c>
      <c r="M673" s="30">
        <f ca="1">Acciones!$B$751*EXP((H$2-H$3/2)*(1)+H$4*_xlfn.NORM.S.INV(RAND())*SQRT(1))</f>
        <v>10.930827138694845</v>
      </c>
      <c r="N673" s="30">
        <f ca="1">Acciones!$C$751*EXP((I$2-I$3/2)*(1)+I$4*_xlfn.NORM.S.INV(RAND())*SQRT(1))</f>
        <v>144.90267031694492</v>
      </c>
      <c r="O673" s="30">
        <f ca="1">Acciones!$D$751*EXP((J$2-J$3/2)*(1)+J$4*_xlfn.NORM.S.INV(RAND())*SQRT(1))</f>
        <v>981.11421429418021</v>
      </c>
      <c r="P673" s="30">
        <f ca="1">Acciones!$E$751*EXP((K$2-K$3/2)*(1)+K$4*_xlfn.NORM.S.INV(RAND())*SQRT(1))</f>
        <v>0.12962307788915295</v>
      </c>
      <c r="Q673" s="30"/>
      <c r="R673">
        <f ca="1">M673/Acciones!$B$751*$I$10 + N673/Acciones!$C$751*$I$11 + O673/Acciones!$D$751*$I$12 + P673/Acciones!$D$751*$I$13</f>
        <v>22382.143437485989</v>
      </c>
      <c r="T673" s="14">
        <f t="shared" ca="1" si="13"/>
        <v>-6117.8565625140109</v>
      </c>
      <c r="V673">
        <v>-4743.3673022865405</v>
      </c>
    </row>
    <row r="674" spans="1:22" x14ac:dyDescent="0.2">
      <c r="A674" s="1">
        <f>Acciones!A674</f>
        <v>45974</v>
      </c>
      <c r="B674" s="29">
        <f>LN(Acciones!B674/Acciones!B673)</f>
        <v>8.2925156394908078E-3</v>
      </c>
      <c r="C674" s="29">
        <f>LN(Acciones!C674/Acciones!C673)</f>
        <v>-0.11587581855972205</v>
      </c>
      <c r="D674" s="29">
        <f>LN(Acciones!D674/Acciones!D673)</f>
        <v>3.0417625868299686E-2</v>
      </c>
      <c r="E674" s="29">
        <f>LN(Acciones!E674/Acciones!E673)</f>
        <v>-1.2121324771895337E-2</v>
      </c>
      <c r="M674" s="30">
        <f ca="1">Acciones!$B$751*EXP((H$2-H$3/2)*(1)+H$4*_xlfn.NORM.S.INV(RAND())*SQRT(1))</f>
        <v>10.727864314406538</v>
      </c>
      <c r="N674" s="30">
        <f ca="1">Acciones!$C$751*EXP((I$2-I$3/2)*(1)+I$4*_xlfn.NORM.S.INV(RAND())*SQRT(1))</f>
        <v>156.35467019962147</v>
      </c>
      <c r="O674" s="30">
        <f ca="1">Acciones!$D$751*EXP((J$2-J$3/2)*(1)+J$4*_xlfn.NORM.S.INV(RAND())*SQRT(1))</f>
        <v>963.34353096606935</v>
      </c>
      <c r="P674" s="30">
        <f ca="1">Acciones!$E$751*EXP((K$2-K$3/2)*(1)+K$4*_xlfn.NORM.S.INV(RAND())*SQRT(1))</f>
        <v>0.13421324119597405</v>
      </c>
      <c r="Q674" s="30"/>
      <c r="R674">
        <f ca="1">M674/Acciones!$B$751*$I$10 + N674/Acciones!$C$751*$I$11 + O674/Acciones!$D$751*$I$12 + P674/Acciones!$D$751*$I$13</f>
        <v>22854.102542098623</v>
      </c>
      <c r="T674" s="14">
        <f t="shared" ca="1" si="13"/>
        <v>-5645.8974579013775</v>
      </c>
      <c r="V674">
        <v>-4740.8250374757881</v>
      </c>
    </row>
    <row r="675" spans="1:22" x14ac:dyDescent="0.2">
      <c r="A675" s="1">
        <f>Acciones!A675</f>
        <v>45975</v>
      </c>
      <c r="B675" s="29">
        <f>LN(Acciones!B675/Acciones!B674)</f>
        <v>-8.2925156394909345E-3</v>
      </c>
      <c r="C675" s="29">
        <f>LN(Acciones!C675/Acciones!C674)</f>
        <v>-5.913265043806281E-2</v>
      </c>
      <c r="D675" s="29">
        <f>LN(Acciones!D675/Acciones!D674)</f>
        <v>-3.4762711857317358E-2</v>
      </c>
      <c r="E675" s="29">
        <f>LN(Acciones!E675/Acciones!E674)</f>
        <v>1.6129354308221471E-2</v>
      </c>
      <c r="M675" s="30">
        <f ca="1">Acciones!$B$751*EXP((H$2-H$3/2)*(1)+H$4*_xlfn.NORM.S.INV(RAND())*SQRT(1))</f>
        <v>10.733374169271006</v>
      </c>
      <c r="N675" s="30">
        <f ca="1">Acciones!$C$751*EXP((I$2-I$3/2)*(1)+I$4*_xlfn.NORM.S.INV(RAND())*SQRT(1))</f>
        <v>163.63162606172781</v>
      </c>
      <c r="O675" s="30">
        <f ca="1">Acciones!$D$751*EXP((J$2-J$3/2)*(1)+J$4*_xlfn.NORM.S.INV(RAND())*SQRT(1))</f>
        <v>987.01457152755279</v>
      </c>
      <c r="P675" s="30">
        <f ca="1">Acciones!$E$751*EXP((K$2-K$3/2)*(1)+K$4*_xlfn.NORM.S.INV(RAND())*SQRT(1))</f>
        <v>0.14129359498388008</v>
      </c>
      <c r="Q675" s="30"/>
      <c r="R675">
        <f ca="1">M675/Acciones!$B$751*$I$10 + N675/Acciones!$C$751*$I$11 + O675/Acciones!$D$751*$I$12 + P675/Acciones!$D$751*$I$13</f>
        <v>23547.369774391878</v>
      </c>
      <c r="T675" s="14">
        <f t="shared" ca="1" si="13"/>
        <v>-4952.6302256081217</v>
      </c>
      <c r="V675">
        <v>-4731.6293968239988</v>
      </c>
    </row>
    <row r="676" spans="1:22" x14ac:dyDescent="0.2">
      <c r="A676" s="1">
        <f>Acciones!A676</f>
        <v>45979</v>
      </c>
      <c r="B676" s="29">
        <f>LN(Acciones!B676/Acciones!B675)</f>
        <v>-2.2735875783079329E-3</v>
      </c>
      <c r="C676" s="29">
        <f>LN(Acciones!C676/Acciones!C675)</f>
        <v>-5.8098113667090839E-3</v>
      </c>
      <c r="D676" s="29">
        <f>LN(Acciones!D676/Acciones!D675)</f>
        <v>-2.5247777760734808E-2</v>
      </c>
      <c r="E676" s="29">
        <f>LN(Acciones!E676/Acciones!E675)</f>
        <v>-2.0202687854780865E-2</v>
      </c>
      <c r="M676" s="30">
        <f ca="1">Acciones!$B$751*EXP((H$2-H$3/2)*(1)+H$4*_xlfn.NORM.S.INV(RAND())*SQRT(1))</f>
        <v>11.251281261272657</v>
      </c>
      <c r="N676" s="30">
        <f ca="1">Acciones!$C$751*EXP((I$2-I$3/2)*(1)+I$4*_xlfn.NORM.S.INV(RAND())*SQRT(1))</f>
        <v>148.5803963175444</v>
      </c>
      <c r="O676" s="30">
        <f ca="1">Acciones!$D$751*EXP((J$2-J$3/2)*(1)+J$4*_xlfn.NORM.S.INV(RAND())*SQRT(1))</f>
        <v>1020.9735206934588</v>
      </c>
      <c r="P676" s="30">
        <f ca="1">Acciones!$E$751*EXP((K$2-K$3/2)*(1)+K$4*_xlfn.NORM.S.INV(RAND())*SQRT(1))</f>
        <v>0.1349000021515421</v>
      </c>
      <c r="Q676" s="30"/>
      <c r="R676">
        <f ca="1">M676/Acciones!$B$751*$I$10 + N676/Acciones!$C$751*$I$11 + O676/Acciones!$D$751*$I$12 + P676/Acciones!$D$751*$I$13</f>
        <v>23113.855417768264</v>
      </c>
      <c r="T676" s="14">
        <f t="shared" ca="1" si="13"/>
        <v>-5386.1445822317364</v>
      </c>
      <c r="V676">
        <v>-4728.3527555965629</v>
      </c>
    </row>
    <row r="677" spans="1:22" x14ac:dyDescent="0.2">
      <c r="A677" s="1">
        <f>Acciones!A677</f>
        <v>45980</v>
      </c>
      <c r="B677" s="29">
        <f>LN(Acciones!B677/Acciones!B676)</f>
        <v>7.5838832750306365E-4</v>
      </c>
      <c r="C677" s="29">
        <f>LN(Acciones!C677/Acciones!C676)</f>
        <v>-7.062643092045863E-2</v>
      </c>
      <c r="D677" s="29">
        <f>LN(Acciones!D677/Acciones!D676)</f>
        <v>9.4386153509461914E-3</v>
      </c>
      <c r="E677" s="29">
        <f>LN(Acciones!E677/Acciones!E676)</f>
        <v>2.0202687854780774E-2</v>
      </c>
      <c r="M677" s="30">
        <f ca="1">Acciones!$B$751*EXP((H$2-H$3/2)*(1)+H$4*_xlfn.NORM.S.INV(RAND())*SQRT(1))</f>
        <v>10.682942291504659</v>
      </c>
      <c r="N677" s="30">
        <f ca="1">Acciones!$C$751*EXP((I$2-I$3/2)*(1)+I$4*_xlfn.NORM.S.INV(RAND())*SQRT(1))</f>
        <v>151.55848277879232</v>
      </c>
      <c r="O677" s="30">
        <f ca="1">Acciones!$D$751*EXP((J$2-J$3/2)*(1)+J$4*_xlfn.NORM.S.INV(RAND())*SQRT(1))</f>
        <v>1027.5881023115746</v>
      </c>
      <c r="P677" s="30">
        <f ca="1">Acciones!$E$751*EXP((K$2-K$3/2)*(1)+K$4*_xlfn.NORM.S.INV(RAND())*SQRT(1))</f>
        <v>0.11918200972214771</v>
      </c>
      <c r="Q677" s="30"/>
      <c r="R677">
        <f ca="1">M677/Acciones!$B$751*$I$10 + N677/Acciones!$C$751*$I$11 + O677/Acciones!$D$751*$I$12 + P677/Acciones!$D$751*$I$13</f>
        <v>23183.643317566512</v>
      </c>
      <c r="T677" s="14">
        <f t="shared" ca="1" si="13"/>
        <v>-5316.3566824334885</v>
      </c>
      <c r="V677">
        <v>-4727.1811272167615</v>
      </c>
    </row>
    <row r="678" spans="1:22" x14ac:dyDescent="0.2">
      <c r="A678" s="1">
        <f>Acciones!A678</f>
        <v>45981</v>
      </c>
      <c r="B678" s="29">
        <f>LN(Acciones!B678/Acciones!B677)</f>
        <v>4.5385821746076411E-3</v>
      </c>
      <c r="C678" s="29">
        <f>LN(Acciones!C678/Acciones!C677)</f>
        <v>-6.8957975695161225E-2</v>
      </c>
      <c r="D678" s="29">
        <f>LN(Acciones!D678/Acciones!D677)</f>
        <v>-1.1191567207159182E-2</v>
      </c>
      <c r="E678" s="29">
        <f>LN(Acciones!E678/Acciones!E677)</f>
        <v>-4.0080295363260224E-3</v>
      </c>
      <c r="M678" s="30">
        <f ca="1">Acciones!$B$751*EXP((H$2-H$3/2)*(1)+H$4*_xlfn.NORM.S.INV(RAND())*SQRT(1))</f>
        <v>10.508326746812719</v>
      </c>
      <c r="N678" s="30">
        <f ca="1">Acciones!$C$751*EXP((I$2-I$3/2)*(1)+I$4*_xlfn.NORM.S.INV(RAND())*SQRT(1))</f>
        <v>146.48304580900225</v>
      </c>
      <c r="O678" s="30">
        <f ca="1">Acciones!$D$751*EXP((J$2-J$3/2)*(1)+J$4*_xlfn.NORM.S.INV(RAND())*SQRT(1))</f>
        <v>999.06049989601047</v>
      </c>
      <c r="P678" s="30">
        <f ca="1">Acciones!$E$751*EXP((K$2-K$3/2)*(1)+K$4*_xlfn.NORM.S.INV(RAND())*SQRT(1))</f>
        <v>0.13181181691857177</v>
      </c>
      <c r="Q678" s="30"/>
      <c r="R678">
        <f ca="1">M678/Acciones!$B$751*$I$10 + N678/Acciones!$C$751*$I$11 + O678/Acciones!$D$751*$I$12 + P678/Acciones!$D$751*$I$13</f>
        <v>22525.048335150921</v>
      </c>
      <c r="T678" s="14">
        <f t="shared" ca="1" si="13"/>
        <v>-5974.951664849079</v>
      </c>
      <c r="V678">
        <v>-4726.2666663232885</v>
      </c>
    </row>
    <row r="679" spans="1:22" x14ac:dyDescent="0.2">
      <c r="A679" s="1">
        <f>Acciones!A679</f>
        <v>45982</v>
      </c>
      <c r="B679" s="29">
        <f>LN(Acciones!B679/Acciones!B678)</f>
        <v>-2.8321759602560805E-2</v>
      </c>
      <c r="C679" s="29">
        <f>LN(Acciones!C679/Acciones!C678)</f>
        <v>-2.4960843385409066E-2</v>
      </c>
      <c r="D679" s="29">
        <f>LN(Acciones!D679/Acciones!D678)</f>
        <v>2.596697146998414E-2</v>
      </c>
      <c r="E679" s="29">
        <f>LN(Acciones!E679/Acciones!E678)</f>
        <v>7.9999995126190625E-3</v>
      </c>
      <c r="M679" s="30">
        <f ca="1">Acciones!$B$751*EXP((H$2-H$3/2)*(1)+H$4*_xlfn.NORM.S.INV(RAND())*SQRT(1))</f>
        <v>11.008607485128051</v>
      </c>
      <c r="N679" s="30">
        <f ca="1">Acciones!$C$751*EXP((I$2-I$3/2)*(1)+I$4*_xlfn.NORM.S.INV(RAND())*SQRT(1))</f>
        <v>154.43334120402656</v>
      </c>
      <c r="O679" s="30">
        <f ca="1">Acciones!$D$751*EXP((J$2-J$3/2)*(1)+J$4*_xlfn.NORM.S.INV(RAND())*SQRT(1))</f>
        <v>1017.6065326965795</v>
      </c>
      <c r="P679" s="30">
        <f ca="1">Acciones!$E$751*EXP((K$2-K$3/2)*(1)+K$4*_xlfn.NORM.S.INV(RAND())*SQRT(1))</f>
        <v>0.13221561135767912</v>
      </c>
      <c r="Q679" s="30"/>
      <c r="R679">
        <f ca="1">M679/Acciones!$B$751*$I$10 + N679/Acciones!$C$751*$I$11 + O679/Acciones!$D$751*$I$12 + P679/Acciones!$D$751*$I$13</f>
        <v>23367.712519783578</v>
      </c>
      <c r="T679" s="14">
        <f t="shared" ca="1" si="13"/>
        <v>-5132.2874802164224</v>
      </c>
      <c r="V679">
        <v>-4718.6901927776962</v>
      </c>
    </row>
    <row r="680" spans="1:22" x14ac:dyDescent="0.2">
      <c r="A680" s="1">
        <f>Acciones!A680</f>
        <v>45985</v>
      </c>
      <c r="B680" s="29">
        <f>LN(Acciones!B680/Acciones!B679)</f>
        <v>2.6055116237130235E-2</v>
      </c>
      <c r="C680" s="29">
        <f>LN(Acciones!C680/Acciones!C679)</f>
        <v>0.1060095997775756</v>
      </c>
      <c r="D680" s="29">
        <f>LN(Acciones!D680/Acciones!D679)</f>
        <v>-1.7668080981003441E-2</v>
      </c>
      <c r="E680" s="29">
        <f>LN(Acciones!E680/Acciones!E679)</f>
        <v>-3.991969976293086E-3</v>
      </c>
      <c r="M680" s="30">
        <f ca="1">Acciones!$B$751*EXP((H$2-H$3/2)*(1)+H$4*_xlfn.NORM.S.INV(RAND())*SQRT(1))</f>
        <v>10.849468473429093</v>
      </c>
      <c r="N680" s="30">
        <f ca="1">Acciones!$C$751*EXP((I$2-I$3/2)*(1)+I$4*_xlfn.NORM.S.INV(RAND())*SQRT(1))</f>
        <v>143.39024749450041</v>
      </c>
      <c r="O680" s="30">
        <f ca="1">Acciones!$D$751*EXP((J$2-J$3/2)*(1)+J$4*_xlfn.NORM.S.INV(RAND())*SQRT(1))</f>
        <v>990.45505076556276</v>
      </c>
      <c r="P680" s="30">
        <f ca="1">Acciones!$E$751*EXP((K$2-K$3/2)*(1)+K$4*_xlfn.NORM.S.INV(RAND())*SQRT(1))</f>
        <v>0.11853901922434</v>
      </c>
      <c r="Q680" s="30"/>
      <c r="R680">
        <f ca="1">M680/Acciones!$B$751*$I$10 + N680/Acciones!$C$751*$I$11 + O680/Acciones!$D$751*$I$12 + P680/Acciones!$D$751*$I$13</f>
        <v>22355.110545865984</v>
      </c>
      <c r="T680" s="14">
        <f t="shared" ca="1" si="13"/>
        <v>-6144.889454134016</v>
      </c>
      <c r="V680">
        <v>-4700.5215060647388</v>
      </c>
    </row>
    <row r="681" spans="1:22" x14ac:dyDescent="0.2">
      <c r="A681" s="1">
        <f>Acciones!A681</f>
        <v>45986</v>
      </c>
      <c r="B681" s="29">
        <f>LN(Acciones!B681/Acciones!B680)</f>
        <v>-1.8321181656187648E-2</v>
      </c>
      <c r="C681" s="29">
        <f>LN(Acciones!C681/Acciones!C680)</f>
        <v>-1.316610816091081E-2</v>
      </c>
      <c r="D681" s="29">
        <f>LN(Acciones!D681/Acciones!D680)</f>
        <v>2.1098243846329093E-2</v>
      </c>
      <c r="E681" s="29">
        <f>LN(Acciones!E681/Acciones!E680)</f>
        <v>3.5367156724781565E-2</v>
      </c>
      <c r="M681" s="30">
        <f ca="1">Acciones!$B$751*EXP((H$2-H$3/2)*(1)+H$4*_xlfn.NORM.S.INV(RAND())*SQRT(1))</f>
        <v>11.21193288272625</v>
      </c>
      <c r="N681" s="30">
        <f ca="1">Acciones!$C$751*EXP((I$2-I$3/2)*(1)+I$4*_xlfn.NORM.S.INV(RAND())*SQRT(1))</f>
        <v>157.89172151690286</v>
      </c>
      <c r="O681" s="30">
        <f ca="1">Acciones!$D$751*EXP((J$2-J$3/2)*(1)+J$4*_xlfn.NORM.S.INV(RAND())*SQRT(1))</f>
        <v>1013.4425587137464</v>
      </c>
      <c r="P681" s="30">
        <f ca="1">Acciones!$E$751*EXP((K$2-K$3/2)*(1)+K$4*_xlfn.NORM.S.INV(RAND())*SQRT(1))</f>
        <v>0.13490491612888764</v>
      </c>
      <c r="Q681" s="30"/>
      <c r="R681">
        <f ca="1">M681/Acciones!$B$751*$I$10 + N681/Acciones!$C$751*$I$11 + O681/Acciones!$D$751*$I$12 + P681/Acciones!$D$751*$I$13</f>
        <v>23607.183007563974</v>
      </c>
      <c r="T681" s="14">
        <f t="shared" ca="1" si="13"/>
        <v>-4892.8169924360263</v>
      </c>
      <c r="V681">
        <v>-4699.1051875531375</v>
      </c>
    </row>
    <row r="682" spans="1:22" x14ac:dyDescent="0.2">
      <c r="A682" s="1">
        <f>Acciones!A682</f>
        <v>45987</v>
      </c>
      <c r="B682" s="29">
        <f>LN(Acciones!B682/Acciones!B681)</f>
        <v>-6.1824447919805788E-3</v>
      </c>
      <c r="C682" s="29">
        <f>LN(Acciones!C682/Acciones!C681)</f>
        <v>2.8324570412308712E-3</v>
      </c>
      <c r="D682" s="29">
        <f>LN(Acciones!D682/Acciones!D681)</f>
        <v>9.3089422113830089E-3</v>
      </c>
      <c r="E682" s="29">
        <f>LN(Acciones!E682/Acciones!E681)</f>
        <v>-2.3438620727049751E-2</v>
      </c>
      <c r="M682" s="30">
        <f ca="1">Acciones!$B$751*EXP((H$2-H$3/2)*(1)+H$4*_xlfn.NORM.S.INV(RAND())*SQRT(1))</f>
        <v>11.152976618456266</v>
      </c>
      <c r="N682" s="30">
        <f ca="1">Acciones!$C$751*EXP((I$2-I$3/2)*(1)+I$4*_xlfn.NORM.S.INV(RAND())*SQRT(1))</f>
        <v>150.59163422400528</v>
      </c>
      <c r="O682" s="30">
        <f ca="1">Acciones!$D$751*EXP((J$2-J$3/2)*(1)+J$4*_xlfn.NORM.S.INV(RAND())*SQRT(1))</f>
        <v>949.58679921542898</v>
      </c>
      <c r="P682" s="30">
        <f ca="1">Acciones!$E$751*EXP((K$2-K$3/2)*(1)+K$4*_xlfn.NORM.S.INV(RAND())*SQRT(1))</f>
        <v>0.1321229428202878</v>
      </c>
      <c r="Q682" s="30"/>
      <c r="R682">
        <f ca="1">M682/Acciones!$B$751*$I$10 + N682/Acciones!$C$751*$I$11 + O682/Acciones!$D$751*$I$12 + P682/Acciones!$D$751*$I$13</f>
        <v>22492.841897659393</v>
      </c>
      <c r="T682" s="14">
        <f t="shared" ca="1" si="13"/>
        <v>-6007.158102340607</v>
      </c>
      <c r="V682">
        <v>-4698.6273061933134</v>
      </c>
    </row>
    <row r="683" spans="1:22" x14ac:dyDescent="0.2">
      <c r="A683" s="1">
        <f>Acciones!A683</f>
        <v>45988</v>
      </c>
      <c r="B683" s="29">
        <f>LN(Acciones!B683/Acciones!B682)</f>
        <v>6.9525883135145251E-3</v>
      </c>
      <c r="C683" s="29">
        <f>LN(Acciones!C683/Acciones!C682)</f>
        <v>3.30006199298888E-2</v>
      </c>
      <c r="D683" s="29">
        <f>LN(Acciones!D683/Acciones!D682)</f>
        <v>-5.6700672857259125E-3</v>
      </c>
      <c r="E683" s="29">
        <f>LN(Acciones!E683/Acciones!E682)</f>
        <v>-7.9365660214386624E-3</v>
      </c>
      <c r="M683" s="30">
        <f ca="1">Acciones!$B$751*EXP((H$2-H$3/2)*(1)+H$4*_xlfn.NORM.S.INV(RAND())*SQRT(1))</f>
        <v>10.950029031102478</v>
      </c>
      <c r="N683" s="30">
        <f ca="1">Acciones!$C$751*EXP((I$2-I$3/2)*(1)+I$4*_xlfn.NORM.S.INV(RAND())*SQRT(1))</f>
        <v>179.62703542504903</v>
      </c>
      <c r="O683" s="30">
        <f ca="1">Acciones!$D$751*EXP((J$2-J$3/2)*(1)+J$4*_xlfn.NORM.S.INV(RAND())*SQRT(1))</f>
        <v>1017.7020403285031</v>
      </c>
      <c r="P683" s="30">
        <f ca="1">Acciones!$E$751*EXP((K$2-K$3/2)*(1)+K$4*_xlfn.NORM.S.INV(RAND())*SQRT(1))</f>
        <v>0.12523581418232022</v>
      </c>
      <c r="Q683" s="30"/>
      <c r="R683">
        <f ca="1">M683/Acciones!$B$751*$I$10 + N683/Acciones!$C$751*$I$11 + O683/Acciones!$D$751*$I$12 + P683/Acciones!$D$751*$I$13</f>
        <v>24922.891954625567</v>
      </c>
      <c r="T683" s="14">
        <f t="shared" ca="1" si="13"/>
        <v>-3577.1080453744325</v>
      </c>
      <c r="V683">
        <v>-4694.9063384223446</v>
      </c>
    </row>
    <row r="684" spans="1:22" x14ac:dyDescent="0.2">
      <c r="A684" s="1">
        <f>Acciones!A684</f>
        <v>45989</v>
      </c>
      <c r="B684" s="29">
        <f>LN(Acciones!B684/Acciones!B683)</f>
        <v>-6.9525883135145667E-3</v>
      </c>
      <c r="C684" s="29">
        <f>LN(Acciones!C684/Acciones!C683)</f>
        <v>1.9252908323151376E-2</v>
      </c>
      <c r="D684" s="29">
        <f>LN(Acciones!D684/Acciones!D683)</f>
        <v>1.4671720104385496E-3</v>
      </c>
      <c r="E684" s="29">
        <f>LN(Acciones!E684/Acciones!E683)</f>
        <v>-2.4194657831073992E-2</v>
      </c>
      <c r="M684" s="30">
        <f ca="1">Acciones!$B$751*EXP((H$2-H$3/2)*(1)+H$4*_xlfn.NORM.S.INV(RAND())*SQRT(1))</f>
        <v>11.117554122341028</v>
      </c>
      <c r="N684" s="30">
        <f ca="1">Acciones!$C$751*EXP((I$2-I$3/2)*(1)+I$4*_xlfn.NORM.S.INV(RAND())*SQRT(1))</f>
        <v>147.10281771134692</v>
      </c>
      <c r="O684" s="30">
        <f ca="1">Acciones!$D$751*EXP((J$2-J$3/2)*(1)+J$4*_xlfn.NORM.S.INV(RAND())*SQRT(1))</f>
        <v>995.10107584416335</v>
      </c>
      <c r="P684" s="30">
        <f ca="1">Acciones!$E$751*EXP((K$2-K$3/2)*(1)+K$4*_xlfn.NORM.S.INV(RAND())*SQRT(1))</f>
        <v>0.14940264189175573</v>
      </c>
      <c r="Q684" s="30"/>
      <c r="R684">
        <f ca="1">M684/Acciones!$B$751*$I$10 + N684/Acciones!$C$751*$I$11 + O684/Acciones!$D$751*$I$12 + P684/Acciones!$D$751*$I$13</f>
        <v>22719.627683737508</v>
      </c>
      <c r="T684" s="14">
        <f t="shared" ca="1" si="13"/>
        <v>-5780.3723162624919</v>
      </c>
      <c r="V684">
        <v>-4687.8774663022195</v>
      </c>
    </row>
    <row r="685" spans="1:22" x14ac:dyDescent="0.2">
      <c r="A685" s="1">
        <f>Acciones!A685</f>
        <v>45992</v>
      </c>
      <c r="B685" s="29">
        <f>LN(Acciones!B685/Acciones!B684)</f>
        <v>7.7491779008865853E-4</v>
      </c>
      <c r="C685" s="29">
        <f>LN(Acciones!C685/Acciones!C684)</f>
        <v>-2.9925874347583266E-2</v>
      </c>
      <c r="D685" s="29">
        <f>LN(Acciones!D685/Acciones!D684)</f>
        <v>1.713768759522202E-2</v>
      </c>
      <c r="E685" s="29">
        <f>LN(Acciones!E685/Acciones!E684)</f>
        <v>1.6194658318454781E-2</v>
      </c>
      <c r="M685" s="30">
        <f ca="1">Acciones!$B$751*EXP((H$2-H$3/2)*(1)+H$4*_xlfn.NORM.S.INV(RAND())*SQRT(1))</f>
        <v>10.791581946315608</v>
      </c>
      <c r="N685" s="30">
        <f ca="1">Acciones!$C$751*EXP((I$2-I$3/2)*(1)+I$4*_xlfn.NORM.S.INV(RAND())*SQRT(1))</f>
        <v>145.34133951607058</v>
      </c>
      <c r="O685" s="30">
        <f ca="1">Acciones!$D$751*EXP((J$2-J$3/2)*(1)+J$4*_xlfn.NORM.S.INV(RAND())*SQRT(1))</f>
        <v>1017.4779342454361</v>
      </c>
      <c r="P685" s="30">
        <f ca="1">Acciones!$E$751*EXP((K$2-K$3/2)*(1)+K$4*_xlfn.NORM.S.INV(RAND())*SQRT(1))</f>
        <v>0.1307943472016049</v>
      </c>
      <c r="Q685" s="30"/>
      <c r="R685">
        <f ca="1">M685/Acciones!$B$751*$I$10 + N685/Acciones!$C$751*$I$11 + O685/Acciones!$D$751*$I$12 + P685/Acciones!$D$751*$I$13</f>
        <v>22729.10345891762</v>
      </c>
      <c r="T685" s="14">
        <f t="shared" ca="1" si="13"/>
        <v>-5770.8965410823803</v>
      </c>
      <c r="V685">
        <v>-4678.6989359915169</v>
      </c>
    </row>
    <row r="686" spans="1:22" x14ac:dyDescent="0.2">
      <c r="A686" s="1">
        <f>Acciones!A686</f>
        <v>45993</v>
      </c>
      <c r="B686" s="29">
        <f>LN(Acciones!B686/Acciones!B685)</f>
        <v>2.3210824262430373E-3</v>
      </c>
      <c r="C686" s="29">
        <f>LN(Acciones!C686/Acciones!C685)</f>
        <v>4.4491126293002649E-2</v>
      </c>
      <c r="D686" s="29">
        <f>LN(Acciones!D686/Acciones!D685)</f>
        <v>-2.7876568741618604E-2</v>
      </c>
      <c r="E686" s="29">
        <f>LN(Acciones!E686/Acciones!E685)</f>
        <v>-4.0241585041480661E-3</v>
      </c>
      <c r="M686" s="30">
        <f ca="1">Acciones!$B$751*EXP((H$2-H$3/2)*(1)+H$4*_xlfn.NORM.S.INV(RAND())*SQRT(1))</f>
        <v>10.261344046114091</v>
      </c>
      <c r="N686" s="30">
        <f ca="1">Acciones!$C$751*EXP((I$2-I$3/2)*(1)+I$4*_xlfn.NORM.S.INV(RAND())*SQRT(1))</f>
        <v>150.6381600937319</v>
      </c>
      <c r="O686" s="30">
        <f ca="1">Acciones!$D$751*EXP((J$2-J$3/2)*(1)+J$4*_xlfn.NORM.S.INV(RAND())*SQRT(1))</f>
        <v>978.69005116432334</v>
      </c>
      <c r="P686" s="30">
        <f ca="1">Acciones!$E$751*EXP((K$2-K$3/2)*(1)+K$4*_xlfn.NORM.S.INV(RAND())*SQRT(1))</f>
        <v>0.14089153154344528</v>
      </c>
      <c r="Q686" s="30"/>
      <c r="R686">
        <f ca="1">M686/Acciones!$B$751*$I$10 + N686/Acciones!$C$751*$I$11 + O686/Acciones!$D$751*$I$12 + P686/Acciones!$D$751*$I$13</f>
        <v>22501.264187971137</v>
      </c>
      <c r="T686" s="14">
        <f t="shared" ca="1" si="13"/>
        <v>-5998.7358120288627</v>
      </c>
      <c r="V686">
        <v>-4677.9526689819759</v>
      </c>
    </row>
    <row r="687" spans="1:22" x14ac:dyDescent="0.2">
      <c r="A687" s="1">
        <f>Acciones!A687</f>
        <v>45994</v>
      </c>
      <c r="B687" s="29">
        <f>LN(Acciones!B687/Acciones!B686)</f>
        <v>-1.0097115211925946E-2</v>
      </c>
      <c r="C687" s="29">
        <f>LN(Acciones!C687/Acciones!C686)</f>
        <v>4.0714342675624522E-2</v>
      </c>
      <c r="D687" s="29">
        <f>LN(Acciones!D687/Acciones!D686)</f>
        <v>2.7876568741618583E-2</v>
      </c>
      <c r="E687" s="29">
        <f>LN(Acciones!E687/Acciones!E686)</f>
        <v>2.3905569111059212E-2</v>
      </c>
      <c r="M687" s="30">
        <f ca="1">Acciones!$B$751*EXP((H$2-H$3/2)*(1)+H$4*_xlfn.NORM.S.INV(RAND())*SQRT(1))</f>
        <v>11.030976558181466</v>
      </c>
      <c r="N687" s="30">
        <f ca="1">Acciones!$C$751*EXP((I$2-I$3/2)*(1)+I$4*_xlfn.NORM.S.INV(RAND())*SQRT(1))</f>
        <v>172.87948556071041</v>
      </c>
      <c r="O687" s="30">
        <f ca="1">Acciones!$D$751*EXP((J$2-J$3/2)*(1)+J$4*_xlfn.NORM.S.INV(RAND())*SQRT(1))</f>
        <v>972.9427599315934</v>
      </c>
      <c r="P687" s="30">
        <f ca="1">Acciones!$E$751*EXP((K$2-K$3/2)*(1)+K$4*_xlfn.NORM.S.INV(RAND())*SQRT(1))</f>
        <v>0.13026794108529324</v>
      </c>
      <c r="Q687" s="30"/>
      <c r="R687">
        <f ca="1">M687/Acciones!$B$751*$I$10 + N687/Acciones!$C$751*$I$11 + O687/Acciones!$D$751*$I$12 + P687/Acciones!$D$751*$I$13</f>
        <v>24079.253988659369</v>
      </c>
      <c r="T687" s="14">
        <f t="shared" ca="1" si="13"/>
        <v>-4420.7460113406305</v>
      </c>
      <c r="V687">
        <v>-4666.9176105969491</v>
      </c>
    </row>
    <row r="688" spans="1:22" x14ac:dyDescent="0.2">
      <c r="A688" s="1">
        <f>Acciones!A688</f>
        <v>45995</v>
      </c>
      <c r="B688" s="29">
        <f>LN(Acciones!B688/Acciones!B687)</f>
        <v>1.395370330910869E-2</v>
      </c>
      <c r="C688" s="29">
        <f>LN(Acciones!C688/Acciones!C687)</f>
        <v>3.9405539426912997E-4</v>
      </c>
      <c r="D688" s="29">
        <f>LN(Acciones!D688/Acciones!D687)</f>
        <v>-1.668084792800143E-3</v>
      </c>
      <c r="E688" s="29">
        <f>LN(Acciones!E688/Acciones!E687)</f>
        <v>-7.9051953376185393E-3</v>
      </c>
      <c r="M688" s="30">
        <f ca="1">Acciones!$B$751*EXP((H$2-H$3/2)*(1)+H$4*_xlfn.NORM.S.INV(RAND())*SQRT(1))</f>
        <v>10.930334770216495</v>
      </c>
      <c r="N688" s="30">
        <f ca="1">Acciones!$C$751*EXP((I$2-I$3/2)*(1)+I$4*_xlfn.NORM.S.INV(RAND())*SQRT(1))</f>
        <v>170.86307722447364</v>
      </c>
      <c r="O688" s="30">
        <f ca="1">Acciones!$D$751*EXP((J$2-J$3/2)*(1)+J$4*_xlfn.NORM.S.INV(RAND())*SQRT(1))</f>
        <v>1013.6229454675318</v>
      </c>
      <c r="P688" s="30">
        <f ca="1">Acciones!$E$751*EXP((K$2-K$3/2)*(1)+K$4*_xlfn.NORM.S.INV(RAND())*SQRT(1))</f>
        <v>0.12267599924960115</v>
      </c>
      <c r="Q688" s="30"/>
      <c r="R688">
        <f ca="1">M688/Acciones!$B$751*$I$10 + N688/Acciones!$C$751*$I$11 + O688/Acciones!$D$751*$I$12 + P688/Acciones!$D$751*$I$13</f>
        <v>24328.494445103304</v>
      </c>
      <c r="T688" s="14">
        <f t="shared" ca="1" si="13"/>
        <v>-4171.5055548966957</v>
      </c>
      <c r="V688">
        <v>-4649.030638665161</v>
      </c>
    </row>
    <row r="689" spans="1:22" x14ac:dyDescent="0.2">
      <c r="A689" s="1">
        <f>Acciones!A689</f>
        <v>45996</v>
      </c>
      <c r="B689" s="29">
        <f>LN(Acciones!B689/Acciones!B688)</f>
        <v>-2.3121378697076337E-3</v>
      </c>
      <c r="C689" s="29">
        <f>LN(Acciones!C689/Acciones!C688)</f>
        <v>-6.8248902870058928E-2</v>
      </c>
      <c r="D689" s="29">
        <f>LN(Acciones!D689/Acciones!D688)</f>
        <v>-1.6707698449669702E-3</v>
      </c>
      <c r="E689" s="29">
        <f>LN(Acciones!E689/Acciones!E688)</f>
        <v>3.9603502647653464E-3</v>
      </c>
      <c r="M689" s="30">
        <f ca="1">Acciones!$B$751*EXP((H$2-H$3/2)*(1)+H$4*_xlfn.NORM.S.INV(RAND())*SQRT(1))</f>
        <v>10.774683225133007</v>
      </c>
      <c r="N689" s="30">
        <f ca="1">Acciones!$C$751*EXP((I$2-I$3/2)*(1)+I$4*_xlfn.NORM.S.INV(RAND())*SQRT(1))</f>
        <v>166.52922322746338</v>
      </c>
      <c r="O689" s="30">
        <f ca="1">Acciones!$D$751*EXP((J$2-J$3/2)*(1)+J$4*_xlfn.NORM.S.INV(RAND())*SQRT(1))</f>
        <v>1017.1896998571434</v>
      </c>
      <c r="P689" s="30">
        <f ca="1">Acciones!$E$751*EXP((K$2-K$3/2)*(1)+K$4*_xlfn.NORM.S.INV(RAND())*SQRT(1))</f>
        <v>0.12004709113785124</v>
      </c>
      <c r="Q689" s="30"/>
      <c r="R689">
        <f ca="1">M689/Acciones!$B$751*$I$10 + N689/Acciones!$C$751*$I$11 + O689/Acciones!$D$751*$I$12 + P689/Acciones!$D$751*$I$13</f>
        <v>24043.673206719552</v>
      </c>
      <c r="T689" s="14">
        <f t="shared" ca="1" si="13"/>
        <v>-4456.3267932804483</v>
      </c>
      <c r="V689">
        <v>-4636.6021019428117</v>
      </c>
    </row>
    <row r="690" spans="1:22" x14ac:dyDescent="0.2">
      <c r="A690" s="1">
        <f>Acciones!A690</f>
        <v>45999</v>
      </c>
      <c r="B690" s="29">
        <f>LN(Acciones!B690/Acciones!B689)</f>
        <v>-3.2944205164260498E-2</v>
      </c>
      <c r="C690" s="29">
        <f>LN(Acciones!C690/Acciones!C689)</f>
        <v>2.4765799337615694E-2</v>
      </c>
      <c r="D690" s="29">
        <f>LN(Acciones!D690/Acciones!D689)</f>
        <v>-3.0562637383035742E-2</v>
      </c>
      <c r="E690" s="29">
        <f>LN(Acciones!E690/Acciones!E689)</f>
        <v>3.9448450728531695E-3</v>
      </c>
      <c r="M690" s="30">
        <f ca="1">Acciones!$B$751*EXP((H$2-H$3/2)*(1)+H$4*_xlfn.NORM.S.INV(RAND())*SQRT(1))</f>
        <v>11.285154563422882</v>
      </c>
      <c r="N690" s="30">
        <f ca="1">Acciones!$C$751*EXP((I$2-I$3/2)*(1)+I$4*_xlfn.NORM.S.INV(RAND())*SQRT(1))</f>
        <v>141.15363765371549</v>
      </c>
      <c r="O690" s="30">
        <f ca="1">Acciones!$D$751*EXP((J$2-J$3/2)*(1)+J$4*_xlfn.NORM.S.INV(RAND())*SQRT(1))</f>
        <v>988.01876864128963</v>
      </c>
      <c r="P690" s="30">
        <f ca="1">Acciones!$E$751*EXP((K$2-K$3/2)*(1)+K$4*_xlfn.NORM.S.INV(RAND())*SQRT(1))</f>
        <v>0.13677718543974465</v>
      </c>
      <c r="Q690" s="30"/>
      <c r="R690">
        <f ca="1">M690/Acciones!$B$751*$I$10 + N690/Acciones!$C$751*$I$11 + O690/Acciones!$D$751*$I$12 + P690/Acciones!$D$751*$I$13</f>
        <v>22330.928845359202</v>
      </c>
      <c r="T690" s="14">
        <f t="shared" ca="1" si="13"/>
        <v>-6169.0711546407983</v>
      </c>
      <c r="V690">
        <v>-4635.5568549095042</v>
      </c>
    </row>
    <row r="691" spans="1:22" x14ac:dyDescent="0.2">
      <c r="A691" s="1">
        <f>Acciones!A691</f>
        <v>46000</v>
      </c>
      <c r="B691" s="29">
        <f>LN(Acciones!B691/Acciones!B690)</f>
        <v>-2.421423928842727E-2</v>
      </c>
      <c r="C691" s="29">
        <f>LN(Acciones!C691/Acciones!C690)</f>
        <v>1.7674682131995544E-2</v>
      </c>
      <c r="D691" s="29">
        <f>LN(Acciones!D691/Acciones!D690)</f>
        <v>-6.0528641742623743E-3</v>
      </c>
      <c r="E691" s="29">
        <f>LN(Acciones!E691/Acciones!E690)</f>
        <v>1.5625233314912525E-2</v>
      </c>
      <c r="M691" s="30">
        <f ca="1">Acciones!$B$751*EXP((H$2-H$3/2)*(1)+H$4*_xlfn.NORM.S.INV(RAND())*SQRT(1))</f>
        <v>11.147949324792092</v>
      </c>
      <c r="N691" s="30">
        <f ca="1">Acciones!$C$751*EXP((I$2-I$3/2)*(1)+I$4*_xlfn.NORM.S.INV(RAND())*SQRT(1))</f>
        <v>149.66620125229008</v>
      </c>
      <c r="O691" s="30">
        <f ca="1">Acciones!$D$751*EXP((J$2-J$3/2)*(1)+J$4*_xlfn.NORM.S.INV(RAND())*SQRT(1))</f>
        <v>994.35701755455011</v>
      </c>
      <c r="P691" s="30">
        <f ca="1">Acciones!$E$751*EXP((K$2-K$3/2)*(1)+K$4*_xlfn.NORM.S.INV(RAND())*SQRT(1))</f>
        <v>0.12724581176501645</v>
      </c>
      <c r="Q691" s="30"/>
      <c r="R691">
        <f ca="1">M691/Acciones!$B$751*$I$10 + N691/Acciones!$C$751*$I$11 + O691/Acciones!$D$751*$I$12 + P691/Acciones!$D$751*$I$13</f>
        <v>22881.857327228088</v>
      </c>
      <c r="T691" s="14">
        <f t="shared" ca="1" si="13"/>
        <v>-5618.1426727719117</v>
      </c>
      <c r="V691">
        <v>-4635.3302402015543</v>
      </c>
    </row>
    <row r="692" spans="1:22" x14ac:dyDescent="0.2">
      <c r="A692" s="1">
        <f>Acciones!A692</f>
        <v>46001</v>
      </c>
      <c r="B692" s="29">
        <f>LN(Acciones!B692/Acciones!B691)</f>
        <v>2.5011394640551365E-2</v>
      </c>
      <c r="C692" s="29">
        <f>LN(Acciones!C692/Acciones!C691)</f>
        <v>-2.230340998171209E-2</v>
      </c>
      <c r="D692" s="29">
        <f>LN(Acciones!D692/Acciones!D691)</f>
        <v>4.0004422935465453E-2</v>
      </c>
      <c r="E692" s="29">
        <f>LN(Acciones!E692/Acciones!E691)</f>
        <v>-3.1498614385497441E-2</v>
      </c>
      <c r="M692" s="30">
        <f ca="1">Acciones!$B$751*EXP((H$2-H$3/2)*(1)+H$4*_xlfn.NORM.S.INV(RAND())*SQRT(1))</f>
        <v>10.817984013762521</v>
      </c>
      <c r="N692" s="30">
        <f ca="1">Acciones!$C$751*EXP((I$2-I$3/2)*(1)+I$4*_xlfn.NORM.S.INV(RAND())*SQRT(1))</f>
        <v>159.7809895690018</v>
      </c>
      <c r="O692" s="30">
        <f ca="1">Acciones!$D$751*EXP((J$2-J$3/2)*(1)+J$4*_xlfn.NORM.S.INV(RAND())*SQRT(1))</f>
        <v>946.64533335792362</v>
      </c>
      <c r="P692" s="30">
        <f ca="1">Acciones!$E$751*EXP((K$2-K$3/2)*(1)+K$4*_xlfn.NORM.S.INV(RAND())*SQRT(1))</f>
        <v>0.12677885168639108</v>
      </c>
      <c r="Q692" s="30"/>
      <c r="R692">
        <f ca="1">M692/Acciones!$B$751*$I$10 + N692/Acciones!$C$751*$I$11 + O692/Acciones!$D$751*$I$12 + P692/Acciones!$D$751*$I$13</f>
        <v>22929.650151902351</v>
      </c>
      <c r="T692" s="14">
        <f t="shared" ca="1" si="13"/>
        <v>-5570.3498480976486</v>
      </c>
      <c r="V692">
        <v>-4631.6138533302037</v>
      </c>
    </row>
    <row r="693" spans="1:22" x14ac:dyDescent="0.2">
      <c r="A693" s="1">
        <f>Acciones!A693</f>
        <v>46002</v>
      </c>
      <c r="B693" s="29">
        <f>LN(Acciones!B693/Acciones!B692)</f>
        <v>-2.0121413186281023E-2</v>
      </c>
      <c r="C693" s="29">
        <f>LN(Acciones!C693/Acciones!C692)</f>
        <v>-2.5824411343800906E-2</v>
      </c>
      <c r="D693" s="29">
        <f>LN(Acciones!D693/Acciones!D692)</f>
        <v>1.7298556842148056E-2</v>
      </c>
      <c r="E693" s="29">
        <f>LN(Acciones!E693/Acciones!E692)</f>
        <v>-4.9190221150322483E-2</v>
      </c>
      <c r="M693" s="30">
        <f ca="1">Acciones!$B$751*EXP((H$2-H$3/2)*(1)+H$4*_xlfn.NORM.S.INV(RAND())*SQRT(1))</f>
        <v>10.586848859265663</v>
      </c>
      <c r="N693" s="30">
        <f ca="1">Acciones!$C$751*EXP((I$2-I$3/2)*(1)+I$4*_xlfn.NORM.S.INV(RAND())*SQRT(1))</f>
        <v>162.15914822285191</v>
      </c>
      <c r="O693" s="30">
        <f ca="1">Acciones!$D$751*EXP((J$2-J$3/2)*(1)+J$4*_xlfn.NORM.S.INV(RAND())*SQRT(1))</f>
        <v>998.61608572662942</v>
      </c>
      <c r="P693" s="30">
        <f ca="1">Acciones!$E$751*EXP((K$2-K$3/2)*(1)+K$4*_xlfn.NORM.S.INV(RAND())*SQRT(1))</f>
        <v>0.11709293801338701</v>
      </c>
      <c r="Q693" s="30"/>
      <c r="R693">
        <f ca="1">M693/Acciones!$B$751*$I$10 + N693/Acciones!$C$751*$I$11 + O693/Acciones!$D$751*$I$12 + P693/Acciones!$D$751*$I$13</f>
        <v>23524.496746902187</v>
      </c>
      <c r="T693" s="14">
        <f t="shared" ca="1" si="13"/>
        <v>-4975.5032530978133</v>
      </c>
      <c r="V693">
        <v>-4628.9312491573401</v>
      </c>
    </row>
    <row r="694" spans="1:22" x14ac:dyDescent="0.2">
      <c r="A694" s="1">
        <f>Acciones!A694</f>
        <v>46006</v>
      </c>
      <c r="B694" s="29">
        <f>LN(Acciones!B694/Acciones!B693)</f>
        <v>4.0568495357377601E-3</v>
      </c>
      <c r="C694" s="29">
        <f>LN(Acciones!C694/Acciones!C693)</f>
        <v>-9.7561129707784258E-2</v>
      </c>
      <c r="D694" s="29">
        <f>LN(Acciones!D694/Acciones!D693)</f>
        <v>8.186792070279795E-4</v>
      </c>
      <c r="E694" s="29">
        <f>LN(Acciones!E694/Acciones!E693)</f>
        <v>-8.4388856248265708E-3</v>
      </c>
      <c r="M694" s="30">
        <f ca="1">Acciones!$B$751*EXP((H$2-H$3/2)*(1)+H$4*_xlfn.NORM.S.INV(RAND())*SQRT(1))</f>
        <v>10.971549104225495</v>
      </c>
      <c r="N694" s="30">
        <f ca="1">Acciones!$C$751*EXP((I$2-I$3/2)*(1)+I$4*_xlfn.NORM.S.INV(RAND())*SQRT(1))</f>
        <v>157.65773641717703</v>
      </c>
      <c r="O694" s="30">
        <f ca="1">Acciones!$D$751*EXP((J$2-J$3/2)*(1)+J$4*_xlfn.NORM.S.INV(RAND())*SQRT(1))</f>
        <v>1035.0191261498683</v>
      </c>
      <c r="P694" s="30">
        <f ca="1">Acciones!$E$751*EXP((K$2-K$3/2)*(1)+K$4*_xlfn.NORM.S.INV(RAND())*SQRT(1))</f>
        <v>0.13492507298430628</v>
      </c>
      <c r="Q694" s="30"/>
      <c r="R694">
        <f ca="1">M694/Acciones!$B$751*$I$10 + N694/Acciones!$C$751*$I$11 + O694/Acciones!$D$751*$I$12 + P694/Acciones!$D$751*$I$13</f>
        <v>23731.57687760143</v>
      </c>
      <c r="T694" s="14">
        <f t="shared" ca="1" si="13"/>
        <v>-4768.4231223985698</v>
      </c>
      <c r="V694">
        <v>-4618.5416100876828</v>
      </c>
    </row>
    <row r="695" spans="1:22" x14ac:dyDescent="0.2">
      <c r="A695" s="1">
        <f>Acciones!A695</f>
        <v>46007</v>
      </c>
      <c r="B695" s="29">
        <f>LN(Acciones!B695/Acciones!B694)</f>
        <v>4.8465321190690139E-3</v>
      </c>
      <c r="C695" s="29">
        <f>LN(Acciones!C695/Acciones!C694)</f>
        <v>-2.2890972209520222E-3</v>
      </c>
      <c r="D695" s="29">
        <f>LN(Acciones!D695/Acciones!D694)</f>
        <v>-1.2350922442530514E-2</v>
      </c>
      <c r="E695" s="29">
        <f>LN(Acciones!E695/Acciones!E694)</f>
        <v>-9.3193766325583613E-2</v>
      </c>
      <c r="M695" s="30">
        <f ca="1">Acciones!$B$751*EXP((H$2-H$3/2)*(1)+H$4*_xlfn.NORM.S.INV(RAND())*SQRT(1))</f>
        <v>11.088180829859088</v>
      </c>
      <c r="N695" s="30">
        <f ca="1">Acciones!$C$751*EXP((I$2-I$3/2)*(1)+I$4*_xlfn.NORM.S.INV(RAND())*SQRT(1))</f>
        <v>156.93694168176583</v>
      </c>
      <c r="O695" s="30">
        <f ca="1">Acciones!$D$751*EXP((J$2-J$3/2)*(1)+J$4*_xlfn.NORM.S.INV(RAND())*SQRT(1))</f>
        <v>1017.811680971743</v>
      </c>
      <c r="P695" s="30">
        <f ca="1">Acciones!$E$751*EXP((K$2-K$3/2)*(1)+K$4*_xlfn.NORM.S.INV(RAND())*SQRT(1))</f>
        <v>0.13686397957011701</v>
      </c>
      <c r="Q695" s="30"/>
      <c r="R695">
        <f ca="1">M695/Acciones!$B$751*$I$10 + N695/Acciones!$C$751*$I$11 + O695/Acciones!$D$751*$I$12 + P695/Acciones!$D$751*$I$13</f>
        <v>23551.641407249339</v>
      </c>
      <c r="T695" s="14">
        <f t="shared" ca="1" si="13"/>
        <v>-4948.358592750661</v>
      </c>
      <c r="V695">
        <v>-4618.4906221839192</v>
      </c>
    </row>
    <row r="696" spans="1:22" x14ac:dyDescent="0.2">
      <c r="A696" s="1">
        <f>Acciones!A696</f>
        <v>46008</v>
      </c>
      <c r="B696" s="29">
        <f>LN(Acciones!B696/Acciones!B695)</f>
        <v>-3.2762962284222166E-2</v>
      </c>
      <c r="C696" s="29">
        <f>LN(Acciones!C696/Acciones!C695)</f>
        <v>-6.3153989348852912E-2</v>
      </c>
      <c r="D696" s="29">
        <f>LN(Acciones!D696/Acciones!D695)</f>
        <v>-1.8623041169869771E-2</v>
      </c>
      <c r="E696" s="29">
        <f>LN(Acciones!E696/Acciones!E695)</f>
        <v>-0.15028220679570248</v>
      </c>
      <c r="M696" s="30">
        <f ca="1">Acciones!$B$751*EXP((H$2-H$3/2)*(1)+H$4*_xlfn.NORM.S.INV(RAND())*SQRT(1))</f>
        <v>11.121709474507847</v>
      </c>
      <c r="N696" s="30">
        <f ca="1">Acciones!$C$751*EXP((I$2-I$3/2)*(1)+I$4*_xlfn.NORM.S.INV(RAND())*SQRT(1))</f>
        <v>150.08134910107637</v>
      </c>
      <c r="O696" s="30">
        <f ca="1">Acciones!$D$751*EXP((J$2-J$3/2)*(1)+J$4*_xlfn.NORM.S.INV(RAND())*SQRT(1))</f>
        <v>980.15684115851514</v>
      </c>
      <c r="P696" s="30">
        <f ca="1">Acciones!$E$751*EXP((K$2-K$3/2)*(1)+K$4*_xlfn.NORM.S.INV(RAND())*SQRT(1))</f>
        <v>0.12860444178254926</v>
      </c>
      <c r="Q696" s="30"/>
      <c r="R696">
        <f ca="1">M696/Acciones!$B$751*$I$10 + N696/Acciones!$C$751*$I$11 + O696/Acciones!$D$751*$I$12 + P696/Acciones!$D$751*$I$13</f>
        <v>22757.133024711664</v>
      </c>
      <c r="T696" s="14">
        <f t="shared" ca="1" si="13"/>
        <v>-5742.8669752883361</v>
      </c>
      <c r="V696">
        <v>-4609.6109192080148</v>
      </c>
    </row>
    <row r="697" spans="1:22" x14ac:dyDescent="0.2">
      <c r="A697" s="1">
        <f>Acciones!A697</f>
        <v>46009</v>
      </c>
      <c r="B697" s="29">
        <f>LN(Acciones!B697/Acciones!B696)</f>
        <v>1.8969599175145076E-2</v>
      </c>
      <c r="C697" s="29">
        <f>LN(Acciones!C697/Acciones!C696)</f>
        <v>-2.6707234073552161E-2</v>
      </c>
      <c r="D697" s="29">
        <f>LN(Acciones!D697/Acciones!D696)</f>
        <v>6.0002524128602514E-3</v>
      </c>
      <c r="E697" s="29">
        <f>LN(Acciones!E697/Acciones!E696)</f>
        <v>-0.11441032432880718</v>
      </c>
      <c r="M697" s="30">
        <f ca="1">Acciones!$B$751*EXP((H$2-H$3/2)*(1)+H$4*_xlfn.NORM.S.INV(RAND())*SQRT(1))</f>
        <v>10.7738145030533</v>
      </c>
      <c r="N697" s="30">
        <f ca="1">Acciones!$C$751*EXP((I$2-I$3/2)*(1)+I$4*_xlfn.NORM.S.INV(RAND())*SQRT(1))</f>
        <v>142.70850397283027</v>
      </c>
      <c r="O697" s="30">
        <f ca="1">Acciones!$D$751*EXP((J$2-J$3/2)*(1)+J$4*_xlfn.NORM.S.INV(RAND())*SQRT(1))</f>
        <v>1035.3320510882104</v>
      </c>
      <c r="P697" s="30">
        <f ca="1">Acciones!$E$751*EXP((K$2-K$3/2)*(1)+K$4*_xlfn.NORM.S.INV(RAND())*SQRT(1))</f>
        <v>0.12732517618993408</v>
      </c>
      <c r="Q697" s="30"/>
      <c r="R697">
        <f ca="1">M697/Acciones!$B$751*$I$10 + N697/Acciones!$C$751*$I$11 + O697/Acciones!$D$751*$I$12 + P697/Acciones!$D$751*$I$13</f>
        <v>22737.828892482092</v>
      </c>
      <c r="T697" s="14">
        <f t="shared" ca="1" si="13"/>
        <v>-5762.1711075179082</v>
      </c>
      <c r="V697">
        <v>-4606.8919050188233</v>
      </c>
    </row>
    <row r="698" spans="1:22" x14ac:dyDescent="0.2">
      <c r="A698" s="1">
        <f>Acciones!A698</f>
        <v>46010</v>
      </c>
      <c r="B698" s="29">
        <f>LN(Acciones!B698/Acciones!B697)</f>
        <v>2.3252106471247345E-2</v>
      </c>
      <c r="C698" s="29">
        <f>LN(Acciones!C698/Acciones!C697)</f>
        <v>3.2350341793811632E-2</v>
      </c>
      <c r="D698" s="29">
        <f>LN(Acciones!D698/Acciones!D697)</f>
        <v>-0.12428984090894919</v>
      </c>
      <c r="E698" s="29">
        <f>LN(Acciones!E698/Acciones!E697)</f>
        <v>-0.12921179999109217</v>
      </c>
      <c r="M698" s="30">
        <f ca="1">Acciones!$B$751*EXP((H$2-H$3/2)*(1)+H$4*_xlfn.NORM.S.INV(RAND())*SQRT(1))</f>
        <v>10.866081426642717</v>
      </c>
      <c r="N698" s="30">
        <f ca="1">Acciones!$C$751*EXP((I$2-I$3/2)*(1)+I$4*_xlfn.NORM.S.INV(RAND())*SQRT(1))</f>
        <v>154.85833343195</v>
      </c>
      <c r="O698" s="30">
        <f ca="1">Acciones!$D$751*EXP((J$2-J$3/2)*(1)+J$4*_xlfn.NORM.S.INV(RAND())*SQRT(1))</f>
        <v>1022.9631842764989</v>
      </c>
      <c r="P698" s="30">
        <f ca="1">Acciones!$E$751*EXP((K$2-K$3/2)*(1)+K$4*_xlfn.NORM.S.INV(RAND())*SQRT(1))</f>
        <v>0.15106094286077271</v>
      </c>
      <c r="Q698" s="30"/>
      <c r="R698">
        <f ca="1">M698/Acciones!$B$751*$I$10 + N698/Acciones!$C$751*$I$11 + O698/Acciones!$D$751*$I$12 + P698/Acciones!$D$751*$I$13</f>
        <v>23402.283377196574</v>
      </c>
      <c r="T698" s="14">
        <f t="shared" ca="1" si="13"/>
        <v>-5097.7166228034257</v>
      </c>
      <c r="V698">
        <v>-4604.7315935326296</v>
      </c>
    </row>
    <row r="699" spans="1:22" x14ac:dyDescent="0.2">
      <c r="A699" s="1">
        <f>Acciones!A699</f>
        <v>46013</v>
      </c>
      <c r="B699" s="29">
        <f>LN(Acciones!B699/Acciones!B698)</f>
        <v>-3.1956786697803163E-2</v>
      </c>
      <c r="C699" s="29">
        <f>LN(Acciones!C699/Acciones!C698)</f>
        <v>-6.0870690428829833E-3</v>
      </c>
      <c r="D699" s="29">
        <f>LN(Acciones!D699/Acciones!D698)</f>
        <v>-2.1258751982671128E-2</v>
      </c>
      <c r="E699" s="29">
        <f>LN(Acciones!E699/Acciones!E698)</f>
        <v>-0.17271265767572103</v>
      </c>
      <c r="M699" s="30">
        <f ca="1">Acciones!$B$751*EXP((H$2-H$3/2)*(1)+H$4*_xlfn.NORM.S.INV(RAND())*SQRT(1))</f>
        <v>10.982298850671299</v>
      </c>
      <c r="N699" s="30">
        <f ca="1">Acciones!$C$751*EXP((I$2-I$3/2)*(1)+I$4*_xlfn.NORM.S.INV(RAND())*SQRT(1))</f>
        <v>161.50914501755315</v>
      </c>
      <c r="O699" s="30">
        <f ca="1">Acciones!$D$751*EXP((J$2-J$3/2)*(1)+J$4*_xlfn.NORM.S.INV(RAND())*SQRT(1))</f>
        <v>986.7661806981414</v>
      </c>
      <c r="P699" s="30">
        <f ca="1">Acciones!$E$751*EXP((K$2-K$3/2)*(1)+K$4*_xlfn.NORM.S.INV(RAND())*SQRT(1))</f>
        <v>0.13118593167522949</v>
      </c>
      <c r="Q699" s="30"/>
      <c r="R699">
        <f ca="1">M699/Acciones!$B$751*$I$10 + N699/Acciones!$C$751*$I$11 + O699/Acciones!$D$751*$I$12 + P699/Acciones!$D$751*$I$13</f>
        <v>23492.158493933137</v>
      </c>
      <c r="T699" s="14">
        <f t="shared" ca="1" si="13"/>
        <v>-5007.8415060668631</v>
      </c>
      <c r="V699">
        <v>-4594.4669100105893</v>
      </c>
    </row>
    <row r="700" spans="1:22" x14ac:dyDescent="0.2">
      <c r="A700" s="1">
        <f>Acciones!A700</f>
        <v>46014</v>
      </c>
      <c r="B700" s="29">
        <f>LN(Acciones!B700/Acciones!B699)</f>
        <v>1.6515636097353417E-2</v>
      </c>
      <c r="C700" s="29">
        <f>LN(Acciones!C700/Acciones!C699)</f>
        <v>-1.7695632704477823E-2</v>
      </c>
      <c r="D700" s="29">
        <f>LN(Acciones!D700/Acciones!D699)</f>
        <v>-3.8116059960548684E-3</v>
      </c>
      <c r="E700" s="29">
        <f>LN(Acciones!E700/Acciones!E699)</f>
        <v>-0.16929206658318627</v>
      </c>
      <c r="M700" s="30">
        <f ca="1">Acciones!$B$751*EXP((H$2-H$3/2)*(1)+H$4*_xlfn.NORM.S.INV(RAND())*SQRT(1))</f>
        <v>11.050242753225193</v>
      </c>
      <c r="N700" s="30">
        <f ca="1">Acciones!$C$751*EXP((I$2-I$3/2)*(1)+I$4*_xlfn.NORM.S.INV(RAND())*SQRT(1))</f>
        <v>154.51429055996536</v>
      </c>
      <c r="O700" s="30">
        <f ca="1">Acciones!$D$751*EXP((J$2-J$3/2)*(1)+J$4*_xlfn.NORM.S.INV(RAND())*SQRT(1))</f>
        <v>977.62930510780916</v>
      </c>
      <c r="P700" s="30">
        <f ca="1">Acciones!$E$751*EXP((K$2-K$3/2)*(1)+K$4*_xlfn.NORM.S.INV(RAND())*SQRT(1))</f>
        <v>0.12183841247753634</v>
      </c>
      <c r="Q700" s="30"/>
      <c r="R700">
        <f ca="1">M700/Acciones!$B$751*$I$10 + N700/Acciones!$C$751*$I$11 + O700/Acciones!$D$751*$I$12 + P700/Acciones!$D$751*$I$13</f>
        <v>22985.637582212403</v>
      </c>
      <c r="T700" s="14">
        <f t="shared" ca="1" si="13"/>
        <v>-5514.3624177875972</v>
      </c>
      <c r="V700">
        <v>-4566.2560260276441</v>
      </c>
    </row>
    <row r="701" spans="1:22" x14ac:dyDescent="0.2">
      <c r="A701" s="1">
        <f>Acciones!A701</f>
        <v>46015</v>
      </c>
      <c r="B701" s="29">
        <f>LN(Acciones!B701/Acciones!B700)</f>
        <v>-2.460003909620733E-3</v>
      </c>
      <c r="C701" s="29">
        <f>LN(Acciones!C701/Acciones!C700)</f>
        <v>5.6338177182560642E-3</v>
      </c>
      <c r="D701" s="29">
        <f>LN(Acciones!D701/Acciones!D700)</f>
        <v>4.8683492643819416E-2</v>
      </c>
      <c r="E701" s="29">
        <f>LN(Acciones!E701/Acciones!E700)</f>
        <v>-0.16882089950707757</v>
      </c>
      <c r="M701" s="30">
        <f ca="1">Acciones!$B$751*EXP((H$2-H$3/2)*(1)+H$4*_xlfn.NORM.S.INV(RAND())*SQRT(1))</f>
        <v>11.340813949335079</v>
      </c>
      <c r="N701" s="30">
        <f ca="1">Acciones!$C$751*EXP((I$2-I$3/2)*(1)+I$4*_xlfn.NORM.S.INV(RAND())*SQRT(1))</f>
        <v>160.90893497849083</v>
      </c>
      <c r="O701" s="30">
        <f ca="1">Acciones!$D$751*EXP((J$2-J$3/2)*(1)+J$4*_xlfn.NORM.S.INV(RAND())*SQRT(1))</f>
        <v>1011.9260732387559</v>
      </c>
      <c r="P701" s="30">
        <f ca="1">Acciones!$E$751*EXP((K$2-K$3/2)*(1)+K$4*_xlfn.NORM.S.INV(RAND())*SQRT(1))</f>
        <v>0.11923017225771509</v>
      </c>
      <c r="Q701" s="30"/>
      <c r="R701">
        <f ca="1">M701/Acciones!$B$751*$I$10 + N701/Acciones!$C$751*$I$11 + O701/Acciones!$D$751*$I$12 + P701/Acciones!$D$751*$I$13</f>
        <v>23821.642723745721</v>
      </c>
      <c r="T701" s="14">
        <f t="shared" ca="1" si="13"/>
        <v>-4678.357276254279</v>
      </c>
      <c r="V701">
        <v>-4559.945953154147</v>
      </c>
    </row>
    <row r="702" spans="1:22" x14ac:dyDescent="0.2">
      <c r="A702" s="1">
        <f>Acciones!A702</f>
        <v>46017</v>
      </c>
      <c r="B702" s="29">
        <f>LN(Acciones!B702/Acciones!B701)</f>
        <v>-9.072277511614775E-3</v>
      </c>
      <c r="C702" s="29">
        <f>LN(Acciones!C702/Acciones!C701)</f>
        <v>-3.4696175660336163E-2</v>
      </c>
      <c r="D702" s="29">
        <f>LN(Acciones!D702/Acciones!D701)</f>
        <v>6.7415875276001973E-3</v>
      </c>
      <c r="E702" s="29">
        <f>LN(Acciones!E702/Acciones!E701)</f>
        <v>-0.16184298378826681</v>
      </c>
      <c r="M702" s="30">
        <f ca="1">Acciones!$B$751*EXP((H$2-H$3/2)*(1)+H$4*_xlfn.NORM.S.INV(RAND())*SQRT(1))</f>
        <v>10.517863050127316</v>
      </c>
      <c r="N702" s="30">
        <f ca="1">Acciones!$C$751*EXP((I$2-I$3/2)*(1)+I$4*_xlfn.NORM.S.INV(RAND())*SQRT(1))</f>
        <v>140.46125459735546</v>
      </c>
      <c r="O702" s="30">
        <f ca="1">Acciones!$D$751*EXP((J$2-J$3/2)*(1)+J$4*_xlfn.NORM.S.INV(RAND())*SQRT(1))</f>
        <v>992.42739386893402</v>
      </c>
      <c r="P702" s="30">
        <f ca="1">Acciones!$E$751*EXP((K$2-K$3/2)*(1)+K$4*_xlfn.NORM.S.INV(RAND())*SQRT(1))</f>
        <v>0.12214624675154756</v>
      </c>
      <c r="Q702" s="30"/>
      <c r="R702">
        <f ca="1">M702/Acciones!$B$751*$I$10 + N702/Acciones!$C$751*$I$11 + O702/Acciones!$D$751*$I$12 + P702/Acciones!$D$751*$I$13</f>
        <v>22085.623451233943</v>
      </c>
      <c r="T702" s="14">
        <f t="shared" ca="1" si="13"/>
        <v>-6414.3765487660567</v>
      </c>
      <c r="V702">
        <v>-4554.5990644662452</v>
      </c>
    </row>
    <row r="703" spans="1:22" x14ac:dyDescent="0.2">
      <c r="A703" s="1">
        <f>Acciones!A703</f>
        <v>46020</v>
      </c>
      <c r="B703" s="29">
        <f>LN(Acciones!B703/Acciones!B702)</f>
        <v>-9.9917474091721081E-3</v>
      </c>
      <c r="C703" s="29">
        <f>LN(Acciones!C703/Acciones!C702)</f>
        <v>-1.0524495237227125E-2</v>
      </c>
      <c r="D703" s="29">
        <f>LN(Acciones!D703/Acciones!D702)</f>
        <v>1.3730196393044921E-2</v>
      </c>
      <c r="E703" s="29">
        <f>LN(Acciones!E703/Acciones!E702)</f>
        <v>-0.14518197523453949</v>
      </c>
      <c r="M703" s="30">
        <f ca="1">Acciones!$B$751*EXP((H$2-H$3/2)*(1)+H$4*_xlfn.NORM.S.INV(RAND())*SQRT(1))</f>
        <v>11.179834864855616</v>
      </c>
      <c r="N703" s="30">
        <f ca="1">Acciones!$C$751*EXP((I$2-I$3/2)*(1)+I$4*_xlfn.NORM.S.INV(RAND())*SQRT(1))</f>
        <v>155.53196965920026</v>
      </c>
      <c r="O703" s="30">
        <f ca="1">Acciones!$D$751*EXP((J$2-J$3/2)*(1)+J$4*_xlfn.NORM.S.INV(RAND())*SQRT(1))</f>
        <v>1035.8923123112411</v>
      </c>
      <c r="P703" s="30">
        <f ca="1">Acciones!$E$751*EXP((K$2-K$3/2)*(1)+K$4*_xlfn.NORM.S.INV(RAND())*SQRT(1))</f>
        <v>0.13750726774240196</v>
      </c>
      <c r="Q703" s="30"/>
      <c r="R703">
        <f ca="1">M703/Acciones!$B$751*$I$10 + N703/Acciones!$C$751*$I$11 + O703/Acciones!$D$751*$I$12 + P703/Acciones!$D$751*$I$13</f>
        <v>23674.427311338892</v>
      </c>
      <c r="T703" s="14">
        <f t="shared" ca="1" si="13"/>
        <v>-4825.5726886611083</v>
      </c>
      <c r="V703">
        <v>-4553.7440383032881</v>
      </c>
    </row>
    <row r="704" spans="1:22" x14ac:dyDescent="0.2">
      <c r="A704" s="1">
        <f>Acciones!A704</f>
        <v>46021</v>
      </c>
      <c r="B704" s="29">
        <f>LN(Acciones!B704/Acciones!B703)</f>
        <v>-8.371895957616914E-4</v>
      </c>
      <c r="C704" s="29">
        <f>LN(Acciones!C704/Acciones!C703)</f>
        <v>-1.2777480098223238E-2</v>
      </c>
      <c r="D704" s="29">
        <f>LN(Acciones!D704/Acciones!D703)</f>
        <v>8.1784972016045216E-4</v>
      </c>
      <c r="E704" s="29">
        <f>LN(Acciones!E704/Acciones!E703)</f>
        <v>-0.16989905835378932</v>
      </c>
      <c r="M704" s="30">
        <f ca="1">Acciones!$B$751*EXP((H$2-H$3/2)*(1)+H$4*_xlfn.NORM.S.INV(RAND())*SQRT(1))</f>
        <v>10.771547220394261</v>
      </c>
      <c r="N704" s="30">
        <f ca="1">Acciones!$C$751*EXP((I$2-I$3/2)*(1)+I$4*_xlfn.NORM.S.INV(RAND())*SQRT(1))</f>
        <v>150.59076381340449</v>
      </c>
      <c r="O704" s="30">
        <f ca="1">Acciones!$D$751*EXP((J$2-J$3/2)*(1)+J$4*_xlfn.NORM.S.INV(RAND())*SQRT(1))</f>
        <v>966.4529124984183</v>
      </c>
      <c r="P704" s="30">
        <f ca="1">Acciones!$E$751*EXP((K$2-K$3/2)*(1)+K$4*_xlfn.NORM.S.INV(RAND())*SQRT(1))</f>
        <v>0.13128049914850726</v>
      </c>
      <c r="Q704" s="30"/>
      <c r="R704">
        <f ca="1">M704/Acciones!$B$751*$I$10 + N704/Acciones!$C$751*$I$11 + O704/Acciones!$D$751*$I$12 + P704/Acciones!$D$751*$I$13</f>
        <v>22539.356033683704</v>
      </c>
      <c r="T704" s="14">
        <f t="shared" ca="1" si="13"/>
        <v>-5960.6439663162964</v>
      </c>
      <c r="V704">
        <v>-4553.563930921453</v>
      </c>
    </row>
    <row r="705" spans="1:22" x14ac:dyDescent="0.2">
      <c r="A705" s="1">
        <f>Acciones!A705</f>
        <v>46022</v>
      </c>
      <c r="B705" s="29">
        <f>LN(Acciones!B705/Acciones!B704)</f>
        <v>-2.3729904984772808E-2</v>
      </c>
      <c r="C705" s="29">
        <f>LN(Acciones!C705/Acciones!C704)</f>
        <v>-3.6065588523999548E-2</v>
      </c>
      <c r="D705" s="29">
        <f>LN(Acciones!D705/Acciones!D704)</f>
        <v>4.7088711284559021E-2</v>
      </c>
      <c r="E705" s="29">
        <f>LN(Acciones!E705/Acciones!E704)</f>
        <v>-1.8692170759677509E-2</v>
      </c>
      <c r="M705" s="30">
        <f ca="1">Acciones!$B$751*EXP((H$2-H$3/2)*(1)+H$4*_xlfn.NORM.S.INV(RAND())*SQRT(1))</f>
        <v>11.0628763299722</v>
      </c>
      <c r="N705" s="30">
        <f ca="1">Acciones!$C$751*EXP((I$2-I$3/2)*(1)+I$4*_xlfn.NORM.S.INV(RAND())*SQRT(1))</f>
        <v>156.53644737966417</v>
      </c>
      <c r="O705" s="30">
        <f ca="1">Acciones!$D$751*EXP((J$2-J$3/2)*(1)+J$4*_xlfn.NORM.S.INV(RAND())*SQRT(1))</f>
        <v>984.39379635507942</v>
      </c>
      <c r="P705" s="30">
        <f ca="1">Acciones!$E$751*EXP((K$2-K$3/2)*(1)+K$4*_xlfn.NORM.S.INV(RAND())*SQRT(1))</f>
        <v>0.13041867199373244</v>
      </c>
      <c r="Q705" s="30"/>
      <c r="R705">
        <f ca="1">M705/Acciones!$B$751*$I$10 + N705/Acciones!$C$751*$I$11 + O705/Acciones!$D$751*$I$12 + P705/Acciones!$D$751*$I$13</f>
        <v>23183.754026785449</v>
      </c>
      <c r="T705" s="14">
        <f t="shared" ca="1" si="13"/>
        <v>-5316.2459732145508</v>
      </c>
      <c r="V705">
        <v>-4551.6529955385631</v>
      </c>
    </row>
    <row r="706" spans="1:22" x14ac:dyDescent="0.2">
      <c r="A706" s="1">
        <f>Acciones!A706</f>
        <v>46024</v>
      </c>
      <c r="B706" s="29">
        <f>LN(Acciones!B706/Acciones!B705)</f>
        <v>8.5728500016842024E-4</v>
      </c>
      <c r="C706" s="29">
        <f>LN(Acciones!C706/Acciones!C705)</f>
        <v>8.8712385022309118E-2</v>
      </c>
      <c r="D706" s="29">
        <f>LN(Acciones!D706/Acciones!D705)</f>
        <v>-1.4700448667617825E-2</v>
      </c>
      <c r="E706" s="29">
        <f>LN(Acciones!E706/Acciones!E705)</f>
        <v>0.54056758446831688</v>
      </c>
      <c r="M706" s="30">
        <f ca="1">Acciones!$B$751*EXP((H$2-H$3/2)*(1)+H$4*_xlfn.NORM.S.INV(RAND())*SQRT(1))</f>
        <v>11.37066065652431</v>
      </c>
      <c r="N706" s="30">
        <f ca="1">Acciones!$C$751*EXP((I$2-I$3/2)*(1)+I$4*_xlfn.NORM.S.INV(RAND())*SQRT(1))</f>
        <v>155.78068759774578</v>
      </c>
      <c r="O706" s="30">
        <f ca="1">Acciones!$D$751*EXP((J$2-J$3/2)*(1)+J$4*_xlfn.NORM.S.INV(RAND())*SQRT(1))</f>
        <v>1061.3590576866607</v>
      </c>
      <c r="P706" s="30">
        <f ca="1">Acciones!$E$751*EXP((K$2-K$3/2)*(1)+K$4*_xlfn.NORM.S.INV(RAND())*SQRT(1))</f>
        <v>0.12356847883794166</v>
      </c>
      <c r="Q706" s="30"/>
      <c r="R706">
        <f ca="1">M706/Acciones!$B$751*$I$10 + N706/Acciones!$C$751*$I$11 + O706/Acciones!$D$751*$I$12 + P706/Acciones!$D$751*$I$13</f>
        <v>24006.184041005279</v>
      </c>
      <c r="T706" s="14">
        <f t="shared" ca="1" si="13"/>
        <v>-4493.8159589947209</v>
      </c>
      <c r="V706">
        <v>-4545.6098048306339</v>
      </c>
    </row>
    <row r="707" spans="1:22" x14ac:dyDescent="0.2">
      <c r="A707" s="1">
        <f>Acciones!A707</f>
        <v>46027</v>
      </c>
      <c r="B707" s="29">
        <f>LN(Acciones!B707/Acciones!B706)</f>
        <v>-2.0779948329818533E-2</v>
      </c>
      <c r="C707" s="29">
        <f>LN(Acciones!C707/Acciones!C706)</f>
        <v>6.9011665059074842E-2</v>
      </c>
      <c r="D707" s="29">
        <f>LN(Acciones!D707/Acciones!D706)</f>
        <v>1.5583993681353967E-2</v>
      </c>
      <c r="E707" s="29">
        <f>LN(Acciones!E707/Acciones!E706)</f>
        <v>0.71488721121490217</v>
      </c>
      <c r="M707" s="30">
        <f ca="1">Acciones!$B$751*EXP((H$2-H$3/2)*(1)+H$4*_xlfn.NORM.S.INV(RAND())*SQRT(1))</f>
        <v>10.806158954627309</v>
      </c>
      <c r="N707" s="30">
        <f ca="1">Acciones!$C$751*EXP((I$2-I$3/2)*(1)+I$4*_xlfn.NORM.S.INV(RAND())*SQRT(1))</f>
        <v>169.6051583665778</v>
      </c>
      <c r="O707" s="30">
        <f ca="1">Acciones!$D$751*EXP((J$2-J$3/2)*(1)+J$4*_xlfn.NORM.S.INV(RAND())*SQRT(1))</f>
        <v>994.22940629804657</v>
      </c>
      <c r="P707" s="30">
        <f ca="1">Acciones!$E$751*EXP((K$2-K$3/2)*(1)+K$4*_xlfn.NORM.S.INV(RAND())*SQRT(1))</f>
        <v>0.12458356094346529</v>
      </c>
      <c r="Q707" s="30"/>
      <c r="R707">
        <f ca="1">M707/Acciones!$B$751*$I$10 + N707/Acciones!$C$751*$I$11 + O707/Acciones!$D$751*$I$12 + P707/Acciones!$D$751*$I$13</f>
        <v>24015.872138381623</v>
      </c>
      <c r="T707" s="14">
        <f t="shared" ca="1" si="13"/>
        <v>-4484.1278616183772</v>
      </c>
      <c r="V707">
        <v>-4524.7782268629635</v>
      </c>
    </row>
    <row r="708" spans="1:22" x14ac:dyDescent="0.2">
      <c r="A708" s="1">
        <f>Acciones!A708</f>
        <v>46028</v>
      </c>
      <c r="B708" s="29">
        <f>LN(Acciones!B708/Acciones!B707)</f>
        <v>2.5908119134089646E-2</v>
      </c>
      <c r="C708" s="29">
        <f>LN(Acciones!C708/Acciones!C707)</f>
        <v>-1.9428389658165509E-2</v>
      </c>
      <c r="D708" s="29">
        <f>LN(Acciones!D708/Acciones!D707)</f>
        <v>1.2903408902407865E-2</v>
      </c>
      <c r="E708" s="29">
        <f>LN(Acciones!E708/Acciones!E707)</f>
        <v>2.6526728747358976E-2</v>
      </c>
      <c r="M708" s="30">
        <f ca="1">Acciones!$B$751*EXP((H$2-H$3/2)*(1)+H$4*_xlfn.NORM.S.INV(RAND())*SQRT(1))</f>
        <v>10.093855174763519</v>
      </c>
      <c r="N708" s="30">
        <f ca="1">Acciones!$C$751*EXP((I$2-I$3/2)*(1)+I$4*_xlfn.NORM.S.INV(RAND())*SQRT(1))</f>
        <v>144.61638619676782</v>
      </c>
      <c r="O708" s="30">
        <f ca="1">Acciones!$D$751*EXP((J$2-J$3/2)*(1)+J$4*_xlfn.NORM.S.INV(RAND())*SQRT(1))</f>
        <v>1006.3712446225601</v>
      </c>
      <c r="P708" s="30">
        <f ca="1">Acciones!$E$751*EXP((K$2-K$3/2)*(1)+K$4*_xlfn.NORM.S.INV(RAND())*SQRT(1))</f>
        <v>0.12498323239447398</v>
      </c>
      <c r="Q708" s="30"/>
      <c r="R708">
        <f ca="1">M708/Acciones!$B$751*$I$10 + N708/Acciones!$C$751*$I$11 + O708/Acciones!$D$751*$I$12 + P708/Acciones!$D$751*$I$13</f>
        <v>22348.721827488713</v>
      </c>
      <c r="T708" s="14">
        <f t="shared" ca="1" si="13"/>
        <v>-6151.2781725112873</v>
      </c>
      <c r="V708">
        <v>-4524.0881645103509</v>
      </c>
    </row>
    <row r="709" spans="1:22" x14ac:dyDescent="0.2">
      <c r="A709" s="1">
        <f>Acciones!A709</f>
        <v>46029</v>
      </c>
      <c r="B709" s="29">
        <f>LN(Acciones!B709/Acciones!B708)</f>
        <v>0</v>
      </c>
      <c r="C709" s="29">
        <f>LN(Acciones!C709/Acciones!C708)</f>
        <v>-3.3169761328247435E-2</v>
      </c>
      <c r="D709" s="29">
        <f>LN(Acciones!D709/Acciones!D708)</f>
        <v>-2.773134321742968E-2</v>
      </c>
      <c r="E709" s="29">
        <f>LN(Acciones!E709/Acciones!E708)</f>
        <v>-0.31063099930745619</v>
      </c>
      <c r="M709" s="30">
        <f ca="1">Acciones!$B$751*EXP((H$2-H$3/2)*(1)+H$4*_xlfn.NORM.S.INV(RAND())*SQRT(1))</f>
        <v>10.840908011105325</v>
      </c>
      <c r="N709" s="30">
        <f ca="1">Acciones!$C$751*EXP((I$2-I$3/2)*(1)+I$4*_xlfn.NORM.S.INV(RAND())*SQRT(1))</f>
        <v>148.8194496521962</v>
      </c>
      <c r="O709" s="30">
        <f ca="1">Acciones!$D$751*EXP((J$2-J$3/2)*(1)+J$4*_xlfn.NORM.S.INV(RAND())*SQRT(1))</f>
        <v>984.33090277621181</v>
      </c>
      <c r="P709" s="30">
        <f ca="1">Acciones!$E$751*EXP((K$2-K$3/2)*(1)+K$4*_xlfn.NORM.S.INV(RAND())*SQRT(1))</f>
        <v>0.12949104547161297</v>
      </c>
      <c r="Q709" s="30"/>
      <c r="R709">
        <f ca="1">M709/Acciones!$B$751*$I$10 + N709/Acciones!$C$751*$I$11 + O709/Acciones!$D$751*$I$12 + P709/Acciones!$D$751*$I$13</f>
        <v>22630.073164561003</v>
      </c>
      <c r="T709" s="14">
        <f t="shared" ca="1" si="13"/>
        <v>-5869.9268354389969</v>
      </c>
      <c r="V709">
        <v>-4521.1249955586864</v>
      </c>
    </row>
    <row r="710" spans="1:22" x14ac:dyDescent="0.2">
      <c r="A710" s="1">
        <f>Acciones!A710</f>
        <v>46030</v>
      </c>
      <c r="B710" s="29">
        <f>LN(Acciones!B710/Acciones!B709)</f>
        <v>-2.560798138762949E-3</v>
      </c>
      <c r="C710" s="29">
        <f>LN(Acciones!C710/Acciones!C709)</f>
        <v>3.8262906987316402E-2</v>
      </c>
      <c r="D710" s="29">
        <f>LN(Acciones!D710/Acciones!D709)</f>
        <v>2.3448715022065893E-2</v>
      </c>
      <c r="E710" s="29">
        <f>LN(Acciones!E710/Acciones!E709)</f>
        <v>0.14595391130904645</v>
      </c>
      <c r="M710" s="30">
        <f ca="1">Acciones!$B$751*EXP((H$2-H$3/2)*(1)+H$4*_xlfn.NORM.S.INV(RAND())*SQRT(1))</f>
        <v>10.952124056487628</v>
      </c>
      <c r="N710" s="30">
        <f ca="1">Acciones!$C$751*EXP((I$2-I$3/2)*(1)+I$4*_xlfn.NORM.S.INV(RAND())*SQRT(1))</f>
        <v>160.63035963172644</v>
      </c>
      <c r="O710" s="30">
        <f ca="1">Acciones!$D$751*EXP((J$2-J$3/2)*(1)+J$4*_xlfn.NORM.S.INV(RAND())*SQRT(1))</f>
        <v>1048.0067701753837</v>
      </c>
      <c r="P710" s="30">
        <f ca="1">Acciones!$E$751*EXP((K$2-K$3/2)*(1)+K$4*_xlfn.NORM.S.INV(RAND())*SQRT(1))</f>
        <v>0.13071858521916216</v>
      </c>
      <c r="Q710" s="30"/>
      <c r="R710">
        <f ca="1">M710/Acciones!$B$751*$I$10 + N710/Acciones!$C$751*$I$11 + O710/Acciones!$D$751*$I$12 + P710/Acciones!$D$751*$I$13</f>
        <v>24041.017604481891</v>
      </c>
      <c r="T710" s="14">
        <f t="shared" ref="T710:T753" ca="1" si="14">R710-$I$14</f>
        <v>-4458.9823955181091</v>
      </c>
      <c r="V710">
        <v>-4516.2297479180233</v>
      </c>
    </row>
    <row r="711" spans="1:22" x14ac:dyDescent="0.2">
      <c r="A711" s="1">
        <f>Acciones!A711</f>
        <v>46031</v>
      </c>
      <c r="B711" s="29">
        <f>LN(Acciones!B711/Acciones!B710)</f>
        <v>8.5107221340030483E-3</v>
      </c>
      <c r="C711" s="29">
        <f>LN(Acciones!C711/Acciones!C710)</f>
        <v>-2.1021548367716442E-2</v>
      </c>
      <c r="D711" s="29">
        <f>LN(Acciones!D711/Acciones!D710)</f>
        <v>1.4300674524712641E-2</v>
      </c>
      <c r="E711" s="29">
        <f>LN(Acciones!E711/Acciones!E710)</f>
        <v>0.1273394213767883</v>
      </c>
      <c r="M711" s="30">
        <f ca="1">Acciones!$B$751*EXP((H$2-H$3/2)*(1)+H$4*_xlfn.NORM.S.INV(RAND())*SQRT(1))</f>
        <v>10.826233210196511</v>
      </c>
      <c r="N711" s="30">
        <f ca="1">Acciones!$C$751*EXP((I$2-I$3/2)*(1)+I$4*_xlfn.NORM.S.INV(RAND())*SQRT(1))</f>
        <v>148.79513176147404</v>
      </c>
      <c r="O711" s="30">
        <f ca="1">Acciones!$D$751*EXP((J$2-J$3/2)*(1)+J$4*_xlfn.NORM.S.INV(RAND())*SQRT(1))</f>
        <v>1014.1692834958151</v>
      </c>
      <c r="P711" s="30">
        <f ca="1">Acciones!$E$751*EXP((K$2-K$3/2)*(1)+K$4*_xlfn.NORM.S.INV(RAND())*SQRT(1))</f>
        <v>0.12412375157117479</v>
      </c>
      <c r="Q711" s="30"/>
      <c r="R711">
        <f ca="1">M711/Acciones!$B$751*$I$10 + N711/Acciones!$C$751*$I$11 + O711/Acciones!$D$751*$I$12 + P711/Acciones!$D$751*$I$13</f>
        <v>22922.691417945243</v>
      </c>
      <c r="T711" s="14">
        <f t="shared" ca="1" si="14"/>
        <v>-5577.3085820547567</v>
      </c>
      <c r="V711">
        <v>-4508.4747996228216</v>
      </c>
    </row>
    <row r="712" spans="1:22" x14ac:dyDescent="0.2">
      <c r="A712" s="1">
        <f>Acciones!A712</f>
        <v>46034</v>
      </c>
      <c r="B712" s="29">
        <f>LN(Acciones!B712/Acciones!B711)</f>
        <v>-4.2463070454170056E-3</v>
      </c>
      <c r="C712" s="29">
        <f>LN(Acciones!C712/Acciones!C711)</f>
        <v>4.5322828905395844E-2</v>
      </c>
      <c r="D712" s="29">
        <f>LN(Acciones!D712/Acciones!D711)</f>
        <v>-5.7451586778560042E-3</v>
      </c>
      <c r="E712" s="29">
        <f>LN(Acciones!E712/Acciones!E711)</f>
        <v>5.4200784132006734E-3</v>
      </c>
      <c r="M712" s="30">
        <f ca="1">Acciones!$B$751*EXP((H$2-H$3/2)*(1)+H$4*_xlfn.NORM.S.INV(RAND())*SQRT(1))</f>
        <v>10.653852081309138</v>
      </c>
      <c r="N712" s="30">
        <f ca="1">Acciones!$C$751*EXP((I$2-I$3/2)*(1)+I$4*_xlfn.NORM.S.INV(RAND())*SQRT(1))</f>
        <v>140.81320356705658</v>
      </c>
      <c r="O712" s="30">
        <f ca="1">Acciones!$D$751*EXP((J$2-J$3/2)*(1)+J$4*_xlfn.NORM.S.INV(RAND())*SQRT(1))</f>
        <v>1015.0556901385962</v>
      </c>
      <c r="P712" s="30">
        <f ca="1">Acciones!$E$751*EXP((K$2-K$3/2)*(1)+K$4*_xlfn.NORM.S.INV(RAND())*SQRT(1))</f>
        <v>0.13465204830706923</v>
      </c>
      <c r="Q712" s="30"/>
      <c r="R712">
        <f ca="1">M712/Acciones!$B$751*$I$10 + N712/Acciones!$C$751*$I$11 + O712/Acciones!$D$751*$I$12 + P712/Acciones!$D$751*$I$13</f>
        <v>22377.948330598301</v>
      </c>
      <c r="T712" s="14">
        <f t="shared" ca="1" si="14"/>
        <v>-6122.0516694016987</v>
      </c>
      <c r="V712">
        <v>-4505.267169602288</v>
      </c>
    </row>
    <row r="713" spans="1:22" x14ac:dyDescent="0.2">
      <c r="A713" s="1">
        <f>Acciones!A713</f>
        <v>46035</v>
      </c>
      <c r="B713" s="29">
        <f>LN(Acciones!B713/Acciones!B712)</f>
        <v>0</v>
      </c>
      <c r="C713" s="29">
        <f>LN(Acciones!C713/Acciones!C712)</f>
        <v>1.3478642750447696E-2</v>
      </c>
      <c r="D713" s="29">
        <f>LN(Acciones!D713/Acciones!D712)</f>
        <v>8.4661420894959847E-3</v>
      </c>
      <c r="E713" s="29">
        <f>LN(Acciones!E713/Acciones!E712)</f>
        <v>-3.8572270261136361E-2</v>
      </c>
      <c r="M713" s="30">
        <f ca="1">Acciones!$B$751*EXP((H$2-H$3/2)*(1)+H$4*_xlfn.NORM.S.INV(RAND())*SQRT(1))</f>
        <v>11.337382371535455</v>
      </c>
      <c r="N713" s="30">
        <f ca="1">Acciones!$C$751*EXP((I$2-I$3/2)*(1)+I$4*_xlfn.NORM.S.INV(RAND())*SQRT(1))</f>
        <v>151.00930869561486</v>
      </c>
      <c r="O713" s="30">
        <f ca="1">Acciones!$D$751*EXP((J$2-J$3/2)*(1)+J$4*_xlfn.NORM.S.INV(RAND())*SQRT(1))</f>
        <v>1001.5513315890335</v>
      </c>
      <c r="P713" s="30">
        <f ca="1">Acciones!$E$751*EXP((K$2-K$3/2)*(1)+K$4*_xlfn.NORM.S.INV(RAND())*SQRT(1))</f>
        <v>0.11567058852376523</v>
      </c>
      <c r="Q713" s="30"/>
      <c r="R713">
        <f ca="1">M713/Acciones!$B$751*$I$10 + N713/Acciones!$C$751*$I$11 + O713/Acciones!$D$751*$I$12 + P713/Acciones!$D$751*$I$13</f>
        <v>23098.487713841849</v>
      </c>
      <c r="T713" s="14">
        <f t="shared" ca="1" si="14"/>
        <v>-5401.5122861581513</v>
      </c>
      <c r="V713">
        <v>-4496.8075107523073</v>
      </c>
    </row>
    <row r="714" spans="1:22" x14ac:dyDescent="0.2">
      <c r="A714" s="1">
        <f>Acciones!A714</f>
        <v>46036</v>
      </c>
      <c r="B714" s="29">
        <f>LN(Acciones!B714/Acciones!B713)</f>
        <v>-2.5564336572744036E-3</v>
      </c>
      <c r="C714" s="29">
        <f>LN(Acciones!C714/Acciones!C713)</f>
        <v>1.2842056931709972E-2</v>
      </c>
      <c r="D714" s="29">
        <f>LN(Acciones!D714/Acciones!D713)</f>
        <v>-1.5306363266049557E-2</v>
      </c>
      <c r="E714" s="29">
        <f>LN(Acciones!E714/Acciones!E713)</f>
        <v>-4.5985120135948403E-2</v>
      </c>
      <c r="M714" s="30">
        <f ca="1">Acciones!$B$751*EXP((H$2-H$3/2)*(1)+H$4*_xlfn.NORM.S.INV(RAND())*SQRT(1))</f>
        <v>11.2669112099963</v>
      </c>
      <c r="N714" s="30">
        <f ca="1">Acciones!$C$751*EXP((I$2-I$3/2)*(1)+I$4*_xlfn.NORM.S.INV(RAND())*SQRT(1))</f>
        <v>176.0129098909461</v>
      </c>
      <c r="O714" s="30">
        <f ca="1">Acciones!$D$751*EXP((J$2-J$3/2)*(1)+J$4*_xlfn.NORM.S.INV(RAND())*SQRT(1))</f>
        <v>982.23852380598407</v>
      </c>
      <c r="P714" s="30">
        <f ca="1">Acciones!$E$751*EXP((K$2-K$3/2)*(1)+K$4*_xlfn.NORM.S.INV(RAND())*SQRT(1))</f>
        <v>0.12586195645118439</v>
      </c>
      <c r="Q714" s="30"/>
      <c r="R714">
        <f ca="1">M714/Acciones!$B$751*$I$10 + N714/Acciones!$C$751*$I$11 + O714/Acciones!$D$751*$I$12 + P714/Acciones!$D$751*$I$13</f>
        <v>24443.675408231098</v>
      </c>
      <c r="T714" s="14">
        <f t="shared" ca="1" si="14"/>
        <v>-4056.3245917689019</v>
      </c>
      <c r="V714">
        <v>-4483.9991684603374</v>
      </c>
    </row>
    <row r="715" spans="1:22" x14ac:dyDescent="0.2">
      <c r="A715" s="1">
        <f>Acciones!A715</f>
        <v>46037</v>
      </c>
      <c r="B715" s="29">
        <f>LN(Acciones!B715/Acciones!B714)</f>
        <v>2.5564336572744526E-3</v>
      </c>
      <c r="C715" s="29">
        <f>LN(Acciones!C715/Acciones!C714)</f>
        <v>-3.8820231346888605E-2</v>
      </c>
      <c r="D715" s="29">
        <f>LN(Acciones!D715/Acciones!D714)</f>
        <v>-1.6763657416844817E-2</v>
      </c>
      <c r="E715" s="29">
        <f>LN(Acciones!E715/Acciones!E714)</f>
        <v>2.3256822871141336E-2</v>
      </c>
      <c r="M715" s="30">
        <f ca="1">Acciones!$B$751*EXP((H$2-H$3/2)*(1)+H$4*_xlfn.NORM.S.INV(RAND())*SQRT(1))</f>
        <v>11.162372712204977</v>
      </c>
      <c r="N715" s="30">
        <f ca="1">Acciones!$C$751*EXP((I$2-I$3/2)*(1)+I$4*_xlfn.NORM.S.INV(RAND())*SQRT(1))</f>
        <v>156.48022364324879</v>
      </c>
      <c r="O715" s="30">
        <f ca="1">Acciones!$D$751*EXP((J$2-J$3/2)*(1)+J$4*_xlfn.NORM.S.INV(RAND())*SQRT(1))</f>
        <v>1029.9127616612134</v>
      </c>
      <c r="P715" s="30">
        <f ca="1">Acciones!$E$751*EXP((K$2-K$3/2)*(1)+K$4*_xlfn.NORM.S.INV(RAND())*SQRT(1))</f>
        <v>0.13372136309397001</v>
      </c>
      <c r="Q715" s="30"/>
      <c r="R715">
        <f ca="1">M715/Acciones!$B$751*$I$10 + N715/Acciones!$C$751*$I$11 + O715/Acciones!$D$751*$I$12 + P715/Acciones!$D$751*$I$13</f>
        <v>23668.118195646755</v>
      </c>
      <c r="T715" s="14">
        <f t="shared" ca="1" si="14"/>
        <v>-4831.8818043532447</v>
      </c>
      <c r="V715">
        <v>-4483.493448053865</v>
      </c>
    </row>
    <row r="716" spans="1:22" x14ac:dyDescent="0.2">
      <c r="A716" s="1">
        <f>Acciones!A716</f>
        <v>46038</v>
      </c>
      <c r="B716" s="29">
        <f>LN(Acciones!B716/Acciones!B715)</f>
        <v>1.6878021826271971E-2</v>
      </c>
      <c r="C716" s="29">
        <f>LN(Acciones!C716/Acciones!C715)</f>
        <v>5.4556648528721378E-2</v>
      </c>
      <c r="D716" s="29">
        <f>LN(Acciones!D716/Acciones!D715)</f>
        <v>-1.0291519815513694E-2</v>
      </c>
      <c r="E716" s="29">
        <f>LN(Acciones!E716/Acciones!E715)</f>
        <v>-2.3256822871141204E-2</v>
      </c>
      <c r="M716" s="30">
        <f ca="1">Acciones!$B$751*EXP((H$2-H$3/2)*(1)+H$4*_xlfn.NORM.S.INV(RAND())*SQRT(1))</f>
        <v>10.870733547288744</v>
      </c>
      <c r="N716" s="30">
        <f ca="1">Acciones!$C$751*EXP((I$2-I$3/2)*(1)+I$4*_xlfn.NORM.S.INV(RAND())*SQRT(1))</f>
        <v>154.04931466869354</v>
      </c>
      <c r="O716" s="30">
        <f ca="1">Acciones!$D$751*EXP((J$2-J$3/2)*(1)+J$4*_xlfn.NORM.S.INV(RAND())*SQRT(1))</f>
        <v>1050.8020073028422</v>
      </c>
      <c r="P716" s="30">
        <f ca="1">Acciones!$E$751*EXP((K$2-K$3/2)*(1)+K$4*_xlfn.NORM.S.INV(RAND())*SQRT(1))</f>
        <v>0.1329397662808566</v>
      </c>
      <c r="Q716" s="30"/>
      <c r="R716">
        <f ca="1">M716/Acciones!$B$751*$I$10 + N716/Acciones!$C$751*$I$11 + O716/Acciones!$D$751*$I$12 + P716/Acciones!$D$751*$I$13</f>
        <v>23632.007693501411</v>
      </c>
      <c r="T716" s="14">
        <f t="shared" ca="1" si="14"/>
        <v>-4867.9923064985887</v>
      </c>
      <c r="V716">
        <v>-4464.2402647399722</v>
      </c>
    </row>
    <row r="717" spans="1:22" x14ac:dyDescent="0.2">
      <c r="A717" s="1">
        <f>Acciones!A717</f>
        <v>46041</v>
      </c>
      <c r="B717" s="29">
        <f>LN(Acciones!B717/Acciones!B716)</f>
        <v>8.3648929558570364E-4</v>
      </c>
      <c r="C717" s="29">
        <f>LN(Acciones!C717/Acciones!C716)</f>
        <v>-1.4212553267936663E-2</v>
      </c>
      <c r="D717" s="29">
        <f>LN(Acciones!D717/Acciones!D716)</f>
        <v>3.6470161141451836E-3</v>
      </c>
      <c r="E717" s="29">
        <f>LN(Acciones!E717/Acciones!E716)</f>
        <v>-6.0624654686643499E-2</v>
      </c>
      <c r="M717" s="30">
        <f ca="1">Acciones!$B$751*EXP((H$2-H$3/2)*(1)+H$4*_xlfn.NORM.S.INV(RAND())*SQRT(1))</f>
        <v>10.453424532927906</v>
      </c>
      <c r="N717" s="30">
        <f ca="1">Acciones!$C$751*EXP((I$2-I$3/2)*(1)+I$4*_xlfn.NORM.S.INV(RAND())*SQRT(1))</f>
        <v>158.54824716042577</v>
      </c>
      <c r="O717" s="30">
        <f ca="1">Acciones!$D$751*EXP((J$2-J$3/2)*(1)+J$4*_xlfn.NORM.S.INV(RAND())*SQRT(1))</f>
        <v>1034.0630756542864</v>
      </c>
      <c r="P717" s="30">
        <f ca="1">Acciones!$E$751*EXP((K$2-K$3/2)*(1)+K$4*_xlfn.NORM.S.INV(RAND())*SQRT(1))</f>
        <v>0.12808661539458466</v>
      </c>
      <c r="Q717" s="30"/>
      <c r="R717">
        <f ca="1">M717/Acciones!$B$751*$I$10 + N717/Acciones!$C$751*$I$11 + O717/Acciones!$D$751*$I$12 + P717/Acciones!$D$751*$I$13</f>
        <v>23611.347263323518</v>
      </c>
      <c r="T717" s="14">
        <f t="shared" ca="1" si="14"/>
        <v>-4888.6527366764822</v>
      </c>
      <c r="V717">
        <v>-4455.6880054659523</v>
      </c>
    </row>
    <row r="718" spans="1:22" x14ac:dyDescent="0.2">
      <c r="A718" s="1">
        <f>Acciones!A718</f>
        <v>46042</v>
      </c>
      <c r="B718" s="29">
        <f>LN(Acciones!B718/Acciones!B717)</f>
        <v>-3.3500836743272414E-3</v>
      </c>
      <c r="C718" s="29">
        <f>LN(Acciones!C718/Acciones!C717)</f>
        <v>-7.1803024133241772E-2</v>
      </c>
      <c r="D718" s="29">
        <f>LN(Acciones!D718/Acciones!D717)</f>
        <v>-1.9638943845436619E-2</v>
      </c>
      <c r="E718" s="29">
        <f>LN(Acciones!E718/Acciones!E717)</f>
        <v>-4.4735890189144402E-2</v>
      </c>
      <c r="M718" s="30">
        <f ca="1">Acciones!$B$751*EXP((H$2-H$3/2)*(1)+H$4*_xlfn.NORM.S.INV(RAND())*SQRT(1))</f>
        <v>11.077360756108462</v>
      </c>
      <c r="N718" s="30">
        <f ca="1">Acciones!$C$751*EXP((I$2-I$3/2)*(1)+I$4*_xlfn.NORM.S.INV(RAND())*SQRT(1))</f>
        <v>160.83830895450276</v>
      </c>
      <c r="O718" s="30">
        <f ca="1">Acciones!$D$751*EXP((J$2-J$3/2)*(1)+J$4*_xlfn.NORM.S.INV(RAND())*SQRT(1))</f>
        <v>1013.2538319031208</v>
      </c>
      <c r="P718" s="30">
        <f ca="1">Acciones!$E$751*EXP((K$2-K$3/2)*(1)+K$4*_xlfn.NORM.S.INV(RAND())*SQRT(1))</f>
        <v>0.12727458151194782</v>
      </c>
      <c r="Q718" s="30"/>
      <c r="R718">
        <f ca="1">M718/Acciones!$B$751*$I$10 + N718/Acciones!$C$751*$I$11 + O718/Acciones!$D$751*$I$12 + P718/Acciones!$D$751*$I$13</f>
        <v>23746.059139387868</v>
      </c>
      <c r="T718" s="14">
        <f t="shared" ca="1" si="14"/>
        <v>-4753.9408606121324</v>
      </c>
      <c r="V718">
        <v>-4448.7314529138712</v>
      </c>
    </row>
    <row r="719" spans="1:22" x14ac:dyDescent="0.2">
      <c r="A719" s="1">
        <f>Acciones!A719</f>
        <v>46043</v>
      </c>
      <c r="B719" s="29">
        <f>LN(Acciones!B719/Acciones!B718)</f>
        <v>-1.0118120402113637E-2</v>
      </c>
      <c r="C719" s="29">
        <f>LN(Acciones!C719/Acciones!C718)</f>
        <v>1.0956361932084048E-2</v>
      </c>
      <c r="D719" s="29">
        <f>LN(Acciones!D719/Acciones!D718)</f>
        <v>1.5243366820753204E-2</v>
      </c>
      <c r="E719" s="29">
        <f>LN(Acciones!E719/Acciones!E718)</f>
        <v>1.2987221917224167E-2</v>
      </c>
      <c r="M719" s="30">
        <f ca="1">Acciones!$B$751*EXP((H$2-H$3/2)*(1)+H$4*_xlfn.NORM.S.INV(RAND())*SQRT(1))</f>
        <v>10.677364377961874</v>
      </c>
      <c r="N719" s="30">
        <f ca="1">Acciones!$C$751*EXP((I$2-I$3/2)*(1)+I$4*_xlfn.NORM.S.INV(RAND())*SQRT(1))</f>
        <v>152.34896286073703</v>
      </c>
      <c r="O719" s="30">
        <f ca="1">Acciones!$D$751*EXP((J$2-J$3/2)*(1)+J$4*_xlfn.NORM.S.INV(RAND())*SQRT(1))</f>
        <v>993.67746624128347</v>
      </c>
      <c r="P719" s="30">
        <f ca="1">Acciones!$E$751*EXP((K$2-K$3/2)*(1)+K$4*_xlfn.NORM.S.INV(RAND())*SQRT(1))</f>
        <v>0.13117304300094557</v>
      </c>
      <c r="Q719" s="30"/>
      <c r="R719">
        <f ca="1">M719/Acciones!$B$751*$I$10 + N719/Acciones!$C$751*$I$11 + O719/Acciones!$D$751*$I$12 + P719/Acciones!$D$751*$I$13</f>
        <v>22891.612831637922</v>
      </c>
      <c r="T719" s="14">
        <f t="shared" ca="1" si="14"/>
        <v>-5608.3871683620782</v>
      </c>
      <c r="V719">
        <v>-4442.039588763324</v>
      </c>
    </row>
    <row r="720" spans="1:22" x14ac:dyDescent="0.2">
      <c r="A720" s="1">
        <f>Acciones!A720</f>
        <v>46044</v>
      </c>
      <c r="B720" s="29">
        <f>LN(Acciones!B720/Acciones!B719)</f>
        <v>4.2283521370904929E-3</v>
      </c>
      <c r="C720" s="29">
        <f>LN(Acciones!C720/Acciones!C719)</f>
        <v>-3.9108519857160969E-2</v>
      </c>
      <c r="D720" s="29">
        <f>LN(Acciones!D720/Acciones!D719)</f>
        <v>8.2740465396570172E-3</v>
      </c>
      <c r="E720" s="29">
        <f>LN(Acciones!E720/Acciones!E719)</f>
        <v>0</v>
      </c>
      <c r="M720" s="30">
        <f ca="1">Acciones!$B$751*EXP((H$2-H$3/2)*(1)+H$4*_xlfn.NORM.S.INV(RAND())*SQRT(1))</f>
        <v>10.942896693840751</v>
      </c>
      <c r="N720" s="30">
        <f ca="1">Acciones!$C$751*EXP((I$2-I$3/2)*(1)+I$4*_xlfn.NORM.S.INV(RAND())*SQRT(1))</f>
        <v>160.9028409859805</v>
      </c>
      <c r="O720" s="30">
        <f ca="1">Acciones!$D$751*EXP((J$2-J$3/2)*(1)+J$4*_xlfn.NORM.S.INV(RAND())*SQRT(1))</f>
        <v>998.19287486543101</v>
      </c>
      <c r="P720" s="30">
        <f ca="1">Acciones!$E$751*EXP((K$2-K$3/2)*(1)+K$4*_xlfn.NORM.S.INV(RAND())*SQRT(1))</f>
        <v>0.12763423466632542</v>
      </c>
      <c r="Q720" s="30"/>
      <c r="R720">
        <f ca="1">M720/Acciones!$B$751*$I$10 + N720/Acciones!$C$751*$I$11 + O720/Acciones!$D$751*$I$12 + P720/Acciones!$D$751*$I$13</f>
        <v>23556.096459401371</v>
      </c>
      <c r="T720" s="14">
        <f t="shared" ca="1" si="14"/>
        <v>-4943.9035405986288</v>
      </c>
      <c r="V720">
        <v>-4436.2170679104238</v>
      </c>
    </row>
    <row r="721" spans="1:22" x14ac:dyDescent="0.2">
      <c r="A721" s="1">
        <f>Acciones!A721</f>
        <v>46045</v>
      </c>
      <c r="B721" s="29">
        <f>LN(Acciones!B721/Acciones!B720)</f>
        <v>-8.4425742933289406E-4</v>
      </c>
      <c r="C721" s="29">
        <f>LN(Acciones!C721/Acciones!C720)</f>
        <v>2.2464146179750483E-2</v>
      </c>
      <c r="D721" s="29">
        <f>LN(Acciones!D721/Acciones!D720)</f>
        <v>-1.8902981285845465E-2</v>
      </c>
      <c r="E721" s="29">
        <f>LN(Acciones!E721/Acciones!E720)</f>
        <v>-3.2789790777481079E-2</v>
      </c>
      <c r="M721" s="30">
        <f ca="1">Acciones!$B$751*EXP((H$2-H$3/2)*(1)+H$4*_xlfn.NORM.S.INV(RAND())*SQRT(1))</f>
        <v>10.953117601269573</v>
      </c>
      <c r="N721" s="30">
        <f ca="1">Acciones!$C$751*EXP((I$2-I$3/2)*(1)+I$4*_xlfn.NORM.S.INV(RAND())*SQRT(1))</f>
        <v>155.10836753063452</v>
      </c>
      <c r="O721" s="30">
        <f ca="1">Acciones!$D$751*EXP((J$2-J$3/2)*(1)+J$4*_xlfn.NORM.S.INV(RAND())*SQRT(1))</f>
        <v>1014.1388649633769</v>
      </c>
      <c r="P721" s="30">
        <f ca="1">Acciones!$E$751*EXP((K$2-K$3/2)*(1)+K$4*_xlfn.NORM.S.INV(RAND())*SQRT(1))</f>
        <v>0.12597870052912108</v>
      </c>
      <c r="Q721" s="30"/>
      <c r="R721">
        <f ca="1">M721/Acciones!$B$751*$I$10 + N721/Acciones!$C$751*$I$11 + O721/Acciones!$D$751*$I$12 + P721/Acciones!$D$751*$I$13</f>
        <v>23357.290552342976</v>
      </c>
      <c r="T721" s="14">
        <f t="shared" ca="1" si="14"/>
        <v>-5142.7094476570237</v>
      </c>
      <c r="V721">
        <v>-4435.7891349916426</v>
      </c>
    </row>
    <row r="722" spans="1:22" x14ac:dyDescent="0.2">
      <c r="A722" s="1">
        <f>Acciones!A722</f>
        <v>46048</v>
      </c>
      <c r="B722" s="29">
        <f>LN(Acciones!B722/Acciones!B721)</f>
        <v>2.5305566370376542E-3</v>
      </c>
      <c r="C722" s="29">
        <f>LN(Acciones!C722/Acciones!C721)</f>
        <v>-4.9585825722837533E-2</v>
      </c>
      <c r="D722" s="29">
        <f>LN(Acciones!D722/Acciones!D721)</f>
        <v>6.2228128423549101E-3</v>
      </c>
      <c r="E722" s="29">
        <f>LN(Acciones!E722/Acciones!E721)</f>
        <v>-1.3423047181080196E-2</v>
      </c>
      <c r="M722" s="30">
        <f ca="1">Acciones!$B$751*EXP((H$2-H$3/2)*(1)+H$4*_xlfn.NORM.S.INV(RAND())*SQRT(1))</f>
        <v>10.851290084990818</v>
      </c>
      <c r="N722" s="30">
        <f ca="1">Acciones!$C$751*EXP((I$2-I$3/2)*(1)+I$4*_xlfn.NORM.S.INV(RAND())*SQRT(1))</f>
        <v>145.56946212797078</v>
      </c>
      <c r="O722" s="30">
        <f ca="1">Acciones!$D$751*EXP((J$2-J$3/2)*(1)+J$4*_xlfn.NORM.S.INV(RAND())*SQRT(1))</f>
        <v>998.65532692249224</v>
      </c>
      <c r="P722" s="30">
        <f ca="1">Acciones!$E$751*EXP((K$2-K$3/2)*(1)+K$4*_xlfn.NORM.S.INV(RAND())*SQRT(1))</f>
        <v>0.12217833491073889</v>
      </c>
      <c r="Q722" s="30"/>
      <c r="R722">
        <f ca="1">M722/Acciones!$B$751*$I$10 + N722/Acciones!$C$751*$I$11 + O722/Acciones!$D$751*$I$12 + P722/Acciones!$D$751*$I$13</f>
        <v>22573.919091984702</v>
      </c>
      <c r="T722" s="14">
        <f t="shared" ca="1" si="14"/>
        <v>-5926.0809080152976</v>
      </c>
      <c r="V722">
        <v>-4417.414966819495</v>
      </c>
    </row>
    <row r="723" spans="1:22" x14ac:dyDescent="0.2">
      <c r="A723" s="1">
        <f>Acciones!A723</f>
        <v>46049</v>
      </c>
      <c r="B723" s="29">
        <f>LN(Acciones!B723/Acciones!B722)</f>
        <v>-8.4283435876094726E-4</v>
      </c>
      <c r="C723" s="29">
        <f>LN(Acciones!C723/Acciones!C722)</f>
        <v>3.0984755310979929E-2</v>
      </c>
      <c r="D723" s="29">
        <f>LN(Acciones!D723/Acciones!D722)</f>
        <v>-3.6048844633486496E-2</v>
      </c>
      <c r="E723" s="29">
        <f>LN(Acciones!E723/Acciones!E722)</f>
        <v>7.7961506230481495E-2</v>
      </c>
      <c r="M723" s="30">
        <f ca="1">Acciones!$B$751*EXP((H$2-H$3/2)*(1)+H$4*_xlfn.NORM.S.INV(RAND())*SQRT(1))</f>
        <v>10.491452126157537</v>
      </c>
      <c r="N723" s="30">
        <f ca="1">Acciones!$C$751*EXP((I$2-I$3/2)*(1)+I$4*_xlfn.NORM.S.INV(RAND())*SQRT(1))</f>
        <v>156.3669573771549</v>
      </c>
      <c r="O723" s="30">
        <f ca="1">Acciones!$D$751*EXP((J$2-J$3/2)*(1)+J$4*_xlfn.NORM.S.INV(RAND())*SQRT(1))</f>
        <v>990.02488142542325</v>
      </c>
      <c r="P723" s="30">
        <f ca="1">Acciones!$E$751*EXP((K$2-K$3/2)*(1)+K$4*_xlfn.NORM.S.INV(RAND())*SQRT(1))</f>
        <v>0.13702922138530244</v>
      </c>
      <c r="Q723" s="30"/>
      <c r="R723">
        <f ca="1">M723/Acciones!$B$751*$I$10 + N723/Acciones!$C$751*$I$11 + O723/Acciones!$D$751*$I$12 + P723/Acciones!$D$751*$I$13</f>
        <v>23046.294457182812</v>
      </c>
      <c r="T723" s="14">
        <f t="shared" ca="1" si="14"/>
        <v>-5453.705542817188</v>
      </c>
      <c r="V723">
        <v>-4408.65505291507</v>
      </c>
    </row>
    <row r="724" spans="1:22" x14ac:dyDescent="0.2">
      <c r="A724" s="1">
        <f>Acciones!A724</f>
        <v>46050</v>
      </c>
      <c r="B724" s="29">
        <f>LN(Acciones!B724/Acciones!B723)</f>
        <v>-8.4346484894390057E-4</v>
      </c>
      <c r="C724" s="29">
        <f>LN(Acciones!C724/Acciones!C723)</f>
        <v>-9.3191244053403358E-3</v>
      </c>
      <c r="D724" s="29">
        <f>LN(Acciones!D724/Acciones!D723)</f>
        <v>-1.5719267674901342E-2</v>
      </c>
      <c r="E724" s="29">
        <f>LN(Acciones!E724/Acciones!E723)</f>
        <v>6.2305624767837256E-3</v>
      </c>
      <c r="M724" s="30">
        <f ca="1">Acciones!$B$751*EXP((H$2-H$3/2)*(1)+H$4*_xlfn.NORM.S.INV(RAND())*SQRT(1))</f>
        <v>10.896111294565637</v>
      </c>
      <c r="N724" s="30">
        <f ca="1">Acciones!$C$751*EXP((I$2-I$3/2)*(1)+I$4*_xlfn.NORM.S.INV(RAND())*SQRT(1))</f>
        <v>152.86017494517492</v>
      </c>
      <c r="O724" s="30">
        <f ca="1">Acciones!$D$751*EXP((J$2-J$3/2)*(1)+J$4*_xlfn.NORM.S.INV(RAND())*SQRT(1))</f>
        <v>1001.3497280275902</v>
      </c>
      <c r="P724" s="30">
        <f ca="1">Acciones!$E$751*EXP((K$2-K$3/2)*(1)+K$4*_xlfn.NORM.S.INV(RAND())*SQRT(1))</f>
        <v>0.12402796729743061</v>
      </c>
      <c r="Q724" s="30"/>
      <c r="R724">
        <f ca="1">M724/Acciones!$B$751*$I$10 + N724/Acciones!$C$751*$I$11 + O724/Acciones!$D$751*$I$12 + P724/Acciones!$D$751*$I$13</f>
        <v>23070.516832671899</v>
      </c>
      <c r="T724" s="14">
        <f t="shared" ca="1" si="14"/>
        <v>-5429.4831673281005</v>
      </c>
      <c r="V724">
        <v>-4404.6968217523572</v>
      </c>
    </row>
    <row r="725" spans="1:22" x14ac:dyDescent="0.2">
      <c r="A725" s="1">
        <f>Acciones!A725</f>
        <v>46051</v>
      </c>
      <c r="B725" s="29">
        <f>LN(Acciones!B725/Acciones!B724)</f>
        <v>-8.4746591825075705E-3</v>
      </c>
      <c r="C725" s="29">
        <f>LN(Acciones!C725/Acciones!C724)</f>
        <v>-5.7576524515810155E-2</v>
      </c>
      <c r="D725" s="29">
        <f>LN(Acciones!D725/Acciones!D724)</f>
        <v>5.8543501342015304E-3</v>
      </c>
      <c r="E725" s="29">
        <f>LN(Acciones!E725/Acciones!E724)</f>
        <v>-7.0769021526185083E-2</v>
      </c>
      <c r="M725" s="30">
        <f ca="1">Acciones!$B$751*EXP((H$2-H$3/2)*(1)+H$4*_xlfn.NORM.S.INV(RAND())*SQRT(1))</f>
        <v>10.825342925202621</v>
      </c>
      <c r="N725" s="30">
        <f ca="1">Acciones!$C$751*EXP((I$2-I$3/2)*(1)+I$4*_xlfn.NORM.S.INV(RAND())*SQRT(1))</f>
        <v>159.82716652354691</v>
      </c>
      <c r="O725" s="30">
        <f ca="1">Acciones!$D$751*EXP((J$2-J$3/2)*(1)+J$4*_xlfn.NORM.S.INV(RAND())*SQRT(1))</f>
        <v>990.07215249680507</v>
      </c>
      <c r="P725" s="30">
        <f ca="1">Acciones!$E$751*EXP((K$2-K$3/2)*(1)+K$4*_xlfn.NORM.S.INV(RAND())*SQRT(1))</f>
        <v>0.11741813879487258</v>
      </c>
      <c r="Q725" s="30"/>
      <c r="R725">
        <f ca="1">M725/Acciones!$B$751*$I$10 + N725/Acciones!$C$751*$I$11 + O725/Acciones!$D$751*$I$12 + P725/Acciones!$D$751*$I$13</f>
        <v>23369.82415282488</v>
      </c>
      <c r="T725" s="14">
        <f t="shared" ca="1" si="14"/>
        <v>-5130.17584717512</v>
      </c>
      <c r="V725">
        <v>-4381.0543604721497</v>
      </c>
    </row>
    <row r="726" spans="1:22" x14ac:dyDescent="0.2">
      <c r="A726" s="1">
        <f>Acciones!A726</f>
        <v>46052</v>
      </c>
      <c r="B726" s="29">
        <f>LN(Acciones!B726/Acciones!B725)</f>
        <v>3.3984707235731187E-3</v>
      </c>
      <c r="C726" s="29">
        <f>LN(Acciones!C726/Acciones!C725)</f>
        <v>-1.4260660941921825E-2</v>
      </c>
      <c r="D726" s="29">
        <f>LN(Acciones!D726/Acciones!D725)</f>
        <v>-3.9828063572585372E-3</v>
      </c>
      <c r="E726" s="29">
        <f>LN(Acciones!E726/Acciones!E725)</f>
        <v>-6.899290696590589E-2</v>
      </c>
      <c r="M726" s="30">
        <f ca="1">Acciones!$B$751*EXP((H$2-H$3/2)*(1)+H$4*_xlfn.NORM.S.INV(RAND())*SQRT(1))</f>
        <v>10.685502550416365</v>
      </c>
      <c r="N726" s="30">
        <f ca="1">Acciones!$C$751*EXP((I$2-I$3/2)*(1)+I$4*_xlfn.NORM.S.INV(RAND())*SQRT(1))</f>
        <v>147.3074181983005</v>
      </c>
      <c r="O726" s="30">
        <f ca="1">Acciones!$D$751*EXP((J$2-J$3/2)*(1)+J$4*_xlfn.NORM.S.INV(RAND())*SQRT(1))</f>
        <v>992.27100681589911</v>
      </c>
      <c r="P726" s="30">
        <f ca="1">Acciones!$E$751*EXP((K$2-K$3/2)*(1)+K$4*_xlfn.NORM.S.INV(RAND())*SQRT(1))</f>
        <v>0.12164629581056263</v>
      </c>
      <c r="Q726" s="30"/>
      <c r="R726">
        <f ca="1">M726/Acciones!$B$751*$I$10 + N726/Acciones!$C$751*$I$11 + O726/Acciones!$D$751*$I$12 + P726/Acciones!$D$751*$I$13</f>
        <v>22565.297519584929</v>
      </c>
      <c r="T726" s="14">
        <f t="shared" ca="1" si="14"/>
        <v>-5934.7024804150715</v>
      </c>
      <c r="V726">
        <v>-4379.3356766451725</v>
      </c>
    </row>
    <row r="727" spans="1:22" x14ac:dyDescent="0.2">
      <c r="A727" s="1">
        <f>Acciones!A727</f>
        <v>46056</v>
      </c>
      <c r="B727" s="29">
        <f>LN(Acciones!B727/Acciones!B726)</f>
        <v>6.7624876666393819E-3</v>
      </c>
      <c r="C727" s="29">
        <f>LN(Acciones!C727/Acciones!C726)</f>
        <v>-6.3549098999950204E-2</v>
      </c>
      <c r="D727" s="29">
        <f>LN(Acciones!D727/Acciones!D726)</f>
        <v>-2.3530321606554685E-2</v>
      </c>
      <c r="E727" s="29">
        <f>LN(Acciones!E727/Acciones!E726)</f>
        <v>-6.6445124595502211E-2</v>
      </c>
      <c r="M727" s="30">
        <f ca="1">Acciones!$B$751*EXP((H$2-H$3/2)*(1)+H$4*_xlfn.NORM.S.INV(RAND())*SQRT(1))</f>
        <v>10.5694700729104</v>
      </c>
      <c r="N727" s="30">
        <f ca="1">Acciones!$C$751*EXP((I$2-I$3/2)*(1)+I$4*_xlfn.NORM.S.INV(RAND())*SQRT(1))</f>
        <v>143.87358097090066</v>
      </c>
      <c r="O727" s="30">
        <f ca="1">Acciones!$D$751*EXP((J$2-J$3/2)*(1)+J$4*_xlfn.NORM.S.INV(RAND())*SQRT(1))</f>
        <v>1001.002917415506</v>
      </c>
      <c r="P727" s="30">
        <f ca="1">Acciones!$E$751*EXP((K$2-K$3/2)*(1)+K$4*_xlfn.NORM.S.INV(RAND())*SQRT(1))</f>
        <v>0.1290232864619078</v>
      </c>
      <c r="Q727" s="30"/>
      <c r="R727">
        <f ca="1">M727/Acciones!$B$751*$I$10 + N727/Acciones!$C$751*$I$11 + O727/Acciones!$D$751*$I$12 + P727/Acciones!$D$751*$I$13</f>
        <v>22401.173467317192</v>
      </c>
      <c r="T727" s="14">
        <f t="shared" ca="1" si="14"/>
        <v>-6098.8265326828077</v>
      </c>
      <c r="V727">
        <v>-4376.0145533959803</v>
      </c>
    </row>
    <row r="728" spans="1:22" x14ac:dyDescent="0.2">
      <c r="A728" s="1">
        <f>Acciones!A728</f>
        <v>46057</v>
      </c>
      <c r="B728" s="29">
        <f>LN(Acciones!B728/Acciones!B727)</f>
        <v>-2.9061887858901198E-2</v>
      </c>
      <c r="C728" s="29">
        <f>LN(Acciones!C728/Acciones!C727)</f>
        <v>-7.9752215377694877E-2</v>
      </c>
      <c r="D728" s="29">
        <f>LN(Acciones!D728/Acciones!D727)</f>
        <v>5.6460843584767648E-2</v>
      </c>
      <c r="E728" s="29">
        <f>LN(Acciones!E728/Acciones!E727)</f>
        <v>-2.3166990854212262E-2</v>
      </c>
      <c r="M728" s="30">
        <f ca="1">Acciones!$B$751*EXP((H$2-H$3/2)*(1)+H$4*_xlfn.NORM.S.INV(RAND())*SQRT(1))</f>
        <v>11.052725879957483</v>
      </c>
      <c r="N728" s="30">
        <f ca="1">Acciones!$C$751*EXP((I$2-I$3/2)*(1)+I$4*_xlfn.NORM.S.INV(RAND())*SQRT(1))</f>
        <v>139.20019527320343</v>
      </c>
      <c r="O728" s="30">
        <f ca="1">Acciones!$D$751*EXP((J$2-J$3/2)*(1)+J$4*_xlfn.NORM.S.INV(RAND())*SQRT(1))</f>
        <v>965.00667301572196</v>
      </c>
      <c r="P728" s="30">
        <f ca="1">Acciones!$E$751*EXP((K$2-K$3/2)*(1)+K$4*_xlfn.NORM.S.INV(RAND())*SQRT(1))</f>
        <v>0.13574847371980855</v>
      </c>
      <c r="Q728" s="30"/>
      <c r="R728">
        <f ca="1">M728/Acciones!$B$751*$I$10 + N728/Acciones!$C$751*$I$11 + O728/Acciones!$D$751*$I$12 + P728/Acciones!$D$751*$I$13</f>
        <v>21903.889754837855</v>
      </c>
      <c r="T728" s="14">
        <f t="shared" ca="1" si="14"/>
        <v>-6596.1102451621446</v>
      </c>
      <c r="V728">
        <v>-4336.5195241405636</v>
      </c>
    </row>
    <row r="729" spans="1:22" x14ac:dyDescent="0.2">
      <c r="A729" s="1">
        <f>Acciones!A729</f>
        <v>46058</v>
      </c>
      <c r="B729" s="29">
        <f>LN(Acciones!B729/Acciones!B728)</f>
        <v>0</v>
      </c>
      <c r="C729" s="29">
        <f>LN(Acciones!C729/Acciones!C728)</f>
        <v>-0.19933493500598934</v>
      </c>
      <c r="D729" s="29">
        <f>LN(Acciones!D729/Acciones!D728)</f>
        <v>-1.9082798080254641E-2</v>
      </c>
      <c r="E729" s="29">
        <f>LN(Acciones!E729/Acciones!E728)</f>
        <v>6.795057438458102E-2</v>
      </c>
      <c r="M729" s="30">
        <f ca="1">Acciones!$B$751*EXP((H$2-H$3/2)*(1)+H$4*_xlfn.NORM.S.INV(RAND())*SQRT(1))</f>
        <v>10.740907695004912</v>
      </c>
      <c r="N729" s="30">
        <f ca="1">Acciones!$C$751*EXP((I$2-I$3/2)*(1)+I$4*_xlfn.NORM.S.INV(RAND())*SQRT(1))</f>
        <v>136.42758472991397</v>
      </c>
      <c r="O729" s="30">
        <f ca="1">Acciones!$D$751*EXP((J$2-J$3/2)*(1)+J$4*_xlfn.NORM.S.INV(RAND())*SQRT(1))</f>
        <v>974.56933126561876</v>
      </c>
      <c r="P729" s="30">
        <f ca="1">Acciones!$E$751*EXP((K$2-K$3/2)*(1)+K$4*_xlfn.NORM.S.INV(RAND())*SQRT(1))</f>
        <v>0.12788153834245092</v>
      </c>
      <c r="Q729" s="30"/>
      <c r="R729">
        <f ca="1">M729/Acciones!$B$751*$I$10 + N729/Acciones!$C$751*$I$11 + O729/Acciones!$D$751*$I$12 + P729/Acciones!$D$751*$I$13</f>
        <v>21726.479425335154</v>
      </c>
      <c r="T729" s="14">
        <f t="shared" ca="1" si="14"/>
        <v>-6773.5205746648462</v>
      </c>
      <c r="V729">
        <v>-4330.6947059172126</v>
      </c>
    </row>
    <row r="730" spans="1:22" x14ac:dyDescent="0.2">
      <c r="A730" s="1">
        <f>Acciones!A730</f>
        <v>46059</v>
      </c>
      <c r="B730" s="29">
        <f>LN(Acciones!B730/Acciones!B729)</f>
        <v>2.7375588651196273E-2</v>
      </c>
      <c r="C730" s="29">
        <f>LN(Acciones!C730/Acciones!C729)</f>
        <v>0.20359219535116313</v>
      </c>
      <c r="D730" s="29">
        <f>LN(Acciones!D730/Acciones!D729)</f>
        <v>1.0041216244535064E-2</v>
      </c>
      <c r="E730" s="29">
        <f>LN(Acciones!E730/Acciones!E729)</f>
        <v>0.15519290708044078</v>
      </c>
      <c r="M730" s="30">
        <f ca="1">Acciones!$B$751*EXP((H$2-H$3/2)*(1)+H$4*_xlfn.NORM.S.INV(RAND())*SQRT(1))</f>
        <v>10.745017303559727</v>
      </c>
      <c r="N730" s="30">
        <f ca="1">Acciones!$C$751*EXP((I$2-I$3/2)*(1)+I$4*_xlfn.NORM.S.INV(RAND())*SQRT(1))</f>
        <v>145.65039371762967</v>
      </c>
      <c r="O730" s="30">
        <f ca="1">Acciones!$D$751*EXP((J$2-J$3/2)*(1)+J$4*_xlfn.NORM.S.INV(RAND())*SQRT(1))</f>
        <v>996.67751243555426</v>
      </c>
      <c r="P730" s="30">
        <f ca="1">Acciones!$E$751*EXP((K$2-K$3/2)*(1)+K$4*_xlfn.NORM.S.INV(RAND())*SQRT(1))</f>
        <v>0.12394406521981916</v>
      </c>
      <c r="Q730" s="30"/>
      <c r="R730">
        <f ca="1">M730/Acciones!$B$751*$I$10 + N730/Acciones!$C$751*$I$11 + O730/Acciones!$D$751*$I$12 + P730/Acciones!$D$751*$I$13</f>
        <v>22525.078412561197</v>
      </c>
      <c r="T730" s="14">
        <f t="shared" ca="1" si="14"/>
        <v>-5974.9215874388028</v>
      </c>
      <c r="V730">
        <v>-4324.1606940823949</v>
      </c>
    </row>
    <row r="731" spans="1:22" x14ac:dyDescent="0.2">
      <c r="A731" s="1">
        <f>Acciones!A731</f>
        <v>46062</v>
      </c>
      <c r="B731" s="29">
        <f>LN(Acciones!B731/Acciones!B730)</f>
        <v>-1.3594160184054089E-2</v>
      </c>
      <c r="C731" s="29">
        <f>LN(Acciones!C731/Acciones!C730)</f>
        <v>-4.4211146474236747E-2</v>
      </c>
      <c r="D731" s="29">
        <f>LN(Acciones!D731/Acciones!D730)</f>
        <v>-2.4214559873785874E-2</v>
      </c>
      <c r="E731" s="29">
        <f>LN(Acciones!E731/Acciones!E730)</f>
        <v>-9.1567185870787604E-2</v>
      </c>
      <c r="M731" s="30">
        <f ca="1">Acciones!$B$751*EXP((H$2-H$3/2)*(1)+H$4*_xlfn.NORM.S.INV(RAND())*SQRT(1))</f>
        <v>11.107502044099137</v>
      </c>
      <c r="N731" s="30">
        <f ca="1">Acciones!$C$751*EXP((I$2-I$3/2)*(1)+I$4*_xlfn.NORM.S.INV(RAND())*SQRT(1))</f>
        <v>142.09802220086075</v>
      </c>
      <c r="O731" s="30">
        <f ca="1">Acciones!$D$751*EXP((J$2-J$3/2)*(1)+J$4*_xlfn.NORM.S.INV(RAND())*SQRT(1))</f>
        <v>976.93996118380392</v>
      </c>
      <c r="P731" s="30">
        <f ca="1">Acciones!$E$751*EXP((K$2-K$3/2)*(1)+K$4*_xlfn.NORM.S.INV(RAND())*SQRT(1))</f>
        <v>0.1383444349642792</v>
      </c>
      <c r="Q731" s="30"/>
      <c r="R731">
        <f ca="1">M731/Acciones!$B$751*$I$10 + N731/Acciones!$C$751*$I$11 + O731/Acciones!$D$751*$I$12 + P731/Acciones!$D$751*$I$13</f>
        <v>22221.941157460144</v>
      </c>
      <c r="T731" s="14">
        <f t="shared" ca="1" si="14"/>
        <v>-6278.0588425398564</v>
      </c>
      <c r="V731">
        <v>-4290.6160627097997</v>
      </c>
    </row>
    <row r="732" spans="1:22" x14ac:dyDescent="0.2">
      <c r="A732" s="1">
        <f>Acciones!A732</f>
        <v>46063</v>
      </c>
      <c r="B732" s="29">
        <f>LN(Acciones!B732/Acciones!B731)</f>
        <v>2.5339210361401774E-2</v>
      </c>
      <c r="C732" s="29">
        <f>LN(Acciones!C732/Acciones!C731)</f>
        <v>-4.0100480744872172E-2</v>
      </c>
      <c r="D732" s="29">
        <f>LN(Acciones!D732/Acciones!D731)</f>
        <v>1.41733436292507E-2</v>
      </c>
      <c r="E732" s="29">
        <f>LN(Acciones!E732/Acciones!E731)</f>
        <v>-4.1964180144519511E-2</v>
      </c>
      <c r="M732" s="30">
        <f ca="1">Acciones!$B$751*EXP((H$2-H$3/2)*(1)+H$4*_xlfn.NORM.S.INV(RAND())*SQRT(1))</f>
        <v>10.24977817521073</v>
      </c>
      <c r="N732" s="30">
        <f ca="1">Acciones!$C$751*EXP((I$2-I$3/2)*(1)+I$4*_xlfn.NORM.S.INV(RAND())*SQRT(1))</f>
        <v>149.77692962454353</v>
      </c>
      <c r="O732" s="30">
        <f ca="1">Acciones!$D$751*EXP((J$2-J$3/2)*(1)+J$4*_xlfn.NORM.S.INV(RAND())*SQRT(1))</f>
        <v>993.50906954958748</v>
      </c>
      <c r="P732" s="30">
        <f ca="1">Acciones!$E$751*EXP((K$2-K$3/2)*(1)+K$4*_xlfn.NORM.S.INV(RAND())*SQRT(1))</f>
        <v>0.12893270599421966</v>
      </c>
      <c r="Q732" s="30"/>
      <c r="R732">
        <f ca="1">M732/Acciones!$B$751*$I$10 + N732/Acciones!$C$751*$I$11 + O732/Acciones!$D$751*$I$12 + P732/Acciones!$D$751*$I$13</f>
        <v>22592.147675582994</v>
      </c>
      <c r="T732" s="14">
        <f t="shared" ca="1" si="14"/>
        <v>-5907.8523244170065</v>
      </c>
      <c r="V732">
        <v>-4270.1272978277884</v>
      </c>
    </row>
    <row r="733" spans="1:22" x14ac:dyDescent="0.2">
      <c r="A733" s="1">
        <f>Acciones!A733</f>
        <v>46064</v>
      </c>
      <c r="B733" s="29">
        <f>LN(Acciones!B733/Acciones!B732)</f>
        <v>-8.3439547338008246E-4</v>
      </c>
      <c r="C733" s="29">
        <f>LN(Acciones!C733/Acciones!C732)</f>
        <v>-2.4001379115718331E-2</v>
      </c>
      <c r="D733" s="29">
        <f>LN(Acciones!D733/Acciones!D732)</f>
        <v>-1.7762290095858165E-2</v>
      </c>
      <c r="E733" s="29">
        <f>LN(Acciones!E733/Acciones!E732)</f>
        <v>1.4184663475061742E-2</v>
      </c>
      <c r="M733" s="30">
        <f ca="1">Acciones!$B$751*EXP((H$2-H$3/2)*(1)+H$4*_xlfn.NORM.S.INV(RAND())*SQRT(1))</f>
        <v>10.970119389260987</v>
      </c>
      <c r="N733" s="30">
        <f ca="1">Acciones!$C$751*EXP((I$2-I$3/2)*(1)+I$4*_xlfn.NORM.S.INV(RAND())*SQRT(1))</f>
        <v>156.07870674293912</v>
      </c>
      <c r="O733" s="30">
        <f ca="1">Acciones!$D$751*EXP((J$2-J$3/2)*(1)+J$4*_xlfn.NORM.S.INV(RAND())*SQRT(1))</f>
        <v>992.49999274753009</v>
      </c>
      <c r="P733" s="30">
        <f ca="1">Acciones!$E$751*EXP((K$2-K$3/2)*(1)+K$4*_xlfn.NORM.S.INV(RAND())*SQRT(1))</f>
        <v>0.13732869328077268</v>
      </c>
      <c r="Q733" s="30"/>
      <c r="R733">
        <f ca="1">M733/Acciones!$B$751*$I$10 + N733/Acciones!$C$751*$I$11 + O733/Acciones!$D$751*$I$12 + P733/Acciones!$D$751*$I$13</f>
        <v>23206.649593894923</v>
      </c>
      <c r="T733" s="14">
        <f t="shared" ca="1" si="14"/>
        <v>-5293.3504061050771</v>
      </c>
      <c r="V733">
        <v>-4269.3865334615948</v>
      </c>
    </row>
    <row r="734" spans="1:22" x14ac:dyDescent="0.2">
      <c r="A734" s="1">
        <f>Acciones!A734</f>
        <v>46065</v>
      </c>
      <c r="B734" s="29">
        <f>LN(Acciones!B734/Acciones!B733)</f>
        <v>-1.7684594312054071E-2</v>
      </c>
      <c r="C734" s="29">
        <f>LN(Acciones!C734/Acciones!C733)</f>
        <v>-3.2417430495015623E-2</v>
      </c>
      <c r="D734" s="29">
        <f>LN(Acciones!D734/Acciones!D733)</f>
        <v>-1.5149556398271863E-2</v>
      </c>
      <c r="E734" s="29">
        <f>LN(Acciones!E734/Acciones!E733)</f>
        <v>4.8119242005674981E-2</v>
      </c>
      <c r="M734" s="30">
        <f ca="1">Acciones!$B$751*EXP((H$2-H$3/2)*(1)+H$4*_xlfn.NORM.S.INV(RAND())*SQRT(1))</f>
        <v>10.558925544082454</v>
      </c>
      <c r="N734" s="30">
        <f ca="1">Acciones!$C$751*EXP((I$2-I$3/2)*(1)+I$4*_xlfn.NORM.S.INV(RAND())*SQRT(1))</f>
        <v>142.85956889227779</v>
      </c>
      <c r="O734" s="30">
        <f ca="1">Acciones!$D$751*EXP((J$2-J$3/2)*(1)+J$4*_xlfn.NORM.S.INV(RAND())*SQRT(1))</f>
        <v>1038.0860346317379</v>
      </c>
      <c r="P734" s="30">
        <f ca="1">Acciones!$E$751*EXP((K$2-K$3/2)*(1)+K$4*_xlfn.NORM.S.INV(RAND())*SQRT(1))</f>
        <v>0.13940730405132226</v>
      </c>
      <c r="Q734" s="30"/>
      <c r="R734">
        <f ca="1">M734/Acciones!$B$751*$I$10 + N734/Acciones!$C$751*$I$11 + O734/Acciones!$D$751*$I$12 + P734/Acciones!$D$751*$I$13</f>
        <v>22705.974981261166</v>
      </c>
      <c r="T734" s="14">
        <f t="shared" ca="1" si="14"/>
        <v>-5794.0250187388338</v>
      </c>
      <c r="V734">
        <v>-4268.3716484882352</v>
      </c>
    </row>
    <row r="735" spans="1:22" x14ac:dyDescent="0.2">
      <c r="A735" s="1">
        <f>Acciones!A735</f>
        <v>46066</v>
      </c>
      <c r="B735" s="29">
        <f>LN(Acciones!B735/Acciones!B734)</f>
        <v>1.5177302251850976E-2</v>
      </c>
      <c r="C735" s="29">
        <f>LN(Acciones!C735/Acciones!C734)</f>
        <v>8.0967257562390052E-2</v>
      </c>
      <c r="D735" s="29">
        <f>LN(Acciones!D735/Acciones!D734)</f>
        <v>2.6699913119509509E-2</v>
      </c>
      <c r="E735" s="29">
        <f>LN(Acciones!E735/Acciones!E734)</f>
        <v>6.6890014851690967E-3</v>
      </c>
      <c r="M735" s="30">
        <f ca="1">Acciones!$B$751*EXP((H$2-H$3/2)*(1)+H$4*_xlfn.NORM.S.INV(RAND())*SQRT(1))</f>
        <v>10.710135701318235</v>
      </c>
      <c r="N735" s="30">
        <f ca="1">Acciones!$C$751*EXP((I$2-I$3/2)*(1)+I$4*_xlfn.NORM.S.INV(RAND())*SQRT(1))</f>
        <v>166.49928716996791</v>
      </c>
      <c r="O735" s="30">
        <f ca="1">Acciones!$D$751*EXP((J$2-J$3/2)*(1)+J$4*_xlfn.NORM.S.INV(RAND())*SQRT(1))</f>
        <v>1005.518688509148</v>
      </c>
      <c r="P735" s="30">
        <f ca="1">Acciones!$E$751*EXP((K$2-K$3/2)*(1)+K$4*_xlfn.NORM.S.INV(RAND())*SQRT(1))</f>
        <v>0.12594544726760878</v>
      </c>
      <c r="Q735" s="30"/>
      <c r="R735">
        <f ca="1">M735/Acciones!$B$751*$I$10 + N735/Acciones!$C$751*$I$11 + O735/Acciones!$D$751*$I$12 + P735/Acciones!$D$751*$I$13</f>
        <v>23904.227435757672</v>
      </c>
      <c r="T735" s="14">
        <f t="shared" ca="1" si="14"/>
        <v>-4595.7725642423284</v>
      </c>
      <c r="V735">
        <v>-4246.5254170504559</v>
      </c>
    </row>
    <row r="736" spans="1:22" x14ac:dyDescent="0.2">
      <c r="A736" s="1">
        <f>Acciones!A736</f>
        <v>46069</v>
      </c>
      <c r="B736" s="29">
        <f>LN(Acciones!B736/Acciones!B735)</f>
        <v>8.3334133488379373E-3</v>
      </c>
      <c r="C736" s="29">
        <f>LN(Acciones!C736/Acciones!C735)</f>
        <v>1.642510557172849E-2</v>
      </c>
      <c r="D736" s="29">
        <f>LN(Acciones!D736/Acciones!D735)</f>
        <v>4.3753550874856863E-3</v>
      </c>
      <c r="E736" s="29">
        <f>LN(Acciones!E736/Acciones!E735)</f>
        <v>0</v>
      </c>
      <c r="M736" s="30">
        <f ca="1">Acciones!$B$751*EXP((H$2-H$3/2)*(1)+H$4*_xlfn.NORM.S.INV(RAND())*SQRT(1))</f>
        <v>11.384394968562326</v>
      </c>
      <c r="N736" s="30">
        <f ca="1">Acciones!$C$751*EXP((I$2-I$3/2)*(1)+I$4*_xlfn.NORM.S.INV(RAND())*SQRT(1))</f>
        <v>161.74157270602421</v>
      </c>
      <c r="O736" s="30">
        <f ca="1">Acciones!$D$751*EXP((J$2-J$3/2)*(1)+J$4*_xlfn.NORM.S.INV(RAND())*SQRT(1))</f>
        <v>985.94739179628277</v>
      </c>
      <c r="P736" s="30">
        <f ca="1">Acciones!$E$751*EXP((K$2-K$3/2)*(1)+K$4*_xlfn.NORM.S.INV(RAND())*SQRT(1))</f>
        <v>0.13162018993903993</v>
      </c>
      <c r="Q736" s="30"/>
      <c r="R736">
        <f ca="1">M736/Acciones!$B$751*$I$10 + N736/Acciones!$C$751*$I$11 + O736/Acciones!$D$751*$I$12 + P736/Acciones!$D$751*$I$13</f>
        <v>23627.467046633941</v>
      </c>
      <c r="T736" s="14">
        <f t="shared" ca="1" si="14"/>
        <v>-4872.5329533660588</v>
      </c>
      <c r="V736">
        <v>-4188.9998204586118</v>
      </c>
    </row>
    <row r="737" spans="1:22" x14ac:dyDescent="0.2">
      <c r="A737" s="1">
        <f>Acciones!A737</f>
        <v>46070</v>
      </c>
      <c r="B737" s="29">
        <f>LN(Acciones!B737/Acciones!B736)</f>
        <v>-4.1580259772776556E-3</v>
      </c>
      <c r="C737" s="29">
        <f>LN(Acciones!C737/Acciones!C736)</f>
        <v>-5.8322675993448932E-2</v>
      </c>
      <c r="D737" s="29">
        <f>LN(Acciones!D737/Acciones!D736)</f>
        <v>7.3443227470343635E-3</v>
      </c>
      <c r="E737" s="29">
        <f>LN(Acciones!E737/Acciones!E736)</f>
        <v>0</v>
      </c>
      <c r="M737" s="30">
        <f ca="1">Acciones!$B$751*EXP((H$2-H$3/2)*(1)+H$4*_xlfn.NORM.S.INV(RAND())*SQRT(1))</f>
        <v>11.180702733940185</v>
      </c>
      <c r="N737" s="30">
        <f ca="1">Acciones!$C$751*EXP((I$2-I$3/2)*(1)+I$4*_xlfn.NORM.S.INV(RAND())*SQRT(1))</f>
        <v>146.24858047019805</v>
      </c>
      <c r="O737" s="30">
        <f ca="1">Acciones!$D$751*EXP((J$2-J$3/2)*(1)+J$4*_xlfn.NORM.S.INV(RAND())*SQRT(1))</f>
        <v>1000.6474216801932</v>
      </c>
      <c r="P737" s="30">
        <f ca="1">Acciones!$E$751*EXP((K$2-K$3/2)*(1)+K$4*_xlfn.NORM.S.INV(RAND())*SQRT(1))</f>
        <v>0.12798505872114135</v>
      </c>
      <c r="Q737" s="30"/>
      <c r="R737">
        <f ca="1">M737/Acciones!$B$751*$I$10 + N737/Acciones!$C$751*$I$11 + O737/Acciones!$D$751*$I$12 + P737/Acciones!$D$751*$I$13</f>
        <v>22741.985559497138</v>
      </c>
      <c r="T737" s="14">
        <f t="shared" ca="1" si="14"/>
        <v>-5758.0144405028623</v>
      </c>
      <c r="V737">
        <v>-4183.9789353252818</v>
      </c>
    </row>
    <row r="738" spans="1:22" x14ac:dyDescent="0.2">
      <c r="A738" s="1">
        <f>Acciones!A738</f>
        <v>46071</v>
      </c>
      <c r="B738" s="29">
        <f>LN(Acciones!B738/Acciones!B737)</f>
        <v>1.4067263480449371E-2</v>
      </c>
      <c r="C738" s="29">
        <f>LN(Acciones!C738/Acciones!C737)</f>
        <v>1.1557106672328958E-3</v>
      </c>
      <c r="D738" s="29">
        <f>LN(Acciones!D738/Acciones!D737)</f>
        <v>2.9646876419586205E-2</v>
      </c>
      <c r="E738" s="29">
        <f>LN(Acciones!E738/Acciones!E737)</f>
        <v>-6.6890014851691618E-3</v>
      </c>
      <c r="M738" s="30">
        <f ca="1">Acciones!$B$751*EXP((H$2-H$3/2)*(1)+H$4*_xlfn.NORM.S.INV(RAND())*SQRT(1))</f>
        <v>10.833380799300107</v>
      </c>
      <c r="N738" s="30">
        <f ca="1">Acciones!$C$751*EXP((I$2-I$3/2)*(1)+I$4*_xlfn.NORM.S.INV(RAND())*SQRT(1))</f>
        <v>150.66801881642334</v>
      </c>
      <c r="O738" s="30">
        <f ca="1">Acciones!$D$751*EXP((J$2-J$3/2)*(1)+J$4*_xlfn.NORM.S.INV(RAND())*SQRT(1))</f>
        <v>1023.6014819460767</v>
      </c>
      <c r="P738" s="30">
        <f ca="1">Acciones!$E$751*EXP((K$2-K$3/2)*(1)+K$4*_xlfn.NORM.S.INV(RAND())*SQRT(1))</f>
        <v>0.12812429662191271</v>
      </c>
      <c r="Q738" s="30"/>
      <c r="R738">
        <f ca="1">M738/Acciones!$B$751*$I$10 + N738/Acciones!$C$751*$I$11 + O738/Acciones!$D$751*$I$12 + P738/Acciones!$D$751*$I$13</f>
        <v>23136.423423193304</v>
      </c>
      <c r="T738" s="14">
        <f t="shared" ca="1" si="14"/>
        <v>-5363.5765768066958</v>
      </c>
      <c r="V738">
        <v>-4167.8762654354541</v>
      </c>
    </row>
    <row r="739" spans="1:22" x14ac:dyDescent="0.2">
      <c r="A739" s="1">
        <f>Acciones!A739</f>
        <v>46072</v>
      </c>
      <c r="B739" s="29">
        <f>LN(Acciones!B739/Acciones!B738)</f>
        <v>5.0471272558277817E-2</v>
      </c>
      <c r="C739" s="29">
        <f>LN(Acciones!C739/Acciones!C738)</f>
        <v>6.1303904194785243E-2</v>
      </c>
      <c r="D739" s="29">
        <f>LN(Acciones!D739/Acciones!D738)</f>
        <v>4.9037900794656484E-3</v>
      </c>
      <c r="E739" s="29">
        <f>LN(Acciones!E739/Acciones!E738)</f>
        <v>-2.7212618701600483E-2</v>
      </c>
      <c r="M739" s="30">
        <f ca="1">Acciones!$B$751*EXP((H$2-H$3/2)*(1)+H$4*_xlfn.NORM.S.INV(RAND())*SQRT(1))</f>
        <v>11.113755967685925</v>
      </c>
      <c r="N739" s="30">
        <f ca="1">Acciones!$C$751*EXP((I$2-I$3/2)*(1)+I$4*_xlfn.NORM.S.INV(RAND())*SQRT(1))</f>
        <v>148.35752891686249</v>
      </c>
      <c r="O739" s="30">
        <f ca="1">Acciones!$D$751*EXP((J$2-J$3/2)*(1)+J$4*_xlfn.NORM.S.INV(RAND())*SQRT(1))</f>
        <v>998.01426760156914</v>
      </c>
      <c r="P739" s="30">
        <f ca="1">Acciones!$E$751*EXP((K$2-K$3/2)*(1)+K$4*_xlfn.NORM.S.INV(RAND())*SQRT(1))</f>
        <v>0.13623090519359207</v>
      </c>
      <c r="Q739" s="30"/>
      <c r="R739">
        <f ca="1">M739/Acciones!$B$751*$I$10 + N739/Acciones!$C$751*$I$11 + O739/Acciones!$D$751*$I$12 + P739/Acciones!$D$751*$I$13</f>
        <v>22825.858562079196</v>
      </c>
      <c r="T739" s="14">
        <f t="shared" ca="1" si="14"/>
        <v>-5674.1414379208036</v>
      </c>
      <c r="V739">
        <v>-4154.5698440030937</v>
      </c>
    </row>
    <row r="740" spans="1:22" x14ac:dyDescent="0.2">
      <c r="A740" s="1">
        <f>Acciones!A740</f>
        <v>46073</v>
      </c>
      <c r="B740" s="29">
        <f>LN(Acciones!B740/Acciones!B739)</f>
        <v>2.6976543787935452E-2</v>
      </c>
      <c r="C740" s="29">
        <f>LN(Acciones!C740/Acciones!C739)</f>
        <v>-1.2022507170810763E-2</v>
      </c>
      <c r="D740" s="29">
        <f>LN(Acciones!D740/Acciones!D739)</f>
        <v>-1.2720003578370239E-2</v>
      </c>
      <c r="E740" s="29">
        <f>LN(Acciones!E740/Acciones!E739)</f>
        <v>-3.5091286779136213E-2</v>
      </c>
      <c r="M740" s="30">
        <f ca="1">Acciones!$B$751*EXP((H$2-H$3/2)*(1)+H$4*_xlfn.NORM.S.INV(RAND())*SQRT(1))</f>
        <v>10.767860016864233</v>
      </c>
      <c r="N740" s="30">
        <f ca="1">Acciones!$C$751*EXP((I$2-I$3/2)*(1)+I$4*_xlfn.NORM.S.INV(RAND())*SQRT(1))</f>
        <v>160.47665919407743</v>
      </c>
      <c r="O740" s="30">
        <f ca="1">Acciones!$D$751*EXP((J$2-J$3/2)*(1)+J$4*_xlfn.NORM.S.INV(RAND())*SQRT(1))</f>
        <v>995.23222096584891</v>
      </c>
      <c r="P740" s="30">
        <f ca="1">Acciones!$E$751*EXP((K$2-K$3/2)*(1)+K$4*_xlfn.NORM.S.INV(RAND())*SQRT(1))</f>
        <v>0.12830576330984952</v>
      </c>
      <c r="Q740" s="30"/>
      <c r="R740">
        <f ca="1">M740/Acciones!$B$751*$I$10 + N740/Acciones!$C$751*$I$11 + O740/Acciones!$D$751*$I$12 + P740/Acciones!$D$751*$I$13</f>
        <v>23443.681959963116</v>
      </c>
      <c r="T740" s="14">
        <f t="shared" ca="1" si="14"/>
        <v>-5056.3180400368838</v>
      </c>
      <c r="V740">
        <v>-4102.9015744870521</v>
      </c>
    </row>
    <row r="741" spans="1:22" x14ac:dyDescent="0.2">
      <c r="A741" s="1">
        <f>Acciones!A741</f>
        <v>46076</v>
      </c>
      <c r="B741" s="29">
        <f>LN(Acciones!B741/Acciones!B740)</f>
        <v>-5.8725287767365686E-2</v>
      </c>
      <c r="C741" s="29">
        <f>LN(Acciones!C741/Acciones!C740)</f>
        <v>-6.6929510067341193E-3</v>
      </c>
      <c r="D741" s="29">
        <f>LN(Acciones!D741/Acciones!D740)</f>
        <v>-3.1005610153224589E-2</v>
      </c>
      <c r="E741" s="29">
        <f>LN(Acciones!E741/Acciones!E740)</f>
        <v>0</v>
      </c>
      <c r="M741" s="30">
        <f ca="1">Acciones!$B$751*EXP((H$2-H$3/2)*(1)+H$4*_xlfn.NORM.S.INV(RAND())*SQRT(1))</f>
        <v>11.07810105359315</v>
      </c>
      <c r="N741" s="30">
        <f ca="1">Acciones!$C$751*EXP((I$2-I$3/2)*(1)+I$4*_xlfn.NORM.S.INV(RAND())*SQRT(1))</f>
        <v>164.14366708570753</v>
      </c>
      <c r="O741" s="30">
        <f ca="1">Acciones!$D$751*EXP((J$2-J$3/2)*(1)+J$4*_xlfn.NORM.S.INV(RAND())*SQRT(1))</f>
        <v>993.51461732296684</v>
      </c>
      <c r="P741" s="30">
        <f ca="1">Acciones!$E$751*EXP((K$2-K$3/2)*(1)+K$4*_xlfn.NORM.S.INV(RAND())*SQRT(1))</f>
        <v>0.1228951112602286</v>
      </c>
      <c r="Q741" s="30"/>
      <c r="R741">
        <f ca="1">M741/Acciones!$B$751*$I$10 + N741/Acciones!$C$751*$I$11 + O741/Acciones!$D$751*$I$12 + P741/Acciones!$D$751*$I$13</f>
        <v>23754.937327259817</v>
      </c>
      <c r="T741" s="14">
        <f t="shared" ca="1" si="14"/>
        <v>-4745.0626727401832</v>
      </c>
      <c r="V741">
        <v>-4086.6136942981939</v>
      </c>
    </row>
    <row r="742" spans="1:22" x14ac:dyDescent="0.2">
      <c r="A742" s="1">
        <f>Acciones!A742</f>
        <v>46077</v>
      </c>
      <c r="B742" s="29">
        <f>LN(Acciones!B742/Acciones!B741)</f>
        <v>-1.954457785762332E-2</v>
      </c>
      <c r="C742" s="29">
        <f>LN(Acciones!C742/Acciones!C741)</f>
        <v>1.8860222179875576E-2</v>
      </c>
      <c r="D742" s="29">
        <f>LN(Acciones!D742/Acciones!D741)</f>
        <v>1.7325783435555363E-2</v>
      </c>
      <c r="E742" s="29">
        <f>LN(Acciones!E742/Acciones!E741)</f>
        <v>-7.1685040275372607E-3</v>
      </c>
      <c r="M742" s="30">
        <f ca="1">Acciones!$B$751*EXP((H$2-H$3/2)*(1)+H$4*_xlfn.NORM.S.INV(RAND())*SQRT(1))</f>
        <v>10.989653873111621</v>
      </c>
      <c r="N742" s="30">
        <f ca="1">Acciones!$C$751*EXP((I$2-I$3/2)*(1)+I$4*_xlfn.NORM.S.INV(RAND())*SQRT(1))</f>
        <v>164.40362134587394</v>
      </c>
      <c r="O742" s="30">
        <f ca="1">Acciones!$D$751*EXP((J$2-J$3/2)*(1)+J$4*_xlfn.NORM.S.INV(RAND())*SQRT(1))</f>
        <v>980.31612182140748</v>
      </c>
      <c r="P742" s="30">
        <f ca="1">Acciones!$E$751*EXP((K$2-K$3/2)*(1)+K$4*_xlfn.NORM.S.INV(RAND())*SQRT(1))</f>
        <v>0.12449907951747261</v>
      </c>
      <c r="Q742" s="30"/>
      <c r="R742">
        <f ca="1">M742/Acciones!$B$751*$I$10 + N742/Acciones!$C$751*$I$11 + O742/Acciones!$D$751*$I$12 + P742/Acciones!$D$751*$I$13</f>
        <v>23610.601080482658</v>
      </c>
      <c r="T742" s="14">
        <f t="shared" ca="1" si="14"/>
        <v>-4889.3989195173417</v>
      </c>
      <c r="V742">
        <v>-4083.2490718497029</v>
      </c>
    </row>
    <row r="743" spans="1:22" x14ac:dyDescent="0.2">
      <c r="A743" s="1">
        <f>Acciones!A743</f>
        <v>46078</v>
      </c>
      <c r="B743" s="29">
        <f>LN(Acciones!B743/Acciones!B742)</f>
        <v>-4.1987696153768413E-2</v>
      </c>
      <c r="C743" s="29">
        <f>LN(Acciones!C743/Acciones!C742)</f>
        <v>6.2118736829590966E-2</v>
      </c>
      <c r="D743" s="29">
        <f>LN(Acciones!D743/Acciones!D742)</f>
        <v>-1.5954774894802966E-2</v>
      </c>
      <c r="E743" s="29">
        <f>LN(Acciones!E743/Acciones!E742)</f>
        <v>7.1685040275373162E-3</v>
      </c>
      <c r="M743" s="30">
        <f ca="1">Acciones!$B$751*EXP((H$2-H$3/2)*(1)+H$4*_xlfn.NORM.S.INV(RAND())*SQRT(1))</f>
        <v>10.882973669450436</v>
      </c>
      <c r="N743" s="30">
        <f ca="1">Acciones!$C$751*EXP((I$2-I$3/2)*(1)+I$4*_xlfn.NORM.S.INV(RAND())*SQRT(1))</f>
        <v>156.64154742092603</v>
      </c>
      <c r="O743" s="30">
        <f ca="1">Acciones!$D$751*EXP((J$2-J$3/2)*(1)+J$4*_xlfn.NORM.S.INV(RAND())*SQRT(1))</f>
        <v>1008.30115608887</v>
      </c>
      <c r="P743" s="30">
        <f ca="1">Acciones!$E$751*EXP((K$2-K$3/2)*(1)+K$4*_xlfn.NORM.S.INV(RAND())*SQRT(1))</f>
        <v>0.12342415641229947</v>
      </c>
      <c r="Q743" s="30"/>
      <c r="R743">
        <f ca="1">M743/Acciones!$B$751*$I$10 + N743/Acciones!$C$751*$I$11 + O743/Acciones!$D$751*$I$12 + P743/Acciones!$D$751*$I$13</f>
        <v>23372.030134724762</v>
      </c>
      <c r="T743" s="14">
        <f t="shared" ca="1" si="14"/>
        <v>-5127.9698652752377</v>
      </c>
      <c r="V743">
        <v>-4072.5313995956276</v>
      </c>
    </row>
    <row r="744" spans="1:22" x14ac:dyDescent="0.2">
      <c r="A744" s="1">
        <f>Acciones!A744</f>
        <v>46079</v>
      </c>
      <c r="B744" s="29">
        <f>LN(Acciones!B744/Acciones!B743)</f>
        <v>-1.1211856714426233E-2</v>
      </c>
      <c r="C744" s="29">
        <f>LN(Acciones!C744/Acciones!C743)</f>
        <v>-1.0054468630304772E-2</v>
      </c>
      <c r="D744" s="29">
        <f>LN(Acciones!D744/Acciones!D743)</f>
        <v>2.1378992312145597E-2</v>
      </c>
      <c r="E744" s="29">
        <f>LN(Acciones!E744/Acciones!E743)</f>
        <v>-1.4388766760803355E-2</v>
      </c>
      <c r="M744" s="30">
        <f ca="1">Acciones!$B$751*EXP((H$2-H$3/2)*(1)+H$4*_xlfn.NORM.S.INV(RAND())*SQRT(1))</f>
        <v>11.185662189692991</v>
      </c>
      <c r="N744" s="30">
        <f ca="1">Acciones!$C$751*EXP((I$2-I$3/2)*(1)+I$4*_xlfn.NORM.S.INV(RAND())*SQRT(1))</f>
        <v>157.74487316324411</v>
      </c>
      <c r="O744" s="30">
        <f ca="1">Acciones!$D$751*EXP((J$2-J$3/2)*(1)+J$4*_xlfn.NORM.S.INV(RAND())*SQRT(1))</f>
        <v>967.54784119189799</v>
      </c>
      <c r="P744" s="30">
        <f ca="1">Acciones!$E$751*EXP((K$2-K$3/2)*(1)+K$4*_xlfn.NORM.S.INV(RAND())*SQRT(1))</f>
        <v>0.11871184173849561</v>
      </c>
      <c r="Q744" s="30"/>
      <c r="R744">
        <f ca="1">M744/Acciones!$B$751*$I$10 + N744/Acciones!$C$751*$I$11 + O744/Acciones!$D$751*$I$12 + P744/Acciones!$D$751*$I$13</f>
        <v>23129.795921652036</v>
      </c>
      <c r="T744" s="14">
        <f t="shared" ca="1" si="14"/>
        <v>-5370.2040783479642</v>
      </c>
      <c r="V744">
        <v>-4070.0831200174871</v>
      </c>
    </row>
    <row r="745" spans="1:22" x14ac:dyDescent="0.2">
      <c r="A745" s="1">
        <f>Acciones!A745</f>
        <v>46080</v>
      </c>
      <c r="B745" s="29">
        <f>LN(Acciones!B745/Acciones!B744)</f>
        <v>-1.485392805055181E-2</v>
      </c>
      <c r="C745" s="29">
        <f>LN(Acciones!C745/Acciones!C744)</f>
        <v>6.6161229822949474E-2</v>
      </c>
      <c r="D745" s="29">
        <f>LN(Acciones!D745/Acciones!D744)</f>
        <v>-3.6527646316959587E-2</v>
      </c>
      <c r="E745" s="29">
        <f>LN(Acciones!E745/Acciones!E744)</f>
        <v>0</v>
      </c>
      <c r="M745" s="30">
        <f ca="1">Acciones!$B$751*EXP((H$2-H$3/2)*(1)+H$4*_xlfn.NORM.S.INV(RAND())*SQRT(1))</f>
        <v>10.296381498495521</v>
      </c>
      <c r="N745" s="30">
        <f ca="1">Acciones!$C$751*EXP((I$2-I$3/2)*(1)+I$4*_xlfn.NORM.S.INV(RAND())*SQRT(1))</f>
        <v>144.88123755312424</v>
      </c>
      <c r="O745" s="30">
        <f ca="1">Acciones!$D$751*EXP((J$2-J$3/2)*(1)+J$4*_xlfn.NORM.S.INV(RAND())*SQRT(1))</f>
        <v>1018.6652197610334</v>
      </c>
      <c r="P745" s="30">
        <f ca="1">Acciones!$E$751*EXP((K$2-K$3/2)*(1)+K$4*_xlfn.NORM.S.INV(RAND())*SQRT(1))</f>
        <v>0.12747712285449872</v>
      </c>
      <c r="Q745" s="30"/>
      <c r="R745">
        <f ca="1">M745/Acciones!$B$751*$I$10 + N745/Acciones!$C$751*$I$11 + O745/Acciones!$D$751*$I$12 + P745/Acciones!$D$751*$I$13</f>
        <v>22553.385945264145</v>
      </c>
      <c r="T745" s="14">
        <f t="shared" ca="1" si="14"/>
        <v>-5946.6140547358555</v>
      </c>
      <c r="V745">
        <v>-4057.7717552256472</v>
      </c>
    </row>
    <row r="746" spans="1:22" x14ac:dyDescent="0.2">
      <c r="A746" s="1">
        <f>Acciones!A746</f>
        <v>46083</v>
      </c>
      <c r="B746" s="29">
        <f>LN(Acciones!B746/Acciones!B745)</f>
        <v>-1.8658919377338271E-2</v>
      </c>
      <c r="C746" s="29">
        <f>LN(Acciones!C746/Acciones!C745)</f>
        <v>6.3866728898260769E-2</v>
      </c>
      <c r="D746" s="29">
        <f>LN(Acciones!D746/Acciones!D745)</f>
        <v>-1.1355454519781474E-2</v>
      </c>
      <c r="E746" s="29">
        <f>LN(Acciones!E746/Acciones!E745)</f>
        <v>3.5591016837290261E-2</v>
      </c>
      <c r="M746" s="30">
        <f ca="1">Acciones!$B$751*EXP((H$2-H$3/2)*(1)+H$4*_xlfn.NORM.S.INV(RAND())*SQRT(1))</f>
        <v>10.45455199998564</v>
      </c>
      <c r="N746" s="30">
        <f ca="1">Acciones!$C$751*EXP((I$2-I$3/2)*(1)+I$4*_xlfn.NORM.S.INV(RAND())*SQRT(1))</f>
        <v>131.64193062692735</v>
      </c>
      <c r="O746" s="30">
        <f ca="1">Acciones!$D$751*EXP((J$2-J$3/2)*(1)+J$4*_xlfn.NORM.S.INV(RAND())*SQRT(1))</f>
        <v>1013.7224764131835</v>
      </c>
      <c r="P746" s="30">
        <f ca="1">Acciones!$E$751*EXP((K$2-K$3/2)*(1)+K$4*_xlfn.NORM.S.INV(RAND())*SQRT(1))</f>
        <v>0.12950875902210363</v>
      </c>
      <c r="Q746" s="30"/>
      <c r="R746">
        <f ca="1">M746/Acciones!$B$751*$I$10 + N746/Acciones!$C$751*$I$11 + O746/Acciones!$D$751*$I$12 + P746/Acciones!$D$751*$I$13</f>
        <v>21727.989698707021</v>
      </c>
      <c r="T746" s="14">
        <f t="shared" ca="1" si="14"/>
        <v>-6772.0103012929794</v>
      </c>
      <c r="V746">
        <v>-4039.4769909161478</v>
      </c>
    </row>
    <row r="747" spans="1:22" x14ac:dyDescent="0.2">
      <c r="A747" s="1">
        <f>Acciones!A747</f>
        <v>46084</v>
      </c>
      <c r="B747" s="29">
        <f>LN(Acciones!B747/Acciones!B746)</f>
        <v>-7.2007445408670077E-3</v>
      </c>
      <c r="C747" s="29">
        <f>LN(Acciones!C747/Acciones!C746)</f>
        <v>-6.683078447283114E-2</v>
      </c>
      <c r="D747" s="29">
        <f>LN(Acciones!D747/Acciones!D746)</f>
        <v>-7.0622122829983305E-3</v>
      </c>
      <c r="E747" s="29">
        <f>LN(Acciones!E747/Acciones!E746)</f>
        <v>2.7587909024521018E-2</v>
      </c>
      <c r="M747" s="30">
        <f ca="1">Acciones!$B$751*EXP((H$2-H$3/2)*(1)+H$4*_xlfn.NORM.S.INV(RAND())*SQRT(1))</f>
        <v>11.094986248361453</v>
      </c>
      <c r="N747" s="30">
        <f ca="1">Acciones!$C$751*EXP((I$2-I$3/2)*(1)+I$4*_xlfn.NORM.S.INV(RAND())*SQRT(1))</f>
        <v>160.35020463684992</v>
      </c>
      <c r="O747" s="30">
        <f ca="1">Acciones!$D$751*EXP((J$2-J$3/2)*(1)+J$4*_xlfn.NORM.S.INV(RAND())*SQRT(1))</f>
        <v>1000.7445108838536</v>
      </c>
      <c r="P747" s="30">
        <f ca="1">Acciones!$E$751*EXP((K$2-K$3/2)*(1)+K$4*_xlfn.NORM.S.INV(RAND())*SQRT(1))</f>
        <v>0.14142375854942185</v>
      </c>
      <c r="Q747" s="30"/>
      <c r="R747">
        <f ca="1">M747/Acciones!$B$751*$I$10 + N747/Acciones!$C$751*$I$11 + O747/Acciones!$D$751*$I$12 + P747/Acciones!$D$751*$I$13</f>
        <v>23596.016314473818</v>
      </c>
      <c r="T747" s="14">
        <f t="shared" ca="1" si="14"/>
        <v>-4903.9836855261819</v>
      </c>
      <c r="V747">
        <v>-4017.96174024836</v>
      </c>
    </row>
    <row r="748" spans="1:22" x14ac:dyDescent="0.2">
      <c r="A748" s="1">
        <f>Acciones!A748</f>
        <v>46085</v>
      </c>
      <c r="B748" s="29">
        <f>LN(Acciones!B748/Acciones!B747)</f>
        <v>-1.8082739278926048E-3</v>
      </c>
      <c r="C748" s="29">
        <f>LN(Acciones!C748/Acciones!C747)</f>
        <v>6.0351262898670412E-2</v>
      </c>
      <c r="D748" s="29">
        <f>LN(Acciones!D748/Acciones!D747)</f>
        <v>-1.9296444629686819E-2</v>
      </c>
      <c r="E748" s="29">
        <f>LN(Acciones!E748/Acciones!E747)</f>
        <v>-1.3698872321871844E-2</v>
      </c>
      <c r="M748" s="30">
        <f ca="1">Acciones!$B$751*EXP((H$2-H$3/2)*(1)+H$4*_xlfn.NORM.S.INV(RAND())*SQRT(1))</f>
        <v>11.296263406039989</v>
      </c>
      <c r="N748" s="30">
        <f ca="1">Acciones!$C$751*EXP((I$2-I$3/2)*(1)+I$4*_xlfn.NORM.S.INV(RAND())*SQRT(1))</f>
        <v>173.03989953835753</v>
      </c>
      <c r="O748" s="30">
        <f ca="1">Acciones!$D$751*EXP((J$2-J$3/2)*(1)+J$4*_xlfn.NORM.S.INV(RAND())*SQRT(1))</f>
        <v>979.23287026417972</v>
      </c>
      <c r="P748" s="30">
        <f ca="1">Acciones!$E$751*EXP((K$2-K$3/2)*(1)+K$4*_xlfn.NORM.S.INV(RAND())*SQRT(1))</f>
        <v>0.12812727255576975</v>
      </c>
      <c r="Q748" s="30"/>
      <c r="R748">
        <f ca="1">M748/Acciones!$B$751*$I$10 + N748/Acciones!$C$751*$I$11 + O748/Acciones!$D$751*$I$12 + P748/Acciones!$D$751*$I$13</f>
        <v>24237.368389693478</v>
      </c>
      <c r="T748" s="14">
        <f t="shared" ca="1" si="14"/>
        <v>-4262.6316103065219</v>
      </c>
      <c r="V748">
        <v>-3995.8083488636476</v>
      </c>
    </row>
    <row r="749" spans="1:22" x14ac:dyDescent="0.2">
      <c r="A749" s="1">
        <f>Acciones!A749</f>
        <v>46086</v>
      </c>
      <c r="B749" s="29">
        <f>LN(Acciones!B749/Acciones!B748)</f>
        <v>-4.5351724264589529E-3</v>
      </c>
      <c r="C749" s="29">
        <f>LN(Acciones!C749/Acciones!C748)</f>
        <v>-6.3324228986061618E-2</v>
      </c>
      <c r="D749" s="29">
        <f>LN(Acciones!D749/Acciones!D748)</f>
        <v>-1.0770754270813553E-3</v>
      </c>
      <c r="E749" s="29">
        <f>LN(Acciones!E749/Acciones!E748)</f>
        <v>0</v>
      </c>
      <c r="M749" s="30">
        <f ca="1">Acciones!$B$751*EXP((H$2-H$3/2)*(1)+H$4*_xlfn.NORM.S.INV(RAND())*SQRT(1))</f>
        <v>10.884830564322581</v>
      </c>
      <c r="N749" s="30">
        <f ca="1">Acciones!$C$751*EXP((I$2-I$3/2)*(1)+I$4*_xlfn.NORM.S.INV(RAND())*SQRT(1))</f>
        <v>153.59948718996722</v>
      </c>
      <c r="O749" s="30">
        <f ca="1">Acciones!$D$751*EXP((J$2-J$3/2)*(1)+J$4*_xlfn.NORM.S.INV(RAND())*SQRT(1))</f>
        <v>986.410679771113</v>
      </c>
      <c r="P749" s="30">
        <f ca="1">Acciones!$E$751*EXP((K$2-K$3/2)*(1)+K$4*_xlfn.NORM.S.INV(RAND())*SQRT(1))</f>
        <v>0.12030348279919997</v>
      </c>
      <c r="Q749" s="30"/>
      <c r="R749">
        <f ca="1">M749/Acciones!$B$751*$I$10 + N749/Acciones!$C$751*$I$11 + O749/Acciones!$D$751*$I$12 + P749/Acciones!$D$751*$I$13</f>
        <v>22963.402957062943</v>
      </c>
      <c r="T749" s="14">
        <f t="shared" ca="1" si="14"/>
        <v>-5536.5970429370573</v>
      </c>
      <c r="V749">
        <v>-3986.8894416476251</v>
      </c>
    </row>
    <row r="750" spans="1:22" x14ac:dyDescent="0.2">
      <c r="A750" s="1">
        <f>Acciones!A750</f>
        <v>46087</v>
      </c>
      <c r="B750" s="29">
        <f>LN(Acciones!B750/Acciones!B749)</f>
        <v>-4.5558339545732811E-3</v>
      </c>
      <c r="C750" s="29">
        <f>LN(Acciones!C750/Acciones!C749)</f>
        <v>-8.4930590678553131E-2</v>
      </c>
      <c r="D750" s="29">
        <f>LN(Acciones!D750/Acciones!D749)</f>
        <v>-1.4226926223261865E-2</v>
      </c>
      <c r="E750" s="29">
        <f>LN(Acciones!E750/Acciones!E749)</f>
        <v>-5.6752827844269681E-2</v>
      </c>
      <c r="M750" s="30">
        <f ca="1">Acciones!$B$751*EXP((H$2-H$3/2)*(1)+H$4*_xlfn.NORM.S.INV(RAND())*SQRT(1))</f>
        <v>10.656877339567407</v>
      </c>
      <c r="N750" s="30">
        <f ca="1">Acciones!$C$751*EXP((I$2-I$3/2)*(1)+I$4*_xlfn.NORM.S.INV(RAND())*SQRT(1))</f>
        <v>149.64538378023605</v>
      </c>
      <c r="O750" s="30">
        <f ca="1">Acciones!$D$751*EXP((J$2-J$3/2)*(1)+J$4*_xlfn.NORM.S.INV(RAND())*SQRT(1))</f>
        <v>954.67186048264193</v>
      </c>
      <c r="P750" s="30">
        <f ca="1">Acciones!$E$751*EXP((K$2-K$3/2)*(1)+K$4*_xlfn.NORM.S.INV(RAND())*SQRT(1))</f>
        <v>0.13137456806708939</v>
      </c>
      <c r="Q750" s="30"/>
      <c r="R750">
        <f ca="1">M750/Acciones!$B$751*$I$10 + N750/Acciones!$C$751*$I$11 + O750/Acciones!$D$751*$I$12 + P750/Acciones!$D$751*$I$13</f>
        <v>22325.537645220418</v>
      </c>
      <c r="T750" s="14">
        <f t="shared" ca="1" si="14"/>
        <v>-6174.4623547795818</v>
      </c>
      <c r="V750">
        <v>-3966.2924805165749</v>
      </c>
    </row>
    <row r="751" spans="1:22" x14ac:dyDescent="0.2">
      <c r="A751" s="1">
        <f>Acciones!A751</f>
        <v>46090</v>
      </c>
      <c r="B751" s="29">
        <f>LN(Acciones!B751/Acciones!B750)</f>
        <v>-3.6596529848765048E-3</v>
      </c>
      <c r="C751" s="29">
        <f>LN(Acciones!C751/Acciones!C750)</f>
        <v>6.9603330568608984E-2</v>
      </c>
      <c r="D751" s="29">
        <f>LN(Acciones!D751/Acciones!D750)</f>
        <v>-1.6973236962909026E-2</v>
      </c>
      <c r="E751" s="29">
        <f>LN(Acciones!E751/Acciones!E750)</f>
        <v>-5.2446472025845153E-2</v>
      </c>
      <c r="M751" s="30">
        <f ca="1">Acciones!$B$751*EXP((H$2-H$3/2)*(1)+H$4*_xlfn.NORM.S.INV(RAND())*SQRT(1))</f>
        <v>10.535707131158361</v>
      </c>
      <c r="N751" s="30">
        <f ca="1">Acciones!$C$751*EXP((I$2-I$3/2)*(1)+I$4*_xlfn.NORM.S.INV(RAND())*SQRT(1))</f>
        <v>155.82708689577453</v>
      </c>
      <c r="O751" s="30">
        <f ca="1">Acciones!$D$751*EXP((J$2-J$3/2)*(1)+J$4*_xlfn.NORM.S.INV(RAND())*SQRT(1))</f>
        <v>1004.5546014544849</v>
      </c>
      <c r="P751" s="30">
        <f ca="1">Acciones!$E$751*EXP((K$2-K$3/2)*(1)+K$4*_xlfn.NORM.S.INV(RAND())*SQRT(1))</f>
        <v>0.12981750530954114</v>
      </c>
      <c r="Q751" s="30"/>
      <c r="R751">
        <f ca="1">M751/Acciones!$B$751*$I$10 + N751/Acciones!$C$751*$I$11 + O751/Acciones!$D$751*$I$12 + P751/Acciones!$D$751*$I$13</f>
        <v>23172.279265383313</v>
      </c>
      <c r="T751" s="14">
        <f t="shared" ca="1" si="14"/>
        <v>-5327.720734616687</v>
      </c>
      <c r="V751">
        <v>-3913.9523525122386</v>
      </c>
    </row>
    <row r="752" spans="1:22" x14ac:dyDescent="0.2">
      <c r="A752" s="1"/>
      <c r="M752" s="30">
        <f ca="1">Acciones!$B$751*EXP((H$2-H$3/2)*(1)+H$4*_xlfn.NORM.S.INV(RAND())*SQRT(1))</f>
        <v>11.012329377303978</v>
      </c>
      <c r="N752" s="30">
        <f ca="1">Acciones!$C$751*EXP((I$2-I$3/2)*(1)+I$4*_xlfn.NORM.S.INV(RAND())*SQRT(1))</f>
        <v>139.16601598444771</v>
      </c>
      <c r="O752" s="30">
        <f ca="1">Acciones!$D$751*EXP((J$2-J$3/2)*(1)+J$4*_xlfn.NORM.S.INV(RAND())*SQRT(1))</f>
        <v>1032.2343003987171</v>
      </c>
      <c r="P752" s="30">
        <f ca="1">Acciones!$E$751*EXP((K$2-K$3/2)*(1)+K$4*_xlfn.NORM.S.INV(RAND())*SQRT(1))</f>
        <v>0.12593894270094674</v>
      </c>
      <c r="Q752" s="30"/>
      <c r="R752">
        <f ca="1">M752/Acciones!$B$751*$I$10 + N752/Acciones!$C$751*$I$11 + O752/Acciones!$D$751*$I$12 + P752/Acciones!$D$751*$I$13</f>
        <v>22562.122777272096</v>
      </c>
      <c r="T752" s="14">
        <f t="shared" ca="1" si="14"/>
        <v>-5937.8772227279042</v>
      </c>
      <c r="V752">
        <v>-3799.2898679611208</v>
      </c>
    </row>
    <row r="753" spans="1:22" x14ac:dyDescent="0.2">
      <c r="A753" s="1"/>
      <c r="M753" s="30">
        <f ca="1">Acciones!$B$751*EXP((H$2-H$3/2)*(1)+H$4*_xlfn.NORM.S.INV(RAND())*SQRT(1))</f>
        <v>10.987320372369952</v>
      </c>
      <c r="N753" s="30">
        <f ca="1">Acciones!$C$751*EXP((I$2-I$3/2)*(1)+I$4*_xlfn.NORM.S.INV(RAND())*SQRT(1))</f>
        <v>138.38680023311215</v>
      </c>
      <c r="O753" s="30">
        <f ca="1">Acciones!$D$751*EXP((J$2-J$3/2)*(1)+J$4*_xlfn.NORM.S.INV(RAND())*SQRT(1))</f>
        <v>1000.4362450611216</v>
      </c>
      <c r="P753" s="30">
        <f ca="1">Acciones!$E$751*EXP((K$2-K$3/2)*(1)+K$4*_xlfn.NORM.S.INV(RAND())*SQRT(1))</f>
        <v>0.12193578266896414</v>
      </c>
      <c r="Q753" s="30"/>
      <c r="R753">
        <f ca="1">M753/Acciones!$B$751*$I$10 + N753/Acciones!$C$751*$I$11 + O753/Acciones!$D$751*$I$12 + P753/Acciones!$D$751*$I$13</f>
        <v>22186.921793371719</v>
      </c>
      <c r="T753" s="14">
        <f t="shared" ca="1" si="14"/>
        <v>-6313.0782066282809</v>
      </c>
      <c r="V753">
        <v>-3722.1993182502702</v>
      </c>
    </row>
    <row r="754" spans="1:22" x14ac:dyDescent="0.2">
      <c r="A754" s="1"/>
    </row>
    <row r="755" spans="1:22" x14ac:dyDescent="0.2">
      <c r="A755" s="1"/>
    </row>
    <row r="756" spans="1:22" x14ac:dyDescent="0.2">
      <c r="A756" s="1"/>
    </row>
    <row r="757" spans="1:22" x14ac:dyDescent="0.2">
      <c r="A757" s="1"/>
    </row>
    <row r="758" spans="1:22" x14ac:dyDescent="0.2">
      <c r="A758" s="1"/>
    </row>
    <row r="759" spans="1:22" x14ac:dyDescent="0.2">
      <c r="A759" s="1"/>
    </row>
    <row r="760" spans="1:22" x14ac:dyDescent="0.2">
      <c r="A760" s="1"/>
    </row>
    <row r="761" spans="1:22" x14ac:dyDescent="0.2">
      <c r="A761" s="1"/>
    </row>
    <row r="762" spans="1:22" x14ac:dyDescent="0.2">
      <c r="A762" s="1"/>
    </row>
    <row r="763" spans="1:22" x14ac:dyDescent="0.2">
      <c r="A763" s="1"/>
    </row>
    <row r="764" spans="1:22" x14ac:dyDescent="0.2">
      <c r="A764" s="1"/>
    </row>
    <row r="765" spans="1:22" x14ac:dyDescent="0.2">
      <c r="A765" s="1"/>
    </row>
    <row r="766" spans="1:22" x14ac:dyDescent="0.2">
      <c r="A766" s="1"/>
    </row>
    <row r="767" spans="1:22" x14ac:dyDescent="0.2">
      <c r="A767" s="1"/>
    </row>
    <row r="768" spans="1:22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</sheetData>
  <autoFilter ref="V4:V753" xr:uid="{7C100991-2B45-B74D-B9E8-9F2FAF4B9576}">
    <sortState xmlns:xlrd2="http://schemas.microsoft.com/office/spreadsheetml/2017/richdata2" ref="V5:V753">
      <sortCondition ref="V4:V753"/>
    </sortState>
  </autoFilter>
  <mergeCells count="1">
    <mergeCell ref="M1:P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5E6E-9F47-3944-B198-51C9D1296B66}">
  <dimension ref="A1:M750"/>
  <sheetViews>
    <sheetView topLeftCell="C1" zoomScale="187" workbookViewId="0">
      <selection activeCell="H9" sqref="H9"/>
    </sheetView>
  </sheetViews>
  <sheetFormatPr baseColWidth="10" defaultRowHeight="16" x14ac:dyDescent="0.2"/>
  <cols>
    <col min="7" max="7" width="11.5" bestFit="1" customWidth="1"/>
    <col min="8" max="8" width="9.33203125" bestFit="1" customWidth="1"/>
    <col min="9" max="9" width="8.6640625" bestFit="1" customWidth="1"/>
    <col min="10" max="10" width="9.33203125" bestFit="1" customWidth="1"/>
    <col min="11" max="11" width="10.5" bestFit="1" customWidth="1"/>
  </cols>
  <sheetData>
    <row r="1" spans="1:13" ht="19" thickBot="1" x14ac:dyDescent="0.3">
      <c r="A1" t="str">
        <f>Acciones!A1</f>
        <v>Fecha</v>
      </c>
      <c r="B1" t="s">
        <v>6</v>
      </c>
      <c r="C1" t="s">
        <v>8</v>
      </c>
      <c r="D1" t="s">
        <v>9</v>
      </c>
      <c r="E1" t="s">
        <v>10</v>
      </c>
    </row>
    <row r="2" spans="1:13" x14ac:dyDescent="0.2">
      <c r="A2" s="1">
        <f>Acciones!A3</f>
        <v>44999</v>
      </c>
      <c r="B2" s="4">
        <f>Acciones!B3/Acciones!B2 -1</f>
        <v>1.6117775569163273E-2</v>
      </c>
      <c r="C2" s="4">
        <f>Acciones!C3/Acciones!C2 -1</f>
        <v>3.9212564783771775E-2</v>
      </c>
      <c r="D2" s="4">
        <f>Acciones!D3/Acciones!D2 -1</f>
        <v>-1.2162664384218314E-2</v>
      </c>
      <c r="E2" s="4">
        <f>Acciones!E3/Acciones!E2 -1</f>
        <v>0</v>
      </c>
      <c r="G2" s="10"/>
      <c r="H2" s="10" t="s">
        <v>5</v>
      </c>
      <c r="I2" s="10" t="s">
        <v>7</v>
      </c>
      <c r="J2" s="10" t="s">
        <v>26</v>
      </c>
      <c r="K2" s="10" t="s">
        <v>28</v>
      </c>
      <c r="M2" s="50" t="s">
        <v>54</v>
      </c>
    </row>
    <row r="3" spans="1:13" x14ac:dyDescent="0.2">
      <c r="A3" s="1">
        <f>Acciones!A4</f>
        <v>45000</v>
      </c>
      <c r="B3" s="4">
        <f>Acciones!B4/Acciones!B3 -1</f>
        <v>-3.5862107882436933E-2</v>
      </c>
      <c r="C3" s="4">
        <f>Acciones!C4/Acciones!C3 -1</f>
        <v>7.7284763258116396E-3</v>
      </c>
      <c r="D3" s="4">
        <f>Acciones!D4/Acciones!D3 -1</f>
        <v>2.389416789514498E-2</v>
      </c>
      <c r="E3" s="4">
        <f>Acciones!E4/Acciones!E3 -1</f>
        <v>-5.3846162310720369E-2</v>
      </c>
      <c r="G3" s="8" t="s">
        <v>5</v>
      </c>
      <c r="H3" s="45">
        <f>VARP('VAR PARAMETRICO'!$B$2:$B$750)</f>
        <v>5.1160714169645608E-4</v>
      </c>
      <c r="I3" s="45">
        <f>H4</f>
        <v>4.8919818899656016E-5</v>
      </c>
      <c r="J3" s="45">
        <f>H5</f>
        <v>-2.7018383981917529E-5</v>
      </c>
      <c r="K3" s="45">
        <f>H6</f>
        <v>-2.3243659544634867E-5</v>
      </c>
      <c r="M3" s="48">
        <v>3500</v>
      </c>
    </row>
    <row r="4" spans="1:13" x14ac:dyDescent="0.2">
      <c r="A4" s="1">
        <f>Acciones!A5</f>
        <v>45001</v>
      </c>
      <c r="B4" s="4">
        <f>Acciones!B5/Acciones!B4 -1</f>
        <v>-3.9341193886549553E-3</v>
      </c>
      <c r="C4" s="4">
        <f>Acciones!C5/Acciones!C4 -1</f>
        <v>8.0451104873999979E-2</v>
      </c>
      <c r="D4" s="4">
        <f>Acciones!D5/Acciones!D4 -1</f>
        <v>5.6118380181904293E-3</v>
      </c>
      <c r="E4" s="4">
        <f>Acciones!E5/Acciones!E4 -1</f>
        <v>5.6910578561119474E-2</v>
      </c>
      <c r="G4" s="8" t="s">
        <v>7</v>
      </c>
      <c r="H4" s="45">
        <v>4.8919818899656016E-5</v>
      </c>
      <c r="I4" s="45">
        <f>VARP('VAR PARAMETRICO'!$C$2:$C$750)</f>
        <v>3.7391322922424976E-3</v>
      </c>
      <c r="J4" s="45">
        <f>I5</f>
        <v>1.650174588902427E-4</v>
      </c>
      <c r="K4" s="45">
        <f>I6</f>
        <v>2.5162577454380334E-4</v>
      </c>
      <c r="M4" s="49">
        <v>9500</v>
      </c>
    </row>
    <row r="5" spans="1:13" x14ac:dyDescent="0.2">
      <c r="A5" s="1">
        <f>Acciones!A6</f>
        <v>45002</v>
      </c>
      <c r="B5" s="4">
        <f>Acciones!B6/Acciones!B5 -1</f>
        <v>-5.3860791255143647E-3</v>
      </c>
      <c r="C5" s="4">
        <f>Acciones!C6/Acciones!C5 -1</f>
        <v>7.8636070227809718E-2</v>
      </c>
      <c r="D5" s="4">
        <f>Acciones!D6/Acciones!D5 -1</f>
        <v>-1.109510052096363E-4</v>
      </c>
      <c r="E5" s="4">
        <f>Acciones!E6/Acciones!E5 -1</f>
        <v>0</v>
      </c>
      <c r="G5" s="8" t="s">
        <v>26</v>
      </c>
      <c r="H5" s="45">
        <v>-2.7018383981917529E-5</v>
      </c>
      <c r="I5" s="45">
        <v>1.650174588902427E-4</v>
      </c>
      <c r="J5" s="45">
        <f>VARP('VAR PARAMETRICO'!$D$2:$D$750)</f>
        <v>5.2633802555717476E-4</v>
      </c>
      <c r="K5" s="45">
        <f>J6</f>
        <v>6.348923658734607E-5</v>
      </c>
      <c r="M5" s="49">
        <v>10000</v>
      </c>
    </row>
    <row r="6" spans="1:13" ht="17" thickBot="1" x14ac:dyDescent="0.25">
      <c r="A6" s="1">
        <f>Acciones!A7</f>
        <v>45006</v>
      </c>
      <c r="B6" s="4">
        <f>Acciones!B7/Acciones!B6 -1</f>
        <v>-2.3826650064198707E-2</v>
      </c>
      <c r="C6" s="4">
        <f>Acciones!C7/Acciones!C6 -1</f>
        <v>6.4903210055438754E-2</v>
      </c>
      <c r="D6" s="4">
        <f>Acciones!D7/Acciones!D6 -1</f>
        <v>3.6580798269883585E-2</v>
      </c>
      <c r="E6" s="4">
        <f>Acciones!E7/Acciones!E6 -1</f>
        <v>-3.8461561974217795E-2</v>
      </c>
      <c r="G6" s="9" t="s">
        <v>28</v>
      </c>
      <c r="H6" s="46">
        <v>-2.3243659544634867E-5</v>
      </c>
      <c r="I6" s="46">
        <v>2.5162577454380334E-4</v>
      </c>
      <c r="J6" s="46">
        <v>6.348923658734607E-5</v>
      </c>
      <c r="K6" s="46">
        <f>VARP('VAR PARAMETRICO'!$E$2:$E$750)</f>
        <v>4.5840602209223933E-3</v>
      </c>
      <c r="M6" s="48">
        <v>5500</v>
      </c>
    </row>
    <row r="7" spans="1:13" x14ac:dyDescent="0.2">
      <c r="A7" s="1">
        <f>Acciones!A8</f>
        <v>45007</v>
      </c>
      <c r="B7" s="4">
        <f>Acciones!B8/Acciones!B7 -1</f>
        <v>1.3313523784373116E-2</v>
      </c>
      <c r="C7" s="4">
        <f>Acciones!C8/Acciones!C7 -1</f>
        <v>-0.1240155187415205</v>
      </c>
      <c r="D7" s="4">
        <f>Acciones!D8/Acciones!D7 -1</f>
        <v>-4.7147123045220285E-2</v>
      </c>
      <c r="E7" s="4">
        <f>Acciones!E8/Acciones!E7 -1</f>
        <v>-1.3333320617677336E-2</v>
      </c>
    </row>
    <row r="8" spans="1:13" ht="17" x14ac:dyDescent="0.2">
      <c r="A8" s="1">
        <f>Acciones!A9</f>
        <v>45008</v>
      </c>
      <c r="B8" s="4">
        <f>Acciones!B9/Acciones!B8 -1</f>
        <v>-3.0656940691646817E-2</v>
      </c>
      <c r="C8" s="4">
        <f>Acciones!C9/Acciones!C8 -1</f>
        <v>9.0808529050168341E-2</v>
      </c>
      <c r="D8" s="4">
        <f>Acciones!D9/Acciones!D8 -1</f>
        <v>4.4843211838765384E-3</v>
      </c>
      <c r="E8" s="4">
        <f>Acciones!E9/Acciones!E8 -1</f>
        <v>-2.7027065341189038E-2</v>
      </c>
      <c r="G8" s="47" t="s">
        <v>53</v>
      </c>
      <c r="H8" s="48">
        <v>3500</v>
      </c>
      <c r="I8" s="49">
        <v>9500</v>
      </c>
      <c r="J8" s="49">
        <v>10000</v>
      </c>
      <c r="K8" s="48">
        <v>5500</v>
      </c>
      <c r="M8" s="14">
        <f>SUM(H8:K8)</f>
        <v>28500</v>
      </c>
    </row>
    <row r="9" spans="1:13" x14ac:dyDescent="0.2">
      <c r="A9" s="1">
        <f>Acciones!A10</f>
        <v>45009</v>
      </c>
      <c r="B9" s="4">
        <f>Acciones!B10/Acciones!B9 -1</f>
        <v>1.7319327136190887E-2</v>
      </c>
      <c r="C9" s="4">
        <f>Acciones!C10/Acciones!C9 -1</f>
        <v>-8.3692599835653025E-2</v>
      </c>
      <c r="D9" s="4">
        <f>Acciones!D10/Acciones!D9 -1</f>
        <v>-7.3656497590464109E-3</v>
      </c>
      <c r="E9" s="4">
        <f>Acciones!E10/Acciones!E9 -1</f>
        <v>2.7777818250069419E-2</v>
      </c>
    </row>
    <row r="10" spans="1:13" x14ac:dyDescent="0.2">
      <c r="A10" s="1">
        <f>Acciones!A11</f>
        <v>45012</v>
      </c>
      <c r="B10" s="4">
        <f>Acciones!B11/Acciones!B10 -1</f>
        <v>9.6225890189267638E-3</v>
      </c>
      <c r="C10" s="4">
        <f>Acciones!C11/Acciones!C10 -1</f>
        <v>-8.2618337174248935E-2</v>
      </c>
      <c r="D10" s="4">
        <f>Acciones!D11/Acciones!D10 -1</f>
        <v>-2.5185994994609273E-2</v>
      </c>
      <c r="E10" s="4">
        <f>Acciones!E11/Acciones!E10 -1</f>
        <v>0</v>
      </c>
      <c r="H10" s="3"/>
    </row>
    <row r="11" spans="1:13" ht="18" x14ac:dyDescent="0.25">
      <c r="A11" s="1">
        <f>Acciones!A12</f>
        <v>45013</v>
      </c>
      <c r="B11" s="4">
        <f>Acciones!B12/Acciones!B11 -1</f>
        <v>1.8328348016612317E-2</v>
      </c>
      <c r="C11" s="4">
        <f>Acciones!C12/Acciones!C11 -1</f>
        <v>1.2822308538102956E-3</v>
      </c>
      <c r="D11" s="4">
        <f>Acciones!D12/Acciones!D11 -1</f>
        <v>-1.2207570962734504E-2</v>
      </c>
      <c r="E11" s="4">
        <f>Acciones!E12/Acciones!E11 -1</f>
        <v>0</v>
      </c>
      <c r="G11" s="51" t="s">
        <v>55</v>
      </c>
      <c r="H11" cm="1">
        <f t="array" ref="H11">MMULT(MMULT(H8:K8,H3:K6),M3:M6)</f>
        <v>600124.52793849283</v>
      </c>
      <c r="J11" s="51" t="s">
        <v>61</v>
      </c>
      <c r="K11">
        <f>_xlfn.NORM.S.DIST(H17,FALSE)</f>
        <v>5.8445069805035436E-2</v>
      </c>
    </row>
    <row r="12" spans="1:13" x14ac:dyDescent="0.2">
      <c r="A12" s="1">
        <f>Acciones!A13</f>
        <v>45014</v>
      </c>
      <c r="B12" s="4">
        <f>Acciones!B13/Acciones!B12 -1</f>
        <v>-2.1958150675386978E-2</v>
      </c>
      <c r="C12" s="4">
        <f>Acciones!C13/Acciones!C12 -1</f>
        <v>8.7080960893356041E-2</v>
      </c>
      <c r="D12" s="4">
        <f>Acciones!D13/Acciones!D12 -1</f>
        <v>1.3059251436430719E-2</v>
      </c>
      <c r="E12" s="4">
        <f>Acciones!E13/Acciones!E12 -1</f>
        <v>-5.4054001807460894E-3</v>
      </c>
      <c r="J12" s="51" t="s">
        <v>62</v>
      </c>
      <c r="K12">
        <f>_xlfn.NORM.S.DIST(-H17,TRUE)</f>
        <v>0.97499999999999998</v>
      </c>
    </row>
    <row r="13" spans="1:13" ht="17" x14ac:dyDescent="0.25">
      <c r="A13" s="1">
        <f>Acciones!A14</f>
        <v>45015</v>
      </c>
      <c r="B13" s="4">
        <f>Acciones!B14/Acciones!B13 -1</f>
        <v>1.5826263057969525E-2</v>
      </c>
      <c r="C13" s="4">
        <f>Acciones!C14/Acciones!C13 -1</f>
        <v>-3.3331007137187729E-2</v>
      </c>
      <c r="D13" s="4">
        <f>Acciones!D14/Acciones!D13 -1</f>
        <v>0</v>
      </c>
      <c r="E13" s="4">
        <f>Acciones!E14/Acciones!E13 -1</f>
        <v>-4.3478283404402518E-2</v>
      </c>
      <c r="G13" s="51" t="s">
        <v>56</v>
      </c>
      <c r="H13">
        <f>SQRT(H11)</f>
        <v>774.67704750979476</v>
      </c>
    </row>
    <row r="14" spans="1:13" ht="17" x14ac:dyDescent="0.25">
      <c r="A14" s="1">
        <f>Acciones!A15</f>
        <v>45016</v>
      </c>
      <c r="B14" s="4">
        <f>Acciones!B15/Acciones!B14 -1</f>
        <v>1.8115471419621887E-3</v>
      </c>
      <c r="C14" s="4">
        <f>Acciones!C15/Acciones!C14 -1</f>
        <v>0.11949819475946244</v>
      </c>
      <c r="D14" s="4">
        <f>Acciones!D15/Acciones!D14 -1</f>
        <v>1.8902514479163246E-2</v>
      </c>
      <c r="E14" s="4">
        <f>Acciones!E15/Acciones!E14 -1</f>
        <v>7.6704540451571823E-2</v>
      </c>
      <c r="J14" s="54" t="s">
        <v>63</v>
      </c>
      <c r="K14" s="59">
        <f>H13*(K11/K12)</f>
        <v>46.436978582634573</v>
      </c>
    </row>
    <row r="15" spans="1:13" x14ac:dyDescent="0.2">
      <c r="A15" s="1">
        <f>Acciones!A16</f>
        <v>45019</v>
      </c>
      <c r="B15" s="4">
        <f>Acciones!B16/Acciones!B15 -1</f>
        <v>-4.6292883019607878E-2</v>
      </c>
      <c r="C15" s="4">
        <f>Acciones!C16/Acciones!C15 -1</f>
        <v>-1.5175738906163971E-2</v>
      </c>
      <c r="D15" s="4">
        <f>Acciones!D16/Acciones!D15 -1</f>
        <v>-6.167250332738905E-3</v>
      </c>
      <c r="E15" s="4">
        <f>Acciones!E16/Acciones!E15 -1</f>
        <v>2.9023782222052708E-2</v>
      </c>
      <c r="G15" s="52" t="s">
        <v>57</v>
      </c>
      <c r="H15" s="53">
        <v>0.97499999999999998</v>
      </c>
      <c r="K15" s="44">
        <f>K14+H19</f>
        <v>1564.7760913516563</v>
      </c>
      <c r="L15" s="3">
        <f>K15/M8</f>
        <v>5.4904424257952854E-2</v>
      </c>
    </row>
    <row r="16" spans="1:13" x14ac:dyDescent="0.2">
      <c r="A16" s="1">
        <f>Acciones!A17</f>
        <v>45020</v>
      </c>
      <c r="B16" s="4">
        <f>Acciones!B17/Acciones!B16 -1</f>
        <v>1.4410190844842408E-2</v>
      </c>
      <c r="C16" s="4">
        <f>Acciones!C17/Acciones!C16 -1</f>
        <v>2.2756231325251619E-3</v>
      </c>
      <c r="D16" s="4">
        <f>Acciones!D17/Acciones!D16 -1</f>
        <v>1.9864469763816617E-2</v>
      </c>
      <c r="E16" s="4">
        <f>Acciones!E17/Acciones!E16 -1</f>
        <v>1.0256400224331719E-2</v>
      </c>
      <c r="J16" s="57"/>
      <c r="K16" s="61"/>
    </row>
    <row r="17" spans="1:11" ht="18" x14ac:dyDescent="0.25">
      <c r="A17" s="1">
        <f>Acciones!A18</f>
        <v>45021</v>
      </c>
      <c r="B17" s="4">
        <f>Acciones!B18/Acciones!B17 -1</f>
        <v>-9.7195600429945683E-3</v>
      </c>
      <c r="C17" s="4">
        <f>Acciones!C18/Acciones!C17 -1</f>
        <v>-6.2082338270194937E-2</v>
      </c>
      <c r="D17" s="4">
        <f>Acciones!D18/Acciones!D17 -1</f>
        <v>0</v>
      </c>
      <c r="E17" s="4">
        <f>Acciones!E18/Acciones!E17 -1</f>
        <v>1.2690343043183505E-2</v>
      </c>
      <c r="G17" s="41" t="s">
        <v>58</v>
      </c>
      <c r="H17">
        <f>_xlfn.NORM.S.INV(1-H15)</f>
        <v>-1.9599639845400536</v>
      </c>
      <c r="J17" s="54" t="s">
        <v>64</v>
      </c>
      <c r="K17" s="60">
        <f>H22*3</f>
        <v>14404.229570608066</v>
      </c>
    </row>
    <row r="18" spans="1:11" x14ac:dyDescent="0.2">
      <c r="A18" s="1">
        <f>Acciones!A19</f>
        <v>45026</v>
      </c>
      <c r="B18" s="4">
        <f>Acciones!B19/Acciones!B18 -1</f>
        <v>1.3212580261527052E-2</v>
      </c>
      <c r="C18" s="4">
        <f>Acciones!C19/Acciones!C18 -1</f>
        <v>0.13231432176330271</v>
      </c>
      <c r="D18" s="4">
        <f>Acciones!D19/Acciones!D18 -1</f>
        <v>4.9098136470494769E-2</v>
      </c>
      <c r="E18" s="4">
        <f>Acciones!E19/Acciones!E18 -1</f>
        <v>-1.002505307203605E-2</v>
      </c>
      <c r="K18" s="3">
        <f>K17/M8</f>
        <v>0.50541156388098474</v>
      </c>
    </row>
    <row r="19" spans="1:11" ht="17" x14ac:dyDescent="0.25">
      <c r="A19" s="1">
        <f>Acciones!A20</f>
        <v>45027</v>
      </c>
      <c r="B19" s="4">
        <f>Acciones!B20/Acciones!B19 -1</f>
        <v>4.2473862617381286E-2</v>
      </c>
      <c r="C19" s="4">
        <f>Acciones!C20/Acciones!C19 -1</f>
        <v>0.1426913423269216</v>
      </c>
      <c r="D19" s="4">
        <f>Acciones!D20/Acciones!D19 -1</f>
        <v>-4.7481036899925777E-2</v>
      </c>
      <c r="E19" s="4">
        <f>Acciones!E20/Acciones!E19 -1</f>
        <v>-2.5316431246941162E-3</v>
      </c>
      <c r="G19" s="54" t="s">
        <v>59</v>
      </c>
      <c r="H19" s="55">
        <f>H13*ABS(H17)</f>
        <v>1518.3391127690218</v>
      </c>
    </row>
    <row r="20" spans="1:11" x14ac:dyDescent="0.2">
      <c r="A20" s="1">
        <f>Acciones!A21</f>
        <v>45028</v>
      </c>
      <c r="B20" s="4">
        <f>Acciones!B21/Acciones!B20 -1</f>
        <v>-3.1451047856257186E-2</v>
      </c>
      <c r="C20" s="4">
        <f>Acciones!C21/Acciones!C20 -1</f>
        <v>-4.8110331146786978E-2</v>
      </c>
      <c r="D20" s="4">
        <f>Acciones!D21/Acciones!D20 -1</f>
        <v>1.4117336602681885E-2</v>
      </c>
      <c r="E20" s="4">
        <f>Acciones!E21/Acciones!E20 -1</f>
        <v>0</v>
      </c>
      <c r="H20" s="3">
        <f>H19/M8</f>
        <v>5.3275056588386729E-2</v>
      </c>
    </row>
    <row r="21" spans="1:11" x14ac:dyDescent="0.2">
      <c r="A21" s="1">
        <f>Acciones!A22</f>
        <v>45029</v>
      </c>
      <c r="B21" s="4">
        <f>Acciones!B22/Acciones!B21 -1</f>
        <v>1.5129247061680395E-2</v>
      </c>
      <c r="C21" s="4">
        <f>Acciones!C22/Acciones!C21 -1</f>
        <v>0.16864153166804985</v>
      </c>
      <c r="D21" s="4">
        <f>Acciones!D22/Acciones!D21 -1</f>
        <v>4.8499954743013163E-3</v>
      </c>
      <c r="E21" s="4">
        <f>Acciones!E22/Acciones!E21 -1</f>
        <v>-1.7766540772781947E-2</v>
      </c>
      <c r="G21" s="57"/>
      <c r="H21" s="58"/>
    </row>
    <row r="22" spans="1:11" ht="17" x14ac:dyDescent="0.25">
      <c r="A22" s="1">
        <f>Acciones!A23</f>
        <v>45030</v>
      </c>
      <c r="B22" s="4">
        <f>Acciones!B23/Acciones!B22 -1</f>
        <v>1.2359090965763819E-2</v>
      </c>
      <c r="C22" s="4">
        <f>Acciones!C23/Acciones!C22 -1</f>
        <v>2.5852904691160195E-2</v>
      </c>
      <c r="D22" s="4">
        <f>Acciones!D23/Acciones!D22 -1</f>
        <v>-1.3581457988585899E-2</v>
      </c>
      <c r="E22" s="4">
        <f>Acciones!E23/Acciones!E22 -1</f>
        <v>-3.1007723283625888E-2</v>
      </c>
      <c r="G22" s="54" t="s">
        <v>60</v>
      </c>
      <c r="H22" s="56">
        <f>H19*SQRT(10)</f>
        <v>4801.4098568693553</v>
      </c>
    </row>
    <row r="23" spans="1:11" x14ac:dyDescent="0.2">
      <c r="A23" s="1">
        <f>Acciones!A24</f>
        <v>45033</v>
      </c>
      <c r="B23" s="4">
        <f>Acciones!B24/Acciones!B23 -1</f>
        <v>-1.9030560659105134E-2</v>
      </c>
      <c r="C23" s="4">
        <f>Acciones!C24/Acciones!C23 -1</f>
        <v>-3.0307295063662809E-2</v>
      </c>
      <c r="D23" s="4">
        <f>Acciones!D24/Acciones!D23 -1</f>
        <v>0</v>
      </c>
      <c r="E23" s="4">
        <f>Acciones!E24/Acciones!E23 -1</f>
        <v>-1.5999984741213336E-2</v>
      </c>
      <c r="H23" s="3">
        <f>H22/M8</f>
        <v>0.16847052129366158</v>
      </c>
    </row>
    <row r="24" spans="1:11" x14ac:dyDescent="0.2">
      <c r="A24" s="1">
        <f>Acciones!A25</f>
        <v>45034</v>
      </c>
      <c r="B24" s="4">
        <f>Acciones!B25/Acciones!B24 -1</f>
        <v>-2.0863885017012418E-2</v>
      </c>
      <c r="C24" s="4">
        <f>Acciones!C25/Acciones!C24 -1</f>
        <v>1.8743079975710453E-2</v>
      </c>
      <c r="D24" s="4">
        <f>Acciones!D25/Acciones!D24 -1</f>
        <v>1.3750603793617477E-2</v>
      </c>
      <c r="E24" s="4">
        <f>Acciones!E25/Acciones!E24 -1</f>
        <v>-2.7100244737618961E-3</v>
      </c>
    </row>
    <row r="25" spans="1:11" x14ac:dyDescent="0.2">
      <c r="A25" s="1">
        <f>Acciones!A26</f>
        <v>45035</v>
      </c>
      <c r="B25" s="4">
        <f>Acciones!B26/Acciones!B25 -1</f>
        <v>-2.2803719837342751E-2</v>
      </c>
      <c r="C25" s="4">
        <f>Acciones!C26/Acciones!C25 -1</f>
        <v>-8.4973200345244249E-2</v>
      </c>
      <c r="D25" s="4">
        <f>Acciones!D26/Acciones!D25 -1</f>
        <v>-4.6777571888728664E-3</v>
      </c>
      <c r="E25" s="4">
        <f>Acciones!E26/Acciones!E25 -1</f>
        <v>-1.6304396768935914E-2</v>
      </c>
    </row>
    <row r="26" spans="1:11" x14ac:dyDescent="0.2">
      <c r="A26" s="1">
        <f>Acciones!A27</f>
        <v>45036</v>
      </c>
      <c r="B26" s="4">
        <f>Acciones!B27/Acciones!B26 -1</f>
        <v>7.651543643587555E-4</v>
      </c>
      <c r="C26" s="4">
        <f>Acciones!C27/Acciones!C26 -1</f>
        <v>-0.1080997070964107</v>
      </c>
      <c r="D26" s="4">
        <f>Acciones!D27/Acciones!D26 -1</f>
        <v>-8.9413635280065629E-3</v>
      </c>
      <c r="E26" s="4">
        <f>Acciones!E27/Acciones!E26 -1</f>
        <v>-5.5248567841960083E-3</v>
      </c>
    </row>
    <row r="27" spans="1:11" x14ac:dyDescent="0.2">
      <c r="A27" s="1">
        <f>Acciones!A28</f>
        <v>45037</v>
      </c>
      <c r="B27" s="4">
        <f>Acciones!B28/Acciones!B27 -1</f>
        <v>2.6758426573142646E-2</v>
      </c>
      <c r="C27" s="4">
        <f>Acciones!C28/Acciones!C27 -1</f>
        <v>-6.6294832500411904E-2</v>
      </c>
      <c r="D27" s="4">
        <f>Acciones!D28/Acciones!D27 -1</f>
        <v>2.2221208781079138E-3</v>
      </c>
      <c r="E27" s="4">
        <f>Acciones!E28/Acciones!E27 -1</f>
        <v>-1.388887601134059E-2</v>
      </c>
    </row>
    <row r="28" spans="1:11" x14ac:dyDescent="0.2">
      <c r="A28" s="1">
        <f>Acciones!A29</f>
        <v>45040</v>
      </c>
      <c r="B28" s="4">
        <f>Acciones!B29/Acciones!B28 -1</f>
        <v>3.350666560101967E-3</v>
      </c>
      <c r="C28" s="4">
        <f>Acciones!C29/Acciones!C28 -1</f>
        <v>3.1113877379913557E-3</v>
      </c>
      <c r="D28" s="4">
        <f>Acciones!D29/Acciones!D28 -1</f>
        <v>1.0199353065013295E-2</v>
      </c>
      <c r="E28" s="4">
        <f>Acciones!E29/Acciones!E28 -1</f>
        <v>-1.4084493799403131E-2</v>
      </c>
    </row>
    <row r="29" spans="1:11" x14ac:dyDescent="0.2">
      <c r="A29" s="1">
        <f>Acciones!A30</f>
        <v>45041</v>
      </c>
      <c r="B29" s="4">
        <f>Acciones!B30/Acciones!B29 -1</f>
        <v>-1.8181853031421169E-2</v>
      </c>
      <c r="C29" s="4">
        <f>Acciones!C30/Acciones!C29 -1</f>
        <v>1.1166272244632625E-2</v>
      </c>
      <c r="D29" s="4">
        <f>Acciones!D30/Acciones!D29 -1</f>
        <v>-1.4481800645905318E-2</v>
      </c>
      <c r="E29" s="4">
        <f>Acciones!E30/Acciones!E29 -1</f>
        <v>-1.1428560529437193E-2</v>
      </c>
    </row>
    <row r="30" spans="1:11" x14ac:dyDescent="0.2">
      <c r="A30" s="1">
        <f>Acciones!A31</f>
        <v>45042</v>
      </c>
      <c r="B30" s="4">
        <f>Acciones!B31/Acciones!B30 -1</f>
        <v>-2.6077016140902742E-2</v>
      </c>
      <c r="C30" s="4">
        <f>Acciones!C31/Acciones!C30 -1</f>
        <v>5.5889574296631883E-2</v>
      </c>
      <c r="D30" s="4">
        <f>Acciones!D31/Acciones!D30 -1</f>
        <v>-4.4587019738324685E-3</v>
      </c>
      <c r="E30" s="4">
        <f>Acciones!E31/Acciones!E30 -1</f>
        <v>0</v>
      </c>
    </row>
    <row r="31" spans="1:11" x14ac:dyDescent="0.2">
      <c r="A31" s="1">
        <f>Acciones!A32</f>
        <v>45043</v>
      </c>
      <c r="B31" s="4">
        <f>Acciones!B32/Acciones!B31 -1</f>
        <v>-1.2417522071287213E-2</v>
      </c>
      <c r="C31" s="4">
        <f>Acciones!C32/Acciones!C31 -1</f>
        <v>4.7527701160725133E-2</v>
      </c>
      <c r="D31" s="4">
        <f>Acciones!D32/Acciones!D31 -1</f>
        <v>1.2527765700438565E-2</v>
      </c>
      <c r="E31" s="4">
        <f>Acciones!E32/Acciones!E31 -1</f>
        <v>0</v>
      </c>
    </row>
    <row r="32" spans="1:11" x14ac:dyDescent="0.2">
      <c r="A32" s="1">
        <f>Acciones!A33</f>
        <v>45044</v>
      </c>
      <c r="B32" s="4">
        <f>Acciones!B33/Acciones!B32 -1</f>
        <v>-1.3752504444635605E-2</v>
      </c>
      <c r="C32" s="4">
        <f>Acciones!C33/Acciones!C32 -1</f>
        <v>6.7114468851727782E-3</v>
      </c>
      <c r="D32" s="4">
        <f>Acciones!D33/Acciones!D32 -1</f>
        <v>4.4189288236899937E-3</v>
      </c>
      <c r="E32" s="4">
        <f>Acciones!E33/Acciones!E32 -1</f>
        <v>-1.1560682489024532E-2</v>
      </c>
    </row>
    <row r="33" spans="1:5" x14ac:dyDescent="0.2">
      <c r="A33" s="1">
        <f>Acciones!A34</f>
        <v>45048</v>
      </c>
      <c r="B33" s="4">
        <f>Acciones!B34/Acciones!B33 -1</f>
        <v>-1.7928315877778545E-2</v>
      </c>
      <c r="C33" s="4">
        <f>Acciones!C34/Acciones!C33 -1</f>
        <v>-5.4325072233344263E-2</v>
      </c>
      <c r="D33" s="4">
        <f>Acciones!D34/Acciones!D33 -1</f>
        <v>6.5993394411592021E-3</v>
      </c>
      <c r="E33" s="4">
        <f>Acciones!E34/Acciones!E33 -1</f>
        <v>0</v>
      </c>
    </row>
    <row r="34" spans="1:5" x14ac:dyDescent="0.2">
      <c r="A34" s="1">
        <f>Acciones!A35</f>
        <v>45049</v>
      </c>
      <c r="B34" s="4">
        <f>Acciones!B35/Acciones!B34 -1</f>
        <v>4.1785014035712109E-2</v>
      </c>
      <c r="C34" s="4">
        <f>Acciones!C35/Acciones!C34 -1</f>
        <v>-1.8061093652642968E-2</v>
      </c>
      <c r="D34" s="4">
        <f>Acciones!D35/Acciones!D34 -1</f>
        <v>-1.2237890042874788E-2</v>
      </c>
      <c r="E34" s="4">
        <f>Acciones!E35/Acciones!E34 -1</f>
        <v>5.2631527579869442E-2</v>
      </c>
    </row>
    <row r="35" spans="1:5" x14ac:dyDescent="0.2">
      <c r="A35" s="1">
        <f>Acciones!A36</f>
        <v>45050</v>
      </c>
      <c r="B35" s="4">
        <f>Acciones!B36/Acciones!B35 -1</f>
        <v>-4.5950107073187141E-2</v>
      </c>
      <c r="C35" s="4">
        <f>Acciones!C36/Acciones!C35 -1</f>
        <v>9.1729009906992287E-2</v>
      </c>
      <c r="D35" s="4">
        <f>Acciones!D36/Acciones!D35 -1</f>
        <v>-2.0619495081027228E-2</v>
      </c>
      <c r="E35" s="4">
        <f>Acciones!E36/Acciones!E35 -1</f>
        <v>-1.6666651213609995E-2</v>
      </c>
    </row>
    <row r="36" spans="1:5" x14ac:dyDescent="0.2">
      <c r="A36" s="1">
        <f>Acciones!A37</f>
        <v>45051</v>
      </c>
      <c r="B36" s="4">
        <f>Acciones!B37/Acciones!B36 -1</f>
        <v>4.0416609880407961E-2</v>
      </c>
      <c r="C36" s="4">
        <f>Acciones!C37/Acciones!C36 -1</f>
        <v>1.0869565217391353E-2</v>
      </c>
      <c r="D36" s="4">
        <f>Acciones!D37/Acciones!D36 -1</f>
        <v>2.0601969536958142E-2</v>
      </c>
      <c r="E36" s="4">
        <f>Acciones!E37/Acciones!E36 -1</f>
        <v>0</v>
      </c>
    </row>
    <row r="37" spans="1:5" x14ac:dyDescent="0.2">
      <c r="A37" s="1">
        <f>Acciones!A38</f>
        <v>45054</v>
      </c>
      <c r="B37" s="4">
        <f>Acciones!B38/Acciones!B37 -1</f>
        <v>-1.4817824837896287E-2</v>
      </c>
      <c r="C37" s="4">
        <f>Acciones!C38/Acciones!C37 -1</f>
        <v>-0.10629034555086558</v>
      </c>
      <c r="D37" s="4">
        <f>Acciones!D38/Acciones!D37 -1</f>
        <v>-2.545539971349764E-3</v>
      </c>
      <c r="E37" s="4">
        <f>Acciones!E38/Acciones!E37 -1</f>
        <v>0</v>
      </c>
    </row>
    <row r="38" spans="1:5" x14ac:dyDescent="0.2">
      <c r="A38" s="1">
        <f>Acciones!A39</f>
        <v>45055</v>
      </c>
      <c r="B38" s="4">
        <f>Acciones!B39/Acciones!B38 -1</f>
        <v>2.8455309303456522E-2</v>
      </c>
      <c r="C38" s="4">
        <f>Acciones!C39/Acciones!C38 -1</f>
        <v>4.872752086937604E-3</v>
      </c>
      <c r="D38" s="4">
        <f>Acciones!D39/Acciones!D38 -1</f>
        <v>0</v>
      </c>
      <c r="E38" s="4">
        <f>Acciones!E39/Acciones!E38 -1</f>
        <v>0</v>
      </c>
    </row>
    <row r="39" spans="1:5" x14ac:dyDescent="0.2">
      <c r="A39" s="1">
        <f>Acciones!A40</f>
        <v>45056</v>
      </c>
      <c r="B39" s="4">
        <f>Acciones!B40/Acciones!B39 -1</f>
        <v>2.7668007589686017E-2</v>
      </c>
      <c r="C39" s="4">
        <f>Acciones!C40/Acciones!C39 -1</f>
        <v>8.3632673504560273E-2</v>
      </c>
      <c r="D39" s="4">
        <f>Acciones!D40/Acciones!D39 -1</f>
        <v>-4.1384483758524215E-2</v>
      </c>
      <c r="E39" s="4">
        <f>Acciones!E40/Acciones!E39 -1</f>
        <v>-8.4745682805222877E-3</v>
      </c>
    </row>
    <row r="40" spans="1:5" x14ac:dyDescent="0.2">
      <c r="A40" s="1">
        <f>Acciones!A41</f>
        <v>45057</v>
      </c>
      <c r="B40" s="4">
        <f>Acciones!B41/Acciones!B40 -1</f>
        <v>1.8461495824429797E-2</v>
      </c>
      <c r="C40" s="4">
        <f>Acciones!C41/Acciones!C40 -1</f>
        <v>-0.15728413946572417</v>
      </c>
      <c r="D40" s="4">
        <f>Acciones!D41/Acciones!D40 -1</f>
        <v>-6.9444680647008372E-3</v>
      </c>
      <c r="E40" s="4">
        <f>Acciones!E41/Acciones!E40 -1</f>
        <v>5.698000279447335E-3</v>
      </c>
    </row>
    <row r="41" spans="1:5" x14ac:dyDescent="0.2">
      <c r="A41" s="1">
        <f>Acciones!A42</f>
        <v>45058</v>
      </c>
      <c r="B41" s="4">
        <f>Acciones!B42/Acciones!B41 -1</f>
        <v>0</v>
      </c>
      <c r="C41" s="4">
        <f>Acciones!C42/Acciones!C41 -1</f>
        <v>2.4059352230669351E-2</v>
      </c>
      <c r="D41" s="4">
        <f>Acciones!D42/Acciones!D41 -1</f>
        <v>-1.9445217946667315E-2</v>
      </c>
      <c r="E41" s="4">
        <f>Acciones!E42/Acciones!E41 -1</f>
        <v>-2.8328585111347726E-2</v>
      </c>
    </row>
    <row r="42" spans="1:5" x14ac:dyDescent="0.2">
      <c r="A42" s="1">
        <f>Acciones!A43</f>
        <v>45061</v>
      </c>
      <c r="B42" s="4">
        <f>Acciones!B43/Acciones!B42 -1</f>
        <v>5.2114857431836192E-2</v>
      </c>
      <c r="C42" s="4">
        <f>Acciones!C43/Acciones!C42 -1</f>
        <v>5.255739774799717E-2</v>
      </c>
      <c r="D42" s="4">
        <f>Acciones!D43/Acciones!D42 -1</f>
        <v>-1.1073237667146185E-2</v>
      </c>
      <c r="E42" s="4">
        <f>Acciones!E43/Acciones!E42 -1</f>
        <v>2.0408143405367118E-2</v>
      </c>
    </row>
    <row r="43" spans="1:5" x14ac:dyDescent="0.2">
      <c r="A43" s="1">
        <f>Acciones!A44</f>
        <v>45062</v>
      </c>
      <c r="B43" s="4">
        <f>Acciones!B44/Acciones!B43 -1</f>
        <v>5.7430116181762525E-3</v>
      </c>
      <c r="C43" s="4">
        <f>Acciones!C44/Acciones!C43 -1</f>
        <v>-1.7820172171333803E-2</v>
      </c>
      <c r="D43" s="4">
        <f>Acciones!D44/Acciones!D43 -1</f>
        <v>-1.8269271751078175E-2</v>
      </c>
      <c r="E43" s="4">
        <f>Acciones!E44/Acciones!E43 -1</f>
        <v>0</v>
      </c>
    </row>
    <row r="44" spans="1:5" x14ac:dyDescent="0.2">
      <c r="A44" s="1">
        <f>Acciones!A45</f>
        <v>45063</v>
      </c>
      <c r="B44" s="4">
        <f>Acciones!B45/Acciones!B44 -1</f>
        <v>1.7844349268932191E-2</v>
      </c>
      <c r="C44" s="4">
        <f>Acciones!C45/Acciones!C44 -1</f>
        <v>9.6290713134109307E-2</v>
      </c>
      <c r="D44" s="4">
        <f>Acciones!D45/Acciones!D44 -1</f>
        <v>1.3763041819330191E-3</v>
      </c>
      <c r="E44" s="4">
        <f>Acciones!E45/Acciones!E44 -1</f>
        <v>1.4285700661794243E-2</v>
      </c>
    </row>
    <row r="45" spans="1:5" x14ac:dyDescent="0.2">
      <c r="A45" s="1">
        <f>Acciones!A46</f>
        <v>45064</v>
      </c>
      <c r="B45" s="4">
        <f>Acciones!B46/Acciones!B45 -1</f>
        <v>3.4712500808171676E-2</v>
      </c>
      <c r="C45" s="4">
        <f>Acciones!C46/Acciones!C45 -1</f>
        <v>-6.6143198707380724E-2</v>
      </c>
      <c r="D45" s="4">
        <f>Acciones!D46/Acciones!D45 -1</f>
        <v>3.7260042188094644E-2</v>
      </c>
      <c r="E45" s="4">
        <f>Acciones!E46/Acciones!E45 -1</f>
        <v>0</v>
      </c>
    </row>
    <row r="46" spans="1:5" x14ac:dyDescent="0.2">
      <c r="A46" s="1">
        <f>Acciones!A47</f>
        <v>45065</v>
      </c>
      <c r="B46" s="4">
        <f>Acciones!B47/Acciones!B46 -1</f>
        <v>-2.0670977172720373E-2</v>
      </c>
      <c r="C46" s="4">
        <f>Acciones!C47/Acciones!C46 -1</f>
        <v>-1.9778650192011193E-2</v>
      </c>
      <c r="D46" s="4">
        <f>Acciones!D47/Acciones!D46 -1</f>
        <v>-4.7619053117236354E-2</v>
      </c>
      <c r="E46" s="4">
        <f>Acciones!E47/Acciones!E46 -1</f>
        <v>0</v>
      </c>
    </row>
    <row r="47" spans="1:5" x14ac:dyDescent="0.2">
      <c r="A47" s="1">
        <f>Acciones!A48</f>
        <v>45068</v>
      </c>
      <c r="B47" s="4">
        <f>Acciones!B48/Acciones!B47 -1</f>
        <v>6.2283769982731663E-3</v>
      </c>
      <c r="C47" s="4">
        <f>Acciones!C48/Acciones!C47 -1</f>
        <v>7.0406046118720367E-2</v>
      </c>
      <c r="D47" s="4">
        <f>Acciones!D48/Acciones!D47 -1</f>
        <v>-1.9802049818153478E-2</v>
      </c>
      <c r="E47" s="4">
        <f>Acciones!E48/Acciones!E47 -1</f>
        <v>0</v>
      </c>
    </row>
    <row r="48" spans="1:5" x14ac:dyDescent="0.2">
      <c r="A48" s="1">
        <f>Acciones!A49</f>
        <v>45069</v>
      </c>
      <c r="B48" s="4">
        <f>Acciones!B49/Acciones!B48 -1</f>
        <v>-6.1898244381195511E-3</v>
      </c>
      <c r="C48" s="4">
        <f>Acciones!C49/Acciones!C48 -1</f>
        <v>-3.0264598853149915E-2</v>
      </c>
      <c r="D48" s="4">
        <f>Acciones!D49/Acciones!D48 -1</f>
        <v>-1.2626184230429716E-2</v>
      </c>
      <c r="E48" s="4">
        <f>Acciones!E49/Acciones!E48 -1</f>
        <v>1.4084493799403131E-2</v>
      </c>
    </row>
    <row r="49" spans="1:5" x14ac:dyDescent="0.2">
      <c r="A49" s="1">
        <f>Acciones!A50</f>
        <v>45070</v>
      </c>
      <c r="B49" s="4">
        <f>Acciones!B50/Acciones!B49 -1</f>
        <v>1.5224960460698878E-2</v>
      </c>
      <c r="C49" s="4">
        <f>Acciones!C50/Acciones!C49 -1</f>
        <v>4.6367778720535213E-3</v>
      </c>
      <c r="D49" s="4">
        <f>Acciones!D50/Acciones!D49 -1</f>
        <v>-1.2276245365319904E-2</v>
      </c>
      <c r="E49" s="4">
        <f>Acciones!E50/Acciones!E49 -1</f>
        <v>0</v>
      </c>
    </row>
    <row r="50" spans="1:5" x14ac:dyDescent="0.2">
      <c r="A50" s="1">
        <f>Acciones!A51</f>
        <v>45071</v>
      </c>
      <c r="B50" s="4">
        <f>Acciones!B51/Acciones!B50 -1</f>
        <v>-3.0674861438823031E-3</v>
      </c>
      <c r="C50" s="4">
        <f>Acciones!C51/Acciones!C50 -1</f>
        <v>-3.9940828402366901E-2</v>
      </c>
      <c r="D50" s="4">
        <f>Acciones!D51/Acciones!D50 -1</f>
        <v>-4.5312518329831963E-3</v>
      </c>
      <c r="E50" s="4">
        <f>Acciones!E51/Acciones!E50 -1</f>
        <v>0</v>
      </c>
    </row>
    <row r="51" spans="1:5" x14ac:dyDescent="0.2">
      <c r="A51" s="1">
        <f>Acciones!A52</f>
        <v>45072</v>
      </c>
      <c r="B51" s="4">
        <f>Acciones!B52/Acciones!B51 -1</f>
        <v>-1.7435882815433401E-2</v>
      </c>
      <c r="C51" s="4">
        <f>Acciones!C52/Acciones!C51 -1</f>
        <v>9.2446161161174878E-4</v>
      </c>
      <c r="D51" s="4">
        <f>Acciones!D52/Acciones!D51 -1</f>
        <v>-1.4176125645017357E-2</v>
      </c>
      <c r="E51" s="4">
        <f>Acciones!E52/Acciones!E51 -1</f>
        <v>-4.722217843856058E-2</v>
      </c>
    </row>
    <row r="52" spans="1:5" x14ac:dyDescent="0.2">
      <c r="A52" s="1">
        <f>Acciones!A53</f>
        <v>45075</v>
      </c>
      <c r="B52" s="4">
        <f>Acciones!B53/Acciones!B52 -1</f>
        <v>3.8273417775009921E-3</v>
      </c>
      <c r="C52" s="4">
        <f>Acciones!C53/Acciones!C52 -1</f>
        <v>-2.4630166965337041E-3</v>
      </c>
      <c r="D52" s="4">
        <f>Acciones!D53/Acciones!D52 -1</f>
        <v>2.8490765591593581E-2</v>
      </c>
      <c r="E52" s="4">
        <f>Acciones!E53/Acciones!E52 -1</f>
        <v>0</v>
      </c>
    </row>
    <row r="53" spans="1:5" x14ac:dyDescent="0.2">
      <c r="A53" s="1">
        <f>Acciones!A54</f>
        <v>45076</v>
      </c>
      <c r="B53" s="4">
        <f>Acciones!B54/Acciones!B53 -1</f>
        <v>-3.9514729545281679E-2</v>
      </c>
      <c r="C53" s="4">
        <f>Acciones!C54/Acciones!C53 -1</f>
        <v>2.395064742476527E-2</v>
      </c>
      <c r="D53" s="4">
        <f>Acciones!D54/Acciones!D53 -1</f>
        <v>-3.2832345581656486E-2</v>
      </c>
      <c r="E53" s="4">
        <f>Acciones!E54/Acciones!E53 -1</f>
        <v>0</v>
      </c>
    </row>
    <row r="54" spans="1:5" x14ac:dyDescent="0.2">
      <c r="A54" s="1">
        <f>Acciones!A55</f>
        <v>45077</v>
      </c>
      <c r="B54" s="4">
        <f>Acciones!B55/Acciones!B54 -1</f>
        <v>1.0104766362568185E-2</v>
      </c>
      <c r="C54" s="4">
        <f>Acciones!C55/Acciones!C54 -1</f>
        <v>3.9365798089469717E-2</v>
      </c>
      <c r="D54" s="4">
        <f>Acciones!D55/Acciones!D54 -1</f>
        <v>-9.0186896309123465E-3</v>
      </c>
      <c r="E54" s="4">
        <f>Acciones!E55/Acciones!E54 -1</f>
        <v>0</v>
      </c>
    </row>
    <row r="55" spans="1:5" x14ac:dyDescent="0.2">
      <c r="A55" s="1">
        <f>Acciones!A56</f>
        <v>45078</v>
      </c>
      <c r="B55" s="4">
        <f>Acciones!B56/Acciones!B55 -1</f>
        <v>-3.9300409752001109E-3</v>
      </c>
      <c r="C55" s="4">
        <f>Acciones!C56/Acciones!C55 -1</f>
        <v>2.1866416876020978E-2</v>
      </c>
      <c r="D55" s="4">
        <f>Acciones!D56/Acciones!D55 -1</f>
        <v>-2.5064160348958087E-2</v>
      </c>
      <c r="E55" s="4">
        <f>Acciones!E56/Acciones!E55 -1</f>
        <v>0</v>
      </c>
    </row>
    <row r="56" spans="1:5" x14ac:dyDescent="0.2">
      <c r="A56" s="1">
        <f>Acciones!A57</f>
        <v>45079</v>
      </c>
      <c r="B56" s="4">
        <f>Acciones!B57/Acciones!B56 -1</f>
        <v>-2.2596854916798637E-2</v>
      </c>
      <c r="C56" s="4">
        <f>Acciones!C57/Acciones!C56 -1</f>
        <v>-3.8029185878045713E-3</v>
      </c>
      <c r="D56" s="4">
        <f>Acciones!D57/Acciones!D56 -1</f>
        <v>4.2710961039151174E-2</v>
      </c>
      <c r="E56" s="4">
        <f>Acciones!E57/Acciones!E56 -1</f>
        <v>-3.7900907262612638E-2</v>
      </c>
    </row>
    <row r="57" spans="1:5" x14ac:dyDescent="0.2">
      <c r="A57" s="1">
        <f>Acciones!A58</f>
        <v>45082</v>
      </c>
      <c r="B57" s="4">
        <f>Acciones!B58/Acciones!B57 -1</f>
        <v>2.752297462223674E-2</v>
      </c>
      <c r="C57" s="4">
        <f>Acciones!C58/Acciones!C57 -1</f>
        <v>-8.7231485600649306E-2</v>
      </c>
      <c r="D57" s="4">
        <f>Acciones!D58/Acciones!D57 -1</f>
        <v>-3.1923328300364595E-2</v>
      </c>
      <c r="E57" s="4">
        <f>Acciones!E58/Acciones!E57 -1</f>
        <v>0</v>
      </c>
    </row>
    <row r="58" spans="1:5" x14ac:dyDescent="0.2">
      <c r="A58" s="1">
        <f>Acciones!A59</f>
        <v>45083</v>
      </c>
      <c r="B58" s="4">
        <f>Acciones!B59/Acciones!B58 -1</f>
        <v>-4.642843279047737E-3</v>
      </c>
      <c r="C58" s="4">
        <f>Acciones!C59/Acciones!C58 -1</f>
        <v>9.3445702283874388E-2</v>
      </c>
      <c r="D58" s="4">
        <f>Acciones!D59/Acciones!D58 -1</f>
        <v>6.5233371308466293E-3</v>
      </c>
      <c r="E58" s="4">
        <f>Acciones!E59/Acciones!E58 -1</f>
        <v>0</v>
      </c>
    </row>
    <row r="59" spans="1:5" x14ac:dyDescent="0.2">
      <c r="A59" s="1">
        <f>Acciones!A60</f>
        <v>45084</v>
      </c>
      <c r="B59" s="4">
        <f>Acciones!B60/Acciones!B59 -1</f>
        <v>3.5163169254088134E-2</v>
      </c>
      <c r="C59" s="4">
        <f>Acciones!C60/Acciones!C59 -1</f>
        <v>-5.0921951602362792E-2</v>
      </c>
      <c r="D59" s="4">
        <f>Acciones!D60/Acciones!D59 -1</f>
        <v>8.8433364116080604E-3</v>
      </c>
      <c r="E59" s="4">
        <f>Acciones!E60/Acciones!E59 -1</f>
        <v>-2.4242401473341779E-2</v>
      </c>
    </row>
    <row r="60" spans="1:5" x14ac:dyDescent="0.2">
      <c r="A60" s="1">
        <f>Acciones!A61</f>
        <v>45085</v>
      </c>
      <c r="B60" s="4">
        <f>Acciones!B61/Acciones!B60 -1</f>
        <v>-4.506052726017562E-3</v>
      </c>
      <c r="C60" s="4">
        <f>Acciones!C61/Acciones!C60 -1</f>
        <v>2.195485050516699E-2</v>
      </c>
      <c r="D60" s="4">
        <f>Acciones!D61/Acciones!D60 -1</f>
        <v>-8.7604384915899169E-3</v>
      </c>
      <c r="E60" s="4">
        <f>Acciones!E61/Acciones!E60 -1</f>
        <v>-1.5527935363982115E-2</v>
      </c>
    </row>
    <row r="61" spans="1:5" x14ac:dyDescent="0.2">
      <c r="A61" s="1">
        <f>Acciones!A62</f>
        <v>45086</v>
      </c>
      <c r="B61" s="4">
        <f>Acciones!B62/Acciones!B61 -1</f>
        <v>3.4815044722558142E-4</v>
      </c>
      <c r="C61" s="4">
        <f>Acciones!C62/Acciones!C61 -1</f>
        <v>-5.0735699981484195E-2</v>
      </c>
      <c r="D61" s="4">
        <f>Acciones!D62/Acciones!D61 -1</f>
        <v>-9.735134796384437E-3</v>
      </c>
      <c r="E61" s="4">
        <f>Acciones!E62/Acciones!E61 -1</f>
        <v>-2.2082072547839671E-2</v>
      </c>
    </row>
    <row r="62" spans="1:5" x14ac:dyDescent="0.2">
      <c r="A62" s="1">
        <f>Acciones!A63</f>
        <v>45089</v>
      </c>
      <c r="B62" s="4">
        <f>Acciones!B63/Acciones!B62 -1</f>
        <v>9.7460175305315033E-3</v>
      </c>
      <c r="C62" s="4">
        <f>Acciones!C63/Acciones!C62 -1</f>
        <v>-1.1160260239542197E-3</v>
      </c>
      <c r="D62" s="4">
        <f>Acciones!D63/Acciones!D62 -1</f>
        <v>6.5557640229649827E-3</v>
      </c>
      <c r="E62" s="4">
        <f>Acciones!E63/Acciones!E62 -1</f>
        <v>-1.2903213897924593E-2</v>
      </c>
    </row>
    <row r="63" spans="1:5" x14ac:dyDescent="0.2">
      <c r="A63" s="1">
        <f>Acciones!A64</f>
        <v>45090</v>
      </c>
      <c r="B63" s="4">
        <f>Acciones!B64/Acciones!B63 -1</f>
        <v>-3.1368539223145531E-2</v>
      </c>
      <c r="C63" s="4">
        <f>Acciones!C64/Acciones!C63 -1</f>
        <v>3.0415851712237041E-2</v>
      </c>
      <c r="D63" s="4">
        <f>Acciones!D64/Acciones!D63 -1</f>
        <v>-2.174562806913416E-3</v>
      </c>
      <c r="E63" s="4">
        <f>Acciones!E64/Acciones!E63 -1</f>
        <v>1.9607824804414475E-2</v>
      </c>
    </row>
    <row r="64" spans="1:5" x14ac:dyDescent="0.2">
      <c r="A64" s="1">
        <f>Acciones!A65</f>
        <v>45091</v>
      </c>
      <c r="B64" s="4">
        <f>Acciones!B65/Acciones!B64 -1</f>
        <v>-3.9145127182588224E-3</v>
      </c>
      <c r="C64" s="4">
        <f>Acciones!C65/Acciones!C64 -1</f>
        <v>-4.8192954925181386E-3</v>
      </c>
      <c r="D64" s="4">
        <f>Acciones!D65/Acciones!D64 -1</f>
        <v>5.1967639290614986E-2</v>
      </c>
      <c r="E64" s="4">
        <f>Acciones!E65/Acciones!E64 -1</f>
        <v>0</v>
      </c>
    </row>
    <row r="65" spans="1:5" x14ac:dyDescent="0.2">
      <c r="A65" s="1">
        <f>Acciones!A66</f>
        <v>45092</v>
      </c>
      <c r="B65" s="4">
        <f>Acciones!B66/Acciones!B65 -1</f>
        <v>-1.0719805585648334E-3</v>
      </c>
      <c r="C65" s="4">
        <f>Acciones!C66/Acciones!C65 -1</f>
        <v>-2.8450345248580811E-2</v>
      </c>
      <c r="D65" s="4">
        <f>Acciones!D66/Acciones!D65 -1</f>
        <v>-4.9648224144849262E-3</v>
      </c>
      <c r="E65" s="4">
        <f>Acciones!E66/Acciones!E65 -1</f>
        <v>0</v>
      </c>
    </row>
    <row r="66" spans="1:5" x14ac:dyDescent="0.2">
      <c r="A66" s="1">
        <f>Acciones!A67</f>
        <v>45093</v>
      </c>
      <c r="B66" s="4">
        <f>Acciones!B67/Acciones!B66 -1</f>
        <v>1.4307447234771509E-3</v>
      </c>
      <c r="C66" s="4">
        <f>Acciones!C67/Acciones!C66 -1</f>
        <v>5.6074766355140193E-2</v>
      </c>
      <c r="D66" s="4">
        <f>Acciones!D67/Acciones!D66 -1</f>
        <v>6.2149209335133904E-3</v>
      </c>
      <c r="E66" s="4">
        <f>Acciones!E67/Acciones!E66 -1</f>
        <v>9.6154522143434562E-3</v>
      </c>
    </row>
    <row r="67" spans="1:5" x14ac:dyDescent="0.2">
      <c r="A67" s="1">
        <f>Acciones!A68</f>
        <v>45096</v>
      </c>
      <c r="B67" s="4">
        <f>Acciones!B68/Acciones!B67 -1</f>
        <v>0</v>
      </c>
      <c r="C67" s="4">
        <f>Acciones!C68/Acciones!C67 -1</f>
        <v>1.4749262536873253E-2</v>
      </c>
      <c r="D67" s="4">
        <f>Acciones!D68/Acciones!D67 -1</f>
        <v>1.1367529309859181E-2</v>
      </c>
      <c r="E67" s="4">
        <f>Acciones!E68/Acciones!E67 -1</f>
        <v>0</v>
      </c>
    </row>
    <row r="68" spans="1:5" x14ac:dyDescent="0.2">
      <c r="A68" s="1">
        <f>Acciones!A69</f>
        <v>45097</v>
      </c>
      <c r="B68" s="4">
        <f>Acciones!B69/Acciones!B68 -1</f>
        <v>3.5710286637224975E-4</v>
      </c>
      <c r="C68" s="4">
        <f>Acciones!C69/Acciones!C68 -1</f>
        <v>0.15918607490006975</v>
      </c>
      <c r="D68" s="4">
        <f>Acciones!D69/Acciones!D68 -1</f>
        <v>-3.8265294012567286E-2</v>
      </c>
      <c r="E68" s="4">
        <f>Acciones!E69/Acciones!E68 -1</f>
        <v>0</v>
      </c>
    </row>
    <row r="69" spans="1:5" x14ac:dyDescent="0.2">
      <c r="A69" s="1">
        <f>Acciones!A70</f>
        <v>45098</v>
      </c>
      <c r="B69" s="4">
        <f>Acciones!B70/Acciones!B69 -1</f>
        <v>-9.9964670998420324E-3</v>
      </c>
      <c r="C69" s="4">
        <f>Acciones!C70/Acciones!C69 -1</f>
        <v>4.734678608797549E-2</v>
      </c>
      <c r="D69" s="4">
        <f>Acciones!D70/Acciones!D69 -1</f>
        <v>-4.7638414110348082E-3</v>
      </c>
      <c r="E69" s="4">
        <f>Acciones!E70/Acciones!E69 -1</f>
        <v>-6.3492001019088695E-3</v>
      </c>
    </row>
    <row r="70" spans="1:5" x14ac:dyDescent="0.2">
      <c r="A70" s="1">
        <f>Acciones!A71</f>
        <v>45099</v>
      </c>
      <c r="B70" s="4">
        <f>Acciones!B71/Acciones!B70 -1</f>
        <v>-1.298226377471845E-2</v>
      </c>
      <c r="C70" s="4">
        <f>Acciones!C71/Acciones!C70 -1</f>
        <v>-3.2659740853418939E-2</v>
      </c>
      <c r="D70" s="4">
        <f>Acciones!D71/Acciones!D70 -1</f>
        <v>1.1289758839267083E-2</v>
      </c>
      <c r="E70" s="4">
        <f>Acciones!E71/Acciones!E70 -1</f>
        <v>-1.2779616232935775E-2</v>
      </c>
    </row>
    <row r="71" spans="1:5" x14ac:dyDescent="0.2">
      <c r="A71" s="1">
        <f>Acciones!A72</f>
        <v>45100</v>
      </c>
      <c r="B71" s="4">
        <f>Acciones!B72/Acciones!B71 -1</f>
        <v>-1.278777106901996E-2</v>
      </c>
      <c r="C71" s="4">
        <f>Acciones!C72/Acciones!C71 -1</f>
        <v>7.9554491704049601E-2</v>
      </c>
      <c r="D71" s="4">
        <f>Acciones!D72/Acciones!D71 -1</f>
        <v>-9.0606561019239695E-3</v>
      </c>
      <c r="E71" s="4">
        <f>Acciones!E72/Acciones!E71 -1</f>
        <v>-1.2944971833043994E-2</v>
      </c>
    </row>
    <row r="72" spans="1:5" x14ac:dyDescent="0.2">
      <c r="A72" s="1">
        <f>Acciones!A73</f>
        <v>45103</v>
      </c>
      <c r="B72" s="4">
        <f>Acciones!B73/Acciones!B72 -1</f>
        <v>-1.9245022275949819E-2</v>
      </c>
      <c r="C72" s="4">
        <f>Acciones!C73/Acciones!C72 -1</f>
        <v>-7.2453810799699703E-2</v>
      </c>
      <c r="D72" s="4">
        <f>Acciones!D73/Acciones!D72 -1</f>
        <v>2.135098807480551E-2</v>
      </c>
      <c r="E72" s="4">
        <f>Acciones!E73/Acciones!E72 -1</f>
        <v>0</v>
      </c>
    </row>
    <row r="73" spans="1:5" x14ac:dyDescent="0.2">
      <c r="A73" s="1">
        <f>Acciones!A74</f>
        <v>45104</v>
      </c>
      <c r="B73" s="4">
        <f>Acciones!B74/Acciones!B73 -1</f>
        <v>5.2452842150043644E-2</v>
      </c>
      <c r="C73" s="4">
        <f>Acciones!C74/Acciones!C73 -1</f>
        <v>0.12952981853380163</v>
      </c>
      <c r="D73" s="4">
        <f>Acciones!D74/Acciones!D73 -1</f>
        <v>1.3993689890342331E-2</v>
      </c>
      <c r="E73" s="4">
        <f>Acciones!E74/Acciones!E73 -1</f>
        <v>0</v>
      </c>
    </row>
    <row r="74" spans="1:5" x14ac:dyDescent="0.2">
      <c r="A74" s="1">
        <f>Acciones!A75</f>
        <v>45105</v>
      </c>
      <c r="B74" s="4">
        <f>Acciones!B75/Acciones!B74 -1</f>
        <v>-3.4420933810243914E-2</v>
      </c>
      <c r="C74" s="4">
        <f>Acciones!C75/Acciones!C74 -1</f>
        <v>-2.0921778586938111E-2</v>
      </c>
      <c r="D74" s="4">
        <f>Acciones!D75/Acciones!D74 -1</f>
        <v>-8.7416011620328193E-3</v>
      </c>
      <c r="E74" s="4">
        <f>Acciones!E75/Acciones!E74 -1</f>
        <v>3.2786854490491901E-3</v>
      </c>
    </row>
    <row r="75" spans="1:5" x14ac:dyDescent="0.2">
      <c r="A75" s="1">
        <f>Acciones!A76</f>
        <v>45106</v>
      </c>
      <c r="B75" s="4">
        <f>Acciones!B76/Acciones!B75 -1</f>
        <v>5.1986075214778271E-3</v>
      </c>
      <c r="C75" s="4">
        <f>Acciones!C76/Acciones!C75 -1</f>
        <v>5.4629179164607189E-2</v>
      </c>
      <c r="D75" s="4">
        <f>Acciones!D76/Acciones!D75 -1</f>
        <v>4.3006538866392496E-3</v>
      </c>
      <c r="E75" s="4">
        <f>Acciones!E76/Acciones!E75 -1</f>
        <v>-9.8039124022073487E-3</v>
      </c>
    </row>
    <row r="76" spans="1:5" x14ac:dyDescent="0.2">
      <c r="A76" s="1">
        <f>Acciones!A77</f>
        <v>45107</v>
      </c>
      <c r="B76" s="4">
        <f>Acciones!B77/Acciones!B76 -1</f>
        <v>-6.316944811738856E-2</v>
      </c>
      <c r="C76" s="4">
        <f>Acciones!C77/Acciones!C76 -1</f>
        <v>8.859295093244457E-3</v>
      </c>
      <c r="D76" s="4">
        <f>Acciones!D77/Acciones!D76 -1</f>
        <v>-2.5434718253354416E-2</v>
      </c>
      <c r="E76" s="4">
        <f>Acciones!E77/Acciones!E76 -1</f>
        <v>0</v>
      </c>
    </row>
    <row r="77" spans="1:5" x14ac:dyDescent="0.2">
      <c r="A77" s="1">
        <f>Acciones!A78</f>
        <v>45110</v>
      </c>
      <c r="B77" s="4">
        <f>Acciones!B78/Acciones!B77 -1</f>
        <v>2.6025275429648831E-2</v>
      </c>
      <c r="C77" s="4">
        <f>Acciones!C78/Acciones!C77 -1</f>
        <v>0.10294117647058831</v>
      </c>
      <c r="D77" s="4">
        <f>Acciones!D78/Acciones!D77 -1</f>
        <v>1.556262825330279E-3</v>
      </c>
      <c r="E77" s="4">
        <f>Acciones!E78/Acciones!E77 -1</f>
        <v>-1.6501634583632185E-2</v>
      </c>
    </row>
    <row r="78" spans="1:5" x14ac:dyDescent="0.2">
      <c r="A78" s="1">
        <f>Acciones!A79</f>
        <v>45111</v>
      </c>
      <c r="B78" s="4">
        <f>Acciones!B79/Acciones!B78 -1</f>
        <v>9.992283350395148E-3</v>
      </c>
      <c r="C78" s="4">
        <f>Acciones!C79/Acciones!C78 -1</f>
        <v>3.0400041852678195E-2</v>
      </c>
      <c r="D78" s="4">
        <f>Acciones!D79/Acciones!D78 -1</f>
        <v>1.0612190067371685E-5</v>
      </c>
      <c r="E78" s="4">
        <f>Acciones!E79/Acciones!E78 -1</f>
        <v>-3.0201313286330911E-2</v>
      </c>
    </row>
    <row r="79" spans="1:5" x14ac:dyDescent="0.2">
      <c r="A79" s="1">
        <f>Acciones!A80</f>
        <v>45112</v>
      </c>
      <c r="B79" s="4">
        <f>Acciones!B80/Acciones!B79 -1</f>
        <v>2.4353088709032411E-2</v>
      </c>
      <c r="C79" s="4">
        <f>Acciones!C80/Acciones!C79 -1</f>
        <v>-1.9557853926549074E-2</v>
      </c>
      <c r="D79" s="4">
        <f>Acciones!D80/Acciones!D79 -1</f>
        <v>-3.7828497181003895E-2</v>
      </c>
      <c r="E79" s="4">
        <f>Acciones!E80/Acciones!E79 -1</f>
        <v>3.1141837682491902E-2</v>
      </c>
    </row>
    <row r="80" spans="1:5" x14ac:dyDescent="0.2">
      <c r="A80" s="1">
        <f>Acciones!A81</f>
        <v>45113</v>
      </c>
      <c r="B80" s="4">
        <f>Acciones!B81/Acciones!B80 -1</f>
        <v>-1.002972262566848E-2</v>
      </c>
      <c r="C80" s="4">
        <f>Acciones!C81/Acciones!C80 -1</f>
        <v>-4.5251034955443581E-3</v>
      </c>
      <c r="D80" s="4">
        <f>Acciones!D81/Acciones!D80 -1</f>
        <v>-4.8781111114487574E-3</v>
      </c>
      <c r="E80" s="4">
        <f>Acciones!E81/Acciones!E80 -1</f>
        <v>-1.0067104428777007E-2</v>
      </c>
    </row>
    <row r="81" spans="1:5" x14ac:dyDescent="0.2">
      <c r="A81" s="1">
        <f>Acciones!A82</f>
        <v>45114</v>
      </c>
      <c r="B81" s="4">
        <f>Acciones!B82/Acciones!B81 -1</f>
        <v>5.0281493120381215E-2</v>
      </c>
      <c r="C81" s="4">
        <f>Acciones!C82/Acciones!C81 -1</f>
        <v>1.1401984457640513E-2</v>
      </c>
      <c r="D81" s="4">
        <f>Acciones!D82/Acciones!D81 -1</f>
        <v>-1.0217916530092963E-2</v>
      </c>
      <c r="E81" s="4">
        <f>Acciones!E82/Acciones!E81 -1</f>
        <v>0</v>
      </c>
    </row>
    <row r="82" spans="1:5" x14ac:dyDescent="0.2">
      <c r="A82" s="1">
        <f>Acciones!A83</f>
        <v>45117</v>
      </c>
      <c r="B82" s="4">
        <f>Acciones!B83/Acciones!B82 -1</f>
        <v>-1.8578152003576265E-2</v>
      </c>
      <c r="C82" s="4">
        <f>Acciones!C83/Acciones!C82 -1</f>
        <v>7.9026240088071242E-2</v>
      </c>
      <c r="D82" s="4">
        <f>Acciones!D83/Acciones!D82 -1</f>
        <v>3.9207945291412916E-3</v>
      </c>
      <c r="E82" s="4">
        <f>Acciones!E83/Acciones!E82 -1</f>
        <v>0</v>
      </c>
    </row>
    <row r="83" spans="1:5" x14ac:dyDescent="0.2">
      <c r="A83" s="1">
        <f>Acciones!A84</f>
        <v>45118</v>
      </c>
      <c r="B83" s="4">
        <f>Acciones!B84/Acciones!B83 -1</f>
        <v>2.9123103894355129E-3</v>
      </c>
      <c r="C83" s="4">
        <f>Acciones!C84/Acciones!C83 -1</f>
        <v>2.8392893101300221E-2</v>
      </c>
      <c r="D83" s="4">
        <f>Acciones!D84/Acciones!D83 -1</f>
        <v>2.0649615977607505E-2</v>
      </c>
      <c r="E83" s="4">
        <f>Acciones!E84/Acciones!E83 -1</f>
        <v>0</v>
      </c>
    </row>
    <row r="84" spans="1:5" x14ac:dyDescent="0.2">
      <c r="A84" s="1">
        <f>Acciones!A85</f>
        <v>45119</v>
      </c>
      <c r="B84" s="4">
        <f>Acciones!B85/Acciones!B84 -1</f>
        <v>6.8965142297265913E-3</v>
      </c>
      <c r="C84" s="4">
        <f>Acciones!C85/Acciones!C84 -1</f>
        <v>-3.8240808083386368E-2</v>
      </c>
      <c r="D84" s="4">
        <f>Acciones!D85/Acciones!D84 -1</f>
        <v>-9.4002089986722215E-3</v>
      </c>
      <c r="E84" s="4">
        <f>Acciones!E85/Acciones!E84 -1</f>
        <v>0</v>
      </c>
    </row>
    <row r="85" spans="1:5" x14ac:dyDescent="0.2">
      <c r="A85" s="1">
        <f>Acciones!A86</f>
        <v>45120</v>
      </c>
      <c r="B85" s="4">
        <f>Acciones!B86/Acciones!B85 -1</f>
        <v>-1.3698556171886977E-2</v>
      </c>
      <c r="C85" s="4">
        <f>Acciones!C86/Acciones!C85 -1</f>
        <v>0.1399542820031856</v>
      </c>
      <c r="D85" s="4">
        <f>Acciones!D86/Acciones!D85 -1</f>
        <v>3.854503718936364E-5</v>
      </c>
      <c r="E85" s="4">
        <f>Acciones!E86/Acciones!E85 -1</f>
        <v>1.6949136104438045E-2</v>
      </c>
    </row>
    <row r="86" spans="1:5" x14ac:dyDescent="0.2">
      <c r="A86" s="1">
        <f>Acciones!A87</f>
        <v>45121</v>
      </c>
      <c r="B86" s="4">
        <f>Acciones!B87/Acciones!B86 -1</f>
        <v>-2.5950345015745335E-2</v>
      </c>
      <c r="C86" s="4">
        <f>Acciones!C87/Acciones!C86 -1</f>
        <v>-6.4125811757933082E-2</v>
      </c>
      <c r="D86" s="4">
        <f>Acciones!D87/Acciones!D86 -1</f>
        <v>-4.9451443869691358E-3</v>
      </c>
      <c r="E86" s="4">
        <f>Acciones!E87/Acciones!E86 -1</f>
        <v>0</v>
      </c>
    </row>
    <row r="87" spans="1:5" x14ac:dyDescent="0.2">
      <c r="A87" s="1">
        <f>Acciones!A88</f>
        <v>45124</v>
      </c>
      <c r="B87" s="4">
        <f>Acciones!B88/Acciones!B87 -1</f>
        <v>2.251382933781354E-3</v>
      </c>
      <c r="C87" s="4">
        <f>Acciones!C88/Acciones!C87 -1</f>
        <v>-4.7598688225999886E-2</v>
      </c>
      <c r="D87" s="4">
        <f>Acciones!D88/Acciones!D87 -1</f>
        <v>5.5218814795106042E-3</v>
      </c>
      <c r="E87" s="4">
        <f>Acciones!E88/Acciones!E87 -1</f>
        <v>0</v>
      </c>
    </row>
    <row r="88" spans="1:5" x14ac:dyDescent="0.2">
      <c r="A88" s="1">
        <f>Acciones!A89</f>
        <v>45125</v>
      </c>
      <c r="B88" s="4">
        <f>Acciones!B89/Acciones!B88 -1</f>
        <v>-3.7434970946625956E-4</v>
      </c>
      <c r="C88" s="4">
        <f>Acciones!C89/Acciones!C88 -1</f>
        <v>-2.6836559411565375E-2</v>
      </c>
      <c r="D88" s="4">
        <f>Acciones!D89/Acciones!D88 -1</f>
        <v>8.3908883329446571E-3</v>
      </c>
      <c r="E88" s="4">
        <f>Acciones!E89/Acciones!E88 -1</f>
        <v>0</v>
      </c>
    </row>
    <row r="89" spans="1:5" x14ac:dyDescent="0.2">
      <c r="A89" s="1">
        <f>Acciones!A90</f>
        <v>45126</v>
      </c>
      <c r="B89" s="4">
        <f>Acciones!B90/Acciones!B89 -1</f>
        <v>0</v>
      </c>
      <c r="C89" s="4">
        <f>Acciones!C90/Acciones!C89 -1</f>
        <v>4.9652149877522422E-2</v>
      </c>
      <c r="D89" s="4">
        <f>Acciones!D90/Acciones!D89 -1</f>
        <v>3.3709622556525876E-3</v>
      </c>
      <c r="E89" s="4">
        <f>Acciones!E90/Acciones!E89 -1</f>
        <v>0</v>
      </c>
    </row>
    <row r="90" spans="1:5" x14ac:dyDescent="0.2">
      <c r="A90" s="1">
        <f>Acciones!A91</f>
        <v>45127</v>
      </c>
      <c r="B90" s="4">
        <f>Acciones!B91/Acciones!B90 -1</f>
        <v>-1.6104885069124775E-2</v>
      </c>
      <c r="C90" s="4">
        <f>Acciones!C91/Acciones!C90 -1</f>
        <v>-3.2730321811604401E-2</v>
      </c>
      <c r="D90" s="4">
        <f>Acciones!D91/Acciones!D90 -1</f>
        <v>-1.3943071820036734E-2</v>
      </c>
      <c r="E90" s="4">
        <f>Acciones!E91/Acciones!E90 -1</f>
        <v>0</v>
      </c>
    </row>
    <row r="91" spans="1:5" x14ac:dyDescent="0.2">
      <c r="A91" s="1">
        <f>Acciones!A92</f>
        <v>45128</v>
      </c>
      <c r="B91" s="4">
        <f>Acciones!B92/Acciones!B91 -1</f>
        <v>-4.5679761809072073E-3</v>
      </c>
      <c r="C91" s="4">
        <f>Acciones!C92/Acciones!C91 -1</f>
        <v>3.6353969333293712E-3</v>
      </c>
      <c r="D91" s="4">
        <f>Acciones!D92/Acciones!D91 -1</f>
        <v>1.4277763765350837E-2</v>
      </c>
      <c r="E91" s="4">
        <f>Acciones!E92/Acciones!E91 -1</f>
        <v>-3.3333301544199445E-3</v>
      </c>
    </row>
    <row r="92" spans="1:5" x14ac:dyDescent="0.2">
      <c r="A92" s="1">
        <f>Acciones!A93</f>
        <v>45131</v>
      </c>
      <c r="B92" s="4">
        <f>Acciones!B93/Acciones!B92 -1</f>
        <v>-5.7361148758645619E-3</v>
      </c>
      <c r="C92" s="4">
        <f>Acciones!C93/Acciones!C92 -1</f>
        <v>-4.2144043061131287E-2</v>
      </c>
      <c r="D92" s="4">
        <f>Acciones!D93/Acciones!D92 -1</f>
        <v>2.8654890375507946E-3</v>
      </c>
      <c r="E92" s="4">
        <f>Acciones!E93/Acciones!E92 -1</f>
        <v>0</v>
      </c>
    </row>
    <row r="93" spans="1:5" x14ac:dyDescent="0.2">
      <c r="A93" s="1">
        <f>Acciones!A94</f>
        <v>45132</v>
      </c>
      <c r="B93" s="4">
        <f>Acciones!B94/Acciones!B93 -1</f>
        <v>2.6923176928654868E-3</v>
      </c>
      <c r="C93" s="4">
        <f>Acciones!C94/Acciones!C93 -1</f>
        <v>-3.636453218602842E-4</v>
      </c>
      <c r="D93" s="4">
        <f>Acciones!D94/Acciones!D93 -1</f>
        <v>-7.2349727181402201E-3</v>
      </c>
      <c r="E93" s="4">
        <f>Acciones!E94/Acciones!E93 -1</f>
        <v>0</v>
      </c>
    </row>
    <row r="94" spans="1:5" x14ac:dyDescent="0.2">
      <c r="A94" s="1">
        <f>Acciones!A95</f>
        <v>45133</v>
      </c>
      <c r="B94" s="4">
        <f>Acciones!B95/Acciones!B94 -1</f>
        <v>-1.5343141494659207E-3</v>
      </c>
      <c r="C94" s="4">
        <f>Acciones!C95/Acciones!C94 -1</f>
        <v>2.942779902558379E-2</v>
      </c>
      <c r="D94" s="4">
        <f>Acciones!D95/Acciones!D94 -1</f>
        <v>4.0172029521265973E-3</v>
      </c>
      <c r="E94" s="4">
        <f>Acciones!E95/Acciones!E94 -1</f>
        <v>0</v>
      </c>
    </row>
    <row r="95" spans="1:5" x14ac:dyDescent="0.2">
      <c r="A95" s="1">
        <f>Acciones!A96</f>
        <v>45134</v>
      </c>
      <c r="B95" s="4">
        <f>Acciones!B96/Acciones!B95 -1</f>
        <v>-8.0677218034473919E-3</v>
      </c>
      <c r="C95" s="4">
        <f>Acciones!C96/Acciones!C95 -1</f>
        <v>-4.770318021201414E-2</v>
      </c>
      <c r="D95" s="4">
        <f>Acciones!D96/Acciones!D95 -1</f>
        <v>-1.2486374286432733E-2</v>
      </c>
      <c r="E95" s="4">
        <f>Acciones!E96/Acciones!E95 -1</f>
        <v>0</v>
      </c>
    </row>
    <row r="96" spans="1:5" x14ac:dyDescent="0.2">
      <c r="A96" s="1">
        <f>Acciones!A97</f>
        <v>45135</v>
      </c>
      <c r="B96" s="4">
        <f>Acciones!B97/Acciones!B96 -1</f>
        <v>2.4012529448696585E-2</v>
      </c>
      <c r="C96" s="4">
        <f>Acciones!C97/Acciones!C96 -1</f>
        <v>3.7031580654278251E-2</v>
      </c>
      <c r="D96" s="4">
        <f>Acciones!D97/Acciones!D96 -1</f>
        <v>-6.0418097000194404E-3</v>
      </c>
      <c r="E96" s="4">
        <f>Acciones!E97/Acciones!E96 -1</f>
        <v>2.0066870430825334E-2</v>
      </c>
    </row>
    <row r="97" spans="1:5" x14ac:dyDescent="0.2">
      <c r="A97" s="1">
        <f>Acciones!A98</f>
        <v>45138</v>
      </c>
      <c r="B97" s="4">
        <f>Acciones!B98/Acciones!B97 -1</f>
        <v>1.0589900820060727E-2</v>
      </c>
      <c r="C97" s="4">
        <f>Acciones!C98/Acciones!C97 -1</f>
        <v>4.0897353035885375E-2</v>
      </c>
      <c r="D97" s="4">
        <f>Acciones!D98/Acciones!D97 -1</f>
        <v>2.184169252092083E-2</v>
      </c>
      <c r="E97" s="4">
        <f>Acciones!E98/Acciones!E97 -1</f>
        <v>0</v>
      </c>
    </row>
    <row r="98" spans="1:5" x14ac:dyDescent="0.2">
      <c r="A98" s="1">
        <f>Acciones!A99</f>
        <v>45139</v>
      </c>
      <c r="B98" s="4">
        <f>Acciones!B99/Acciones!B98 -1</f>
        <v>-1.4970051488669922E-2</v>
      </c>
      <c r="C98" s="4">
        <f>Acciones!C99/Acciones!C98 -1</f>
        <v>-2.2790570277238298E-2</v>
      </c>
      <c r="D98" s="4">
        <f>Acciones!D99/Acciones!D98 -1</f>
        <v>2.706924498450114E-4</v>
      </c>
      <c r="E98" s="4">
        <f>Acciones!E99/Acciones!E98 -1</f>
        <v>0</v>
      </c>
    </row>
    <row r="99" spans="1:5" x14ac:dyDescent="0.2">
      <c r="A99" s="1">
        <f>Acciones!A100</f>
        <v>45140</v>
      </c>
      <c r="B99" s="4">
        <f>Acciones!B100/Acciones!B99 -1</f>
        <v>-4.5972575918778791E-2</v>
      </c>
      <c r="C99" s="4">
        <f>Acciones!C100/Acciones!C99 -1</f>
        <v>-1.3156009041911498E-2</v>
      </c>
      <c r="D99" s="4">
        <f>Acciones!D100/Acciones!D99 -1</f>
        <v>-4.3289796656035273E-3</v>
      </c>
      <c r="E99" s="4">
        <f>Acciones!E100/Acciones!E99 -1</f>
        <v>0</v>
      </c>
    </row>
    <row r="100" spans="1:5" x14ac:dyDescent="0.2">
      <c r="A100" s="1">
        <f>Acciones!A101</f>
        <v>45141</v>
      </c>
      <c r="B100" s="4">
        <f>Acciones!B101/Acciones!B100 -1</f>
        <v>1.9911768183904499E-3</v>
      </c>
      <c r="C100" s="4">
        <f>Acciones!C101/Acciones!C100 -1</f>
        <v>2.3062668509429285E-2</v>
      </c>
      <c r="D100" s="4">
        <f>Acciones!D101/Acciones!D100 -1</f>
        <v>1.6586862276248837E-2</v>
      </c>
      <c r="E100" s="4">
        <f>Acciones!E101/Acciones!E100 -1</f>
        <v>0</v>
      </c>
    </row>
    <row r="101" spans="1:5" x14ac:dyDescent="0.2">
      <c r="A101" s="1">
        <f>Acciones!A102</f>
        <v>45142</v>
      </c>
      <c r="B101" s="4">
        <f>Acciones!B102/Acciones!B101 -1</f>
        <v>3.6963561440465753E-2</v>
      </c>
      <c r="C101" s="4">
        <f>Acciones!C102/Acciones!C101 -1</f>
        <v>-5.4214128529177175E-2</v>
      </c>
      <c r="D101" s="4">
        <f>Acciones!D102/Acciones!D101 -1</f>
        <v>-2.7789847752346386E-4</v>
      </c>
      <c r="E101" s="4">
        <f>Acciones!E102/Acciones!E101 -1</f>
        <v>-1.6393427245239289E-2</v>
      </c>
    </row>
    <row r="102" spans="1:5" x14ac:dyDescent="0.2">
      <c r="A102" s="1">
        <f>Acciones!A103</f>
        <v>45145</v>
      </c>
      <c r="B102" s="4">
        <f>Acciones!B103/Acciones!B102 -1</f>
        <v>1.7631163118049686E-2</v>
      </c>
      <c r="C102" s="4">
        <f>Acciones!C103/Acciones!C102 -1</f>
        <v>-6.2000428561439946E-2</v>
      </c>
      <c r="D102" s="4">
        <f>Acciones!D103/Acciones!D102 -1</f>
        <v>4.8127902877428408E-3</v>
      </c>
      <c r="E102" s="4">
        <f>Acciones!E103/Acciones!E102 -1</f>
        <v>0</v>
      </c>
    </row>
    <row r="103" spans="1:5" x14ac:dyDescent="0.2">
      <c r="A103" s="1">
        <f>Acciones!A104</f>
        <v>45146</v>
      </c>
      <c r="B103" s="4">
        <f>Acciones!B104/Acciones!B103 -1</f>
        <v>-2.3728826222243482E-2</v>
      </c>
      <c r="C103" s="4">
        <f>Acciones!C104/Acciones!C103 -1</f>
        <v>5.9461216474652412E-2</v>
      </c>
      <c r="D103" s="4">
        <f>Acciones!D104/Acciones!D103 -1</f>
        <v>-7.450761908751824E-3</v>
      </c>
      <c r="E103" s="4">
        <f>Acciones!E104/Acciones!E103 -1</f>
        <v>2.9999971389770064E-2</v>
      </c>
    </row>
    <row r="104" spans="1:5" x14ac:dyDescent="0.2">
      <c r="A104" s="1">
        <f>Acciones!A105</f>
        <v>45147</v>
      </c>
      <c r="B104" s="4">
        <f>Acciones!B105/Acciones!B104 -1</f>
        <v>-1.7746879898374757E-2</v>
      </c>
      <c r="C104" s="4">
        <f>Acciones!C105/Acciones!C104 -1</f>
        <v>-1.3567628742636506E-2</v>
      </c>
      <c r="D104" s="4">
        <f>Acciones!D105/Acciones!D104 -1</f>
        <v>-2.6702992732065001E-3</v>
      </c>
      <c r="E104" s="4">
        <f>Acciones!E105/Acciones!E104 -1</f>
        <v>3.2362429582584173E-3</v>
      </c>
    </row>
    <row r="105" spans="1:5" x14ac:dyDescent="0.2">
      <c r="A105" s="1">
        <f>Acciones!A106</f>
        <v>45148</v>
      </c>
      <c r="B105" s="4">
        <f>Acciones!B106/Acciones!B105 -1</f>
        <v>-1.2568759377001748E-2</v>
      </c>
      <c r="C105" s="4">
        <f>Acciones!C106/Acciones!C105 -1</f>
        <v>-7.6662941327920286E-2</v>
      </c>
      <c r="D105" s="4">
        <f>Acciones!D106/Acciones!D105 -1</f>
        <v>-1.0704200841509803E-2</v>
      </c>
      <c r="E105" s="4">
        <f>Acciones!E106/Acciones!E105 -1</f>
        <v>0</v>
      </c>
    </row>
    <row r="106" spans="1:5" x14ac:dyDescent="0.2">
      <c r="A106" s="1">
        <f>Acciones!A107</f>
        <v>45149</v>
      </c>
      <c r="B106" s="4">
        <f>Acciones!B107/Acciones!B106 -1</f>
        <v>-9.5465176662837825E-3</v>
      </c>
      <c r="C106" s="4">
        <f>Acciones!C107/Acciones!C106 -1</f>
        <v>9.7680471513339473E-3</v>
      </c>
      <c r="D106" s="4">
        <f>Acciones!D107/Acciones!D106 -1</f>
        <v>-5.9678403262708457E-5</v>
      </c>
      <c r="E106" s="4">
        <f>Acciones!E107/Acciones!E106 -1</f>
        <v>-3.2258034744814923E-2</v>
      </c>
    </row>
    <row r="107" spans="1:5" x14ac:dyDescent="0.2">
      <c r="A107" s="1">
        <f>Acciones!A108</f>
        <v>45152</v>
      </c>
      <c r="B107" s="4">
        <f>Acciones!B108/Acciones!B107 -1</f>
        <v>1.9678706926538059E-2</v>
      </c>
      <c r="C107" s="4">
        <f>Acciones!C108/Acciones!C107 -1</f>
        <v>1.8339329629321277E-2</v>
      </c>
      <c r="D107" s="4">
        <f>Acciones!D108/Acciones!D107 -1</f>
        <v>-5.4185502192810597E-3</v>
      </c>
      <c r="E107" s="4">
        <f>Acciones!E108/Acciones!E107 -1</f>
        <v>-3.3333301544190008E-2</v>
      </c>
    </row>
    <row r="108" spans="1:5" x14ac:dyDescent="0.2">
      <c r="A108" s="1">
        <f>Acciones!A109</f>
        <v>45153</v>
      </c>
      <c r="B108" s="4">
        <f>Acciones!B109/Acciones!B108 -1</f>
        <v>-1.1815628491694041E-2</v>
      </c>
      <c r="C108" s="4">
        <f>Acciones!C109/Acciones!C108 -1</f>
        <v>-4.9792150707196448E-2</v>
      </c>
      <c r="D108" s="4">
        <f>Acciones!D109/Acciones!D108 -1</f>
        <v>-5.4807168769873682E-3</v>
      </c>
      <c r="E108" s="4">
        <f>Acciones!E109/Acciones!E108 -1</f>
        <v>2.4137907220972421E-2</v>
      </c>
    </row>
    <row r="109" spans="1:5" x14ac:dyDescent="0.2">
      <c r="A109" s="1">
        <f>Acciones!A110</f>
        <v>45154</v>
      </c>
      <c r="B109" s="4">
        <f>Acciones!B110/Acciones!B109 -1</f>
        <v>-7.971378803613538E-3</v>
      </c>
      <c r="C109" s="4">
        <f>Acciones!C110/Acciones!C109 -1</f>
        <v>-3.3115391196262278E-2</v>
      </c>
      <c r="D109" s="4">
        <f>Acciones!D110/Acciones!D109 -1</f>
        <v>-4.3682691725580591E-3</v>
      </c>
      <c r="E109" s="4">
        <f>Acciones!E110/Acciones!E109 -1</f>
        <v>1.010100037063566E-2</v>
      </c>
    </row>
    <row r="110" spans="1:5" x14ac:dyDescent="0.2">
      <c r="A110" s="1">
        <f>Acciones!A111</f>
        <v>45155</v>
      </c>
      <c r="B110" s="4">
        <f>Acciones!B111/Acciones!B110 -1</f>
        <v>-6.8300198519345434E-3</v>
      </c>
      <c r="C110" s="4">
        <f>Acciones!C111/Acciones!C110 -1</f>
        <v>-9.3486116684116882E-2</v>
      </c>
      <c r="D110" s="4">
        <f>Acciones!D111/Acciones!D110 -1</f>
        <v>9.8950366723058458E-3</v>
      </c>
      <c r="E110" s="4">
        <f>Acciones!E111/Acciones!E110 -1</f>
        <v>0</v>
      </c>
    </row>
    <row r="111" spans="1:5" x14ac:dyDescent="0.2">
      <c r="A111" s="1">
        <f>Acciones!A112</f>
        <v>45156</v>
      </c>
      <c r="B111" s="4">
        <f>Acciones!B112/Acciones!B111 -1</f>
        <v>8.0906099845501345E-3</v>
      </c>
      <c r="C111" s="4">
        <f>Acciones!C112/Acciones!C111 -1</f>
        <v>-8.7539199359538467E-2</v>
      </c>
      <c r="D111" s="4">
        <f>Acciones!D112/Acciones!D111 -1</f>
        <v>-2.4781874547594285E-2</v>
      </c>
      <c r="E111" s="4">
        <f>Acciones!E112/Acciones!E111 -1</f>
        <v>0</v>
      </c>
    </row>
    <row r="112" spans="1:5" x14ac:dyDescent="0.2">
      <c r="A112" s="1">
        <f>Acciones!A113</f>
        <v>45159</v>
      </c>
      <c r="B112" s="4">
        <f>Acciones!B113/Acciones!B112 -1</f>
        <v>-1.7255315972619756E-2</v>
      </c>
      <c r="C112" s="4">
        <f>Acciones!C113/Acciones!C112 -1</f>
        <v>-2.083333333333337E-2</v>
      </c>
      <c r="D112" s="4">
        <f>Acciones!D113/Acciones!D112 -1</f>
        <v>-1.8463188013486675E-2</v>
      </c>
      <c r="E112" s="4">
        <f>Acciones!E113/Acciones!E112 -1</f>
        <v>-9.9999904632599446E-3</v>
      </c>
    </row>
    <row r="113" spans="1:5" x14ac:dyDescent="0.2">
      <c r="A113" s="1">
        <f>Acciones!A114</f>
        <v>45160</v>
      </c>
      <c r="B113" s="4">
        <f>Acciones!B114/Acciones!B113 -1</f>
        <v>-1.6741390677381118E-2</v>
      </c>
      <c r="C113" s="4">
        <f>Acciones!C114/Acciones!C113 -1</f>
        <v>-1.14361377472606E-2</v>
      </c>
      <c r="D113" s="4">
        <f>Acciones!D114/Acciones!D113 -1</f>
        <v>-2.0654322264654579E-2</v>
      </c>
      <c r="E113" s="4">
        <f>Acciones!E114/Acciones!E113 -1</f>
        <v>-1.010100037063244E-2</v>
      </c>
    </row>
    <row r="114" spans="1:5" x14ac:dyDescent="0.2">
      <c r="A114" s="1">
        <f>Acciones!A115</f>
        <v>45161</v>
      </c>
      <c r="B114" s="4">
        <f>Acciones!B115/Acciones!B114 -1</f>
        <v>5.3156162655464412E-2</v>
      </c>
      <c r="C114" s="4">
        <f>Acciones!C115/Acciones!C114 -1</f>
        <v>6.8657487693214891E-2</v>
      </c>
      <c r="D114" s="4">
        <f>Acciones!D115/Acciones!D114 -1</f>
        <v>-2.6074251288813355E-2</v>
      </c>
      <c r="E114" s="4">
        <f>Acciones!E115/Acciones!E114 -1</f>
        <v>0</v>
      </c>
    </row>
    <row r="115" spans="1:5" x14ac:dyDescent="0.2">
      <c r="A115" s="1">
        <f>Acciones!A116</f>
        <v>45162</v>
      </c>
      <c r="B115" s="4">
        <f>Acciones!B116/Acciones!B115 -1</f>
        <v>-4.889585109012351E-2</v>
      </c>
      <c r="C115" s="4">
        <f>Acciones!C116/Acciones!C115 -1</f>
        <v>-0.11132370244400813</v>
      </c>
      <c r="D115" s="4">
        <f>Acciones!D116/Acciones!D115 -1</f>
        <v>-1.7572506060151483E-2</v>
      </c>
      <c r="E115" s="4">
        <f>Acciones!E116/Acciones!E115 -1</f>
        <v>1.3605428936912078E-2</v>
      </c>
    </row>
    <row r="116" spans="1:5" x14ac:dyDescent="0.2">
      <c r="A116" s="1">
        <f>Acciones!A117</f>
        <v>45163</v>
      </c>
      <c r="B116" s="4">
        <f>Acciones!B117/Acciones!B116 -1</f>
        <v>-1.8242176994056614E-2</v>
      </c>
      <c r="C116" s="4">
        <f>Acciones!C117/Acciones!C116 -1</f>
        <v>3.0594520460736074E-3</v>
      </c>
      <c r="D116" s="4">
        <f>Acciones!D117/Acciones!D116 -1</f>
        <v>8.3404661442321171E-3</v>
      </c>
      <c r="E116" s="4">
        <f>Acciones!E117/Acciones!E116 -1</f>
        <v>0</v>
      </c>
    </row>
    <row r="117" spans="1:5" x14ac:dyDescent="0.2">
      <c r="A117" s="1">
        <f>Acciones!A118</f>
        <v>45166</v>
      </c>
      <c r="B117" s="4">
        <f>Acciones!B118/Acciones!B117 -1</f>
        <v>4.5185879754479741E-2</v>
      </c>
      <c r="C117" s="4">
        <f>Acciones!C118/Acciones!C117 -1</f>
        <v>-1.694463422652337E-4</v>
      </c>
      <c r="D117" s="4">
        <f>Acciones!D118/Acciones!D117 -1</f>
        <v>1.745498248473365E-2</v>
      </c>
      <c r="E117" s="4">
        <f>Acciones!E118/Acciones!E117 -1</f>
        <v>0</v>
      </c>
    </row>
    <row r="118" spans="1:5" x14ac:dyDescent="0.2">
      <c r="A118" s="1">
        <f>Acciones!A119</f>
        <v>45167</v>
      </c>
      <c r="B118" s="4">
        <f>Acciones!B119/Acciones!B118 -1</f>
        <v>2.6262546134366183E-2</v>
      </c>
      <c r="C118" s="4">
        <f>Acciones!C119/Acciones!C118 -1</f>
        <v>0.29930519535880373</v>
      </c>
      <c r="D118" s="4">
        <f>Acciones!D119/Acciones!D118 -1</f>
        <v>1.940629700678187E-2</v>
      </c>
      <c r="E118" s="4">
        <f>Acciones!E119/Acciones!E118 -1</f>
        <v>-3.3557014762600756E-3</v>
      </c>
    </row>
    <row r="119" spans="1:5" x14ac:dyDescent="0.2">
      <c r="A119" s="1">
        <f>Acciones!A120</f>
        <v>45168</v>
      </c>
      <c r="B119" s="4">
        <f>Acciones!B120/Acciones!B119 -1</f>
        <v>3.5432291245411918E-3</v>
      </c>
      <c r="C119" s="4">
        <f>Acciones!C120/Acciones!C119 -1</f>
        <v>-1.7348603843059585E-2</v>
      </c>
      <c r="D119" s="4">
        <f>Acciones!D120/Acciones!D119 -1</f>
        <v>-3.3028178249882023E-3</v>
      </c>
      <c r="E119" s="4">
        <f>Acciones!E120/Acciones!E119 -1</f>
        <v>1.010100037063566E-2</v>
      </c>
    </row>
    <row r="120" spans="1:5" x14ac:dyDescent="0.2">
      <c r="A120" s="1">
        <f>Acciones!A121</f>
        <v>45169</v>
      </c>
      <c r="B120" s="4">
        <f>Acciones!B121/Acciones!B120 -1</f>
        <v>-8.6307434432911778E-3</v>
      </c>
      <c r="C120" s="4">
        <f>Acciones!C121/Acciones!C120 -1</f>
        <v>-5.3805325938539816E-2</v>
      </c>
      <c r="D120" s="4">
        <f>Acciones!D121/Acciones!D120 -1</f>
        <v>1.1104499756581898E-2</v>
      </c>
      <c r="E120" s="4">
        <f>Acciones!E121/Acciones!E120 -1</f>
        <v>-3.6666631698610064E-2</v>
      </c>
    </row>
    <row r="121" spans="1:5" x14ac:dyDescent="0.2">
      <c r="A121" s="1">
        <f>Acciones!A122</f>
        <v>45170</v>
      </c>
      <c r="B121" s="4">
        <f>Acciones!B122/Acciones!B121 -1</f>
        <v>3.9572189429399884E-3</v>
      </c>
      <c r="C121" s="4">
        <f>Acciones!C122/Acciones!C121 -1</f>
        <v>-4.1339302699584191E-2</v>
      </c>
      <c r="D121" s="4">
        <f>Acciones!D122/Acciones!D121 -1</f>
        <v>9.1752604458561482E-3</v>
      </c>
      <c r="E121" s="4">
        <f>Acciones!E122/Acciones!E121 -1</f>
        <v>-1.3840899245550875E-2</v>
      </c>
    </row>
    <row r="122" spans="1:5" x14ac:dyDescent="0.2">
      <c r="A122" s="1">
        <f>Acciones!A123</f>
        <v>45173</v>
      </c>
      <c r="B122" s="4">
        <f>Acciones!B123/Acciones!B122 -1</f>
        <v>1.1825262165094941E-3</v>
      </c>
      <c r="C122" s="4">
        <f>Acciones!C123/Acciones!C122 -1</f>
        <v>4.9756082674351054E-2</v>
      </c>
      <c r="D122" s="4">
        <f>Acciones!D123/Acciones!D122 -1</f>
        <v>-8.6678813242657693E-3</v>
      </c>
      <c r="E122" s="4">
        <f>Acciones!E123/Acciones!E122 -1</f>
        <v>0</v>
      </c>
    </row>
    <row r="123" spans="1:5" x14ac:dyDescent="0.2">
      <c r="A123" s="1">
        <f>Acciones!A124</f>
        <v>45174</v>
      </c>
      <c r="B123" s="4">
        <f>Acciones!B124/Acciones!B123 -1</f>
        <v>1.4173314936121617E-2</v>
      </c>
      <c r="C123" s="4">
        <f>Acciones!C124/Acciones!C123 -1</f>
        <v>-2.5139422578203674E-2</v>
      </c>
      <c r="D123" s="4">
        <f>Acciones!D124/Acciones!D123 -1</f>
        <v>6.4322505775218364E-3</v>
      </c>
      <c r="E123" s="4">
        <f>Acciones!E124/Acciones!E123 -1</f>
        <v>0</v>
      </c>
    </row>
    <row r="124" spans="1:5" x14ac:dyDescent="0.2">
      <c r="A124" s="1">
        <f>Acciones!A125</f>
        <v>45175</v>
      </c>
      <c r="B124" s="4">
        <f>Acciones!B125/Acciones!B124 -1</f>
        <v>1.9408548813195647E-3</v>
      </c>
      <c r="C124" s="4">
        <f>Acciones!C125/Acciones!C124 -1</f>
        <v>1.8351714699113453E-2</v>
      </c>
      <c r="D124" s="4">
        <f>Acciones!D125/Acciones!D124 -1</f>
        <v>-2.872478270528056E-4</v>
      </c>
      <c r="E124" s="4">
        <f>Acciones!E125/Acciones!E124 -1</f>
        <v>-1.7543843505049561E-2</v>
      </c>
    </row>
    <row r="125" spans="1:5" x14ac:dyDescent="0.2">
      <c r="A125" s="1">
        <f>Acciones!A126</f>
        <v>45176</v>
      </c>
      <c r="B125" s="4">
        <f>Acciones!B126/Acciones!B125 -1</f>
        <v>-9.2987003087510178E-3</v>
      </c>
      <c r="C125" s="4">
        <f>Acciones!C126/Acciones!C125 -1</f>
        <v>1.9003920474597757E-2</v>
      </c>
      <c r="D125" s="4">
        <f>Acciones!D126/Acciones!D125 -1</f>
        <v>-8.8568336222221156E-3</v>
      </c>
      <c r="E125" s="4">
        <f>Acciones!E126/Acciones!E125 -1</f>
        <v>4.2857187864732138E-2</v>
      </c>
    </row>
    <row r="126" spans="1:5" x14ac:dyDescent="0.2">
      <c r="A126" s="1">
        <f>Acciones!A127</f>
        <v>45177</v>
      </c>
      <c r="B126" s="4">
        <f>Acciones!B127/Acciones!B126 -1</f>
        <v>2.5420418944231304E-2</v>
      </c>
      <c r="C126" s="4">
        <f>Acciones!C127/Acciones!C126 -1</f>
        <v>-0.12168116952556951</v>
      </c>
      <c r="D126" s="4">
        <f>Acciones!D127/Acciones!D126 -1</f>
        <v>-2.6716432361447717E-3</v>
      </c>
      <c r="E126" s="4">
        <f>Acciones!E127/Acciones!E126 -1</f>
        <v>6.8493083575169589E-3</v>
      </c>
    </row>
    <row r="127" spans="1:5" x14ac:dyDescent="0.2">
      <c r="A127" s="1">
        <f>Acciones!A128</f>
        <v>45180</v>
      </c>
      <c r="B127" s="4">
        <f>Acciones!B128/Acciones!B127 -1</f>
        <v>1.4492752504415618E-2</v>
      </c>
      <c r="C127" s="4">
        <f>Acciones!C128/Acciones!C127 -1</f>
        <v>-9.0476452300147003E-2</v>
      </c>
      <c r="D127" s="4">
        <f>Acciones!D128/Acciones!D127 -1</f>
        <v>-2.9250305823448897E-2</v>
      </c>
      <c r="E127" s="4">
        <f>Acciones!E128/Acciones!E127 -1</f>
        <v>0</v>
      </c>
    </row>
    <row r="128" spans="1:5" x14ac:dyDescent="0.2">
      <c r="A128" s="1">
        <f>Acciones!A129</f>
        <v>45181</v>
      </c>
      <c r="B128" s="4">
        <f>Acciones!B129/Acciones!B128 -1</f>
        <v>-1.052635503727184E-2</v>
      </c>
      <c r="C128" s="4">
        <f>Acciones!C129/Acciones!C128 -1</f>
        <v>6.2675884936944648E-3</v>
      </c>
      <c r="D128" s="4">
        <f>Acciones!D129/Acciones!D128 -1</f>
        <v>-7.7454759201133205E-3</v>
      </c>
      <c r="E128" s="4">
        <f>Acciones!E129/Acciones!E128 -1</f>
        <v>-4.7619082373940302E-2</v>
      </c>
    </row>
    <row r="129" spans="1:5" x14ac:dyDescent="0.2">
      <c r="A129" s="1">
        <f>Acciones!A130</f>
        <v>45182</v>
      </c>
      <c r="B129" s="4">
        <f>Acciones!B130/Acciones!B129 -1</f>
        <v>-3.0395042578806097E-2</v>
      </c>
      <c r="C129" s="4">
        <f>Acciones!C130/Acciones!C129 -1</f>
        <v>-1.7142857142857126E-2</v>
      </c>
      <c r="D129" s="4">
        <f>Acciones!D130/Acciones!D129 -1</f>
        <v>1.8911485364471847E-2</v>
      </c>
      <c r="E129" s="4">
        <f>Acciones!E130/Acciones!E129 -1</f>
        <v>0</v>
      </c>
    </row>
    <row r="130" spans="1:5" x14ac:dyDescent="0.2">
      <c r="A130" s="1">
        <f>Acciones!A131</f>
        <v>45183</v>
      </c>
      <c r="B130" s="4">
        <f>Acciones!B131/Acciones!B130 -1</f>
        <v>3.0564250891400802E-2</v>
      </c>
      <c r="C130" s="4">
        <f>Acciones!C131/Acciones!C130 -1</f>
        <v>2.3251910541843834E-4</v>
      </c>
      <c r="D130" s="4">
        <f>Acciones!D131/Acciones!D130 -1</f>
        <v>-1.3036597752273726E-2</v>
      </c>
      <c r="E130" s="4">
        <f>Acciones!E131/Acciones!E130 -1</f>
        <v>0</v>
      </c>
    </row>
    <row r="131" spans="1:5" x14ac:dyDescent="0.2">
      <c r="A131" s="1">
        <f>Acciones!A132</f>
        <v>45184</v>
      </c>
      <c r="B131" s="4">
        <f>Acciones!B132/Acciones!B131 -1</f>
        <v>-2.2433564689845031E-2</v>
      </c>
      <c r="C131" s="4">
        <f>Acciones!C132/Acciones!C131 -1</f>
        <v>-2.9295474789688081E-2</v>
      </c>
      <c r="D131" s="4">
        <f>Acciones!D132/Acciones!D131 -1</f>
        <v>-1.5086819127409945E-2</v>
      </c>
      <c r="E131" s="4">
        <f>Acciones!E132/Acciones!E131 -1</f>
        <v>-3.5714252262699531E-2</v>
      </c>
    </row>
    <row r="132" spans="1:5" x14ac:dyDescent="0.2">
      <c r="A132" s="1">
        <f>Acciones!A133</f>
        <v>45187</v>
      </c>
      <c r="B132" s="4">
        <f>Acciones!B133/Acciones!B132 -1</f>
        <v>-9.3348682952462125E-3</v>
      </c>
      <c r="C132" s="4">
        <f>Acciones!C133/Acciones!C132 -1</f>
        <v>0</v>
      </c>
      <c r="D132" s="4">
        <f>Acciones!D133/Acciones!D132 -1</f>
        <v>-2.5945717063162732E-3</v>
      </c>
      <c r="E132" s="4">
        <f>Acciones!E133/Acciones!E132 -1</f>
        <v>-3.7037001061680508E-3</v>
      </c>
    </row>
    <row r="133" spans="1:5" x14ac:dyDescent="0.2">
      <c r="A133" s="1">
        <f>Acciones!A134</f>
        <v>45188</v>
      </c>
      <c r="B133" s="4">
        <f>Acciones!B134/Acciones!B133 -1</f>
        <v>7.0672212090883146E-3</v>
      </c>
      <c r="C133" s="4">
        <f>Acciones!C134/Acciones!C133 -1</f>
        <v>-1.514969328920357E-2</v>
      </c>
      <c r="D133" s="4">
        <f>Acciones!D134/Acciones!D133 -1</f>
        <v>-1.3763666950790565E-2</v>
      </c>
      <c r="E133" s="4">
        <f>Acciones!E134/Acciones!E133 -1</f>
        <v>-3.3457305083066213E-2</v>
      </c>
    </row>
    <row r="134" spans="1:5" x14ac:dyDescent="0.2">
      <c r="A134" s="1">
        <f>Acciones!A135</f>
        <v>45189</v>
      </c>
      <c r="B134" s="4">
        <f>Acciones!B135/Acciones!B134 -1</f>
        <v>-1.8323586652347679E-2</v>
      </c>
      <c r="C134" s="4">
        <f>Acciones!C135/Acciones!C134 -1</f>
        <v>-3.2832698099386048E-2</v>
      </c>
      <c r="D134" s="4">
        <f>Acciones!D135/Acciones!D134 -1</f>
        <v>-5.5413302724193203E-3</v>
      </c>
      <c r="E134" s="4">
        <f>Acciones!E135/Acciones!E134 -1</f>
        <v>-3.8461503192513513E-2</v>
      </c>
    </row>
    <row r="135" spans="1:5" x14ac:dyDescent="0.2">
      <c r="A135" s="1">
        <f>Acciones!A136</f>
        <v>45190</v>
      </c>
      <c r="B135" s="4">
        <f>Acciones!B136/Acciones!B135 -1</f>
        <v>5.1627318380167431E-3</v>
      </c>
      <c r="C135" s="4">
        <f>Acciones!C136/Acciones!C135 -1</f>
        <v>5.8464363673942366E-3</v>
      </c>
      <c r="D135" s="4">
        <f>Acciones!D136/Acciones!D135 -1</f>
        <v>-1.5664961247025766E-2</v>
      </c>
      <c r="E135" s="4">
        <f>Acciones!E136/Acciones!E135 -1</f>
        <v>-1.1999988555911889E-2</v>
      </c>
    </row>
    <row r="136" spans="1:5" x14ac:dyDescent="0.2">
      <c r="A136" s="1">
        <f>Acciones!A137</f>
        <v>45191</v>
      </c>
      <c r="B136" s="4">
        <f>Acciones!B137/Acciones!B136 -1</f>
        <v>7.5068741038750719E-3</v>
      </c>
      <c r="C136" s="4">
        <f>Acciones!C137/Acciones!C136 -1</f>
        <v>-6.4875030517581367E-2</v>
      </c>
      <c r="D136" s="4">
        <f>Acciones!D137/Acciones!D136 -1</f>
        <v>-1.2953865089623484E-2</v>
      </c>
      <c r="E136" s="4">
        <f>Acciones!E137/Acciones!E136 -1</f>
        <v>-2.8340053616184302E-2</v>
      </c>
    </row>
    <row r="137" spans="1:5" x14ac:dyDescent="0.2">
      <c r="A137" s="1">
        <f>Acciones!A138</f>
        <v>45194</v>
      </c>
      <c r="B137" s="4">
        <f>Acciones!B138/Acciones!B137 -1</f>
        <v>-1.0196049358291992E-2</v>
      </c>
      <c r="C137" s="4">
        <f>Acciones!C138/Acciones!C137 -1</f>
        <v>-8.0199920534018698E-4</v>
      </c>
      <c r="D137" s="4">
        <f>Acciones!D138/Acciones!D137 -1</f>
        <v>3.2604917072516892E-2</v>
      </c>
      <c r="E137" s="4">
        <f>Acciones!E138/Acciones!E137 -1</f>
        <v>0</v>
      </c>
    </row>
    <row r="138" spans="1:5" x14ac:dyDescent="0.2">
      <c r="A138" s="1">
        <f>Acciones!A139</f>
        <v>45195</v>
      </c>
      <c r="B138" s="4">
        <f>Acciones!B139/Acciones!B138 -1</f>
        <v>1.8621238007672902E-2</v>
      </c>
      <c r="C138" s="4">
        <f>Acciones!C139/Acciones!C138 -1</f>
        <v>-3.0769271595424752E-2</v>
      </c>
      <c r="D138" s="4">
        <f>Acciones!D139/Acciones!D138 -1</f>
        <v>-1.699777567605798E-2</v>
      </c>
      <c r="E138" s="4">
        <f>Acciones!E139/Acciones!E138 -1</f>
        <v>-6.2500037252900764E-2</v>
      </c>
    </row>
    <row r="139" spans="1:5" x14ac:dyDescent="0.2">
      <c r="A139" s="1">
        <f>Acciones!A140</f>
        <v>45196</v>
      </c>
      <c r="B139" s="4">
        <f>Acciones!B140/Acciones!B139 -1</f>
        <v>-1.9447635721198564E-2</v>
      </c>
      <c r="C139" s="4">
        <f>Acciones!C140/Acciones!C139 -1</f>
        <v>-1.614904372986159E-2</v>
      </c>
      <c r="D139" s="4">
        <f>Acciones!D140/Acciones!D139 -1</f>
        <v>-2.5253600440440227E-3</v>
      </c>
      <c r="E139" s="4">
        <f>Acciones!E140/Acciones!E139 -1</f>
        <v>-8.8888910081653227E-2</v>
      </c>
    </row>
    <row r="140" spans="1:5" x14ac:dyDescent="0.2">
      <c r="A140" s="1">
        <f>Acciones!A141</f>
        <v>45197</v>
      </c>
      <c r="B140" s="4">
        <f>Acciones!B141/Acciones!B140 -1</f>
        <v>2.7766863046201351E-3</v>
      </c>
      <c r="C140" s="4">
        <f>Acciones!C141/Acciones!C140 -1</f>
        <v>6.6217751143879511E-2</v>
      </c>
      <c r="D140" s="4">
        <f>Acciones!D141/Acciones!D140 -1</f>
        <v>-9.4294866213151529E-4</v>
      </c>
      <c r="E140" s="4">
        <f>Acciones!E141/Acciones!E140 -1</f>
        <v>-4.8780442418830727E-2</v>
      </c>
    </row>
    <row r="141" spans="1:5" x14ac:dyDescent="0.2">
      <c r="A141" s="1">
        <f>Acciones!A142</f>
        <v>45198</v>
      </c>
      <c r="B141" s="4">
        <f>Acciones!B142/Acciones!B141 -1</f>
        <v>-7.1202568384645115E-3</v>
      </c>
      <c r="C141" s="4">
        <f>Acciones!C142/Acciones!C141 -1</f>
        <v>-3.289473684210531E-2</v>
      </c>
      <c r="D141" s="4">
        <f>Acciones!D142/Acciones!D141 -1</f>
        <v>5.7959618097380261E-2</v>
      </c>
      <c r="E141" s="4">
        <f>Acciones!E142/Acciones!E141 -1</f>
        <v>1.0256400224331719E-2</v>
      </c>
    </row>
    <row r="142" spans="1:5" x14ac:dyDescent="0.2">
      <c r="A142" s="1">
        <f>Acciones!A143</f>
        <v>45201</v>
      </c>
      <c r="B142" s="4">
        <f>Acciones!B143/Acciones!B142 -1</f>
        <v>2.0318708778829242E-2</v>
      </c>
      <c r="C142" s="4">
        <f>Acciones!C143/Acciones!C142 -1</f>
        <v>2.7619031010836848E-2</v>
      </c>
      <c r="D142" s="4">
        <f>Acciones!D143/Acciones!D142 -1</f>
        <v>3.7731603552848547E-4</v>
      </c>
      <c r="E142" s="4">
        <f>Acciones!E143/Acciones!E142 -1</f>
        <v>-1.0152274434543695E-2</v>
      </c>
    </row>
    <row r="143" spans="1:5" x14ac:dyDescent="0.2">
      <c r="A143" s="1">
        <f>Acciones!A144</f>
        <v>45202</v>
      </c>
      <c r="B143" s="4">
        <f>Acciones!B144/Acciones!B143 -1</f>
        <v>-2.0304509151998551E-2</v>
      </c>
      <c r="C143" s="4">
        <f>Acciones!C144/Acciones!C143 -1</f>
        <v>-0.13504563899235644</v>
      </c>
      <c r="D143" s="4">
        <f>Acciones!D144/Acciones!D143 -1</f>
        <v>2.0603004656132073E-2</v>
      </c>
      <c r="E143" s="4">
        <f>Acciones!E144/Acciones!E143 -1</f>
        <v>0</v>
      </c>
    </row>
    <row r="144" spans="1:5" x14ac:dyDescent="0.2">
      <c r="A144" s="1">
        <f>Acciones!A145</f>
        <v>45203</v>
      </c>
      <c r="B144" s="4">
        <f>Acciones!B145/Acciones!B144 -1</f>
        <v>-2.6703941513318452E-2</v>
      </c>
      <c r="C144" s="4">
        <f>Acciones!C145/Acciones!C144 -1</f>
        <v>3.4517024188205125E-2</v>
      </c>
      <c r="D144" s="4">
        <f>Acciones!D145/Acciones!D144 -1</f>
        <v>1.3290006504625307E-2</v>
      </c>
      <c r="E144" s="4">
        <f>Acciones!E145/Acciones!E144 -1</f>
        <v>-3.5897461918136364E-2</v>
      </c>
    </row>
    <row r="145" spans="1:5" x14ac:dyDescent="0.2">
      <c r="A145" s="1">
        <f>Acciones!A146</f>
        <v>45204</v>
      </c>
      <c r="B145" s="4">
        <f>Acciones!B146/Acciones!B145 -1</f>
        <v>2.7027152475416871E-2</v>
      </c>
      <c r="C145" s="4">
        <f>Acciones!C146/Acciones!C145 -1</f>
        <v>7.3241511176660445E-3</v>
      </c>
      <c r="D145" s="4">
        <f>Acciones!D146/Acciones!D145 -1</f>
        <v>5.9731260337243519E-3</v>
      </c>
      <c r="E145" s="4">
        <f>Acciones!E146/Acciones!E145 -1</f>
        <v>-5.8510646055378257E-2</v>
      </c>
    </row>
    <row r="146" spans="1:5" x14ac:dyDescent="0.2">
      <c r="A146" s="1">
        <f>Acciones!A147</f>
        <v>45205</v>
      </c>
      <c r="B146" s="4">
        <f>Acciones!B147/Acciones!B146 -1</f>
        <v>2.7511946662826636E-2</v>
      </c>
      <c r="C146" s="4">
        <f>Acciones!C147/Acciones!C146 -1</f>
        <v>5.963568521441398E-2</v>
      </c>
      <c r="D146" s="4">
        <f>Acciones!D147/Acciones!D146 -1</f>
        <v>1.7243734900031171E-2</v>
      </c>
      <c r="E146" s="4">
        <f>Acciones!E147/Acciones!E146 -1</f>
        <v>-4.5197697496122902E-2</v>
      </c>
    </row>
    <row r="147" spans="1:5" x14ac:dyDescent="0.2">
      <c r="A147" s="1">
        <f>Acciones!A148</f>
        <v>45208</v>
      </c>
      <c r="B147" s="4">
        <f>Acciones!B148/Acciones!B147 -1</f>
        <v>-1.3193729153584077E-2</v>
      </c>
      <c r="C147" s="4">
        <f>Acciones!C148/Acciones!C147 -1</f>
        <v>5.3714999068270819E-2</v>
      </c>
      <c r="D147" s="4">
        <f>Acciones!D148/Acciones!D147 -1</f>
        <v>-1.6968529020967571E-3</v>
      </c>
      <c r="E147" s="4">
        <f>Acciones!E148/Acciones!E147 -1</f>
        <v>2.3668615679704796E-2</v>
      </c>
    </row>
    <row r="148" spans="1:5" x14ac:dyDescent="0.2">
      <c r="A148" s="1">
        <f>Acciones!A149</f>
        <v>45209</v>
      </c>
      <c r="B148" s="4">
        <f>Acciones!B149/Acciones!B148 -1</f>
        <v>5.3873398119329341E-2</v>
      </c>
      <c r="C148" s="4">
        <f>Acciones!C149/Acciones!C148 -1</f>
        <v>1.1379305014995511E-2</v>
      </c>
      <c r="D148" s="4">
        <f>Acciones!D149/Acciones!D148 -1</f>
        <v>-8.430723784956129E-3</v>
      </c>
      <c r="E148" s="4">
        <f>Acciones!E149/Acciones!E148 -1</f>
        <v>6.3583822596737116E-2</v>
      </c>
    </row>
    <row r="149" spans="1:5" x14ac:dyDescent="0.2">
      <c r="A149" s="1">
        <f>Acciones!A150</f>
        <v>45210</v>
      </c>
      <c r="B149" s="4">
        <f>Acciones!B150/Acciones!B149 -1</f>
        <v>5.3358278674771942E-2</v>
      </c>
      <c r="C149" s="4">
        <f>Acciones!C150/Acciones!C149 -1</f>
        <v>-8.0189921120905838E-2</v>
      </c>
      <c r="D149" s="4">
        <f>Acciones!D150/Acciones!D149 -1</f>
        <v>1.6457193148826654E-3</v>
      </c>
      <c r="E149" s="4">
        <f>Acciones!E150/Acciones!E149 -1</f>
        <v>2.1739109308368976E-2</v>
      </c>
    </row>
    <row r="150" spans="1:5" x14ac:dyDescent="0.2">
      <c r="A150" s="1">
        <f>Acciones!A151</f>
        <v>45211</v>
      </c>
      <c r="B150" s="4">
        <f>Acciones!B151/Acciones!B150 -1</f>
        <v>-0.10131071638701183</v>
      </c>
      <c r="C150" s="4">
        <f>Acciones!C151/Acciones!C150 -1</f>
        <v>-1.0110957716438218E-2</v>
      </c>
      <c r="D150" s="4">
        <f>Acciones!D151/Acciones!D150 -1</f>
        <v>1.7683973244217777E-2</v>
      </c>
      <c r="E150" s="4">
        <f>Acciones!E151/Acciones!E150 -1</f>
        <v>6.3829789932311032E-2</v>
      </c>
    </row>
    <row r="151" spans="1:5" x14ac:dyDescent="0.2">
      <c r="A151" s="1">
        <f>Acciones!A152</f>
        <v>45212</v>
      </c>
      <c r="B151" s="4">
        <f>Acciones!B152/Acciones!B151 -1</f>
        <v>-7.4891199530113806E-3</v>
      </c>
      <c r="C151" s="4">
        <f>Acciones!C152/Acciones!C151 -1</f>
        <v>-6.9999694824285363E-3</v>
      </c>
      <c r="D151" s="4">
        <f>Acciones!D152/Acciones!D151 -1</f>
        <v>1.2965258226267373E-2</v>
      </c>
      <c r="E151" s="4">
        <f>Acciones!E152/Acciones!E151 -1</f>
        <v>2.4999976158140091E-2</v>
      </c>
    </row>
    <row r="152" spans="1:5" x14ac:dyDescent="0.2">
      <c r="A152" s="1">
        <f>Acciones!A153</f>
        <v>45215</v>
      </c>
      <c r="B152" s="4">
        <f>Acciones!B153/Acciones!B152 -1</f>
        <v>1.3502795307481108E-2</v>
      </c>
      <c r="C152" s="4">
        <f>Acciones!C153/Acciones!C152 -1</f>
        <v>4.5173346182532548E-2</v>
      </c>
      <c r="D152" s="4">
        <f>Acciones!D153/Acciones!D152 -1</f>
        <v>1.2666421702680397E-2</v>
      </c>
      <c r="E152" s="4">
        <f>Acciones!E153/Acciones!E152 -1</f>
        <v>2.4390221209412699E-2</v>
      </c>
    </row>
    <row r="153" spans="1:5" x14ac:dyDescent="0.2">
      <c r="A153" s="1">
        <f>Acciones!A154</f>
        <v>45216</v>
      </c>
      <c r="B153" s="4">
        <f>Acciones!B154/Acciones!B153 -1</f>
        <v>-1.2539129011286398E-2</v>
      </c>
      <c r="C153" s="4">
        <f>Acciones!C154/Acciones!C153 -1</f>
        <v>4.3977971475835709E-2</v>
      </c>
      <c r="D153" s="4">
        <f>Acciones!D154/Acciones!D153 -1</f>
        <v>5.4590025351368698E-3</v>
      </c>
      <c r="E153" s="4">
        <f>Acciones!E154/Acciones!E153 -1</f>
        <v>0</v>
      </c>
    </row>
    <row r="154" spans="1:5" x14ac:dyDescent="0.2">
      <c r="A154" s="1">
        <f>Acciones!A155</f>
        <v>45217</v>
      </c>
      <c r="B154" s="4">
        <f>Acciones!B155/Acciones!B154 -1</f>
        <v>-2.301586441015635E-2</v>
      </c>
      <c r="C154" s="4">
        <f>Acciones!C155/Acciones!C154 -1</f>
        <v>-7.3966649351442815E-2</v>
      </c>
      <c r="D154" s="4">
        <f>Acciones!D155/Acciones!D154 -1</f>
        <v>3.2570527412207673E-2</v>
      </c>
      <c r="E154" s="4">
        <f>Acciones!E155/Acciones!E154 -1</f>
        <v>-2.3809502184252818E-2</v>
      </c>
    </row>
    <row r="155" spans="1:5" x14ac:dyDescent="0.2">
      <c r="A155" s="1">
        <f>Acciones!A156</f>
        <v>45218</v>
      </c>
      <c r="B155" s="4">
        <f>Acciones!B156/Acciones!B155 -1</f>
        <v>2.8431449360992733E-3</v>
      </c>
      <c r="C155" s="4">
        <f>Acciones!C156/Acciones!C155 -1</f>
        <v>-1.9221490006026132E-3</v>
      </c>
      <c r="D155" s="4">
        <f>Acciones!D156/Acciones!D155 -1</f>
        <v>-7.7581810558818853E-3</v>
      </c>
      <c r="E155" s="4">
        <f>Acciones!E156/Acciones!E155 -1</f>
        <v>2.4390221209412699E-2</v>
      </c>
    </row>
    <row r="156" spans="1:5" x14ac:dyDescent="0.2">
      <c r="A156" s="1">
        <f>Acciones!A157</f>
        <v>45219</v>
      </c>
      <c r="B156" s="4">
        <f>Acciones!B157/Acciones!B156 -1</f>
        <v>-1.6605939257069102E-2</v>
      </c>
      <c r="C156" s="4">
        <f>Acciones!C157/Acciones!C156 -1</f>
        <v>5.7061559855335897E-3</v>
      </c>
      <c r="D156" s="4">
        <f>Acciones!D157/Acciones!D156 -1</f>
        <v>-1.0704459235837072E-2</v>
      </c>
      <c r="E156" s="4">
        <f>Acciones!E157/Acciones!E156 -1</f>
        <v>-9.5238008737003055E-3</v>
      </c>
    </row>
    <row r="157" spans="1:5" x14ac:dyDescent="0.2">
      <c r="A157" s="1">
        <f>Acciones!A158</f>
        <v>45222</v>
      </c>
      <c r="B157" s="4">
        <f>Acciones!B158/Acciones!B157 -1</f>
        <v>7.0016971967319375E-3</v>
      </c>
      <c r="C157" s="4">
        <f>Acciones!C158/Acciones!C157 -1</f>
        <v>0.13085104218611332</v>
      </c>
      <c r="D157" s="4">
        <f>Acciones!D158/Acciones!D157 -1</f>
        <v>-2.6648237878379444E-3</v>
      </c>
      <c r="E157" s="4">
        <f>Acciones!E158/Acciones!E157 -1</f>
        <v>0</v>
      </c>
    </row>
    <row r="158" spans="1:5" x14ac:dyDescent="0.2">
      <c r="A158" s="1">
        <f>Acciones!A159</f>
        <v>45223</v>
      </c>
      <c r="B158" s="4">
        <f>Acciones!B159/Acciones!B158 -1</f>
        <v>-1.3906028592048925E-2</v>
      </c>
      <c r="C158" s="4">
        <f>Acciones!C159/Acciones!C158 -1</f>
        <v>0.11984948871811008</v>
      </c>
      <c r="D158" s="4">
        <f>Acciones!D159/Acciones!D158 -1</f>
        <v>3.2068987800160542E-2</v>
      </c>
      <c r="E158" s="4">
        <f>Acciones!E159/Acciones!E158 -1</f>
        <v>9.6153757981274346E-3</v>
      </c>
    </row>
    <row r="159" spans="1:5" x14ac:dyDescent="0.2">
      <c r="A159" s="1">
        <f>Acciones!A160</f>
        <v>45224</v>
      </c>
      <c r="B159" s="4">
        <f>Acciones!B160/Acciones!B159 -1</f>
        <v>4.1488714473802979E-4</v>
      </c>
      <c r="C159" s="4">
        <f>Acciones!C160/Acciones!C159 -1</f>
        <v>-2.6657675693986693E-2</v>
      </c>
      <c r="D159" s="4">
        <f>Acciones!D160/Acciones!D159 -1</f>
        <v>-1.0168161206242643E-2</v>
      </c>
      <c r="E159" s="4">
        <f>Acciones!E160/Acciones!E159 -1</f>
        <v>0</v>
      </c>
    </row>
    <row r="160" spans="1:5" x14ac:dyDescent="0.2">
      <c r="A160" s="1">
        <f>Acciones!A161</f>
        <v>45225</v>
      </c>
      <c r="B160" s="4">
        <f>Acciones!B161/Acciones!B160 -1</f>
        <v>2.2802532430559852E-2</v>
      </c>
      <c r="C160" s="4">
        <f>Acciones!C161/Acciones!C160 -1</f>
        <v>-6.6570811973878263E-2</v>
      </c>
      <c r="D160" s="4">
        <f>Acciones!D161/Acciones!D160 -1</f>
        <v>-3.9038384054403852E-2</v>
      </c>
      <c r="E160" s="4">
        <f>Acciones!E161/Acciones!E160 -1</f>
        <v>-1.9047601747400389E-2</v>
      </c>
    </row>
    <row r="161" spans="1:5" x14ac:dyDescent="0.2">
      <c r="A161" s="1">
        <f>Acciones!A162</f>
        <v>45226</v>
      </c>
      <c r="B161" s="4">
        <f>Acciones!B162/Acciones!B161 -1</f>
        <v>-1.2971245314376101E-2</v>
      </c>
      <c r="C161" s="4">
        <f>Acciones!C162/Acciones!C161 -1</f>
        <v>1.2821314712646137E-2</v>
      </c>
      <c r="D161" s="4">
        <f>Acciones!D162/Acciones!D161 -1</f>
        <v>-7.6781164965684656E-3</v>
      </c>
      <c r="E161" s="4">
        <f>Acciones!E162/Acciones!E161 -1</f>
        <v>-2.9126186624346517E-2</v>
      </c>
    </row>
    <row r="162" spans="1:5" x14ac:dyDescent="0.2">
      <c r="A162" s="1">
        <f>Acciones!A163</f>
        <v>45229</v>
      </c>
      <c r="B162" s="4">
        <f>Acciones!B163/Acciones!B162 -1</f>
        <v>2.0534908429969967E-3</v>
      </c>
      <c r="C162" s="4">
        <f>Acciones!C163/Acciones!C162 -1</f>
        <v>-2.5378846271712607E-2</v>
      </c>
      <c r="D162" s="4">
        <f>Acciones!D163/Acciones!D162 -1</f>
        <v>1.3808171444729567E-2</v>
      </c>
      <c r="E162" s="4">
        <f>Acciones!E163/Acciones!E162 -1</f>
        <v>0</v>
      </c>
    </row>
    <row r="163" spans="1:5" x14ac:dyDescent="0.2">
      <c r="A163" s="1">
        <f>Acciones!A164</f>
        <v>45230</v>
      </c>
      <c r="B163" s="4">
        <f>Acciones!B164/Acciones!B163 -1</f>
        <v>-5.327935827192154E-3</v>
      </c>
      <c r="C163" s="4">
        <f>Acciones!C164/Acciones!C163 -1</f>
        <v>-1.7547131068464616E-2</v>
      </c>
      <c r="D163" s="4">
        <f>Acciones!D164/Acciones!D163 -1</f>
        <v>3.8050760555472518E-3</v>
      </c>
      <c r="E163" s="4">
        <f>Acciones!E164/Acciones!E163 -1</f>
        <v>0</v>
      </c>
    </row>
    <row r="164" spans="1:5" x14ac:dyDescent="0.2">
      <c r="A164" s="1">
        <f>Acciones!A165</f>
        <v>45231</v>
      </c>
      <c r="B164" s="4">
        <f>Acciones!B165/Acciones!B164 -1</f>
        <v>2.5957986516577103E-2</v>
      </c>
      <c r="C164" s="4">
        <f>Acciones!C165/Acciones!C164 -1</f>
        <v>1.1440454693076862E-3</v>
      </c>
      <c r="D164" s="4">
        <f>Acciones!D165/Acciones!D164 -1</f>
        <v>-2.8628130613716385E-2</v>
      </c>
      <c r="E164" s="4">
        <f>Acciones!E165/Acciones!E164 -1</f>
        <v>-4.9999952316299723E-3</v>
      </c>
    </row>
    <row r="165" spans="1:5" x14ac:dyDescent="0.2">
      <c r="A165" s="1">
        <f>Acciones!A166</f>
        <v>45233</v>
      </c>
      <c r="B165" s="4">
        <f>Acciones!B166/Acciones!B165 -1</f>
        <v>5.4618456854536035E-2</v>
      </c>
      <c r="C165" s="4">
        <f>Acciones!C166/Acciones!C165 -1</f>
        <v>4.8504854651096219E-2</v>
      </c>
      <c r="D165" s="4">
        <f>Acciones!D166/Acciones!D165 -1</f>
        <v>4.5611950530299206E-2</v>
      </c>
      <c r="E165" s="4">
        <f>Acciones!E166/Acciones!E165 -1</f>
        <v>5.0251208117269019E-3</v>
      </c>
    </row>
    <row r="166" spans="1:5" x14ac:dyDescent="0.2">
      <c r="A166" s="1">
        <f>Acciones!A167</f>
        <v>45236</v>
      </c>
      <c r="B166" s="4">
        <f>Acciones!B167/Acciones!B166 -1</f>
        <v>3.1987933921445721E-2</v>
      </c>
      <c r="C166" s="4">
        <f>Acciones!C167/Acciones!C166 -1</f>
        <v>-1.6045982406423964E-2</v>
      </c>
      <c r="D166" s="4">
        <f>Acciones!D167/Acciones!D166 -1</f>
        <v>-1.5484193940283886E-3</v>
      </c>
      <c r="E166" s="4">
        <f>Acciones!E167/Acciones!E166 -1</f>
        <v>0</v>
      </c>
    </row>
    <row r="167" spans="1:5" x14ac:dyDescent="0.2">
      <c r="A167" s="1">
        <f>Acciones!A168</f>
        <v>45237</v>
      </c>
      <c r="B167" s="4">
        <f>Acciones!B168/Acciones!B167 -1</f>
        <v>-4.0221526787112771E-2</v>
      </c>
      <c r="C167" s="4">
        <f>Acciones!C168/Acciones!C167 -1</f>
        <v>-9.2307692307692646E-3</v>
      </c>
      <c r="D167" s="4">
        <f>Acciones!D168/Acciones!D167 -1</f>
        <v>2.290361838748689E-2</v>
      </c>
      <c r="E167" s="4">
        <f>Acciones!E168/Acciones!E167 -1</f>
        <v>1.9999980926509897E-2</v>
      </c>
    </row>
    <row r="168" spans="1:5" x14ac:dyDescent="0.2">
      <c r="A168" s="1">
        <f>Acciones!A169</f>
        <v>45238</v>
      </c>
      <c r="B168" s="4">
        <f>Acciones!B169/Acciones!B168 -1</f>
        <v>1.4609686967962388E-2</v>
      </c>
      <c r="C168" s="4">
        <f>Acciones!C169/Acciones!C168 -1</f>
        <v>-7.1304321289068273E-2</v>
      </c>
      <c r="D168" s="4">
        <f>Acciones!D169/Acciones!D168 -1</f>
        <v>2.6035294406687726E-3</v>
      </c>
      <c r="E168" s="4">
        <f>Acciones!E169/Acciones!E168 -1</f>
        <v>4.9019562011054507E-3</v>
      </c>
    </row>
    <row r="169" spans="1:5" x14ac:dyDescent="0.2">
      <c r="A169" s="1">
        <f>Acciones!A170</f>
        <v>45239</v>
      </c>
      <c r="B169" s="4">
        <f>Acciones!B170/Acciones!B169 -1</f>
        <v>0</v>
      </c>
      <c r="C169" s="4">
        <f>Acciones!C170/Acciones!C169 -1</f>
        <v>0.11035312686276533</v>
      </c>
      <c r="D169" s="4">
        <f>Acciones!D170/Acciones!D169 -1</f>
        <v>-6.1580313752840343E-3</v>
      </c>
      <c r="E169" s="4">
        <f>Acciones!E170/Acciones!E169 -1</f>
        <v>2.4390221209412699E-2</v>
      </c>
    </row>
    <row r="170" spans="1:5" x14ac:dyDescent="0.2">
      <c r="A170" s="1">
        <f>Acciones!A171</f>
        <v>45240</v>
      </c>
      <c r="B170" s="4">
        <f>Acciones!B171/Acciones!B170 -1</f>
        <v>1.2125906515034313E-2</v>
      </c>
      <c r="C170" s="4">
        <f>Acciones!C171/Acciones!C170 -1</f>
        <v>2.0298729252273828E-2</v>
      </c>
      <c r="D170" s="4">
        <f>Acciones!D171/Acciones!D170 -1</f>
        <v>-1.8625424508469934E-2</v>
      </c>
      <c r="E170" s="4">
        <f>Acciones!E171/Acciones!E170 -1</f>
        <v>0</v>
      </c>
    </row>
    <row r="171" spans="1:5" x14ac:dyDescent="0.2">
      <c r="A171" s="1">
        <f>Acciones!A172</f>
        <v>45243</v>
      </c>
      <c r="B171" s="4">
        <f>Acciones!B172/Acciones!B171 -1</f>
        <v>2.396110946038621E-2</v>
      </c>
      <c r="C171" s="4">
        <f>Acciones!C172/Acciones!C171 -1</f>
        <v>-5.5434201685355622E-2</v>
      </c>
      <c r="D171" s="4">
        <f>Acciones!D172/Acciones!D171 -1</f>
        <v>-1.7642292292645467E-2</v>
      </c>
      <c r="E171" s="4">
        <f>Acciones!E172/Acciones!E171 -1</f>
        <v>-2.3809502184252818E-2</v>
      </c>
    </row>
    <row r="172" spans="1:5" x14ac:dyDescent="0.2">
      <c r="A172" s="1">
        <f>Acciones!A173</f>
        <v>45244</v>
      </c>
      <c r="B172" s="4">
        <f>Acciones!B173/Acciones!B172 -1</f>
        <v>2.6325349883842719E-2</v>
      </c>
      <c r="C172" s="4">
        <f>Acciones!C173/Acciones!C172 -1</f>
        <v>-1.0437488555912422E-2</v>
      </c>
      <c r="D172" s="4">
        <f>Acciones!D173/Acciones!D172 -1</f>
        <v>1.3604939184443943E-3</v>
      </c>
      <c r="E172" s="4">
        <f>Acciones!E173/Acciones!E172 -1</f>
        <v>4.8780442418845382E-3</v>
      </c>
    </row>
    <row r="173" spans="1:5" x14ac:dyDescent="0.2">
      <c r="A173" s="1">
        <f>Acciones!A174</f>
        <v>45245</v>
      </c>
      <c r="B173" s="4">
        <f>Acciones!B174/Acciones!B173 -1</f>
        <v>-3.9188406917362029E-3</v>
      </c>
      <c r="C173" s="4">
        <f>Acciones!C174/Acciones!C173 -1</f>
        <v>0.12031834037420963</v>
      </c>
      <c r="D173" s="4">
        <f>Acciones!D174/Acciones!D173 -1</f>
        <v>1.9021835117353891E-2</v>
      </c>
      <c r="E173" s="4">
        <f>Acciones!E174/Acciones!E173 -1</f>
        <v>-9.7087288747855771E-3</v>
      </c>
    </row>
    <row r="174" spans="1:5" x14ac:dyDescent="0.2">
      <c r="A174" s="1">
        <f>Acciones!A175</f>
        <v>45246</v>
      </c>
      <c r="B174" s="4">
        <f>Acciones!B175/Acciones!B174 -1</f>
        <v>-3.6122974260857088E-2</v>
      </c>
      <c r="C174" s="4">
        <f>Acciones!C175/Acciones!C174 -1</f>
        <v>-5.4290250409983698E-2</v>
      </c>
      <c r="D174" s="4">
        <f>Acciones!D175/Acciones!D174 -1</f>
        <v>-1.1200133798413336E-2</v>
      </c>
      <c r="E174" s="4">
        <f>Acciones!E175/Acciones!E174 -1</f>
        <v>3.4313693407727275E-2</v>
      </c>
    </row>
    <row r="175" spans="1:5" x14ac:dyDescent="0.2">
      <c r="A175" s="1">
        <f>Acciones!A176</f>
        <v>45247</v>
      </c>
      <c r="B175" s="4">
        <f>Acciones!B176/Acciones!B175 -1</f>
        <v>5.93700689233434E-3</v>
      </c>
      <c r="C175" s="4">
        <f>Acciones!C176/Acciones!C175 -1</f>
        <v>2.2950856056721314E-2</v>
      </c>
      <c r="D175" s="4">
        <f>Acciones!D176/Acciones!D175 -1</f>
        <v>-1.1898662157256656E-2</v>
      </c>
      <c r="E175" s="4">
        <f>Acciones!E176/Acciones!E175 -1</f>
        <v>-2.8435993252414304E-2</v>
      </c>
    </row>
    <row r="176" spans="1:5" x14ac:dyDescent="0.2">
      <c r="A176" s="1">
        <f>Acciones!A177</f>
        <v>45251</v>
      </c>
      <c r="B176" s="4">
        <f>Acciones!B177/Acciones!B176 -1</f>
        <v>1.9180981705024136E-2</v>
      </c>
      <c r="C176" s="4">
        <f>Acciones!C177/Acciones!C176 -1</f>
        <v>2.8962710046204432E-2</v>
      </c>
      <c r="D176" s="4">
        <f>Acciones!D177/Acciones!D176 -1</f>
        <v>3.8429806622231055E-3</v>
      </c>
      <c r="E176" s="4">
        <f>Acciones!E177/Acciones!E176 -1</f>
        <v>-1.9512176967533268E-2</v>
      </c>
    </row>
    <row r="177" spans="1:5" x14ac:dyDescent="0.2">
      <c r="A177" s="1">
        <f>Acciones!A178</f>
        <v>45252</v>
      </c>
      <c r="B177" s="4">
        <f>Acciones!B178/Acciones!B177 -1</f>
        <v>-1.5677383809104439E-2</v>
      </c>
      <c r="C177" s="4">
        <f>Acciones!C178/Acciones!C177 -1</f>
        <v>6.6715740446601224E-2</v>
      </c>
      <c r="D177" s="4">
        <f>Acciones!D178/Acciones!D177 -1</f>
        <v>2.2844215215563235E-2</v>
      </c>
      <c r="E177" s="4">
        <f>Acciones!E178/Acciones!E177 -1</f>
        <v>2.4875598285334588E-2</v>
      </c>
    </row>
    <row r="178" spans="1:5" x14ac:dyDescent="0.2">
      <c r="A178" s="1">
        <f>Acciones!A179</f>
        <v>45253</v>
      </c>
      <c r="B178" s="4">
        <f>Acciones!B179/Acciones!B178 -1</f>
        <v>2.3890692525915691E-2</v>
      </c>
      <c r="C178" s="4">
        <f>Acciones!C179/Acciones!C178 -1</f>
        <v>-1.2211324540621238E-2</v>
      </c>
      <c r="D178" s="4">
        <f>Acciones!D179/Acciones!D178 -1</f>
        <v>-1.38172089506019E-2</v>
      </c>
      <c r="E178" s="4">
        <f>Acciones!E179/Acciones!E178 -1</f>
        <v>0</v>
      </c>
    </row>
    <row r="179" spans="1:5" x14ac:dyDescent="0.2">
      <c r="A179" s="1">
        <f>Acciones!A180</f>
        <v>45254</v>
      </c>
      <c r="B179" s="4">
        <f>Acciones!B180/Acciones!B179 -1</f>
        <v>-2.7036975226766735E-2</v>
      </c>
      <c r="C179" s="4">
        <f>Acciones!C180/Acciones!C179 -1</f>
        <v>4.5955403985559196E-2</v>
      </c>
      <c r="D179" s="4">
        <f>Acciones!D180/Acciones!D179 -1</f>
        <v>-1.0776258684579321E-2</v>
      </c>
      <c r="E179" s="4">
        <f>Acciones!E180/Acciones!E179 -1</f>
        <v>2.9126186624346406E-2</v>
      </c>
    </row>
    <row r="180" spans="1:5" x14ac:dyDescent="0.2">
      <c r="A180" s="1">
        <f>Acciones!A181</f>
        <v>45257</v>
      </c>
      <c r="B180" s="4">
        <f>Acciones!B181/Acciones!B180 -1</f>
        <v>3.0453203189306777E-3</v>
      </c>
      <c r="C180" s="4">
        <f>Acciones!C181/Acciones!C180 -1</f>
        <v>-3.4943880433810914E-3</v>
      </c>
      <c r="D180" s="4">
        <f>Acciones!D181/Acciones!D180 -1</f>
        <v>2.5602108772293741E-2</v>
      </c>
      <c r="E180" s="4">
        <f>Acciones!E181/Acciones!E180 -1</f>
        <v>0</v>
      </c>
    </row>
    <row r="181" spans="1:5" x14ac:dyDescent="0.2">
      <c r="A181" s="1">
        <f>Acciones!A182</f>
        <v>45258</v>
      </c>
      <c r="B181" s="4">
        <f>Acciones!B182/Acciones!B181 -1</f>
        <v>3.5673651931977135E-2</v>
      </c>
      <c r="C181" s="4">
        <f>Acciones!C182/Acciones!C181 -1</f>
        <v>9.3543727108765129E-2</v>
      </c>
      <c r="D181" s="4">
        <f>Acciones!D182/Acciones!D181 -1</f>
        <v>-5.8395488874192214E-3</v>
      </c>
      <c r="E181" s="4">
        <f>Acciones!E182/Acciones!E181 -1</f>
        <v>3.7735927567530414E-2</v>
      </c>
    </row>
    <row r="182" spans="1:5" x14ac:dyDescent="0.2">
      <c r="A182" s="1">
        <f>Acciones!A183</f>
        <v>45259</v>
      </c>
      <c r="B182" s="4">
        <f>Acciones!B183/Acciones!B182 -1</f>
        <v>-3.1513451994107267E-2</v>
      </c>
      <c r="C182" s="4">
        <f>Acciones!C183/Acciones!C182 -1</f>
        <v>9.1483658575020055E-3</v>
      </c>
      <c r="D182" s="4">
        <f>Acciones!D183/Acciones!D182 -1</f>
        <v>2.0309845284087302E-2</v>
      </c>
      <c r="E182" s="4">
        <f>Acciones!E183/Acciones!E182 -1</f>
        <v>9.0909002241010839E-3</v>
      </c>
    </row>
    <row r="183" spans="1:5" x14ac:dyDescent="0.2">
      <c r="A183" s="1">
        <f>Acciones!A184</f>
        <v>45260</v>
      </c>
      <c r="B183" s="4">
        <f>Acciones!B184/Acciones!B183 -1</f>
        <v>2.6484871404559573E-3</v>
      </c>
      <c r="C183" s="4">
        <f>Acciones!C184/Acciones!C183 -1</f>
        <v>-2.8457926812574752E-2</v>
      </c>
      <c r="D183" s="4">
        <f>Acciones!D184/Acciones!D183 -1</f>
        <v>5.2396905145890571E-4</v>
      </c>
      <c r="E183" s="4">
        <f>Acciones!E184/Acciones!E183 -1</f>
        <v>9.0090003012479603E-3</v>
      </c>
    </row>
    <row r="184" spans="1:5" x14ac:dyDescent="0.2">
      <c r="A184" s="1">
        <f>Acciones!A185</f>
        <v>45261</v>
      </c>
      <c r="B184" s="4">
        <f>Acciones!B185/Acciones!B184 -1</f>
        <v>7.547964045553357E-4</v>
      </c>
      <c r="C184" s="4">
        <f>Acciones!C185/Acciones!C184 -1</f>
        <v>0.12736277841913624</v>
      </c>
      <c r="D184" s="4">
        <f>Acciones!D185/Acciones!D184 -1</f>
        <v>2.0616535741937003E-2</v>
      </c>
      <c r="E184" s="4">
        <f>Acciones!E185/Acciones!E184 -1</f>
        <v>0.11607142381978441</v>
      </c>
    </row>
    <row r="185" spans="1:5" x14ac:dyDescent="0.2">
      <c r="A185" s="1">
        <f>Acciones!A186</f>
        <v>45264</v>
      </c>
      <c r="B185" s="4">
        <f>Acciones!B186/Acciones!B185 -1</f>
        <v>-4.9021062487849543E-3</v>
      </c>
      <c r="C185" s="4">
        <f>Acciones!C186/Acciones!C185 -1</f>
        <v>0.11369942926178456</v>
      </c>
      <c r="D185" s="4">
        <f>Acciones!D186/Acciones!D185 -1</f>
        <v>3.1867691927477626E-2</v>
      </c>
      <c r="E185" s="4">
        <f>Acciones!E186/Acciones!E185 -1</f>
        <v>-1.1999988555911889E-2</v>
      </c>
    </row>
    <row r="186" spans="1:5" x14ac:dyDescent="0.2">
      <c r="A186" s="1">
        <f>Acciones!A187</f>
        <v>45265</v>
      </c>
      <c r="B186" s="4">
        <f>Acciones!B187/Acciones!B186 -1</f>
        <v>-4.1680895443192423E-3</v>
      </c>
      <c r="C186" s="4">
        <f>Acciones!C187/Acciones!C186 -1</f>
        <v>2.0265008635385717E-2</v>
      </c>
      <c r="D186" s="4">
        <f>Acciones!D187/Acciones!D186 -1</f>
        <v>-9.249863512675871E-4</v>
      </c>
      <c r="E186" s="4">
        <f>Acciones!E187/Acciones!E186 -1</f>
        <v>3.2388632704216214E-2</v>
      </c>
    </row>
    <row r="187" spans="1:5" x14ac:dyDescent="0.2">
      <c r="A187" s="1">
        <f>Acciones!A188</f>
        <v>45266</v>
      </c>
      <c r="B187" s="4">
        <f>Acciones!B188/Acciones!B187 -1</f>
        <v>-6.4688803125689809E-3</v>
      </c>
      <c r="C187" s="4">
        <f>Acciones!C188/Acciones!C187 -1</f>
        <v>1.6220506672262491E-2</v>
      </c>
      <c r="D187" s="4">
        <f>Acciones!D188/Acciones!D187 -1</f>
        <v>5.499631362199775E-3</v>
      </c>
      <c r="E187" s="4">
        <f>Acciones!E188/Acciones!E187 -1</f>
        <v>7.8431299217645023E-3</v>
      </c>
    </row>
    <row r="188" spans="1:5" x14ac:dyDescent="0.2">
      <c r="A188" s="1">
        <f>Acciones!A189</f>
        <v>45267</v>
      </c>
      <c r="B188" s="4">
        <f>Acciones!B189/Acciones!B188 -1</f>
        <v>-1.6851750297049328E-2</v>
      </c>
      <c r="C188" s="4">
        <f>Acciones!C189/Acciones!C188 -1</f>
        <v>-4.4337029983895215E-3</v>
      </c>
      <c r="D188" s="4">
        <f>Acciones!D189/Acciones!D188 -1</f>
        <v>-5.098234880183905E-3</v>
      </c>
      <c r="E188" s="4">
        <f>Acciones!E189/Acciones!E188 -1</f>
        <v>-2.7237328817540041E-2</v>
      </c>
    </row>
    <row r="189" spans="1:5" x14ac:dyDescent="0.2">
      <c r="A189" s="1">
        <f>Acciones!A190</f>
        <v>45268</v>
      </c>
      <c r="B189" s="4">
        <f>Acciones!B190/Acciones!B189 -1</f>
        <v>-2.3373753139903641E-3</v>
      </c>
      <c r="C189" s="4">
        <f>Acciones!C190/Acciones!C189 -1</f>
        <v>7.4967455091196511E-2</v>
      </c>
      <c r="D189" s="4">
        <f>Acciones!D190/Acciones!D189 -1</f>
        <v>9.9496580908309262E-4</v>
      </c>
      <c r="E189" s="4">
        <f>Acciones!E190/Acciones!E189 -1</f>
        <v>0</v>
      </c>
    </row>
    <row r="190" spans="1:5" x14ac:dyDescent="0.2">
      <c r="A190" s="1">
        <f>Acciones!A191</f>
        <v>45271</v>
      </c>
      <c r="B190" s="4">
        <f>Acciones!B191/Acciones!B190 -1</f>
        <v>5.4665767218511352E-3</v>
      </c>
      <c r="C190" s="4">
        <f>Acciones!C191/Acciones!C190 -1</f>
        <v>-0.11790089630966338</v>
      </c>
      <c r="D190" s="4">
        <f>Acciones!D191/Acciones!D190 -1</f>
        <v>2.8812007911672488E-2</v>
      </c>
      <c r="E190" s="4">
        <f>Acciones!E191/Acciones!E190 -1</f>
        <v>-4.399995803833201E-2</v>
      </c>
    </row>
    <row r="191" spans="1:5" x14ac:dyDescent="0.2">
      <c r="A191" s="1">
        <f>Acciones!A192</f>
        <v>45273</v>
      </c>
      <c r="B191" s="4">
        <f>Acciones!B192/Acciones!B191 -1</f>
        <v>4.9708863448234553E-2</v>
      </c>
      <c r="C191" s="4">
        <f>Acciones!C192/Acciones!C191 -1</f>
        <v>0.12332684839774943</v>
      </c>
      <c r="D191" s="4">
        <f>Acciones!D192/Acciones!D191 -1</f>
        <v>1.1029324388703854E-2</v>
      </c>
      <c r="E191" s="4">
        <f>Acciones!E192/Acciones!E191 -1</f>
        <v>-2.5104677223654726E-2</v>
      </c>
    </row>
    <row r="192" spans="1:5" x14ac:dyDescent="0.2">
      <c r="A192" s="1">
        <f>Acciones!A193</f>
        <v>45274</v>
      </c>
      <c r="B192" s="4">
        <f>Acciones!B193/Acciones!B192 -1</f>
        <v>1.2208633678548075E-2</v>
      </c>
      <c r="C192" s="4">
        <f>Acciones!C193/Acciones!C192 -1</f>
        <v>6.2785228391115444E-2</v>
      </c>
      <c r="D192" s="4">
        <f>Acciones!D193/Acciones!D192 -1</f>
        <v>-4.682806273496265E-3</v>
      </c>
      <c r="E192" s="4">
        <f>Acciones!E193/Acciones!E192 -1</f>
        <v>4.2918415410737598E-3</v>
      </c>
    </row>
    <row r="193" spans="1:5" x14ac:dyDescent="0.2">
      <c r="A193" s="1">
        <f>Acciones!A194</f>
        <v>45275</v>
      </c>
      <c r="B193" s="4">
        <f>Acciones!B194/Acciones!B193 -1</f>
        <v>-6.2135298349691448E-3</v>
      </c>
      <c r="C193" s="4">
        <f>Acciones!C194/Acciones!C193 -1</f>
        <v>2.1801114392347332E-2</v>
      </c>
      <c r="D193" s="4">
        <f>Acciones!D194/Acciones!D193 -1</f>
        <v>1.0226069815775229E-3</v>
      </c>
      <c r="E193" s="4">
        <f>Acciones!E194/Acciones!E193 -1</f>
        <v>-2.5641002128344081E-2</v>
      </c>
    </row>
    <row r="194" spans="1:5" x14ac:dyDescent="0.2">
      <c r="A194" s="1">
        <f>Acciones!A195</f>
        <v>45278</v>
      </c>
      <c r="B194" s="4">
        <f>Acciones!B195/Acciones!B194 -1</f>
        <v>-7.3549759696711625E-4</v>
      </c>
      <c r="C194" s="4">
        <f>Acciones!C195/Acciones!C194 -1</f>
        <v>9.7279286565431722E-2</v>
      </c>
      <c r="D194" s="4">
        <f>Acciones!D195/Acciones!D194 -1</f>
        <v>-2.4506696791193328E-3</v>
      </c>
      <c r="E194" s="4">
        <f>Acciones!E195/Acciones!E194 -1</f>
        <v>0</v>
      </c>
    </row>
    <row r="195" spans="1:5" x14ac:dyDescent="0.2">
      <c r="A195" s="1">
        <f>Acciones!A196</f>
        <v>45279</v>
      </c>
      <c r="B195" s="4">
        <f>Acciones!B196/Acciones!B195 -1</f>
        <v>-2.0979060378018222E-2</v>
      </c>
      <c r="C195" s="4">
        <f>Acciones!C196/Acciones!C195 -1</f>
        <v>9.5935665376003065E-2</v>
      </c>
      <c r="D195" s="4">
        <f>Acciones!D196/Acciones!D195 -1</f>
        <v>4.4374099392028299E-3</v>
      </c>
      <c r="E195" s="4">
        <f>Acciones!E196/Acciones!E195 -1</f>
        <v>2.6315764707210532E-2</v>
      </c>
    </row>
    <row r="196" spans="1:5" x14ac:dyDescent="0.2">
      <c r="A196" s="1">
        <f>Acciones!A197</f>
        <v>45280</v>
      </c>
      <c r="B196" s="4">
        <f>Acciones!B197/Acciones!B196 -1</f>
        <v>-2.2555812946983833E-3</v>
      </c>
      <c r="C196" s="4">
        <f>Acciones!C197/Acciones!C196 -1</f>
        <v>4.6957141533463531E-2</v>
      </c>
      <c r="D196" s="4">
        <f>Acciones!D197/Acciones!D196 -1</f>
        <v>-3.4700708294606031E-3</v>
      </c>
      <c r="E196" s="4">
        <f>Acciones!E197/Acciones!E196 -1</f>
        <v>4.2735003547209605E-3</v>
      </c>
    </row>
    <row r="197" spans="1:5" x14ac:dyDescent="0.2">
      <c r="A197" s="1">
        <f>Acciones!A198</f>
        <v>45281</v>
      </c>
      <c r="B197" s="4">
        <f>Acciones!B198/Acciones!B197 -1</f>
        <v>6.4431019446199E-2</v>
      </c>
      <c r="C197" s="4">
        <f>Acciones!C198/Acciones!C197 -1</f>
        <v>8.2209957607000783E-2</v>
      </c>
      <c r="D197" s="4">
        <f>Acciones!D198/Acciones!D197 -1</f>
        <v>2.4639934845240852E-3</v>
      </c>
      <c r="E197" s="4">
        <f>Acciones!E198/Acciones!E197 -1</f>
        <v>-6.3829728951543707E-2</v>
      </c>
    </row>
    <row r="198" spans="1:5" x14ac:dyDescent="0.2">
      <c r="A198" s="1">
        <f>Acciones!A199</f>
        <v>45282</v>
      </c>
      <c r="B198" s="4">
        <f>Acciones!B199/Acciones!B198 -1</f>
        <v>4.3893697993828473E-2</v>
      </c>
      <c r="C198" s="4">
        <f>Acciones!C199/Acciones!C198 -1</f>
        <v>7.4104599396345838E-2</v>
      </c>
      <c r="D198" s="4">
        <f>Acciones!D199/Acciones!D198 -1</f>
        <v>-0.12075442956392146</v>
      </c>
      <c r="E198" s="4">
        <f>Acciones!E199/Acciones!E198 -1</f>
        <v>0</v>
      </c>
    </row>
    <row r="199" spans="1:5" x14ac:dyDescent="0.2">
      <c r="A199" s="1">
        <f>Acciones!A200</f>
        <v>45286</v>
      </c>
      <c r="B199" s="4">
        <f>Acciones!B200/Acciones!B199 -1</f>
        <v>-1.695402302674065E-3</v>
      </c>
      <c r="C199" s="4">
        <f>Acciones!C200/Acciones!C199 -1</f>
        <v>9.6455454399690943E-4</v>
      </c>
      <c r="D199" s="4">
        <f>Acciones!D200/Acciones!D199 -1</f>
        <v>-7.9017085869204085E-4</v>
      </c>
      <c r="E199" s="4">
        <f>Acciones!E200/Acciones!E199 -1</f>
        <v>0</v>
      </c>
    </row>
    <row r="200" spans="1:5" x14ac:dyDescent="0.2">
      <c r="A200" s="1">
        <f>Acciones!A201</f>
        <v>45287</v>
      </c>
      <c r="B200" s="4">
        <f>Acciones!B201/Acciones!B200 -1</f>
        <v>1.0190156073115908E-2</v>
      </c>
      <c r="C200" s="4">
        <f>Acciones!C201/Acciones!C200 -1</f>
        <v>0.14950291797864224</v>
      </c>
      <c r="D200" s="4">
        <f>Acciones!D201/Acciones!D200 -1</f>
        <v>-1.1807009270509816E-2</v>
      </c>
      <c r="E200" s="4">
        <f>Acciones!E201/Acciones!E200 -1</f>
        <v>2.7272700672307471E-2</v>
      </c>
    </row>
    <row r="201" spans="1:5" x14ac:dyDescent="0.2">
      <c r="A201" s="1">
        <f>Acciones!A202</f>
        <v>45288</v>
      </c>
      <c r="B201" s="4">
        <f>Acciones!B202/Acciones!B201 -1</f>
        <v>-2.1856076870992114E-2</v>
      </c>
      <c r="C201" s="4">
        <f>Acciones!C202/Acciones!C201 -1</f>
        <v>-8.6026259629194524E-2</v>
      </c>
      <c r="D201" s="4">
        <f>Acciones!D202/Acciones!D201 -1</f>
        <v>2.0965804063423965E-2</v>
      </c>
      <c r="E201" s="4">
        <f>Acciones!E202/Acciones!E201 -1</f>
        <v>-2.6548647359614153E-2</v>
      </c>
    </row>
    <row r="202" spans="1:5" x14ac:dyDescent="0.2">
      <c r="A202" s="1">
        <f>Acciones!A203</f>
        <v>45289</v>
      </c>
      <c r="B202" s="4">
        <f>Acciones!B203/Acciones!B202 -1</f>
        <v>3.918873371552456E-2</v>
      </c>
      <c r="C202" s="4">
        <f>Acciones!C203/Acciones!C202 -1</f>
        <v>-0.16933855317580904</v>
      </c>
      <c r="D202" s="4">
        <f>Acciones!D203/Acciones!D202 -1</f>
        <v>-2.6972649964474016E-3</v>
      </c>
      <c r="E202" s="4">
        <f>Acciones!E203/Acciones!E202 -1</f>
        <v>1.8181800448206609E-2</v>
      </c>
    </row>
    <row r="203" spans="1:5" x14ac:dyDescent="0.2">
      <c r="A203" s="1">
        <f>Acciones!A204</f>
        <v>45293</v>
      </c>
      <c r="B203" s="4">
        <f>Acciones!B204/Acciones!B203 -1</f>
        <v>-2.5802107002740216E-2</v>
      </c>
      <c r="C203" s="4">
        <f>Acciones!C204/Acciones!C203 -1</f>
        <v>-2.1482702761035144E-2</v>
      </c>
      <c r="D203" s="4">
        <f>Acciones!D204/Acciones!D203 -1</f>
        <v>-1.5712846377679335E-2</v>
      </c>
      <c r="E203" s="4">
        <f>Acciones!E204/Acciones!E203 -1</f>
        <v>8.9285628756075042E-3</v>
      </c>
    </row>
    <row r="204" spans="1:5" x14ac:dyDescent="0.2">
      <c r="A204" s="1">
        <f>Acciones!A205</f>
        <v>45294</v>
      </c>
      <c r="B204" s="4">
        <f>Acciones!B205/Acciones!B204 -1</f>
        <v>-5.7725030190964866E-3</v>
      </c>
      <c r="C204" s="4">
        <f>Acciones!C205/Acciones!C204 -1</f>
        <v>3.2957184674713424E-2</v>
      </c>
      <c r="D204" s="4">
        <f>Acciones!D205/Acciones!D204 -1</f>
        <v>-2.0743290692400218E-2</v>
      </c>
      <c r="E204" s="4">
        <f>Acciones!E205/Acciones!E204 -1</f>
        <v>-7.5221273013852397E-2</v>
      </c>
    </row>
    <row r="205" spans="1:5" x14ac:dyDescent="0.2">
      <c r="A205" s="1">
        <f>Acciones!A206</f>
        <v>45295</v>
      </c>
      <c r="B205" s="4">
        <f>Acciones!B206/Acciones!B205 -1</f>
        <v>-4.6106580245652617E-2</v>
      </c>
      <c r="C205" s="4">
        <f>Acciones!C206/Acciones!C205 -1</f>
        <v>0.12211047219312476</v>
      </c>
      <c r="D205" s="4">
        <f>Acciones!D206/Acciones!D205 -1</f>
        <v>-1.5188336487247822E-2</v>
      </c>
      <c r="E205" s="4">
        <f>Acciones!E206/Acciones!E205 -1</f>
        <v>1.4354053886022955E-2</v>
      </c>
    </row>
    <row r="206" spans="1:5" x14ac:dyDescent="0.2">
      <c r="A206" s="1">
        <f>Acciones!A207</f>
        <v>45296</v>
      </c>
      <c r="B206" s="4">
        <f>Acciones!B207/Acciones!B206 -1</f>
        <v>6.4088718995034988E-2</v>
      </c>
      <c r="C206" s="4">
        <f>Acciones!C207/Acciones!C206 -1</f>
        <v>-0.10510477456643819</v>
      </c>
      <c r="D206" s="4">
        <f>Acciones!D207/Acciones!D206 -1</f>
        <v>-1.3880824947863468E-2</v>
      </c>
      <c r="E206" s="4">
        <f>Acciones!E207/Acciones!E206 -1</f>
        <v>3.3018950679287506E-2</v>
      </c>
    </row>
    <row r="207" spans="1:5" x14ac:dyDescent="0.2">
      <c r="A207" s="1">
        <f>Acciones!A208</f>
        <v>45299</v>
      </c>
      <c r="B207" s="4">
        <f>Acciones!B208/Acciones!B207 -1</f>
        <v>-2.590843279041577E-2</v>
      </c>
      <c r="C207" s="4">
        <f>Acciones!C208/Acciones!C207 -1</f>
        <v>8.523107050652512E-2</v>
      </c>
      <c r="D207" s="4">
        <f>Acciones!D208/Acciones!D207 -1</f>
        <v>9.7682754717016707E-3</v>
      </c>
      <c r="E207" s="4">
        <f>Acciones!E208/Acciones!E207 -1</f>
        <v>0</v>
      </c>
    </row>
    <row r="208" spans="1:5" x14ac:dyDescent="0.2">
      <c r="A208" s="1">
        <f>Acciones!A209</f>
        <v>45300</v>
      </c>
      <c r="B208" s="4">
        <f>Acciones!B209/Acciones!B208 -1</f>
        <v>-3.0397248580604108E-2</v>
      </c>
      <c r="C208" s="4">
        <f>Acciones!C209/Acciones!C208 -1</f>
        <v>-1.0503498326888239E-2</v>
      </c>
      <c r="D208" s="4">
        <f>Acciones!D209/Acciones!D208 -1</f>
        <v>-2.9187020225022176E-3</v>
      </c>
      <c r="E208" s="4">
        <f>Acciones!E209/Acciones!E208 -1</f>
        <v>-6.3926986870428748E-2</v>
      </c>
    </row>
    <row r="209" spans="1:5" x14ac:dyDescent="0.2">
      <c r="A209" s="1">
        <f>Acciones!A210</f>
        <v>45301</v>
      </c>
      <c r="B209" s="4">
        <f>Acciones!B210/Acciones!B209 -1</f>
        <v>9.2625537065116337E-3</v>
      </c>
      <c r="C209" s="4">
        <f>Acciones!C210/Acciones!C209 -1</f>
        <v>-4.9505948886264806E-3</v>
      </c>
      <c r="D209" s="4">
        <f>Acciones!D210/Acciones!D209 -1</f>
        <v>1.430290912996357E-2</v>
      </c>
      <c r="E209" s="4">
        <f>Acciones!E210/Acciones!E209 -1</f>
        <v>-3.4146309693181998E-2</v>
      </c>
    </row>
    <row r="210" spans="1:5" x14ac:dyDescent="0.2">
      <c r="A210" s="1">
        <f>Acciones!A211</f>
        <v>45302</v>
      </c>
      <c r="B210" s="4">
        <f>Acciones!B211/Acciones!B210 -1</f>
        <v>4.6240750807268416E-2</v>
      </c>
      <c r="C210" s="4">
        <f>Acciones!C211/Acciones!C210 -1</f>
        <v>-0.12077104797588489</v>
      </c>
      <c r="D210" s="4">
        <f>Acciones!D211/Acciones!D210 -1</f>
        <v>1.8325397476321337E-2</v>
      </c>
      <c r="E210" s="4">
        <f>Acciones!E211/Acciones!E210 -1</f>
        <v>-4.545456187455732E-2</v>
      </c>
    </row>
    <row r="211" spans="1:5" x14ac:dyDescent="0.2">
      <c r="A211" s="1">
        <f>Acciones!A212</f>
        <v>45303</v>
      </c>
      <c r="B211" s="4">
        <f>Acciones!B212/Acciones!B211 -1</f>
        <v>2.2267165597724237E-2</v>
      </c>
      <c r="C211" s="4">
        <f>Acciones!C212/Acciones!C211 -1</f>
        <v>-0.15557313849205134</v>
      </c>
      <c r="D211" s="4">
        <f>Acciones!D212/Acciones!D211 -1</f>
        <v>-1.1999056412474562E-2</v>
      </c>
      <c r="E211" s="4">
        <f>Acciones!E212/Acciones!E211 -1</f>
        <v>5.291000285158054E-3</v>
      </c>
    </row>
    <row r="212" spans="1:5" x14ac:dyDescent="0.2">
      <c r="A212" s="1">
        <f>Acciones!A213</f>
        <v>45306</v>
      </c>
      <c r="B212" s="4">
        <f>Acciones!B213/Acciones!B212 -1</f>
        <v>-2.4092354197142285E-2</v>
      </c>
      <c r="C212" s="4">
        <f>Acciones!C213/Acciones!C212 -1</f>
        <v>-4.363051130057416E-4</v>
      </c>
      <c r="D212" s="4">
        <f>Acciones!D213/Acciones!D212 -1</f>
        <v>0</v>
      </c>
      <c r="E212" s="4">
        <f>Acciones!E213/Acciones!E212 -1</f>
        <v>1.0526305882882392E-2</v>
      </c>
    </row>
    <row r="213" spans="1:5" x14ac:dyDescent="0.2">
      <c r="A213" s="1">
        <f>Acciones!A214</f>
        <v>45307</v>
      </c>
      <c r="B213" s="4">
        <f>Acciones!B214/Acciones!B213 -1</f>
        <v>0</v>
      </c>
      <c r="C213" s="4">
        <f>Acciones!C214/Acciones!C213 -1</f>
        <v>-4.8581280002528371E-2</v>
      </c>
      <c r="D213" s="4">
        <f>Acciones!D214/Acciones!D213 -1</f>
        <v>-9.5576444569228647E-3</v>
      </c>
      <c r="E213" s="4">
        <f>Acciones!E214/Acciones!E213 -1</f>
        <v>0</v>
      </c>
    </row>
    <row r="214" spans="1:5" x14ac:dyDescent="0.2">
      <c r="A214" s="1">
        <f>Acciones!A215</f>
        <v>45308</v>
      </c>
      <c r="B214" s="4">
        <f>Acciones!B215/Acciones!B214 -1</f>
        <v>-7.2370626510267044E-2</v>
      </c>
      <c r="C214" s="4">
        <f>Acciones!C215/Acciones!C214 -1</f>
        <v>-2.6481340789097363E-2</v>
      </c>
      <c r="D214" s="4">
        <f>Acciones!D215/Acciones!D214 -1</f>
        <v>-1.2244918138239358E-2</v>
      </c>
      <c r="E214" s="4">
        <f>Acciones!E215/Acciones!E214 -1</f>
        <v>0</v>
      </c>
    </row>
    <row r="215" spans="1:5" x14ac:dyDescent="0.2">
      <c r="A215" s="1">
        <f>Acciones!A216</f>
        <v>45309</v>
      </c>
      <c r="B215" s="4">
        <f>Acciones!B216/Acciones!B215 -1</f>
        <v>7.4735609390893964E-2</v>
      </c>
      <c r="C215" s="4">
        <f>Acciones!C216/Acciones!C215 -1</f>
        <v>-6.4738790846822547E-2</v>
      </c>
      <c r="D215" s="4">
        <f>Acciones!D216/Acciones!D215 -1</f>
        <v>-5.7037634052281572E-4</v>
      </c>
      <c r="E215" s="4">
        <f>Acciones!E216/Acciones!E215 -1</f>
        <v>0</v>
      </c>
    </row>
    <row r="216" spans="1:5" x14ac:dyDescent="0.2">
      <c r="A216" s="1">
        <f>Acciones!A217</f>
        <v>45310</v>
      </c>
      <c r="B216" s="4">
        <f>Acciones!B217/Acciones!B216 -1</f>
        <v>-1.7639069843363386E-2</v>
      </c>
      <c r="C216" s="4">
        <f>Acciones!C217/Acciones!C216 -1</f>
        <v>-6.5152355008795126E-3</v>
      </c>
      <c r="D216" s="4">
        <f>Acciones!D217/Acciones!D216 -1</f>
        <v>2.1210697679623358E-3</v>
      </c>
      <c r="E216" s="4">
        <f>Acciones!E217/Acciones!E216 -1</f>
        <v>0</v>
      </c>
    </row>
    <row r="217" spans="1:5" x14ac:dyDescent="0.2">
      <c r="A217" s="1">
        <f>Acciones!A218</f>
        <v>45313</v>
      </c>
      <c r="B217" s="4">
        <f>Acciones!B218/Acciones!B217 -1</f>
        <v>-8.9778289011386292E-3</v>
      </c>
      <c r="C217" s="4">
        <f>Acciones!C218/Acciones!C217 -1</f>
        <v>2.9782613118489065E-2</v>
      </c>
      <c r="D217" s="4">
        <f>Acciones!D218/Acciones!D217 -1</f>
        <v>-2.0935640993173799E-3</v>
      </c>
      <c r="E217" s="4">
        <f>Acciones!E218/Acciones!E217 -1</f>
        <v>0</v>
      </c>
    </row>
    <row r="218" spans="1:5" x14ac:dyDescent="0.2">
      <c r="A218" s="1">
        <f>Acciones!A219</f>
        <v>45314</v>
      </c>
      <c r="B218" s="4">
        <f>Acciones!B219/Acciones!B218 -1</f>
        <v>-2.125440252867139E-2</v>
      </c>
      <c r="C218" s="4">
        <f>Acciones!C219/Acciones!C218 -1</f>
        <v>-1.3053238474223794E-2</v>
      </c>
      <c r="D218" s="4">
        <f>Acciones!D219/Acciones!D218 -1</f>
        <v>1.7861476905098428E-2</v>
      </c>
      <c r="E218" s="4">
        <f>Acciones!E219/Acciones!E218 -1</f>
        <v>1.0416719053561119E-2</v>
      </c>
    </row>
    <row r="219" spans="1:5" x14ac:dyDescent="0.2">
      <c r="A219" s="1">
        <f>Acciones!A220</f>
        <v>45315</v>
      </c>
      <c r="B219" s="4">
        <f>Acciones!B220/Acciones!B219 -1</f>
        <v>1.3883868256049148E-2</v>
      </c>
      <c r="C219" s="4">
        <f>Acciones!C220/Acciones!C219 -1</f>
        <v>-4.0996754481626541E-2</v>
      </c>
      <c r="D219" s="4">
        <f>Acciones!D220/Acciones!D219 -1</f>
        <v>-1.4269301024752656E-2</v>
      </c>
      <c r="E219" s="4">
        <f>Acciones!E220/Acciones!E219 -1</f>
        <v>5.1546341073760438E-3</v>
      </c>
    </row>
    <row r="220" spans="1:5" x14ac:dyDescent="0.2">
      <c r="A220" s="1">
        <f>Acciones!A221</f>
        <v>45316</v>
      </c>
      <c r="B220" s="4">
        <f>Acciones!B221/Acciones!B220 -1</f>
        <v>-3.1600316430394626E-3</v>
      </c>
      <c r="C220" s="4">
        <f>Acciones!C221/Acciones!C220 -1</f>
        <v>3.8288492691933129E-2</v>
      </c>
      <c r="D220" s="4">
        <f>Acciones!D221/Acciones!D220 -1</f>
        <v>-9.076394232602536E-3</v>
      </c>
      <c r="E220" s="4">
        <f>Acciones!E221/Acciones!E220 -1</f>
        <v>-2.5641061693799538E-2</v>
      </c>
    </row>
    <row r="221" spans="1:5" x14ac:dyDescent="0.2">
      <c r="A221" s="1">
        <f>Acciones!A222</f>
        <v>45317</v>
      </c>
      <c r="B221" s="4">
        <f>Acciones!B222/Acciones!B221 -1</f>
        <v>1.4089567954485016E-3</v>
      </c>
      <c r="C221" s="4">
        <f>Acciones!C222/Acciones!C221 -1</f>
        <v>8.8432252418213064E-2</v>
      </c>
      <c r="D221" s="4">
        <f>Acciones!D222/Acciones!D221 -1</f>
        <v>2.3182632059981723E-2</v>
      </c>
      <c r="E221" s="4">
        <f>Acciones!E222/Acciones!E221 -1</f>
        <v>-5.2631529414439715E-3</v>
      </c>
    </row>
    <row r="222" spans="1:5" x14ac:dyDescent="0.2">
      <c r="A222" s="1">
        <f>Acciones!A223</f>
        <v>45320</v>
      </c>
      <c r="B222" s="4">
        <f>Acciones!B223/Acciones!B222 -1</f>
        <v>-1.7587042305325151E-2</v>
      </c>
      <c r="C222" s="4">
        <f>Acciones!C223/Acciones!C222 -1</f>
        <v>4.8814170129894086E-2</v>
      </c>
      <c r="D222" s="4">
        <f>Acciones!D223/Acciones!D222 -1</f>
        <v>1.2187062946880101E-2</v>
      </c>
      <c r="E222" s="4">
        <f>Acciones!E223/Acciones!E222 -1</f>
        <v>1.5873000855468389E-2</v>
      </c>
    </row>
    <row r="223" spans="1:5" x14ac:dyDescent="0.2">
      <c r="A223" s="1">
        <f>Acciones!A224</f>
        <v>45321</v>
      </c>
      <c r="B223" s="4">
        <f>Acciones!B224/Acciones!B223 -1</f>
        <v>7.5187446892079901E-3</v>
      </c>
      <c r="C223" s="4">
        <f>Acciones!C224/Acciones!C223 -1</f>
        <v>-1.6967237128898249E-2</v>
      </c>
      <c r="D223" s="4">
        <f>Acciones!D224/Acciones!D223 -1</f>
        <v>1.7344416406284147E-4</v>
      </c>
      <c r="E223" s="4">
        <f>Acciones!E224/Acciones!E223 -1</f>
        <v>2.6041704501645224E-2</v>
      </c>
    </row>
    <row r="224" spans="1:5" x14ac:dyDescent="0.2">
      <c r="A224" s="1">
        <f>Acciones!A225</f>
        <v>45322</v>
      </c>
      <c r="B224" s="4">
        <f>Acciones!B225/Acciones!B224 -1</f>
        <v>-1.3503865605059895E-2</v>
      </c>
      <c r="C224" s="4">
        <f>Acciones!C225/Acciones!C224 -1</f>
        <v>-2.7086492369339799E-2</v>
      </c>
      <c r="D224" s="4">
        <f>Acciones!D225/Acciones!D224 -1</f>
        <v>-2.6191896521375102E-2</v>
      </c>
      <c r="E224" s="4">
        <f>Acciones!E225/Acciones!E224 -1</f>
        <v>-3.0456883815965341E-2</v>
      </c>
    </row>
    <row r="225" spans="1:5" x14ac:dyDescent="0.2">
      <c r="A225" s="1">
        <f>Acciones!A226</f>
        <v>45323</v>
      </c>
      <c r="B225" s="4">
        <f>Acciones!B226/Acciones!B225 -1</f>
        <v>-7.2046618849553878E-3</v>
      </c>
      <c r="C225" s="4">
        <f>Acciones!C226/Acciones!C225 -1</f>
        <v>4.5482848211104931E-2</v>
      </c>
      <c r="D225" s="4">
        <f>Acciones!D226/Acciones!D225 -1</f>
        <v>-2.8735872683894881E-3</v>
      </c>
      <c r="E225" s="4">
        <f>Acciones!E226/Acciones!E225 -1</f>
        <v>5.2355971926789646E-3</v>
      </c>
    </row>
    <row r="226" spans="1:5" x14ac:dyDescent="0.2">
      <c r="A226" s="1">
        <f>Acciones!A227</f>
        <v>45324</v>
      </c>
      <c r="B226" s="4">
        <f>Acciones!B227/Acciones!B226 -1</f>
        <v>-1.0522464487535466E-2</v>
      </c>
      <c r="C226" s="4">
        <f>Acciones!C227/Acciones!C226 -1</f>
        <v>-2.722537004070158E-2</v>
      </c>
      <c r="D226" s="4">
        <f>Acciones!D227/Acciones!D226 -1</f>
        <v>-5.7693798396302176E-3</v>
      </c>
      <c r="E226" s="4">
        <f>Acciones!E227/Acciones!E226 -1</f>
        <v>-2.6041642413471955E-2</v>
      </c>
    </row>
    <row r="227" spans="1:5" x14ac:dyDescent="0.2">
      <c r="A227" s="1">
        <f>Acciones!A228</f>
        <v>45328</v>
      </c>
      <c r="B227" s="4">
        <f>Acciones!B228/Acciones!B227 -1</f>
        <v>4.7670692239767387E-3</v>
      </c>
      <c r="C227" s="4">
        <f>Acciones!C228/Acciones!C227 -1</f>
        <v>-6.2552471457296921E-2</v>
      </c>
      <c r="D227" s="4">
        <f>Acciones!D228/Acciones!D227 -1</f>
        <v>1.284062335966496E-2</v>
      </c>
      <c r="E227" s="4">
        <f>Acciones!E228/Acciones!E227 -1</f>
        <v>-5.3475884693907627E-3</v>
      </c>
    </row>
    <row r="228" spans="1:5" x14ac:dyDescent="0.2">
      <c r="A228" s="1">
        <f>Acciones!A229</f>
        <v>45329</v>
      </c>
      <c r="B228" s="4">
        <f>Acciones!B229/Acciones!B228 -1</f>
        <v>2.1532965132142978E-2</v>
      </c>
      <c r="C228" s="4">
        <f>Acciones!C229/Acciones!C228 -1</f>
        <v>3.1746616552086326E-2</v>
      </c>
      <c r="D228" s="4">
        <f>Acciones!D229/Acciones!D228 -1</f>
        <v>7.3605378232237673E-3</v>
      </c>
      <c r="E228" s="4">
        <f>Acciones!E229/Acciones!E228 -1</f>
        <v>-2.6881758677969714E-2</v>
      </c>
    </row>
    <row r="229" spans="1:5" x14ac:dyDescent="0.2">
      <c r="A229" s="1">
        <f>Acciones!A230</f>
        <v>45330</v>
      </c>
      <c r="B229" s="4">
        <f>Acciones!B230/Acciones!B229 -1</f>
        <v>-1.6434486563227435E-2</v>
      </c>
      <c r="C229" s="4">
        <f>Acciones!C230/Acciones!C229 -1</f>
        <v>0.22652269203758379</v>
      </c>
      <c r="D229" s="4">
        <f>Acciones!D230/Acciones!D229 -1</f>
        <v>9.3692799175630892E-3</v>
      </c>
      <c r="E229" s="4">
        <f>Acciones!E230/Acciones!E229 -1</f>
        <v>5.5249226456788314E-3</v>
      </c>
    </row>
    <row r="230" spans="1:5" x14ac:dyDescent="0.2">
      <c r="A230" s="1">
        <f>Acciones!A231</f>
        <v>45331</v>
      </c>
      <c r="B230" s="4">
        <f>Acciones!B231/Acciones!B230 -1</f>
        <v>-2.978568575056173E-2</v>
      </c>
      <c r="C230" s="4">
        <f>Acciones!C231/Acciones!C230 -1</f>
        <v>0.10757769386752924</v>
      </c>
      <c r="D230" s="4">
        <f>Acciones!D231/Acciones!D230 -1</f>
        <v>5.3475862153571363E-3</v>
      </c>
      <c r="E230" s="4">
        <f>Acciones!E231/Acciones!E230 -1</f>
        <v>-3.2967066076724727E-2</v>
      </c>
    </row>
    <row r="231" spans="1:5" x14ac:dyDescent="0.2">
      <c r="A231" s="1">
        <f>Acciones!A232</f>
        <v>45334</v>
      </c>
      <c r="B231" s="4">
        <f>Acciones!B232/Acciones!B231 -1</f>
        <v>5.5409984317392968E-2</v>
      </c>
      <c r="C231" s="4">
        <f>Acciones!C232/Acciones!C231 -1</f>
        <v>0.14561962291506747</v>
      </c>
      <c r="D231" s="4">
        <f>Acciones!D232/Acciones!D231 -1</f>
        <v>2.5414354343950896E-2</v>
      </c>
      <c r="E231" s="4">
        <f>Acciones!E232/Acciones!E231 -1</f>
        <v>0</v>
      </c>
    </row>
    <row r="232" spans="1:5" x14ac:dyDescent="0.2">
      <c r="A232" s="1">
        <f>Acciones!A233</f>
        <v>45335</v>
      </c>
      <c r="B232" s="4">
        <f>Acciones!B233/Acciones!B232 -1</f>
        <v>2.8733622465932918E-2</v>
      </c>
      <c r="C232" s="4">
        <f>Acciones!C233/Acciones!C232 -1</f>
        <v>-5.832835918073187E-2</v>
      </c>
      <c r="D232" s="4">
        <f>Acciones!D233/Acciones!D232 -1</f>
        <v>-1.549644320922261E-2</v>
      </c>
      <c r="E232" s="4">
        <f>Acciones!E233/Acciones!E232 -1</f>
        <v>0</v>
      </c>
    </row>
    <row r="233" spans="1:5" x14ac:dyDescent="0.2">
      <c r="A233" s="1">
        <f>Acciones!A234</f>
        <v>45336</v>
      </c>
      <c r="B233" s="4">
        <f>Acciones!B234/Acciones!B233 -1</f>
        <v>4.344824328547725E-2</v>
      </c>
      <c r="C233" s="4">
        <f>Acciones!C234/Acciones!C233 -1</f>
        <v>0.1427629304539908</v>
      </c>
      <c r="D233" s="4">
        <f>Acciones!D234/Acciones!D233 -1</f>
        <v>6.0953886065597818E-3</v>
      </c>
      <c r="E233" s="4">
        <f>Acciones!E234/Acciones!E233 -1</f>
        <v>-2.2727251176008045E-2</v>
      </c>
    </row>
    <row r="234" spans="1:5" x14ac:dyDescent="0.2">
      <c r="A234" s="1">
        <f>Acciones!A235</f>
        <v>45337</v>
      </c>
      <c r="B234" s="4">
        <f>Acciones!B235/Acciones!B234 -1</f>
        <v>4.26304800207844E-2</v>
      </c>
      <c r="C234" s="4">
        <f>Acciones!C235/Acciones!C234 -1</f>
        <v>-8.384257723704569E-2</v>
      </c>
      <c r="D234" s="4">
        <f>Acciones!D235/Acciones!D234 -1</f>
        <v>-3.8588487111378411E-3</v>
      </c>
      <c r="E234" s="4">
        <f>Acciones!E235/Acciones!E234 -1</f>
        <v>1.7441843541142532E-2</v>
      </c>
    </row>
    <row r="235" spans="1:5" x14ac:dyDescent="0.2">
      <c r="A235" s="1">
        <f>Acciones!A236</f>
        <v>45338</v>
      </c>
      <c r="B235" s="4">
        <f>Acciones!B236/Acciones!B235 -1</f>
        <v>-3.7717834601089795E-2</v>
      </c>
      <c r="C235" s="4">
        <f>Acciones!C236/Acciones!C235 -1</f>
        <v>-1.1406844106463865E-2</v>
      </c>
      <c r="D235" s="4">
        <f>Acciones!D236/Acciones!D235 -1</f>
        <v>-2.1582806408884436E-2</v>
      </c>
      <c r="E235" s="4">
        <f>Acciones!E236/Acciones!E235 -1</f>
        <v>-4.0000029972622864E-2</v>
      </c>
    </row>
    <row r="236" spans="1:5" x14ac:dyDescent="0.2">
      <c r="A236" s="1">
        <f>Acciones!A237</f>
        <v>45341</v>
      </c>
      <c r="B236" s="4">
        <f>Acciones!B237/Acciones!B236 -1</f>
        <v>3.0632400655494552E-2</v>
      </c>
      <c r="C236" s="4">
        <f>Acciones!C237/Acciones!C236 -1</f>
        <v>-2.19780219780219E-3</v>
      </c>
      <c r="D236" s="4">
        <f>Acciones!D237/Acciones!D236 -1</f>
        <v>0</v>
      </c>
      <c r="E236" s="4">
        <f>Acciones!E237/Acciones!E236 -1</f>
        <v>5.9524464194991022E-3</v>
      </c>
    </row>
    <row r="237" spans="1:5" x14ac:dyDescent="0.2">
      <c r="A237" s="1">
        <f>Acciones!A238</f>
        <v>45342</v>
      </c>
      <c r="B237" s="4">
        <f>Acciones!B238/Acciones!B237 -1</f>
        <v>1.6299095310773337E-2</v>
      </c>
      <c r="C237" s="4">
        <f>Acciones!C238/Acciones!C237 -1</f>
        <v>-7.8502234908453761E-2</v>
      </c>
      <c r="D237" s="4">
        <f>Acciones!D238/Acciones!D237 -1</f>
        <v>-6.8551070675691994E-3</v>
      </c>
      <c r="E237" s="4">
        <f>Acciones!E238/Acciones!E237 -1</f>
        <v>-5.9172244579609456E-3</v>
      </c>
    </row>
    <row r="238" spans="1:5" x14ac:dyDescent="0.2">
      <c r="A238" s="1">
        <f>Acciones!A239</f>
        <v>45343</v>
      </c>
      <c r="B238" s="4">
        <f>Acciones!B239/Acciones!B238 -1</f>
        <v>-2.1069239349958635E-2</v>
      </c>
      <c r="C238" s="4">
        <f>Acciones!C239/Acciones!C238 -1</f>
        <v>-6.7119197713589651E-2</v>
      </c>
      <c r="D238" s="4">
        <f>Acciones!D239/Acciones!D238 -1</f>
        <v>1.9431636752004433E-2</v>
      </c>
      <c r="E238" s="4">
        <f>Acciones!E239/Acciones!E238 -1</f>
        <v>0</v>
      </c>
    </row>
    <row r="239" spans="1:5" x14ac:dyDescent="0.2">
      <c r="A239" s="1">
        <f>Acciones!A240</f>
        <v>45344</v>
      </c>
      <c r="B239" s="4">
        <f>Acciones!B240/Acciones!B239 -1</f>
        <v>4.8185123127480134E-2</v>
      </c>
      <c r="C239" s="4">
        <f>Acciones!C240/Acciones!C239 -1</f>
        <v>7.8020939587661431E-2</v>
      </c>
      <c r="D239" s="4">
        <f>Acciones!D240/Acciones!D239 -1</f>
        <v>-1.1171839171500997E-3</v>
      </c>
      <c r="E239" s="4">
        <f>Acciones!E240/Acciones!E239 -1</f>
        <v>5.9524464194991022E-3</v>
      </c>
    </row>
    <row r="240" spans="1:5" x14ac:dyDescent="0.2">
      <c r="A240" s="1">
        <f>Acciones!A241</f>
        <v>45345</v>
      </c>
      <c r="B240" s="4">
        <f>Acciones!B241/Acciones!B240 -1</f>
        <v>-2.3597932433042201E-2</v>
      </c>
      <c r="C240" s="4">
        <f>Acciones!C241/Acciones!C240 -1</f>
        <v>-2.7761326476279269E-2</v>
      </c>
      <c r="D240" s="4">
        <f>Acciones!D241/Acciones!D240 -1</f>
        <v>1.2136450108367169E-2</v>
      </c>
      <c r="E240" s="4">
        <f>Acciones!E241/Acciones!E240 -1</f>
        <v>-5.9172244579609456E-3</v>
      </c>
    </row>
    <row r="241" spans="1:5" x14ac:dyDescent="0.2">
      <c r="A241" s="1">
        <f>Acciones!A242</f>
        <v>45348</v>
      </c>
      <c r="B241" s="4">
        <f>Acciones!B242/Acciones!B241 -1</f>
        <v>6.9052592103997501E-3</v>
      </c>
      <c r="C241" s="4">
        <f>Acciones!C242/Acciones!C241 -1</f>
        <v>0.22366464608784864</v>
      </c>
      <c r="D241" s="4">
        <f>Acciones!D242/Acciones!D241 -1</f>
        <v>-1.1852769717155986E-2</v>
      </c>
      <c r="E241" s="4">
        <f>Acciones!E242/Acciones!E241 -1</f>
        <v>0</v>
      </c>
    </row>
    <row r="242" spans="1:5" x14ac:dyDescent="0.2">
      <c r="A242" s="1">
        <f>Acciones!A243</f>
        <v>45349</v>
      </c>
      <c r="B242" s="4">
        <f>Acciones!B243/Acciones!B242 -1</f>
        <v>-4.738163477137558E-2</v>
      </c>
      <c r="C242" s="4">
        <f>Acciones!C243/Acciones!C242 -1</f>
        <v>3.8758128351979559E-2</v>
      </c>
      <c r="D242" s="4">
        <f>Acciones!D243/Acciones!D242 -1</f>
        <v>-1.8174653783014083E-3</v>
      </c>
      <c r="E242" s="4">
        <f>Acciones!E243/Acciones!E242 -1</f>
        <v>0</v>
      </c>
    </row>
    <row r="243" spans="1:5" x14ac:dyDescent="0.2">
      <c r="A243" s="1">
        <f>Acciones!A244</f>
        <v>45350</v>
      </c>
      <c r="B243" s="4">
        <f>Acciones!B244/Acciones!B243 -1</f>
        <v>-3.1413579615427789E-2</v>
      </c>
      <c r="C243" s="4">
        <f>Acciones!C244/Acciones!C243 -1</f>
        <v>1.5963356837319642E-2</v>
      </c>
      <c r="D243" s="4">
        <f>Acciones!D244/Acciones!D243 -1</f>
        <v>1.1204502917119274E-3</v>
      </c>
      <c r="E243" s="4">
        <f>Acciones!E244/Acciones!E243 -1</f>
        <v>-4.7619003692723982E-2</v>
      </c>
    </row>
    <row r="244" spans="1:5" x14ac:dyDescent="0.2">
      <c r="A244" s="1">
        <f>Acciones!A245</f>
        <v>45351</v>
      </c>
      <c r="B244" s="4">
        <f>Acciones!B245/Acciones!B244 -1</f>
        <v>-1.3851283862509556E-2</v>
      </c>
      <c r="C244" s="4">
        <f>Acciones!C245/Acciones!C244 -1</f>
        <v>-0.16501965871891011</v>
      </c>
      <c r="D244" s="4">
        <f>Acciones!D245/Acciones!D244 -1</f>
        <v>-1.0576380952144748E-2</v>
      </c>
      <c r="E244" s="4">
        <f>Acciones!E245/Acciones!E244 -1</f>
        <v>-4.3750032130623895E-2</v>
      </c>
    </row>
    <row r="245" spans="1:5" x14ac:dyDescent="0.2">
      <c r="A245" s="1">
        <f>Acciones!A246</f>
        <v>45352</v>
      </c>
      <c r="B245" s="4">
        <f>Acciones!B246/Acciones!B245 -1</f>
        <v>1.4045836734201567E-2</v>
      </c>
      <c r="C245" s="4">
        <f>Acciones!C246/Acciones!C245 -1</f>
        <v>2.7864007579889716E-2</v>
      </c>
      <c r="D245" s="4">
        <f>Acciones!D246/Acciones!D245 -1</f>
        <v>-1.8515293671746424E-2</v>
      </c>
      <c r="E245" s="4">
        <f>Acciones!E246/Acciones!E245 -1</f>
        <v>-7.1895435530761498E-2</v>
      </c>
    </row>
    <row r="246" spans="1:5" x14ac:dyDescent="0.2">
      <c r="A246" s="1">
        <f>Acciones!A247</f>
        <v>45355</v>
      </c>
      <c r="B246" s="4">
        <f>Acciones!B247/Acciones!B246 -1</f>
        <v>1.1486501673154903E-2</v>
      </c>
      <c r="C246" s="4">
        <f>Acciones!C247/Acciones!C246 -1</f>
        <v>-3.5534643268239408E-2</v>
      </c>
      <c r="D246" s="4">
        <f>Acciones!D247/Acciones!D246 -1</f>
        <v>-1.8737641914140735E-2</v>
      </c>
      <c r="E246" s="4">
        <f>Acciones!E247/Acciones!E246 -1</f>
        <v>-8.4507048165506693E-2</v>
      </c>
    </row>
    <row r="247" spans="1:5" x14ac:dyDescent="0.2">
      <c r="A247" s="1">
        <f>Acciones!A248</f>
        <v>45356</v>
      </c>
      <c r="B247" s="4">
        <f>Acciones!B248/Acciones!B247 -1</f>
        <v>4.642615384988602E-2</v>
      </c>
      <c r="C247" s="4">
        <f>Acciones!C248/Acciones!C247 -1</f>
        <v>-0.13678672969375405</v>
      </c>
      <c r="D247" s="4">
        <f>Acciones!D248/Acciones!D247 -1</f>
        <v>-1.9506734707488094E-2</v>
      </c>
      <c r="E247" s="4">
        <f>Acciones!E248/Acciones!E247 -1</f>
        <v>-6.153840510803088E-2</v>
      </c>
    </row>
    <row r="248" spans="1:5" x14ac:dyDescent="0.2">
      <c r="A248" s="1">
        <f>Acciones!A249</f>
        <v>45357</v>
      </c>
      <c r="B248" s="4">
        <f>Acciones!B249/Acciones!B248 -1</f>
        <v>-1.6916719577092509E-2</v>
      </c>
      <c r="C248" s="4">
        <f>Acciones!C249/Acciones!C248 -1</f>
        <v>1.0862669767366606E-2</v>
      </c>
      <c r="D248" s="4">
        <f>Acciones!D249/Acciones!D248 -1</f>
        <v>-1.2148993883619008E-2</v>
      </c>
      <c r="E248" s="4">
        <f>Acciones!E249/Acciones!E248 -1</f>
        <v>0</v>
      </c>
    </row>
    <row r="249" spans="1:5" x14ac:dyDescent="0.2">
      <c r="A249" s="1">
        <f>Acciones!A250</f>
        <v>45358</v>
      </c>
      <c r="B249" s="4">
        <f>Acciones!B250/Acciones!B249 -1</f>
        <v>-3.2458206395302724E-4</v>
      </c>
      <c r="C249" s="4">
        <f>Acciones!C250/Acciones!C249 -1</f>
        <v>-3.6745869940922216E-2</v>
      </c>
      <c r="D249" s="4">
        <f>Acciones!D250/Acciones!D249 -1</f>
        <v>1.147964114380029E-2</v>
      </c>
      <c r="E249" s="4">
        <f>Acciones!E250/Acciones!E249 -1</f>
        <v>5.7376993115763719E-2</v>
      </c>
    </row>
    <row r="250" spans="1:5" x14ac:dyDescent="0.2">
      <c r="A250" s="1">
        <f>Acciones!A251</f>
        <v>45359</v>
      </c>
      <c r="B250" s="4">
        <f>Acciones!B251/Acciones!B250 -1</f>
        <v>-2.4033882735437051E-2</v>
      </c>
      <c r="C250" s="4">
        <f>Acciones!C251/Acciones!C250 -1</f>
        <v>7.6948192274366445E-2</v>
      </c>
      <c r="D250" s="4">
        <f>Acciones!D251/Acciones!D250 -1</f>
        <v>-3.8364718191641334E-4</v>
      </c>
      <c r="E250" s="4">
        <f>Acciones!E251/Acciones!E250 -1</f>
        <v>7.7519400619372902E-2</v>
      </c>
    </row>
    <row r="251" spans="1:5" x14ac:dyDescent="0.2">
      <c r="A251" s="1">
        <f>Acciones!A252</f>
        <v>45362</v>
      </c>
      <c r="B251" s="4">
        <f>Acciones!B252/Acciones!B251 -1</f>
        <v>-5.6571804302394391E-3</v>
      </c>
      <c r="C251" s="4">
        <f>Acciones!C252/Acciones!C251 -1</f>
        <v>-0.11965635879790548</v>
      </c>
      <c r="D251" s="4">
        <f>Acciones!D252/Acciones!D251 -1</f>
        <v>2.2311444845108941E-2</v>
      </c>
      <c r="E251" s="4">
        <f>Acciones!E252/Acciones!E251 -1</f>
        <v>4.3165512666415884E-2</v>
      </c>
    </row>
    <row r="252" spans="1:5" x14ac:dyDescent="0.2">
      <c r="A252" s="1">
        <f>Acciones!A253</f>
        <v>45363</v>
      </c>
      <c r="B252" s="4">
        <f>Acciones!B253/Acciones!B252 -1</f>
        <v>-1.4056258926785081E-2</v>
      </c>
      <c r="C252" s="4">
        <f>Acciones!C253/Acciones!C252 -1</f>
        <v>-2.5341571082467484E-2</v>
      </c>
      <c r="D252" s="4">
        <f>Acciones!D253/Acciones!D252 -1</f>
        <v>-1.2020994424927656E-2</v>
      </c>
      <c r="E252" s="4">
        <f>Acciones!E253/Acciones!E252 -1</f>
        <v>0.10344825601747809</v>
      </c>
    </row>
    <row r="253" spans="1:5" x14ac:dyDescent="0.2">
      <c r="A253" s="1">
        <f>Acciones!A254</f>
        <v>45364</v>
      </c>
      <c r="B253" s="4">
        <f>Acciones!B254/Acciones!B253 -1</f>
        <v>4.5146049266031163E-2</v>
      </c>
      <c r="C253" s="4">
        <f>Acciones!C254/Acciones!C253 -1</f>
        <v>-2.8414929809835732E-2</v>
      </c>
      <c r="D253" s="4">
        <f>Acciones!D254/Acciones!D253 -1</f>
        <v>7.7196757461566179E-3</v>
      </c>
      <c r="E253" s="4">
        <f>Acciones!E254/Acciones!E253 -1</f>
        <v>2.4999975785615192E-2</v>
      </c>
    </row>
    <row r="254" spans="1:5" x14ac:dyDescent="0.2">
      <c r="A254" s="1">
        <f>Acciones!A255</f>
        <v>45365</v>
      </c>
      <c r="B254" s="4">
        <f>Acciones!B255/Acciones!B254 -1</f>
        <v>-1.3640824800461138E-2</v>
      </c>
      <c r="C254" s="4">
        <f>Acciones!C255/Acciones!C254 -1</f>
        <v>-9.789061895210549E-2</v>
      </c>
      <c r="D254" s="4">
        <f>Acciones!D255/Acciones!D254 -1</f>
        <v>-1.4378317612977032E-2</v>
      </c>
      <c r="E254" s="4">
        <f>Acciones!E255/Acciones!E254 -1</f>
        <v>-1.2195110427416056E-2</v>
      </c>
    </row>
    <row r="255" spans="1:5" x14ac:dyDescent="0.2">
      <c r="A255" s="1">
        <f>Acciones!A256</f>
        <v>45366</v>
      </c>
      <c r="B255" s="4">
        <f>Acciones!B256/Acciones!B255 -1</f>
        <v>-1.2512371627801944E-2</v>
      </c>
      <c r="C255" s="4">
        <f>Acciones!C256/Acciones!C255 -1</f>
        <v>8.6172121147995551E-2</v>
      </c>
      <c r="D255" s="4">
        <f>Acciones!D256/Acciones!D255 -1</f>
        <v>-4.5379513208235744E-3</v>
      </c>
      <c r="E255" s="4">
        <f>Acciones!E256/Acciones!E255 -1</f>
        <v>-7.407407679947986E-2</v>
      </c>
    </row>
    <row r="256" spans="1:5" x14ac:dyDescent="0.2">
      <c r="A256" s="1">
        <f>Acciones!A257</f>
        <v>45370</v>
      </c>
      <c r="B256" s="4">
        <f>Acciones!B257/Acciones!B256 -1</f>
        <v>5.6685637134434863E-3</v>
      </c>
      <c r="C256" s="4">
        <f>Acciones!C257/Acciones!C256 -1</f>
        <v>4.9797899270009882E-3</v>
      </c>
      <c r="D256" s="4">
        <f>Acciones!D257/Acciones!D256 -1</f>
        <v>3.0331154540010896E-3</v>
      </c>
      <c r="E256" s="4">
        <f>Acciones!E257/Acciones!E256 -1</f>
        <v>0</v>
      </c>
    </row>
    <row r="257" spans="1:5" x14ac:dyDescent="0.2">
      <c r="A257" s="1">
        <f>Acciones!A258</f>
        <v>45371</v>
      </c>
      <c r="B257" s="4">
        <f>Acciones!B258/Acciones!B257 -1</f>
        <v>-4.3103428642474739E-3</v>
      </c>
      <c r="C257" s="4">
        <f>Acciones!C258/Acciones!C257 -1</f>
        <v>0.14335831788529063</v>
      </c>
      <c r="D257" s="4">
        <f>Acciones!D258/Acciones!D257 -1</f>
        <v>1.5508736219305153E-3</v>
      </c>
      <c r="E257" s="4">
        <f>Acciones!E258/Acciones!E257 -1</f>
        <v>0</v>
      </c>
    </row>
    <row r="258" spans="1:5" x14ac:dyDescent="0.2">
      <c r="A258" s="1">
        <f>Acciones!A259</f>
        <v>45372</v>
      </c>
      <c r="B258" s="4">
        <f>Acciones!B259/Acciones!B258 -1</f>
        <v>1.1654930916724204E-2</v>
      </c>
      <c r="C258" s="4">
        <f>Acciones!C259/Acciones!C258 -1</f>
        <v>-1.1763109332942112E-2</v>
      </c>
      <c r="D258" s="4">
        <f>Acciones!D259/Acciones!D258 -1</f>
        <v>1.0229249804056151E-2</v>
      </c>
      <c r="E258" s="4">
        <f>Acciones!E259/Acciones!E258 -1</f>
        <v>0</v>
      </c>
    </row>
    <row r="259" spans="1:5" x14ac:dyDescent="0.2">
      <c r="A259" s="1">
        <f>Acciones!A260</f>
        <v>45373</v>
      </c>
      <c r="B259" s="4">
        <f>Acciones!B260/Acciones!B259 -1</f>
        <v>-1.7774785533192006E-2</v>
      </c>
      <c r="C259" s="4">
        <f>Acciones!C260/Acciones!C259 -1</f>
        <v>-4.1756372091508398E-2</v>
      </c>
      <c r="D259" s="4">
        <f>Acciones!D260/Acciones!D259 -1</f>
        <v>-6.5790401642545238E-2</v>
      </c>
      <c r="E259" s="4">
        <f>Acciones!E260/Acciones!E259 -1</f>
        <v>0</v>
      </c>
    </row>
    <row r="260" spans="1:5" x14ac:dyDescent="0.2">
      <c r="A260" s="1">
        <f>Acciones!A261</f>
        <v>45376</v>
      </c>
      <c r="B260" s="4">
        <f>Acciones!B261/Acciones!B260 -1</f>
        <v>3.8538851777957239E-2</v>
      </c>
      <c r="C260" s="4">
        <f>Acciones!C261/Acciones!C260 -1</f>
        <v>-1.5918066458904256E-3</v>
      </c>
      <c r="D260" s="4">
        <f>Acciones!D261/Acciones!D260 -1</f>
        <v>-4.6561325871647963E-3</v>
      </c>
      <c r="E260" s="4">
        <f>Acciones!E261/Acciones!E260 -1</f>
        <v>-1.3333320617679889E-2</v>
      </c>
    </row>
    <row r="261" spans="1:5" x14ac:dyDescent="0.2">
      <c r="A261" s="1">
        <f>Acciones!A262</f>
        <v>45377</v>
      </c>
      <c r="B261" s="4">
        <f>Acciones!B262/Acciones!B261 -1</f>
        <v>-3.1945794910746339E-2</v>
      </c>
      <c r="C261" s="4">
        <f>Acciones!C262/Acciones!C261 -1</f>
        <v>-2.9039921344513608E-2</v>
      </c>
      <c r="D261" s="4">
        <f>Acciones!D262/Acciones!D261 -1</f>
        <v>-1.9220373694229576E-2</v>
      </c>
      <c r="E261" s="4">
        <f>Acciones!E262/Acciones!E261 -1</f>
        <v>-5.4054082354284105E-2</v>
      </c>
    </row>
    <row r="262" spans="1:5" x14ac:dyDescent="0.2">
      <c r="A262" s="1">
        <f>Acciones!A263</f>
        <v>45378</v>
      </c>
      <c r="B262" s="4">
        <f>Acciones!B263/Acciones!B262 -1</f>
        <v>3.3333571017493124E-3</v>
      </c>
      <c r="C262" s="4">
        <f>Acciones!C263/Acciones!C262 -1</f>
        <v>6.3452919272401598E-2</v>
      </c>
      <c r="D262" s="4">
        <f>Acciones!D263/Acciones!D262 -1</f>
        <v>1.0492789288891524E-2</v>
      </c>
      <c r="E262" s="4">
        <f>Acciones!E263/Acciones!E262 -1</f>
        <v>1.4285700905076748E-2</v>
      </c>
    </row>
    <row r="263" spans="1:5" x14ac:dyDescent="0.2">
      <c r="A263" s="1">
        <f>Acciones!A264</f>
        <v>45383</v>
      </c>
      <c r="B263" s="4">
        <f>Acciones!B264/Acciones!B263 -1</f>
        <v>-9.3022612908378877E-3</v>
      </c>
      <c r="C263" s="4">
        <f>Acciones!C264/Acciones!C263 -1</f>
        <v>-5.0182181564286665E-3</v>
      </c>
      <c r="D263" s="4">
        <f>Acciones!D264/Acciones!D263 -1</f>
        <v>-1.1186591427300829E-2</v>
      </c>
      <c r="E263" s="4">
        <f>Acciones!E264/Acciones!E263 -1</f>
        <v>2.1126825004031735E-2</v>
      </c>
    </row>
    <row r="264" spans="1:5" x14ac:dyDescent="0.2">
      <c r="A264" s="1">
        <f>Acciones!A265</f>
        <v>45384</v>
      </c>
      <c r="B264" s="4">
        <f>Acciones!B265/Acciones!B264 -1</f>
        <v>-1.0060762080185137E-3</v>
      </c>
      <c r="C264" s="4">
        <f>Acciones!C265/Acciones!C264 -1</f>
        <v>-9.5216944926956426E-2</v>
      </c>
      <c r="D264" s="4">
        <f>Acciones!D265/Acciones!D264 -1</f>
        <v>-1.9398801939200072E-2</v>
      </c>
      <c r="E264" s="4">
        <f>Acciones!E265/Acciones!E264 -1</f>
        <v>-2.0689716974136241E-2</v>
      </c>
    </row>
    <row r="265" spans="1:5" x14ac:dyDescent="0.2">
      <c r="A265" s="1">
        <f>Acciones!A266</f>
        <v>45385</v>
      </c>
      <c r="B265" s="4">
        <f>Acciones!B266/Acciones!B265 -1</f>
        <v>-1.3427419697521481E-3</v>
      </c>
      <c r="C265" s="4">
        <f>Acciones!C266/Acciones!C265 -1</f>
        <v>-1.0934172509093343E-2</v>
      </c>
      <c r="D265" s="4">
        <f>Acciones!D266/Acciones!D265 -1</f>
        <v>-9.0732663094255095E-3</v>
      </c>
      <c r="E265" s="4">
        <f>Acciones!E266/Acciones!E265 -1</f>
        <v>-1.4084494035880857E-2</v>
      </c>
    </row>
    <row r="266" spans="1:5" x14ac:dyDescent="0.2">
      <c r="A266" s="1">
        <f>Acciones!A267</f>
        <v>45386</v>
      </c>
      <c r="B266" s="4">
        <f>Acciones!B267/Acciones!B266 -1</f>
        <v>-1.6806709939074516E-2</v>
      </c>
      <c r="C266" s="4">
        <f>Acciones!C267/Acciones!C266 -1</f>
        <v>-4.9267655600152005E-2</v>
      </c>
      <c r="D266" s="4">
        <f>Acciones!D267/Acciones!D266 -1</f>
        <v>-1.0753708142790863E-2</v>
      </c>
      <c r="E266" s="4">
        <f>Acciones!E267/Acciones!E266 -1</f>
        <v>0</v>
      </c>
    </row>
    <row r="267" spans="1:5" x14ac:dyDescent="0.2">
      <c r="A267" s="1">
        <f>Acciones!A268</f>
        <v>45387</v>
      </c>
      <c r="B267" s="4">
        <f>Acciones!B268/Acciones!B267 -1</f>
        <v>1.1282030499792928E-2</v>
      </c>
      <c r="C267" s="4">
        <f>Acciones!C268/Acciones!C267 -1</f>
        <v>-1.1921059843260084E-2</v>
      </c>
      <c r="D267" s="4">
        <f>Acciones!D268/Acciones!D267 -1</f>
        <v>-1.0613857929047898E-2</v>
      </c>
      <c r="E267" s="4">
        <f>Acciones!E268/Acciones!E267 -1</f>
        <v>0</v>
      </c>
    </row>
    <row r="268" spans="1:5" x14ac:dyDescent="0.2">
      <c r="A268" s="1">
        <f>Acciones!A269</f>
        <v>45390</v>
      </c>
      <c r="B268" s="4">
        <f>Acciones!B269/Acciones!B268 -1</f>
        <v>-1.1156166291432124E-2</v>
      </c>
      <c r="C268" s="4">
        <f>Acciones!C269/Acciones!C268 -1</f>
        <v>-3.3854132085911592E-2</v>
      </c>
      <c r="D268" s="4">
        <f>Acciones!D269/Acciones!D268 -1</f>
        <v>3.0181321869042765E-3</v>
      </c>
      <c r="E268" s="4">
        <f>Acciones!E269/Acciones!E268 -1</f>
        <v>0</v>
      </c>
    </row>
    <row r="269" spans="1:5" x14ac:dyDescent="0.2">
      <c r="A269" s="1">
        <f>Acciones!A270</f>
        <v>45391</v>
      </c>
      <c r="B269" s="4">
        <f>Acciones!B270/Acciones!B269 -1</f>
        <v>-1.0256415761645821E-2</v>
      </c>
      <c r="C269" s="4">
        <f>Acciones!C270/Acciones!C269 -1</f>
        <v>5.9708622671055256E-3</v>
      </c>
      <c r="D269" s="4">
        <f>Acciones!D270/Acciones!D269 -1</f>
        <v>1.7129113954415631E-2</v>
      </c>
      <c r="E269" s="4">
        <f>Acciones!E270/Acciones!E269 -1</f>
        <v>0</v>
      </c>
    </row>
    <row r="270" spans="1:5" x14ac:dyDescent="0.2">
      <c r="A270" s="1">
        <f>Acciones!A271</f>
        <v>45392</v>
      </c>
      <c r="B270" s="4">
        <f>Acciones!B271/Acciones!B270 -1</f>
        <v>-3.2469802122757851E-2</v>
      </c>
      <c r="C270" s="4">
        <f>Acciones!C271/Acciones!C270 -1</f>
        <v>-3.2865291553935472E-2</v>
      </c>
      <c r="D270" s="4">
        <f>Acciones!D271/Acciones!D270 -1</f>
        <v>-1.8962385038824414E-2</v>
      </c>
      <c r="E270" s="4">
        <f>Acciones!E271/Acciones!E270 -1</f>
        <v>-1.4285700905084187E-2</v>
      </c>
    </row>
    <row r="271" spans="1:5" x14ac:dyDescent="0.2">
      <c r="A271" s="1">
        <f>Acciones!A272</f>
        <v>45393</v>
      </c>
      <c r="B271" s="4">
        <f>Acciones!B272/Acciones!B271 -1</f>
        <v>3.5702489715463415E-3</v>
      </c>
      <c r="C271" s="4">
        <f>Acciones!C272/Acciones!C271 -1</f>
        <v>1.3501687483513214E-2</v>
      </c>
      <c r="D271" s="4">
        <f>Acciones!D272/Acciones!D271 -1</f>
        <v>3.2749493956526932E-2</v>
      </c>
      <c r="E271" s="4">
        <f>Acciones!E272/Acciones!E271 -1</f>
        <v>0</v>
      </c>
    </row>
    <row r="272" spans="1:5" x14ac:dyDescent="0.2">
      <c r="A272" s="1">
        <f>Acciones!A273</f>
        <v>45394</v>
      </c>
      <c r="B272" s="4">
        <f>Acciones!B273/Acciones!B272 -1</f>
        <v>-2.4902205140558631E-2</v>
      </c>
      <c r="C272" s="4">
        <f>Acciones!C273/Acciones!C272 -1</f>
        <v>-7.3529411764705843E-2</v>
      </c>
      <c r="D272" s="4">
        <f>Acciones!D273/Acciones!D272 -1</f>
        <v>9.467065528964369E-3</v>
      </c>
      <c r="E272" s="4">
        <f>Acciones!E273/Acciones!E272 -1</f>
        <v>0</v>
      </c>
    </row>
    <row r="273" spans="1:5" x14ac:dyDescent="0.2">
      <c r="A273" s="1">
        <f>Acciones!A274</f>
        <v>45397</v>
      </c>
      <c r="B273" s="4">
        <f>Acciones!B274/Acciones!B273 -1</f>
        <v>9.8503816264845501E-3</v>
      </c>
      <c r="C273" s="4">
        <f>Acciones!C274/Acciones!C273 -1</f>
        <v>-5.1353874883286688E-2</v>
      </c>
      <c r="D273" s="4">
        <f>Acciones!D274/Acciones!D273 -1</f>
        <v>1.8874268405305594E-2</v>
      </c>
      <c r="E273" s="4">
        <f>Acciones!E274/Acciones!E273 -1</f>
        <v>-7.9710155568984309E-2</v>
      </c>
    </row>
    <row r="274" spans="1:5" x14ac:dyDescent="0.2">
      <c r="A274" s="1">
        <f>Acciones!A275</f>
        <v>45398</v>
      </c>
      <c r="B274" s="4">
        <f>Acciones!B275/Acciones!B274 -1</f>
        <v>-1.5895924659274141E-2</v>
      </c>
      <c r="C274" s="4">
        <f>Acciones!C275/Acciones!C274 -1</f>
        <v>-1.7204705185779545E-2</v>
      </c>
      <c r="D274" s="4">
        <f>Acciones!D275/Acciones!D274 -1</f>
        <v>2.1331686937108074E-2</v>
      </c>
      <c r="E274" s="4">
        <f>Acciones!E275/Acciones!E274 -1</f>
        <v>0</v>
      </c>
    </row>
    <row r="275" spans="1:5" x14ac:dyDescent="0.2">
      <c r="A275" s="1">
        <f>Acciones!A276</f>
        <v>45399</v>
      </c>
      <c r="B275" s="4">
        <f>Acciones!B276/Acciones!B275 -1</f>
        <v>-4.0382436828020341E-3</v>
      </c>
      <c r="C275" s="4">
        <f>Acciones!C276/Acciones!C275 -1</f>
        <v>-5.8887200735067147E-3</v>
      </c>
      <c r="D275" s="4">
        <f>Acciones!D276/Acciones!D275 -1</f>
        <v>9.4526003769375144E-3</v>
      </c>
      <c r="E275" s="4">
        <f>Acciones!E276/Acciones!E275 -1</f>
        <v>0</v>
      </c>
    </row>
    <row r="276" spans="1:5" x14ac:dyDescent="0.2">
      <c r="A276" s="1">
        <f>Acciones!A277</f>
        <v>45400</v>
      </c>
      <c r="B276" s="4">
        <f>Acciones!B277/Acciones!B276 -1</f>
        <v>2.2852948493246927E-2</v>
      </c>
      <c r="C276" s="4">
        <f>Acciones!C277/Acciones!C276 -1</f>
        <v>3.8765292453353917E-2</v>
      </c>
      <c r="D276" s="4">
        <f>Acciones!D277/Acciones!D276 -1</f>
        <v>1.6728038660734024E-2</v>
      </c>
      <c r="E276" s="4">
        <f>Acciones!E277/Acciones!E276 -1</f>
        <v>0</v>
      </c>
    </row>
    <row r="277" spans="1:5" x14ac:dyDescent="0.2">
      <c r="A277" s="1">
        <f>Acciones!A278</f>
        <v>45401</v>
      </c>
      <c r="B277" s="4">
        <f>Acciones!B278/Acciones!B277 -1</f>
        <v>3.6036999381612311E-3</v>
      </c>
      <c r="C277" s="4">
        <f>Acciones!C278/Acciones!C277 -1</f>
        <v>9.6283681595751514E-2</v>
      </c>
      <c r="D277" s="4">
        <f>Acciones!D278/Acciones!D277 -1</f>
        <v>-3.6337308467604412E-3</v>
      </c>
      <c r="E277" s="4">
        <f>Acciones!E278/Acciones!E277 -1</f>
        <v>0</v>
      </c>
    </row>
    <row r="278" spans="1:5" x14ac:dyDescent="0.2">
      <c r="A278" s="1">
        <f>Acciones!A279</f>
        <v>45404</v>
      </c>
      <c r="B278" s="4">
        <f>Acciones!B279/Acciones!B278 -1</f>
        <v>5.3859284717470146E-3</v>
      </c>
      <c r="C278" s="4">
        <f>Acciones!C279/Acciones!C278 -1</f>
        <v>5.8846442051107006E-2</v>
      </c>
      <c r="D278" s="4">
        <f>Acciones!D279/Acciones!D278 -1</f>
        <v>-4.3050156080518542E-3</v>
      </c>
      <c r="E278" s="4">
        <f>Acciones!E279/Acciones!E278 -1</f>
        <v>0</v>
      </c>
    </row>
    <row r="279" spans="1:5" x14ac:dyDescent="0.2">
      <c r="A279" s="1">
        <f>Acciones!A280</f>
        <v>45405</v>
      </c>
      <c r="B279" s="4">
        <f>Acciones!B280/Acciones!B279 -1</f>
        <v>-3.5714538540210228E-3</v>
      </c>
      <c r="C279" s="4">
        <f>Acciones!C280/Acciones!C279 -1</f>
        <v>0.10232929182556494</v>
      </c>
      <c r="D279" s="4">
        <f>Acciones!D280/Acciones!D279 -1</f>
        <v>-1.1334146942166168E-2</v>
      </c>
      <c r="E279" s="4">
        <f>Acciones!E280/Acciones!E279 -1</f>
        <v>0</v>
      </c>
    </row>
    <row r="280" spans="1:5" x14ac:dyDescent="0.2">
      <c r="A280" s="1">
        <f>Acciones!A281</f>
        <v>45406</v>
      </c>
      <c r="B280" s="4">
        <f>Acciones!B281/Acciones!B280 -1</f>
        <v>-3.2257941985628369E-3</v>
      </c>
      <c r="C280" s="4">
        <f>Acciones!C281/Acciones!C280 -1</f>
        <v>-1.1732590709646606E-2</v>
      </c>
      <c r="D280" s="4">
        <f>Acciones!D281/Acciones!D280 -1</f>
        <v>5.4603026579520542E-3</v>
      </c>
      <c r="E280" s="4">
        <f>Acciones!E281/Acciones!E280 -1</f>
        <v>-7.8740083570431052E-3</v>
      </c>
    </row>
    <row r="281" spans="1:5" x14ac:dyDescent="0.2">
      <c r="A281" s="1">
        <f>Acciones!A282</f>
        <v>45407</v>
      </c>
      <c r="B281" s="4">
        <f>Acciones!B282/Acciones!B281 -1</f>
        <v>1.0427871734805194E-2</v>
      </c>
      <c r="C281" s="4">
        <f>Acciones!C282/Acciones!C281 -1</f>
        <v>6.1319752740374156E-5</v>
      </c>
      <c r="D281" s="4">
        <f>Acciones!D282/Acciones!D281 -1</f>
        <v>5.2877258301189389E-3</v>
      </c>
      <c r="E281" s="4">
        <f>Acciones!E282/Acciones!E281 -1</f>
        <v>0</v>
      </c>
    </row>
    <row r="282" spans="1:5" x14ac:dyDescent="0.2">
      <c r="A282" s="1">
        <f>Acciones!A283</f>
        <v>45408</v>
      </c>
      <c r="B282" s="4">
        <f>Acciones!B283/Acciones!B282 -1</f>
        <v>2.0996486093659117E-2</v>
      </c>
      <c r="C282" s="4">
        <f>Acciones!C283/Acciones!C282 -1</f>
        <v>1.438651055646023E-2</v>
      </c>
      <c r="D282" s="4">
        <f>Acciones!D283/Acciones!D282 -1</f>
        <v>-4.5430026272370583E-3</v>
      </c>
      <c r="E282" s="4">
        <f>Acciones!E283/Acciones!E282 -1</f>
        <v>0</v>
      </c>
    </row>
    <row r="283" spans="1:5" x14ac:dyDescent="0.2">
      <c r="A283" s="1">
        <f>Acciones!A284</f>
        <v>45411</v>
      </c>
      <c r="B283" s="4">
        <f>Acciones!B284/Acciones!B283 -1</f>
        <v>2.9627086496194721E-2</v>
      </c>
      <c r="C283" s="4">
        <f>Acciones!C284/Acciones!C283 -1</f>
        <v>-7.7958204327223113E-2</v>
      </c>
      <c r="D283" s="4">
        <f>Acciones!D284/Acciones!D283 -1</f>
        <v>-5.0416539450954811E-3</v>
      </c>
      <c r="E283" s="4">
        <f>Acciones!E284/Acciones!E283 -1</f>
        <v>0</v>
      </c>
    </row>
    <row r="284" spans="1:5" x14ac:dyDescent="0.2">
      <c r="A284" s="1">
        <f>Acciones!A285</f>
        <v>45412</v>
      </c>
      <c r="B284" s="4">
        <f>Acciones!B285/Acciones!B284 -1</f>
        <v>-2.9451632377646031E-2</v>
      </c>
      <c r="C284" s="4">
        <f>Acciones!C285/Acciones!C284 -1</f>
        <v>-9.1436832337284168E-2</v>
      </c>
      <c r="D284" s="4">
        <f>Acciones!D285/Acciones!D284 -1</f>
        <v>-1.274332529025568E-2</v>
      </c>
      <c r="E284" s="4">
        <f>Acciones!E285/Acciones!E284 -1</f>
        <v>-7.9365004277288653E-3</v>
      </c>
    </row>
    <row r="285" spans="1:5" x14ac:dyDescent="0.2">
      <c r="A285" s="1">
        <f>Acciones!A286</f>
        <v>45414</v>
      </c>
      <c r="B285" s="4">
        <f>Acciones!B286/Acciones!B285 -1</f>
        <v>3.1391578782344887E-3</v>
      </c>
      <c r="C285" s="4">
        <f>Acciones!C286/Acciones!C285 -1</f>
        <v>4.6781906335724877E-2</v>
      </c>
      <c r="D285" s="4">
        <f>Acciones!D286/Acciones!D285 -1</f>
        <v>-3.1731447806745416E-3</v>
      </c>
      <c r="E285" s="4">
        <f>Acciones!E286/Acciones!E285 -1</f>
        <v>-7.9999923706080001E-3</v>
      </c>
    </row>
    <row r="286" spans="1:5" x14ac:dyDescent="0.2">
      <c r="A286" s="1">
        <f>Acciones!A287</f>
        <v>45415</v>
      </c>
      <c r="B286" s="4">
        <f>Acciones!B287/Acciones!B286 -1</f>
        <v>2.0514646846297113E-2</v>
      </c>
      <c r="C286" s="4">
        <f>Acciones!C287/Acciones!C286 -1</f>
        <v>2.3966386568770481E-2</v>
      </c>
      <c r="D286" s="4">
        <f>Acciones!D287/Acciones!D286 -1</f>
        <v>-7.1020772212326833E-3</v>
      </c>
      <c r="E286" s="4">
        <f>Acciones!E287/Acciones!E286 -1</f>
        <v>0</v>
      </c>
    </row>
    <row r="287" spans="1:5" x14ac:dyDescent="0.2">
      <c r="A287" s="1">
        <f>Acciones!A288</f>
        <v>45418</v>
      </c>
      <c r="B287" s="4">
        <f>Acciones!B288/Acciones!B287 -1</f>
        <v>-2.8279419040363907E-2</v>
      </c>
      <c r="C287" s="4">
        <f>Acciones!C288/Acciones!C287 -1</f>
        <v>0.17744326129249988</v>
      </c>
      <c r="D287" s="4">
        <f>Acciones!D288/Acciones!D287 -1</f>
        <v>3.3274449468962963E-3</v>
      </c>
      <c r="E287" s="4">
        <f>Acciones!E288/Acciones!E287 -1</f>
        <v>-2.4193525128260229E-2</v>
      </c>
    </row>
    <row r="288" spans="1:5" x14ac:dyDescent="0.2">
      <c r="A288" s="1">
        <f>Acciones!A289</f>
        <v>45419</v>
      </c>
      <c r="B288" s="4">
        <f>Acciones!B289/Acciones!B288 -1</f>
        <v>3.4712487655914392E-2</v>
      </c>
      <c r="C288" s="4">
        <f>Acciones!C289/Acciones!C288 -1</f>
        <v>-2.903067172362972E-2</v>
      </c>
      <c r="D288" s="4">
        <f>Acciones!D289/Acciones!D288 -1</f>
        <v>7.568404894359837E-3</v>
      </c>
      <c r="E288" s="4">
        <f>Acciones!E289/Acciones!E288 -1</f>
        <v>-1.6528909335530639E-2</v>
      </c>
    </row>
    <row r="289" spans="1:5" x14ac:dyDescent="0.2">
      <c r="A289" s="1">
        <f>Acciones!A290</f>
        <v>45420</v>
      </c>
      <c r="B289" s="4">
        <f>Acciones!B290/Acciones!B289 -1</f>
        <v>-2.7109513421615272E-2</v>
      </c>
      <c r="C289" s="4">
        <f>Acciones!C290/Acciones!C289 -1</f>
        <v>6.2448304718369929E-3</v>
      </c>
      <c r="D289" s="4">
        <f>Acciones!D290/Acciones!D289 -1</f>
        <v>-2.5649926580331162E-3</v>
      </c>
      <c r="E289" s="4">
        <f>Acciones!E290/Acciones!E289 -1</f>
        <v>-8.4034531022612047E-3</v>
      </c>
    </row>
    <row r="290" spans="1:5" x14ac:dyDescent="0.2">
      <c r="A290" s="1">
        <f>Acciones!A291</f>
        <v>45421</v>
      </c>
      <c r="B290" s="4">
        <f>Acciones!B291/Acciones!B290 -1</f>
        <v>3.0651423234113073E-2</v>
      </c>
      <c r="C290" s="4">
        <f>Acciones!C291/Acciones!C290 -1</f>
        <v>-3.627053403705871E-2</v>
      </c>
      <c r="D290" s="4">
        <f>Acciones!D291/Acciones!D290 -1</f>
        <v>-1.1590903190717983E-3</v>
      </c>
      <c r="E290" s="4">
        <f>Acciones!E291/Acciones!E290 -1</f>
        <v>-8.4745685659057823E-3</v>
      </c>
    </row>
    <row r="291" spans="1:5" x14ac:dyDescent="0.2">
      <c r="A291" s="1">
        <f>Acciones!A292</f>
        <v>45422</v>
      </c>
      <c r="B291" s="4">
        <f>Acciones!B292/Acciones!B291 -1</f>
        <v>-3.4809070853892843E-2</v>
      </c>
      <c r="C291" s="4">
        <f>Acciones!C292/Acciones!C291 -1</f>
        <v>-0.12135106080127689</v>
      </c>
      <c r="D291" s="4">
        <f>Acciones!D292/Acciones!D291 -1</f>
        <v>-3.0634035134110005E-2</v>
      </c>
      <c r="E291" s="4">
        <f>Acciones!E292/Acciones!E291 -1</f>
        <v>2.5641104016630001E-2</v>
      </c>
    </row>
    <row r="292" spans="1:5" x14ac:dyDescent="0.2">
      <c r="A292" s="1">
        <f>Acciones!A293</f>
        <v>45425</v>
      </c>
      <c r="B292" s="4">
        <f>Acciones!B293/Acciones!B292 -1</f>
        <v>2.2759092934653502E-2</v>
      </c>
      <c r="C292" s="4">
        <f>Acciones!C293/Acciones!C292 -1</f>
        <v>-3.9411415679675432E-3</v>
      </c>
      <c r="D292" s="4">
        <f>Acciones!D293/Acciones!D292 -1</f>
        <v>1.7276142798760219E-2</v>
      </c>
      <c r="E292" s="4">
        <f>Acciones!E293/Acciones!E292 -1</f>
        <v>0</v>
      </c>
    </row>
    <row r="293" spans="1:5" x14ac:dyDescent="0.2">
      <c r="A293" s="1">
        <f>Acciones!A294</f>
        <v>45426</v>
      </c>
      <c r="B293" s="4">
        <f>Acciones!B294/Acciones!B293 -1</f>
        <v>-2.327966218418176E-2</v>
      </c>
      <c r="C293" s="4">
        <f>Acciones!C294/Acciones!C293 -1</f>
        <v>5.5115941801797241E-2</v>
      </c>
      <c r="D293" s="4">
        <f>Acciones!D294/Acciones!D293 -1</f>
        <v>3.7876859687202558E-3</v>
      </c>
      <c r="E293" s="4">
        <f>Acciones!E294/Acciones!E293 -1</f>
        <v>-3.333339956071657E-2</v>
      </c>
    </row>
    <row r="294" spans="1:5" x14ac:dyDescent="0.2">
      <c r="A294" s="1">
        <f>Acciones!A295</f>
        <v>45427</v>
      </c>
      <c r="B294" s="4">
        <f>Acciones!B295/Acciones!B294 -1</f>
        <v>4.2060597113988685E-3</v>
      </c>
      <c r="C294" s="4">
        <f>Acciones!C295/Acciones!C294 -1</f>
        <v>0.10062498795358543</v>
      </c>
      <c r="D294" s="4">
        <f>Acciones!D295/Acciones!D294 -1</f>
        <v>-2.4196213955853252E-2</v>
      </c>
      <c r="E294" s="4">
        <f>Acciones!E295/Acciones!E294 -1</f>
        <v>2.5862147812329761E-2</v>
      </c>
    </row>
    <row r="295" spans="1:5" x14ac:dyDescent="0.2">
      <c r="A295" s="1">
        <f>Acciones!A296</f>
        <v>45428</v>
      </c>
      <c r="B295" s="4">
        <f>Acciones!B296/Acciones!B295 -1</f>
        <v>-1.7452062211306907E-2</v>
      </c>
      <c r="C295" s="4">
        <f>Acciones!C296/Acciones!C295 -1</f>
        <v>-2.089121106692049E-2</v>
      </c>
      <c r="D295" s="4">
        <f>Acciones!D296/Acciones!D295 -1</f>
        <v>1.1002865559672781E-2</v>
      </c>
      <c r="E295" s="4">
        <f>Acciones!E296/Acciones!E295 -1</f>
        <v>5.0420117558393374E-2</v>
      </c>
    </row>
    <row r="296" spans="1:5" x14ac:dyDescent="0.2">
      <c r="A296" s="1">
        <f>Acciones!A297</f>
        <v>45429</v>
      </c>
      <c r="B296" s="4">
        <f>Acciones!B297/Acciones!B296 -1</f>
        <v>3.9077004377532365E-3</v>
      </c>
      <c r="C296" s="4">
        <f>Acciones!C297/Acciones!C296 -1</f>
        <v>-1.7796144631333721E-2</v>
      </c>
      <c r="D296" s="4">
        <f>Acciones!D297/Acciones!D296 -1</f>
        <v>-7.8637873616930198E-3</v>
      </c>
      <c r="E296" s="4">
        <f>Acciones!E297/Acciones!E296 -1</f>
        <v>0</v>
      </c>
    </row>
    <row r="297" spans="1:5" x14ac:dyDescent="0.2">
      <c r="A297" s="1">
        <f>Acciones!A298</f>
        <v>45432</v>
      </c>
      <c r="B297" s="4">
        <f>Acciones!B298/Acciones!B297 -1</f>
        <v>2.2292977927925728E-2</v>
      </c>
      <c r="C297" s="4">
        <f>Acciones!C298/Acciones!C297 -1</f>
        <v>0.15411628812836242</v>
      </c>
      <c r="D297" s="4">
        <f>Acciones!D298/Acciones!D297 -1</f>
        <v>-8.6458719216776503E-3</v>
      </c>
      <c r="E297" s="4">
        <f>Acciones!E298/Acciones!E297 -1</f>
        <v>1.5999984741208007E-2</v>
      </c>
    </row>
    <row r="298" spans="1:5" x14ac:dyDescent="0.2">
      <c r="A298" s="1">
        <f>Acciones!A299</f>
        <v>45433</v>
      </c>
      <c r="B298" s="4">
        <f>Acciones!B299/Acciones!B298 -1</f>
        <v>-6.5766149178737576E-3</v>
      </c>
      <c r="C298" s="4">
        <f>Acciones!C299/Acciones!C298 -1</f>
        <v>-4.0607462212144174E-2</v>
      </c>
      <c r="D298" s="4">
        <f>Acciones!D299/Acciones!D298 -1</f>
        <v>1.5079309432314947E-2</v>
      </c>
      <c r="E298" s="4">
        <f>Acciones!E299/Acciones!E298 -1</f>
        <v>-7.8740083570431052E-3</v>
      </c>
    </row>
    <row r="299" spans="1:5" x14ac:dyDescent="0.2">
      <c r="A299" s="1">
        <f>Acciones!A300</f>
        <v>45434</v>
      </c>
      <c r="B299" s="4">
        <f>Acciones!B300/Acciones!B299 -1</f>
        <v>-3.4846870025173615E-4</v>
      </c>
      <c r="C299" s="4">
        <f>Acciones!C300/Acciones!C299 -1</f>
        <v>-8.9817340799233092E-3</v>
      </c>
      <c r="D299" s="4">
        <f>Acciones!D300/Acciones!D299 -1</f>
        <v>2.1787659171856877E-3</v>
      </c>
      <c r="E299" s="4">
        <f>Acciones!E300/Acciones!E299 -1</f>
        <v>0</v>
      </c>
    </row>
    <row r="300" spans="1:5" x14ac:dyDescent="0.2">
      <c r="A300" s="1">
        <f>Acciones!A301</f>
        <v>45435</v>
      </c>
      <c r="B300" s="4">
        <f>Acciones!B301/Acciones!B300 -1</f>
        <v>3.8340814751569585E-3</v>
      </c>
      <c r="C300" s="4">
        <f>Acciones!C301/Acciones!C300 -1</f>
        <v>-4.7949454286942306E-2</v>
      </c>
      <c r="D300" s="4">
        <f>Acciones!D301/Acciones!D300 -1</f>
        <v>-8.4565520114148196E-3</v>
      </c>
      <c r="E300" s="4">
        <f>Acciones!E301/Acciones!E300 -1</f>
        <v>7.9365004277367479E-3</v>
      </c>
    </row>
    <row r="301" spans="1:5" x14ac:dyDescent="0.2">
      <c r="A301" s="1">
        <f>Acciones!A302</f>
        <v>45436</v>
      </c>
      <c r="B301" s="4">
        <f>Acciones!B302/Acciones!B301 -1</f>
        <v>-8.6805830022024244E-3</v>
      </c>
      <c r="C301" s="4">
        <f>Acciones!C302/Acciones!C301 -1</f>
        <v>4.8936523890274808E-2</v>
      </c>
      <c r="D301" s="4">
        <f>Acciones!D302/Acciones!D301 -1</f>
        <v>3.1419453954619758E-3</v>
      </c>
      <c r="E301" s="4">
        <f>Acciones!E302/Acciones!E301 -1</f>
        <v>0</v>
      </c>
    </row>
    <row r="302" spans="1:5" x14ac:dyDescent="0.2">
      <c r="A302" s="1">
        <f>Acciones!A303</f>
        <v>45439</v>
      </c>
      <c r="B302" s="4">
        <f>Acciones!B303/Acciones!B302 -1</f>
        <v>1.3660308001023802E-2</v>
      </c>
      <c r="C302" s="4">
        <f>Acciones!C303/Acciones!C302 -1</f>
        <v>-2.83624792353665E-4</v>
      </c>
      <c r="D302" s="4">
        <f>Acciones!D303/Acciones!D302 -1</f>
        <v>0</v>
      </c>
      <c r="E302" s="4">
        <f>Acciones!E303/Acciones!E302 -1</f>
        <v>2.3622025071121655E-2</v>
      </c>
    </row>
    <row r="303" spans="1:5" x14ac:dyDescent="0.2">
      <c r="A303" s="1">
        <f>Acciones!A304</f>
        <v>45440</v>
      </c>
      <c r="B303" s="4">
        <f>Acciones!B304/Acciones!B303 -1</f>
        <v>-1.4858330643950368E-2</v>
      </c>
      <c r="C303" s="4">
        <f>Acciones!C304/Acciones!C303 -1</f>
        <v>-9.3333575742468033E-3</v>
      </c>
      <c r="D303" s="4">
        <f>Acciones!D304/Acciones!D303 -1</f>
        <v>9.8458440021309546E-3</v>
      </c>
      <c r="E303" s="4">
        <f>Acciones!E304/Acciones!E303 -1</f>
        <v>1.5384692976461167E-2</v>
      </c>
    </row>
    <row r="304" spans="1:5" x14ac:dyDescent="0.2">
      <c r="A304" s="1">
        <f>Acciones!A305</f>
        <v>45441</v>
      </c>
      <c r="B304" s="4">
        <f>Acciones!B305/Acciones!B304 -1</f>
        <v>3.8582881398478985E-3</v>
      </c>
      <c r="C304" s="4">
        <f>Acciones!C305/Acciones!C304 -1</f>
        <v>-1.4060318382217885E-2</v>
      </c>
      <c r="D304" s="4">
        <f>Acciones!D305/Acciones!D304 -1</f>
        <v>6.6486768299889309E-3</v>
      </c>
      <c r="E304" s="4">
        <f>Acciones!E305/Acciones!E304 -1</f>
        <v>-7.5758403599784918E-3</v>
      </c>
    </row>
    <row r="305" spans="1:5" x14ac:dyDescent="0.2">
      <c r="A305" s="1">
        <f>Acciones!A306</f>
        <v>45442</v>
      </c>
      <c r="B305" s="4">
        <f>Acciones!B306/Acciones!B305 -1</f>
        <v>1.0482117184286155E-2</v>
      </c>
      <c r="C305" s="4">
        <f>Acciones!C306/Acciones!C305 -1</f>
        <v>-1.5393517225899433E-2</v>
      </c>
      <c r="D305" s="4">
        <f>Acciones!D306/Acciones!D305 -1</f>
        <v>1.7150130451627499E-2</v>
      </c>
      <c r="E305" s="4">
        <f>Acciones!E306/Acciones!E305 -1</f>
        <v>3.0534414358399431E-2</v>
      </c>
    </row>
    <row r="306" spans="1:5" x14ac:dyDescent="0.2">
      <c r="A306" s="1">
        <f>Acciones!A307</f>
        <v>45443</v>
      </c>
      <c r="B306" s="4">
        <f>Acciones!B307/Acciones!B306 -1</f>
        <v>2.7663393001162717E-3</v>
      </c>
      <c r="C306" s="4">
        <f>Acciones!C307/Acciones!C306 -1</f>
        <v>-3.3598863269728607E-2</v>
      </c>
      <c r="D306" s="4">
        <f>Acciones!D307/Acciones!D306 -1</f>
        <v>1.3964549414131611E-2</v>
      </c>
      <c r="E306" s="4">
        <f>Acciones!E307/Acciones!E306 -1</f>
        <v>-2.2222200637001088E-2</v>
      </c>
    </row>
    <row r="307" spans="1:5" x14ac:dyDescent="0.2">
      <c r="A307" s="1">
        <f>Acciones!A308</f>
        <v>45446</v>
      </c>
      <c r="B307" s="4">
        <f>Acciones!B308/Acciones!B307 -1</f>
        <v>-0.10172421097167716</v>
      </c>
      <c r="C307" s="4">
        <f>Acciones!C308/Acciones!C307 -1</f>
        <v>5.2074200540208393E-2</v>
      </c>
      <c r="D307" s="4">
        <f>Acciones!D308/Acciones!D307 -1</f>
        <v>4.1363812255114762E-2</v>
      </c>
      <c r="E307" s="4">
        <f>Acciones!E308/Acciones!E307 -1</f>
        <v>-1.5151590409899773E-2</v>
      </c>
    </row>
    <row r="308" spans="1:5" x14ac:dyDescent="0.2">
      <c r="A308" s="1">
        <f>Acciones!A309</f>
        <v>45447</v>
      </c>
      <c r="B308" s="4">
        <f>Acciones!B309/Acciones!B308 -1</f>
        <v>1.7658399707150441E-2</v>
      </c>
      <c r="C308" s="4">
        <f>Acciones!C309/Acciones!C308 -1</f>
        <v>6.5715011501088938E-2</v>
      </c>
      <c r="D308" s="4">
        <f>Acciones!D309/Acciones!D308 -1</f>
        <v>8.7152016552975997E-3</v>
      </c>
      <c r="E308" s="4">
        <f>Acciones!E309/Acciones!E308 -1</f>
        <v>0</v>
      </c>
    </row>
    <row r="309" spans="1:5" x14ac:dyDescent="0.2">
      <c r="A309" s="1">
        <f>Acciones!A310</f>
        <v>45448</v>
      </c>
      <c r="B309" s="4">
        <f>Acciones!B310/Acciones!B309 -1</f>
        <v>1.3202547365186668E-2</v>
      </c>
      <c r="C309" s="4">
        <f>Acciones!C310/Acciones!C309 -1</f>
        <v>5.09091549575591E-3</v>
      </c>
      <c r="D309" s="4">
        <f>Acciones!D310/Acciones!D309 -1</f>
        <v>-2.2423503273706569E-2</v>
      </c>
      <c r="E309" s="4">
        <f>Acciones!E310/Acciones!E309 -1</f>
        <v>0</v>
      </c>
    </row>
    <row r="310" spans="1:5" x14ac:dyDescent="0.2">
      <c r="A310" s="1">
        <f>Acciones!A311</f>
        <v>45449</v>
      </c>
      <c r="B310" s="4">
        <f>Acciones!B311/Acciones!B310 -1</f>
        <v>-1.6753545997726049E-2</v>
      </c>
      <c r="C310" s="4">
        <f>Acciones!C311/Acciones!C310 -1</f>
        <v>1.083684407958696E-4</v>
      </c>
      <c r="D310" s="4">
        <f>Acciones!D311/Acciones!D310 -1</f>
        <v>3.4024902972899396E-2</v>
      </c>
      <c r="E310" s="4">
        <f>Acciones!E311/Acciones!E310 -1</f>
        <v>-4.6153803831019191E-2</v>
      </c>
    </row>
    <row r="311" spans="1:5" x14ac:dyDescent="0.2">
      <c r="A311" s="1">
        <f>Acciones!A312</f>
        <v>45450</v>
      </c>
      <c r="B311" s="4">
        <f>Acciones!B312/Acciones!B311 -1</f>
        <v>-4.9981050923228021E-2</v>
      </c>
      <c r="C311" s="4">
        <f>Acciones!C312/Acciones!C311 -1</f>
        <v>-3.7835497670909213E-2</v>
      </c>
      <c r="D311" s="4">
        <f>Acciones!D312/Acciones!D311 -1</f>
        <v>4.6980838429590444E-2</v>
      </c>
      <c r="E311" s="4">
        <f>Acciones!E312/Acciones!E311 -1</f>
        <v>8.0645083760892966E-3</v>
      </c>
    </row>
    <row r="312" spans="1:5" x14ac:dyDescent="0.2">
      <c r="A312" s="1">
        <f>Acciones!A313</f>
        <v>45453</v>
      </c>
      <c r="B312" s="4">
        <f>Acciones!B313/Acciones!B312 -1</f>
        <v>3.3878005109145848E-2</v>
      </c>
      <c r="C312" s="4">
        <f>Acciones!C313/Acciones!C312 -1</f>
        <v>1.407076270729668E-4</v>
      </c>
      <c r="D312" s="4">
        <f>Acciones!D313/Acciones!D312 -1</f>
        <v>-1.4524530045723294E-2</v>
      </c>
      <c r="E312" s="4">
        <f>Acciones!E313/Acciones!E312 -1</f>
        <v>-2.3999977111824E-2</v>
      </c>
    </row>
    <row r="313" spans="1:5" x14ac:dyDescent="0.2">
      <c r="A313" s="1">
        <f>Acciones!A314</f>
        <v>45454</v>
      </c>
      <c r="B313" s="4">
        <f>Acciones!B314/Acciones!B313 -1</f>
        <v>-3.8550018751455362E-3</v>
      </c>
      <c r="C313" s="4">
        <f>Acciones!C314/Acciones!C313 -1</f>
        <v>3.0564903728468984E-2</v>
      </c>
      <c r="D313" s="4">
        <f>Acciones!D314/Acciones!D313 -1</f>
        <v>1.7727105164948576E-3</v>
      </c>
      <c r="E313" s="4">
        <f>Acciones!E314/Acciones!E313 -1</f>
        <v>0</v>
      </c>
    </row>
    <row r="314" spans="1:5" x14ac:dyDescent="0.2">
      <c r="A314" s="1">
        <f>Acciones!A315</f>
        <v>45455</v>
      </c>
      <c r="B314" s="4">
        <f>Acciones!B315/Acciones!B314 -1</f>
        <v>-9.2879153505615042E-3</v>
      </c>
      <c r="C314" s="4">
        <f>Acciones!C315/Acciones!C314 -1</f>
        <v>4.4815174762445897E-2</v>
      </c>
      <c r="D314" s="4">
        <f>Acciones!D315/Acciones!D314 -1</f>
        <v>-7.4299056407811648E-3</v>
      </c>
      <c r="E314" s="4">
        <f>Acciones!E315/Acciones!E314 -1</f>
        <v>0</v>
      </c>
    </row>
    <row r="315" spans="1:5" x14ac:dyDescent="0.2">
      <c r="A315" s="1">
        <f>Acciones!A316</f>
        <v>45456</v>
      </c>
      <c r="B315" s="4">
        <f>Acciones!B316/Acciones!B315 -1</f>
        <v>-7.8125551003227489E-3</v>
      </c>
      <c r="C315" s="4">
        <f>Acciones!C316/Acciones!C315 -1</f>
        <v>-3.8344877999479499E-2</v>
      </c>
      <c r="D315" s="4">
        <f>Acciones!D316/Acciones!D315 -1</f>
        <v>-2.4629278197748627E-3</v>
      </c>
      <c r="E315" s="4">
        <f>Acciones!E316/Acciones!E315 -1</f>
        <v>0</v>
      </c>
    </row>
    <row r="316" spans="1:5" x14ac:dyDescent="0.2">
      <c r="A316" s="1">
        <f>Acciones!A317</f>
        <v>45457</v>
      </c>
      <c r="B316" s="4">
        <f>Acciones!B317/Acciones!B316 -1</f>
        <v>-8.2676594080374199E-3</v>
      </c>
      <c r="C316" s="4">
        <f>Acciones!C317/Acciones!C316 -1</f>
        <v>-2.8621126564875365E-2</v>
      </c>
      <c r="D316" s="4">
        <f>Acciones!D317/Acciones!D316 -1</f>
        <v>-8.9991713446960775E-3</v>
      </c>
      <c r="E316" s="4">
        <f>Acciones!E317/Acciones!E316 -1</f>
        <v>0</v>
      </c>
    </row>
    <row r="317" spans="1:5" x14ac:dyDescent="0.2">
      <c r="A317" s="1">
        <f>Acciones!A318</f>
        <v>45460</v>
      </c>
      <c r="B317" s="4">
        <f>Acciones!B318/Acciones!B317 -1</f>
        <v>1.7070269473492772E-2</v>
      </c>
      <c r="C317" s="4">
        <f>Acciones!C318/Acciones!C317 -1</f>
        <v>3.5116647886006547E-2</v>
      </c>
      <c r="D317" s="4">
        <f>Acciones!D318/Acciones!D317 -1</f>
        <v>1.8618409088270838E-2</v>
      </c>
      <c r="E317" s="4">
        <f>Acciones!E318/Acciones!E317 -1</f>
        <v>-8.1967133022460281E-3</v>
      </c>
    </row>
    <row r="318" spans="1:5" x14ac:dyDescent="0.2">
      <c r="A318" s="1">
        <f>Acciones!A319</f>
        <v>45461</v>
      </c>
      <c r="B318" s="4">
        <f>Acciones!B319/Acciones!B318 -1</f>
        <v>4.2154557416216099E-2</v>
      </c>
      <c r="C318" s="4">
        <f>Acciones!C319/Acciones!C318 -1</f>
        <v>4.0818798029940151E-3</v>
      </c>
      <c r="D318" s="4">
        <f>Acciones!D319/Acciones!D318 -1</f>
        <v>-1.2523911576414082E-2</v>
      </c>
      <c r="E318" s="4">
        <f>Acciones!E319/Acciones!E318 -1</f>
        <v>0</v>
      </c>
    </row>
    <row r="319" spans="1:5" x14ac:dyDescent="0.2">
      <c r="A319" s="1">
        <f>Acciones!A320</f>
        <v>45462</v>
      </c>
      <c r="B319" s="4">
        <f>Acciones!B320/Acciones!B319 -1</f>
        <v>0</v>
      </c>
      <c r="C319" s="4">
        <f>Acciones!C320/Acciones!C319 -1</f>
        <v>4.1998641727880592E-3</v>
      </c>
      <c r="D319" s="4">
        <f>Acciones!D320/Acciones!D319 -1</f>
        <v>0</v>
      </c>
      <c r="E319" s="4">
        <f>Acciones!E320/Acciones!E319 -1</f>
        <v>0</v>
      </c>
    </row>
    <row r="320" spans="1:5" x14ac:dyDescent="0.2">
      <c r="A320" s="1">
        <f>Acciones!A321</f>
        <v>45463</v>
      </c>
      <c r="B320" s="4">
        <f>Acciones!B321/Acciones!B320 -1</f>
        <v>7.8651872867172568E-3</v>
      </c>
      <c r="C320" s="4">
        <f>Acciones!C321/Acciones!C320 -1</f>
        <v>1.8632740501423717E-2</v>
      </c>
      <c r="D320" s="4">
        <f>Acciones!D321/Acciones!D320 -1</f>
        <v>7.9647653766599102E-3</v>
      </c>
      <c r="E320" s="4">
        <f>Acciones!E321/Acciones!E320 -1</f>
        <v>-8.2644546677653752E-3</v>
      </c>
    </row>
    <row r="321" spans="1:5" x14ac:dyDescent="0.2">
      <c r="A321" s="1">
        <f>Acciones!A322</f>
        <v>45464</v>
      </c>
      <c r="B321" s="4">
        <f>Acciones!B322/Acciones!B321 -1</f>
        <v>2.9728205308459099E-3</v>
      </c>
      <c r="C321" s="4">
        <f>Acciones!C322/Acciones!C321 -1</f>
        <v>-8.7616811357760005E-2</v>
      </c>
      <c r="D321" s="4">
        <f>Acciones!D322/Acciones!D321 -1</f>
        <v>1.852907629739331E-3</v>
      </c>
      <c r="E321" s="4">
        <f>Acciones!E322/Acciones!E321 -1</f>
        <v>0</v>
      </c>
    </row>
    <row r="322" spans="1:5" x14ac:dyDescent="0.2">
      <c r="A322" s="1">
        <f>Acciones!A323</f>
        <v>45467</v>
      </c>
      <c r="B322" s="4">
        <f>Acciones!B323/Acciones!B322 -1</f>
        <v>2.000740656878075E-2</v>
      </c>
      <c r="C322" s="4">
        <f>Acciones!C323/Acciones!C322 -1</f>
        <v>-3.1846790596825603E-2</v>
      </c>
      <c r="D322" s="4">
        <f>Acciones!D323/Acciones!D322 -1</f>
        <v>-4.3760625168878242E-3</v>
      </c>
      <c r="E322" s="4">
        <f>Acciones!E323/Acciones!E322 -1</f>
        <v>0</v>
      </c>
    </row>
    <row r="323" spans="1:5" x14ac:dyDescent="0.2">
      <c r="A323" s="1">
        <f>Acciones!A324</f>
        <v>45468</v>
      </c>
      <c r="B323" s="4">
        <f>Acciones!B324/Acciones!B323 -1</f>
        <v>-3.5960704349328743E-2</v>
      </c>
      <c r="C323" s="4">
        <f>Acciones!C324/Acciones!C323 -1</f>
        <v>2.7948289789879288E-2</v>
      </c>
      <c r="D323" s="4">
        <f>Acciones!D324/Acciones!D323 -1</f>
        <v>-1.5403918774165026E-2</v>
      </c>
      <c r="E323" s="4">
        <f>Acciones!E324/Acciones!E323 -1</f>
        <v>0</v>
      </c>
    </row>
    <row r="324" spans="1:5" x14ac:dyDescent="0.2">
      <c r="A324" s="1">
        <f>Acciones!A325</f>
        <v>45469</v>
      </c>
      <c r="B324" s="4">
        <f>Acciones!B325/Acciones!B324 -1</f>
        <v>1.092679468315616E-2</v>
      </c>
      <c r="C324" s="4">
        <f>Acciones!C325/Acciones!C324 -1</f>
        <v>3.3449300130205861E-2</v>
      </c>
      <c r="D324" s="4">
        <f>Acciones!D325/Acciones!D324 -1</f>
        <v>3.6224469144958693E-3</v>
      </c>
      <c r="E324" s="4">
        <f>Acciones!E325/Acciones!E324 -1</f>
        <v>0</v>
      </c>
    </row>
    <row r="325" spans="1:5" x14ac:dyDescent="0.2">
      <c r="A325" s="1">
        <f>Acciones!A326</f>
        <v>45470</v>
      </c>
      <c r="B325" s="4">
        <f>Acciones!B326/Acciones!B325 -1</f>
        <v>-1.416320480920108E-2</v>
      </c>
      <c r="C325" s="4">
        <f>Acciones!C326/Acciones!C325 -1</f>
        <v>1.4079735494928469E-2</v>
      </c>
      <c r="D325" s="4">
        <f>Acciones!D326/Acciones!D325 -1</f>
        <v>4.8412694874999662E-3</v>
      </c>
      <c r="E325" s="4">
        <f>Acciones!E326/Acciones!E325 -1</f>
        <v>0</v>
      </c>
    </row>
    <row r="326" spans="1:5" x14ac:dyDescent="0.2">
      <c r="A326" s="1">
        <f>Acciones!A327</f>
        <v>45471</v>
      </c>
      <c r="B326" s="4">
        <f>Acciones!B327/Acciones!B326 -1</f>
        <v>3.4026483542719976E-2</v>
      </c>
      <c r="C326" s="4">
        <f>Acciones!C327/Acciones!C326 -1</f>
        <v>1.7784026770660599E-2</v>
      </c>
      <c r="D326" s="4">
        <f>Acciones!D327/Acciones!D326 -1</f>
        <v>-0.20375073572865898</v>
      </c>
      <c r="E326" s="4">
        <f>Acciones!E327/Acciones!E326 -1</f>
        <v>0</v>
      </c>
    </row>
    <row r="327" spans="1:5" x14ac:dyDescent="0.2">
      <c r="A327" s="1">
        <f>Acciones!A328</f>
        <v>45474</v>
      </c>
      <c r="B327" s="4">
        <f>Acciones!B328/Acciones!B327 -1</f>
        <v>-1.8647118769433479E-2</v>
      </c>
      <c r="C327" s="4">
        <f>Acciones!C328/Acciones!C327 -1</f>
        <v>0.12695997842481188</v>
      </c>
      <c r="D327" s="4">
        <f>Acciones!D328/Acciones!D327 -1</f>
        <v>1.9070930288292098E-2</v>
      </c>
      <c r="E327" s="4">
        <f>Acciones!E328/Acciones!E327 -1</f>
        <v>0</v>
      </c>
    </row>
    <row r="328" spans="1:5" x14ac:dyDescent="0.2">
      <c r="A328" s="1">
        <f>Acciones!A329</f>
        <v>45475</v>
      </c>
      <c r="B328" s="4">
        <f>Acciones!B329/Acciones!B328 -1</f>
        <v>7.824088312083699E-3</v>
      </c>
      <c r="C328" s="4">
        <f>Acciones!C329/Acciones!C328 -1</f>
        <v>-2.7947231985478882E-2</v>
      </c>
      <c r="D328" s="4">
        <f>Acciones!D329/Acciones!D328 -1</f>
        <v>-1.4131219445612131E-2</v>
      </c>
      <c r="E328" s="4">
        <f>Acciones!E329/Acciones!E328 -1</f>
        <v>0</v>
      </c>
    </row>
    <row r="329" spans="1:5" x14ac:dyDescent="0.2">
      <c r="A329" s="1">
        <f>Acciones!A330</f>
        <v>45476</v>
      </c>
      <c r="B329" s="4">
        <f>Acciones!B330/Acciones!B329 -1</f>
        <v>-5.5452894568245314E-3</v>
      </c>
      <c r="C329" s="4">
        <f>Acciones!C330/Acciones!C329 -1</f>
        <v>-6.0106124137321304E-2</v>
      </c>
      <c r="D329" s="4">
        <f>Acciones!D330/Acciones!D329 -1</f>
        <v>-1.4190124697763595E-2</v>
      </c>
      <c r="E329" s="4">
        <f>Acciones!E330/Acciones!E329 -1</f>
        <v>0</v>
      </c>
    </row>
    <row r="330" spans="1:5" x14ac:dyDescent="0.2">
      <c r="A330" s="1">
        <f>Acciones!A331</f>
        <v>45477</v>
      </c>
      <c r="B330" s="4">
        <f>Acciones!B331/Acciones!B330 -1</f>
        <v>-1.1152130497593671E-3</v>
      </c>
      <c r="C330" s="4">
        <f>Acciones!C331/Acciones!C330 -1</f>
        <v>-2.3490052892072288E-3</v>
      </c>
      <c r="D330" s="4">
        <f>Acciones!D331/Acciones!D330 -1</f>
        <v>9.4892299944990821E-3</v>
      </c>
      <c r="E330" s="4">
        <f>Acciones!E331/Acciones!E330 -1</f>
        <v>0</v>
      </c>
    </row>
    <row r="331" spans="1:5" x14ac:dyDescent="0.2">
      <c r="A331" s="1">
        <f>Acciones!A332</f>
        <v>45478</v>
      </c>
      <c r="B331" s="4">
        <f>Acciones!B332/Acciones!B331 -1</f>
        <v>-2.2701948477275025E-2</v>
      </c>
      <c r="C331" s="4">
        <f>Acciones!C332/Acciones!C331 -1</f>
        <v>-3.4232810691552928E-2</v>
      </c>
      <c r="D331" s="4">
        <f>Acciones!D332/Acciones!D331 -1</f>
        <v>-1.031095247154612E-2</v>
      </c>
      <c r="E331" s="4">
        <f>Acciones!E332/Acciones!E331 -1</f>
        <v>-1.6666749450889751E-2</v>
      </c>
    </row>
    <row r="332" spans="1:5" x14ac:dyDescent="0.2">
      <c r="A332" s="1">
        <f>Acciones!A333</f>
        <v>45481</v>
      </c>
      <c r="B332" s="4">
        <f>Acciones!B333/Acciones!B332 -1</f>
        <v>3.6557537250699434E-2</v>
      </c>
      <c r="C332" s="4">
        <f>Acciones!C333/Acciones!C332 -1</f>
        <v>-4.1089136307224328E-2</v>
      </c>
      <c r="D332" s="4">
        <f>Acciones!D333/Acciones!D332 -1</f>
        <v>-3.8320019132126459E-2</v>
      </c>
      <c r="E332" s="4">
        <f>Acciones!E333/Acciones!E332 -1</f>
        <v>0</v>
      </c>
    </row>
    <row r="333" spans="1:5" x14ac:dyDescent="0.2">
      <c r="A333" s="1">
        <f>Acciones!A334</f>
        <v>45482</v>
      </c>
      <c r="B333" s="4">
        <f>Acciones!B334/Acciones!B333 -1</f>
        <v>-3.3431356482294339E-2</v>
      </c>
      <c r="C333" s="4">
        <f>Acciones!C334/Acciones!C333 -1</f>
        <v>-2.6195460704192985E-2</v>
      </c>
      <c r="D333" s="4">
        <f>Acciones!D334/Acciones!D333 -1</f>
        <v>-1.2831421388725617E-2</v>
      </c>
      <c r="E333" s="4">
        <f>Acciones!E334/Acciones!E333 -1</f>
        <v>-8.4745685659057823E-3</v>
      </c>
    </row>
    <row r="334" spans="1:5" x14ac:dyDescent="0.2">
      <c r="A334" s="1">
        <f>Acciones!A335</f>
        <v>45483</v>
      </c>
      <c r="B334" s="4">
        <f>Acciones!B335/Acciones!B334 -1</f>
        <v>2.2044857720309841E-2</v>
      </c>
      <c r="C334" s="4">
        <f>Acciones!C335/Acciones!C334 -1</f>
        <v>-1.2878096922153803E-2</v>
      </c>
      <c r="D334" s="4">
        <f>Acciones!D335/Acciones!D334 -1</f>
        <v>-5.7257592611160701E-3</v>
      </c>
      <c r="E334" s="4">
        <f>Acciones!E335/Acciones!E334 -1</f>
        <v>-4.2735003547237249E-2</v>
      </c>
    </row>
    <row r="335" spans="1:5" x14ac:dyDescent="0.2">
      <c r="A335" s="1">
        <f>Acciones!A336</f>
        <v>45484</v>
      </c>
      <c r="B335" s="4">
        <f>Acciones!B336/Acciones!B335 -1</f>
        <v>1.859477019716449E-3</v>
      </c>
      <c r="C335" s="4">
        <f>Acciones!C336/Acciones!C335 -1</f>
        <v>7.429420505200568E-3</v>
      </c>
      <c r="D335" s="4">
        <f>Acciones!D336/Acciones!D335 -1</f>
        <v>5.5884027387944624E-3</v>
      </c>
      <c r="E335" s="4">
        <f>Acciones!E336/Acciones!E335 -1</f>
        <v>-1.785712575122389E-2</v>
      </c>
    </row>
    <row r="336" spans="1:5" x14ac:dyDescent="0.2">
      <c r="A336" s="1">
        <f>Acciones!A337</f>
        <v>45485</v>
      </c>
      <c r="B336" s="4">
        <f>Acciones!B337/Acciones!B336 -1</f>
        <v>-4.8256087557653204E-3</v>
      </c>
      <c r="C336" s="4">
        <f>Acciones!C337/Acciones!C336 -1</f>
        <v>7.5014727657171099E-2</v>
      </c>
      <c r="D336" s="4">
        <f>Acciones!D337/Acciones!D336 -1</f>
        <v>-1.3084582215587837E-3</v>
      </c>
      <c r="E336" s="4">
        <f>Acciones!E337/Acciones!E336 -1</f>
        <v>5.4545401344615385E-2</v>
      </c>
    </row>
    <row r="337" spans="1:5" x14ac:dyDescent="0.2">
      <c r="A337" s="1">
        <f>Acciones!A338</f>
        <v>45488</v>
      </c>
      <c r="B337" s="4">
        <f>Acciones!B338/Acciones!B337 -1</f>
        <v>2.9839825054447378E-3</v>
      </c>
      <c r="C337" s="4">
        <f>Acciones!C338/Acciones!C337 -1</f>
        <v>0.19534616763758228</v>
      </c>
      <c r="D337" s="4">
        <f>Acciones!D338/Acciones!D337 -1</f>
        <v>-2.1009993400590288E-2</v>
      </c>
      <c r="E337" s="4">
        <f>Acciones!E338/Acciones!E337 -1</f>
        <v>3.448282949423187E-2</v>
      </c>
    </row>
    <row r="338" spans="1:5" x14ac:dyDescent="0.2">
      <c r="A338" s="1">
        <f>Acciones!A339</f>
        <v>45489</v>
      </c>
      <c r="B338" s="4">
        <f>Acciones!B339/Acciones!B338 -1</f>
        <v>-3.3469564584002187E-3</v>
      </c>
      <c r="C338" s="4">
        <f>Acciones!C339/Acciones!C338 -1</f>
        <v>7.4330850846509922E-2</v>
      </c>
      <c r="D338" s="4">
        <f>Acciones!D339/Acciones!D338 -1</f>
        <v>1.2596219988032065E-2</v>
      </c>
      <c r="E338" s="4">
        <f>Acciones!E339/Acciones!E338 -1</f>
        <v>0</v>
      </c>
    </row>
    <row r="339" spans="1:5" x14ac:dyDescent="0.2">
      <c r="A339" s="1">
        <f>Acciones!A340</f>
        <v>45490</v>
      </c>
      <c r="B339" s="4">
        <f>Acciones!B340/Acciones!B339 -1</f>
        <v>-5.1119436566456677E-2</v>
      </c>
      <c r="C339" s="4">
        <f>Acciones!C340/Acciones!C339 -1</f>
        <v>-3.4081222664598232E-2</v>
      </c>
      <c r="D339" s="4">
        <f>Acciones!D340/Acciones!D339 -1</f>
        <v>7.1216709773553877E-3</v>
      </c>
      <c r="E339" s="4">
        <f>Acciones!E340/Acciones!E339 -1</f>
        <v>0</v>
      </c>
    </row>
    <row r="340" spans="1:5" x14ac:dyDescent="0.2">
      <c r="A340" s="1">
        <f>Acciones!A341</f>
        <v>45491</v>
      </c>
      <c r="B340" s="4">
        <f>Acciones!B341/Acciones!B340 -1</f>
        <v>-3.6570892941097388E-2</v>
      </c>
      <c r="C340" s="4">
        <f>Acciones!C341/Acciones!C340 -1</f>
        <v>-6.499275557704387E-2</v>
      </c>
      <c r="D340" s="4">
        <f>Acciones!D341/Acciones!D340 -1</f>
        <v>8.9856005269961514E-3</v>
      </c>
      <c r="E340" s="4">
        <f>Acciones!E341/Acciones!E340 -1</f>
        <v>0</v>
      </c>
    </row>
    <row r="341" spans="1:5" x14ac:dyDescent="0.2">
      <c r="A341" s="1">
        <f>Acciones!A342</f>
        <v>45492</v>
      </c>
      <c r="B341" s="4">
        <f>Acciones!B342/Acciones!B341 -1</f>
        <v>6.5305781764923854E-3</v>
      </c>
      <c r="C341" s="4">
        <f>Acciones!C342/Acciones!C341 -1</f>
        <v>5.8721877630632191E-2</v>
      </c>
      <c r="D341" s="4">
        <f>Acciones!D342/Acciones!D341 -1</f>
        <v>6.1054818217838314E-3</v>
      </c>
      <c r="E341" s="4">
        <f>Acciones!E342/Acciones!E341 -1</f>
        <v>0</v>
      </c>
    </row>
    <row r="342" spans="1:5" x14ac:dyDescent="0.2">
      <c r="A342" s="1">
        <f>Acciones!A343</f>
        <v>45495</v>
      </c>
      <c r="B342" s="4">
        <f>Acciones!B343/Acciones!B342 -1</f>
        <v>4.0145991210476684E-2</v>
      </c>
      <c r="C342" s="4">
        <f>Acciones!C343/Acciones!C342 -1</f>
        <v>-2.326309836932372E-2</v>
      </c>
      <c r="D342" s="4">
        <f>Acciones!D343/Acciones!D342 -1</f>
        <v>2.2699803957591635E-2</v>
      </c>
      <c r="E342" s="4">
        <f>Acciones!E343/Acciones!E342 -1</f>
        <v>0</v>
      </c>
    </row>
    <row r="343" spans="1:5" x14ac:dyDescent="0.2">
      <c r="A343" s="1">
        <f>Acciones!A344</f>
        <v>45496</v>
      </c>
      <c r="B343" s="4">
        <f>Acciones!B344/Acciones!B343 -1</f>
        <v>-3.8986630695895252E-3</v>
      </c>
      <c r="C343" s="4">
        <f>Acciones!C344/Acciones!C343 -1</f>
        <v>-0.10224666719312059</v>
      </c>
      <c r="D343" s="4">
        <f>Acciones!D344/Acciones!D343 -1</f>
        <v>-1.055133077254089E-2</v>
      </c>
      <c r="E343" s="4">
        <f>Acciones!E344/Acciones!E343 -1</f>
        <v>0</v>
      </c>
    </row>
    <row r="344" spans="1:5" x14ac:dyDescent="0.2">
      <c r="A344" s="1">
        <f>Acciones!A345</f>
        <v>45497</v>
      </c>
      <c r="B344" s="4">
        <f>Acciones!B345/Acciones!B344 -1</f>
        <v>-1.3698535438063431E-2</v>
      </c>
      <c r="C344" s="4">
        <f>Acciones!C345/Acciones!C344 -1</f>
        <v>-3.0760230570681446E-2</v>
      </c>
      <c r="D344" s="4">
        <f>Acciones!D345/Acciones!D344 -1</f>
        <v>-1.5548733992025832E-2</v>
      </c>
      <c r="E344" s="4">
        <f>Acciones!E345/Acciones!E344 -1</f>
        <v>-1.6666749450889751E-2</v>
      </c>
    </row>
    <row r="345" spans="1:5" x14ac:dyDescent="0.2">
      <c r="A345" s="1">
        <f>Acciones!A346</f>
        <v>45498</v>
      </c>
      <c r="B345" s="4">
        <f>Acciones!B346/Acciones!B345 -1</f>
        <v>-3.9683596600464943E-3</v>
      </c>
      <c r="C345" s="4">
        <f>Acciones!C346/Acciones!C345 -1</f>
        <v>-9.8864369299920263E-3</v>
      </c>
      <c r="D345" s="4">
        <f>Acciones!D346/Acciones!D345 -1</f>
        <v>5.3665544070644611E-3</v>
      </c>
      <c r="E345" s="4">
        <f>Acciones!E346/Acciones!E345 -1</f>
        <v>0</v>
      </c>
    </row>
    <row r="346" spans="1:5" x14ac:dyDescent="0.2">
      <c r="A346" s="1">
        <f>Acciones!A347</f>
        <v>45499</v>
      </c>
      <c r="B346" s="4">
        <f>Acciones!B347/Acciones!B346 -1</f>
        <v>3.5857219772197357E-3</v>
      </c>
      <c r="C346" s="4">
        <f>Acciones!C347/Acciones!C346 -1</f>
        <v>5.2740641592049942E-2</v>
      </c>
      <c r="D346" s="4">
        <f>Acciones!D347/Acciones!D346 -1</f>
        <v>1.5763041494057051E-2</v>
      </c>
      <c r="E346" s="4">
        <f>Acciones!E347/Acciones!E346 -1</f>
        <v>0</v>
      </c>
    </row>
    <row r="347" spans="1:5" x14ac:dyDescent="0.2">
      <c r="A347" s="1">
        <f>Acciones!A348</f>
        <v>45502</v>
      </c>
      <c r="B347" s="4">
        <f>Acciones!B348/Acciones!B347 -1</f>
        <v>-1.587942915077023E-3</v>
      </c>
      <c r="C347" s="4">
        <f>Acciones!C348/Acciones!C347 -1</f>
        <v>-3.7157586618701832E-2</v>
      </c>
      <c r="D347" s="4">
        <f>Acciones!D348/Acciones!D347 -1</f>
        <v>2.2747017247437995E-2</v>
      </c>
      <c r="E347" s="4">
        <f>Acciones!E348/Acciones!E347 -1</f>
        <v>0</v>
      </c>
    </row>
    <row r="348" spans="1:5" x14ac:dyDescent="0.2">
      <c r="A348" s="1">
        <f>Acciones!A349</f>
        <v>45503</v>
      </c>
      <c r="B348" s="4">
        <f>Acciones!B349/Acciones!B348 -1</f>
        <v>4.1351868562470528E-2</v>
      </c>
      <c r="C348" s="4">
        <f>Acciones!C349/Acciones!C348 -1</f>
        <v>-2.2924362556085653E-2</v>
      </c>
      <c r="D348" s="4">
        <f>Acciones!D349/Acciones!D348 -1</f>
        <v>1.8637809599400645E-2</v>
      </c>
      <c r="E348" s="4">
        <f>Acciones!E349/Acciones!E348 -1</f>
        <v>0</v>
      </c>
    </row>
    <row r="349" spans="1:5" x14ac:dyDescent="0.2">
      <c r="A349" s="1">
        <f>Acciones!A350</f>
        <v>45504</v>
      </c>
      <c r="B349" s="4">
        <f>Acciones!B350/Acciones!B349 -1</f>
        <v>-1.1836625198011652E-2</v>
      </c>
      <c r="C349" s="4">
        <f>Acciones!C350/Acciones!C349 -1</f>
        <v>-1.5873903011155543E-2</v>
      </c>
      <c r="D349" s="4">
        <f>Acciones!D350/Acciones!D349 -1</f>
        <v>-2.0810067192733595E-4</v>
      </c>
      <c r="E349" s="4">
        <f>Acciones!E350/Acciones!E349 -1</f>
        <v>0</v>
      </c>
    </row>
    <row r="350" spans="1:5" x14ac:dyDescent="0.2">
      <c r="A350" s="1">
        <f>Acciones!A351</f>
        <v>45505</v>
      </c>
      <c r="B350" s="4">
        <f>Acciones!B351/Acciones!B350 -1</f>
        <v>-3.0139090896682208E-2</v>
      </c>
      <c r="C350" s="4">
        <f>Acciones!C351/Acciones!C350 -1</f>
        <v>-7.2094142681946471E-2</v>
      </c>
      <c r="D350" s="4">
        <f>Acciones!D351/Acciones!D350 -1</f>
        <v>-1.0578472609399592E-2</v>
      </c>
      <c r="E350" s="4">
        <f>Acciones!E351/Acciones!E350 -1</f>
        <v>0</v>
      </c>
    </row>
    <row r="351" spans="1:5" x14ac:dyDescent="0.2">
      <c r="A351" s="1">
        <f>Acciones!A352</f>
        <v>45506</v>
      </c>
      <c r="B351" s="4">
        <f>Acciones!B352/Acciones!B351 -1</f>
        <v>-7.1712875775611362E-3</v>
      </c>
      <c r="C351" s="4">
        <f>Acciones!C352/Acciones!C351 -1</f>
        <v>-3.6410600144988092E-2</v>
      </c>
      <c r="D351" s="4">
        <f>Acciones!D352/Acciones!D351 -1</f>
        <v>2.6431478853219836E-2</v>
      </c>
      <c r="E351" s="4">
        <f>Acciones!E352/Acciones!E351 -1</f>
        <v>-2.5423705697708798E-2</v>
      </c>
    </row>
    <row r="352" spans="1:5" x14ac:dyDescent="0.2">
      <c r="A352" s="1">
        <f>Acciones!A353</f>
        <v>45509</v>
      </c>
      <c r="B352" s="4">
        <f>Acciones!B353/Acciones!B352 -1</f>
        <v>-4.0132632996781048E-4</v>
      </c>
      <c r="C352" s="4">
        <f>Acciones!C353/Acciones!C352 -1</f>
        <v>-6.704083930033744E-3</v>
      </c>
      <c r="D352" s="4">
        <f>Acciones!D353/Acciones!D352 -1</f>
        <v>-1.7489915764744013E-2</v>
      </c>
      <c r="E352" s="4">
        <f>Acciones!E353/Acciones!E352 -1</f>
        <v>0</v>
      </c>
    </row>
    <row r="353" spans="1:5" x14ac:dyDescent="0.2">
      <c r="A353" s="1">
        <f>Acciones!A354</f>
        <v>45510</v>
      </c>
      <c r="B353" s="4">
        <f>Acciones!B354/Acciones!B353 -1</f>
        <v>-1.2043048027239323E-3</v>
      </c>
      <c r="C353" s="4">
        <f>Acciones!C354/Acciones!C353 -1</f>
        <v>3.2335282921905906E-2</v>
      </c>
      <c r="D353" s="4">
        <f>Acciones!D354/Acciones!D353 -1</f>
        <v>2.1771443960390213E-2</v>
      </c>
      <c r="E353" s="4">
        <f>Acciones!E354/Acciones!E353 -1</f>
        <v>-4.3478220306862436E-2</v>
      </c>
    </row>
    <row r="354" spans="1:5" x14ac:dyDescent="0.2">
      <c r="A354" s="1">
        <f>Acciones!A355</f>
        <v>45511</v>
      </c>
      <c r="B354" s="4">
        <f>Acciones!B355/Acciones!B354 -1</f>
        <v>-3.938911051488414E-2</v>
      </c>
      <c r="C354" s="4">
        <f>Acciones!C355/Acciones!C354 -1</f>
        <v>-8.3744406168742902E-2</v>
      </c>
      <c r="D354" s="4">
        <f>Acciones!D355/Acciones!D354 -1</f>
        <v>-1.240296140464725E-2</v>
      </c>
      <c r="E354" s="4">
        <f>Acciones!E355/Acciones!E354 -1</f>
        <v>0</v>
      </c>
    </row>
    <row r="355" spans="1:5" x14ac:dyDescent="0.2">
      <c r="A355" s="1">
        <f>Acciones!A356</f>
        <v>45512</v>
      </c>
      <c r="B355" s="4">
        <f>Acciones!B356/Acciones!B355 -1</f>
        <v>3.3054506272621742E-2</v>
      </c>
      <c r="C355" s="4">
        <f>Acciones!C356/Acciones!C355 -1</f>
        <v>7.2619303317917661E-2</v>
      </c>
      <c r="D355" s="4">
        <f>Acciones!D356/Acciones!D355 -1</f>
        <v>2.0098287355987399E-3</v>
      </c>
      <c r="E355" s="4">
        <f>Acciones!E356/Acciones!E355 -1</f>
        <v>0</v>
      </c>
    </row>
    <row r="356" spans="1:5" x14ac:dyDescent="0.2">
      <c r="A356" s="1">
        <f>Acciones!A357</f>
        <v>45513</v>
      </c>
      <c r="B356" s="4">
        <f>Acciones!B357/Acciones!B356 -1</f>
        <v>-2.5111398800432894E-2</v>
      </c>
      <c r="C356" s="4">
        <f>Acciones!C357/Acciones!C356 -1</f>
        <v>-2.6639647383592147E-2</v>
      </c>
      <c r="D356" s="4">
        <f>Acciones!D357/Acciones!D356 -1</f>
        <v>-4.1041754729921331E-3</v>
      </c>
      <c r="E356" s="4">
        <f>Acciones!E357/Acciones!E356 -1</f>
        <v>-2.7272700672307471E-2</v>
      </c>
    </row>
    <row r="357" spans="1:5" x14ac:dyDescent="0.2">
      <c r="A357" s="1">
        <f>Acciones!A358</f>
        <v>45516</v>
      </c>
      <c r="B357" s="4">
        <f>Acciones!B358/Acciones!B357 -1</f>
        <v>1.2463654062504048E-2</v>
      </c>
      <c r="C357" s="4">
        <f>Acciones!C358/Acciones!C357 -1</f>
        <v>-9.8664118826483405E-2</v>
      </c>
      <c r="D357" s="4">
        <f>Acciones!D358/Acciones!D357 -1</f>
        <v>1.2449502067099161E-2</v>
      </c>
      <c r="E357" s="4">
        <f>Acciones!E358/Acciones!E357 -1</f>
        <v>-1.8691681453628539E-2</v>
      </c>
    </row>
    <row r="358" spans="1:5" x14ac:dyDescent="0.2">
      <c r="A358" s="1">
        <f>Acciones!A359</f>
        <v>45517</v>
      </c>
      <c r="B358" s="4">
        <f>Acciones!B359/Acciones!B358 -1</f>
        <v>8.2067889517873915E-3</v>
      </c>
      <c r="C358" s="4">
        <f>Acciones!C359/Acciones!C358 -1</f>
        <v>1.6784982668071491E-2</v>
      </c>
      <c r="D358" s="4">
        <f>Acciones!D359/Acciones!D358 -1</f>
        <v>5.3877331299968967E-2</v>
      </c>
      <c r="E358" s="4">
        <f>Acciones!E359/Acciones!E358 -1</f>
        <v>-1.9047601747400389E-2</v>
      </c>
    </row>
    <row r="359" spans="1:5" x14ac:dyDescent="0.2">
      <c r="A359" s="1">
        <f>Acciones!A360</f>
        <v>45518</v>
      </c>
      <c r="B359" s="4">
        <f>Acciones!B360/Acciones!B359 -1</f>
        <v>-8.1399858062052299E-3</v>
      </c>
      <c r="C359" s="4">
        <f>Acciones!C360/Acciones!C359 -1</f>
        <v>-3.7320800654771169E-2</v>
      </c>
      <c r="D359" s="4">
        <f>Acciones!D360/Acciones!D359 -1</f>
        <v>-9.0438032350917963E-3</v>
      </c>
      <c r="E359" s="4">
        <f>Acciones!E360/Acciones!E359 -1</f>
        <v>-2.9126186624346517E-2</v>
      </c>
    </row>
    <row r="360" spans="1:5" x14ac:dyDescent="0.2">
      <c r="A360" s="1">
        <f>Acciones!A361</f>
        <v>45519</v>
      </c>
      <c r="B360" s="4">
        <f>Acciones!B361/Acciones!B360 -1</f>
        <v>1.6823961642972174E-2</v>
      </c>
      <c r="C360" s="4">
        <f>Acciones!C361/Acciones!C360 -1</f>
        <v>1.7605633802816989E-2</v>
      </c>
      <c r="D360" s="4">
        <f>Acciones!D361/Acciones!D360 -1</f>
        <v>3.8963901022433411E-2</v>
      </c>
      <c r="E360" s="4">
        <f>Acciones!E361/Acciones!E360 -1</f>
        <v>3.9999961853020016E-2</v>
      </c>
    </row>
    <row r="361" spans="1:5" x14ac:dyDescent="0.2">
      <c r="A361" s="1">
        <f>Acciones!A362</f>
        <v>45520</v>
      </c>
      <c r="B361" s="4">
        <f>Acciones!B362/Acciones!B361 -1</f>
        <v>4.035144964233961E-4</v>
      </c>
      <c r="C361" s="4">
        <f>Acciones!C362/Acciones!C361 -1</f>
        <v>4.9480926619266397E-2</v>
      </c>
      <c r="D361" s="4">
        <f>Acciones!D362/Acciones!D361 -1</f>
        <v>9.0832804506582043E-3</v>
      </c>
      <c r="E361" s="4">
        <f>Acciones!E362/Acciones!E361 -1</f>
        <v>3.8461617816840876E-2</v>
      </c>
    </row>
    <row r="362" spans="1:5" x14ac:dyDescent="0.2">
      <c r="A362" s="1">
        <f>Acciones!A363</f>
        <v>45523</v>
      </c>
      <c r="B362" s="4">
        <f>Acciones!B363/Acciones!B362 -1</f>
        <v>1.4522008398744068E-2</v>
      </c>
      <c r="C362" s="4">
        <f>Acciones!C363/Acciones!C362 -1</f>
        <v>2.0441847862071372E-2</v>
      </c>
      <c r="D362" s="4">
        <f>Acciones!D363/Acciones!D362 -1</f>
        <v>4.5167583976830628E-3</v>
      </c>
      <c r="E362" s="4">
        <f>Acciones!E363/Acciones!E362 -1</f>
        <v>-4.6296360684023985E-2</v>
      </c>
    </row>
    <row r="363" spans="1:5" x14ac:dyDescent="0.2">
      <c r="A363" s="1">
        <f>Acciones!A364</f>
        <v>45524</v>
      </c>
      <c r="B363" s="4">
        <f>Acciones!B364/Acciones!B363 -1</f>
        <v>1.9881246268074193E-3</v>
      </c>
      <c r="C363" s="4">
        <f>Acciones!C364/Acciones!C363 -1</f>
        <v>1.7770597738287597E-2</v>
      </c>
      <c r="D363" s="4">
        <f>Acciones!D364/Acciones!D363 -1</f>
        <v>1.9454613617037042E-2</v>
      </c>
      <c r="E363" s="4">
        <f>Acciones!E364/Acciones!E363 -1</f>
        <v>-2.9126186624346517E-2</v>
      </c>
    </row>
    <row r="364" spans="1:5" x14ac:dyDescent="0.2">
      <c r="A364" s="1">
        <f>Acciones!A365</f>
        <v>45525</v>
      </c>
      <c r="B364" s="4">
        <f>Acciones!B365/Acciones!B364 -1</f>
        <v>1.4682447897559125E-2</v>
      </c>
      <c r="C364" s="4">
        <f>Acciones!C365/Acciones!C364 -1</f>
        <v>8.0126953124999956E-2</v>
      </c>
      <c r="D364" s="4">
        <f>Acciones!D365/Acciones!D364 -1</f>
        <v>2.0593641416609909E-2</v>
      </c>
      <c r="E364" s="4">
        <f>Acciones!E365/Acciones!E364 -1</f>
        <v>0</v>
      </c>
    </row>
    <row r="365" spans="1:5" x14ac:dyDescent="0.2">
      <c r="A365" s="1">
        <f>Acciones!A366</f>
        <v>45526</v>
      </c>
      <c r="B365" s="4">
        <f>Acciones!B366/Acciones!B365 -1</f>
        <v>1.4470069730827761E-2</v>
      </c>
      <c r="C365" s="4">
        <f>Acciones!C366/Acciones!C365 -1</f>
        <v>-3.0125794422164343E-2</v>
      </c>
      <c r="D365" s="4">
        <f>Acciones!D366/Acciones!D365 -1</f>
        <v>-5.3633111659356913E-4</v>
      </c>
      <c r="E365" s="4">
        <f>Acciones!E366/Acciones!E365 -1</f>
        <v>-1.9999980926514005E-2</v>
      </c>
    </row>
    <row r="366" spans="1:5" x14ac:dyDescent="0.2">
      <c r="A366" s="1">
        <f>Acciones!A367</f>
        <v>45527</v>
      </c>
      <c r="B366" s="4">
        <f>Acciones!B367/Acciones!B366 -1</f>
        <v>-1.0023125925796794E-2</v>
      </c>
      <c r="C366" s="4">
        <f>Acciones!C367/Acciones!C366 -1</f>
        <v>7.6669047726498407E-2</v>
      </c>
      <c r="D366" s="4">
        <f>Acciones!D367/Acciones!D366 -1</f>
        <v>-1.0788364272802609E-2</v>
      </c>
      <c r="E366" s="4">
        <f>Acciones!E367/Acciones!E366 -1</f>
        <v>0</v>
      </c>
    </row>
    <row r="367" spans="1:5" x14ac:dyDescent="0.2">
      <c r="A367" s="1">
        <f>Acciones!A368</f>
        <v>45530</v>
      </c>
      <c r="B367" s="4">
        <f>Acciones!B368/Acciones!B367 -1</f>
        <v>-3.3878477978590227E-2</v>
      </c>
      <c r="C367" s="4">
        <f>Acciones!C368/Acciones!C367 -1</f>
        <v>1.2018319994867355E-2</v>
      </c>
      <c r="D367" s="4">
        <f>Acciones!D368/Acciones!D367 -1</f>
        <v>1.6568028471510177E-2</v>
      </c>
      <c r="E367" s="4">
        <f>Acciones!E368/Acciones!E367 -1</f>
        <v>-4.0816347631797978E-2</v>
      </c>
    </row>
    <row r="368" spans="1:5" x14ac:dyDescent="0.2">
      <c r="A368" s="1">
        <f>Acciones!A369</f>
        <v>45531</v>
      </c>
      <c r="B368" s="4">
        <f>Acciones!B369/Acciones!B368 -1</f>
        <v>2.8214233902250641E-3</v>
      </c>
      <c r="C368" s="4">
        <f>Acciones!C369/Acciones!C368 -1</f>
        <v>-2.6671477369579311E-2</v>
      </c>
      <c r="D368" s="4">
        <f>Acciones!D369/Acciones!D368 -1</f>
        <v>2.9025815931829735E-2</v>
      </c>
      <c r="E368" s="4">
        <f>Acciones!E369/Acciones!E368 -1</f>
        <v>-5.3191502178454697E-2</v>
      </c>
    </row>
    <row r="369" spans="1:5" x14ac:dyDescent="0.2">
      <c r="A369" s="1">
        <f>Acciones!A370</f>
        <v>45532</v>
      </c>
      <c r="B369" s="4">
        <f>Acciones!B370/Acciones!B369 -1</f>
        <v>1.36656129900532E-2</v>
      </c>
      <c r="C369" s="4">
        <f>Acciones!C370/Acciones!C369 -1</f>
        <v>-3.8174745899765661E-2</v>
      </c>
      <c r="D369" s="4">
        <f>Acciones!D370/Acciones!D369 -1</f>
        <v>-3.0084885785981119E-2</v>
      </c>
      <c r="E369" s="4">
        <f>Acciones!E370/Acciones!E369 -1</f>
        <v>-2.2471889042670723E-2</v>
      </c>
    </row>
    <row r="370" spans="1:5" x14ac:dyDescent="0.2">
      <c r="A370" s="1">
        <f>Acciones!A371</f>
        <v>45533</v>
      </c>
      <c r="B370" s="4">
        <f>Acciones!B371/Acciones!B370 -1</f>
        <v>-1.9429045441668014E-2</v>
      </c>
      <c r="C370" s="4">
        <f>Acciones!C371/Acciones!C370 -1</f>
        <v>8.8827452603053025E-3</v>
      </c>
      <c r="D370" s="4">
        <f>Acciones!D371/Acciones!D370 -1</f>
        <v>1.5733247550661522E-2</v>
      </c>
      <c r="E370" s="4">
        <f>Acciones!E371/Acciones!E370 -1</f>
        <v>-8.0459761452620793E-2</v>
      </c>
    </row>
    <row r="371" spans="1:5" x14ac:dyDescent="0.2">
      <c r="A371" s="1">
        <f>Acciones!A372</f>
        <v>45534</v>
      </c>
      <c r="B371" s="4">
        <f>Acciones!B372/Acciones!B371 -1</f>
        <v>1.0109131898353718E-2</v>
      </c>
      <c r="C371" s="4">
        <f>Acciones!C372/Acciones!C371 -1</f>
        <v>-3.3156683048447211E-2</v>
      </c>
      <c r="D371" s="4">
        <f>Acciones!D372/Acciones!D371 -1</f>
        <v>-1.0860764088112207E-2</v>
      </c>
      <c r="E371" s="4">
        <f>Acciones!E372/Acciones!E371 -1</f>
        <v>-3.750003818422587E-2</v>
      </c>
    </row>
    <row r="372" spans="1:5" x14ac:dyDescent="0.2">
      <c r="A372" s="1">
        <f>Acciones!A373</f>
        <v>45537</v>
      </c>
      <c r="B372" s="4">
        <f>Acciones!B373/Acciones!B372 -1</f>
        <v>-1.2008515086010529E-3</v>
      </c>
      <c r="C372" s="4">
        <f>Acciones!C373/Acciones!C372 -1</f>
        <v>2.1806675220711558E-2</v>
      </c>
      <c r="D372" s="4">
        <f>Acciones!D373/Acciones!D372 -1</f>
        <v>-2.9178327958673256E-3</v>
      </c>
      <c r="E372" s="4">
        <f>Acciones!E373/Acciones!E372 -1</f>
        <v>-1.2987000923330494E-2</v>
      </c>
    </row>
    <row r="373" spans="1:5" x14ac:dyDescent="0.2">
      <c r="A373" s="1">
        <f>Acciones!A374</f>
        <v>45538</v>
      </c>
      <c r="B373" s="4">
        <f>Acciones!B374/Acciones!B373 -1</f>
        <v>-1.563133323889343E-2</v>
      </c>
      <c r="C373" s="4">
        <f>Acciones!C374/Acciones!C373 -1</f>
        <v>-0.10247393407693894</v>
      </c>
      <c r="D373" s="4">
        <f>Acciones!D374/Acciones!D373 -1</f>
        <v>-1.2831232679667792E-2</v>
      </c>
      <c r="E373" s="4">
        <f>Acciones!E374/Acciones!E373 -1</f>
        <v>-1.0526337253749851E-2</v>
      </c>
    </row>
    <row r="374" spans="1:5" x14ac:dyDescent="0.2">
      <c r="A374" s="1">
        <f>Acciones!A375</f>
        <v>45539</v>
      </c>
      <c r="B374" s="4">
        <f>Acciones!B375/Acciones!B374 -1</f>
        <v>-2.4429342091398798E-3</v>
      </c>
      <c r="C374" s="4">
        <f>Acciones!C375/Acciones!C374 -1</f>
        <v>-1.7302044166978781E-2</v>
      </c>
      <c r="D374" s="4">
        <f>Acciones!D375/Acciones!D374 -1</f>
        <v>2.6605556545962195E-3</v>
      </c>
      <c r="E374" s="4">
        <f>Acciones!E375/Acciones!E374 -1</f>
        <v>-4.2553120659937549E-2</v>
      </c>
    </row>
    <row r="375" spans="1:5" x14ac:dyDescent="0.2">
      <c r="A375" s="1">
        <f>Acciones!A376</f>
        <v>45540</v>
      </c>
      <c r="B375" s="4">
        <f>Acciones!B376/Acciones!B375 -1</f>
        <v>-4.8979937098136972E-3</v>
      </c>
      <c r="C375" s="4">
        <f>Acciones!C376/Acciones!C375 -1</f>
        <v>-6.3465237899632876E-2</v>
      </c>
      <c r="D375" s="4">
        <f>Acciones!D376/Acciones!D375 -1</f>
        <v>-9.3613102589484853E-4</v>
      </c>
      <c r="E375" s="4">
        <f>Acciones!E376/Acciones!E375 -1</f>
        <v>0</v>
      </c>
    </row>
    <row r="376" spans="1:5" x14ac:dyDescent="0.2">
      <c r="A376" s="1">
        <f>Acciones!A377</f>
        <v>45541</v>
      </c>
      <c r="B376" s="4">
        <f>Acciones!B377/Acciones!B376 -1</f>
        <v>2.0508597901222725E-2</v>
      </c>
      <c r="C376" s="4">
        <f>Acciones!C377/Acciones!C376 -1</f>
        <v>-3.5218163293982307E-2</v>
      </c>
      <c r="D376" s="4">
        <f>Acciones!D377/Acciones!D376 -1</f>
        <v>2.7987304590133544E-3</v>
      </c>
      <c r="E376" s="4">
        <f>Acciones!E377/Acciones!E376 -1</f>
        <v>-8.3333333333333703E-2</v>
      </c>
    </row>
    <row r="377" spans="1:5" x14ac:dyDescent="0.2">
      <c r="A377" s="1">
        <f>Acciones!A378</f>
        <v>45544</v>
      </c>
      <c r="B377" s="4">
        <f>Acciones!B378/Acciones!B377 -1</f>
        <v>-1.7684855248435882E-2</v>
      </c>
      <c r="C377" s="4">
        <f>Acciones!C378/Acciones!C377 -1</f>
        <v>8.2133342768896167E-2</v>
      </c>
      <c r="D377" s="4">
        <f>Acciones!D378/Acciones!D377 -1</f>
        <v>-2.0532203716913888E-2</v>
      </c>
      <c r="E377" s="4">
        <f>Acciones!E378/Acciones!E377 -1</f>
        <v>0</v>
      </c>
    </row>
    <row r="378" spans="1:5" x14ac:dyDescent="0.2">
      <c r="A378" s="1">
        <f>Acciones!A379</f>
        <v>45545</v>
      </c>
      <c r="B378" s="4">
        <f>Acciones!B379/Acciones!B378 -1</f>
        <v>-1.4729974687861191E-2</v>
      </c>
      <c r="C378" s="4">
        <f>Acciones!C379/Acciones!C378 -1</f>
        <v>9.750120375307203E-2</v>
      </c>
      <c r="D378" s="4">
        <f>Acciones!D379/Acciones!D378 -1</f>
        <v>-8.5796424122686066E-3</v>
      </c>
      <c r="E378" s="4">
        <f>Acciones!E379/Acciones!E378 -1</f>
        <v>0</v>
      </c>
    </row>
    <row r="379" spans="1:5" x14ac:dyDescent="0.2">
      <c r="A379" s="1">
        <f>Acciones!A380</f>
        <v>45546</v>
      </c>
      <c r="B379" s="4">
        <f>Acciones!B380/Acciones!B379 -1</f>
        <v>-2.8239239888062206E-2</v>
      </c>
      <c r="C379" s="4">
        <f>Acciones!C380/Acciones!C379 -1</f>
        <v>-1.9840077284795976E-2</v>
      </c>
      <c r="D379" s="4">
        <f>Acciones!D380/Acciones!D379 -1</f>
        <v>-1.3821924065259061E-2</v>
      </c>
      <c r="E379" s="4">
        <f>Acciones!E380/Acciones!E379 -1</f>
        <v>0</v>
      </c>
    </row>
    <row r="380" spans="1:5" x14ac:dyDescent="0.2">
      <c r="A380" s="1">
        <f>Acciones!A381</f>
        <v>45547</v>
      </c>
      <c r="B380" s="4">
        <f>Acciones!B381/Acciones!B380 -1</f>
        <v>-1.7093300266637357E-3</v>
      </c>
      <c r="C380" s="4">
        <f>Acciones!C381/Acciones!C380 -1</f>
        <v>-1.8474489719878306E-2</v>
      </c>
      <c r="D380" s="4">
        <f>Acciones!D381/Acciones!D380 -1</f>
        <v>-1.0390688825079097E-2</v>
      </c>
      <c r="E380" s="4">
        <f>Acciones!E381/Acciones!E380 -1</f>
        <v>0</v>
      </c>
    </row>
    <row r="381" spans="1:5" x14ac:dyDescent="0.2">
      <c r="A381" s="1">
        <f>Acciones!A382</f>
        <v>45548</v>
      </c>
      <c r="B381" s="4">
        <f>Acciones!B382/Acciones!B381 -1</f>
        <v>4.7088113219146965E-3</v>
      </c>
      <c r="C381" s="4">
        <f>Acciones!C382/Acciones!C381 -1</f>
        <v>1.7414669855913889E-2</v>
      </c>
      <c r="D381" s="4">
        <f>Acciones!D382/Acciones!D381 -1</f>
        <v>-8.6386927832338145E-3</v>
      </c>
      <c r="E381" s="4">
        <f>Acciones!E382/Acciones!E381 -1</f>
        <v>-1.5151590409901217E-2</v>
      </c>
    </row>
    <row r="382" spans="1:5" x14ac:dyDescent="0.2">
      <c r="A382" s="1">
        <f>Acciones!A383</f>
        <v>45552</v>
      </c>
      <c r="B382" s="4">
        <f>Acciones!B383/Acciones!B382 -1</f>
        <v>2.2156018540929967E-2</v>
      </c>
      <c r="C382" s="4">
        <f>Acciones!C383/Acciones!C382 -1</f>
        <v>-2.19426896746856E-2</v>
      </c>
      <c r="D382" s="4">
        <f>Acciones!D383/Acciones!D382 -1</f>
        <v>1.3107283487081345E-2</v>
      </c>
      <c r="E382" s="4">
        <f>Acciones!E383/Acciones!E382 -1</f>
        <v>0</v>
      </c>
    </row>
    <row r="383" spans="1:5" x14ac:dyDescent="0.2">
      <c r="A383" s="1">
        <f>Acciones!A384</f>
        <v>45553</v>
      </c>
      <c r="B383" s="4">
        <f>Acciones!B384/Acciones!B383 -1</f>
        <v>2.9178621955583406E-3</v>
      </c>
      <c r="C383" s="4">
        <f>Acciones!C384/Acciones!C383 -1</f>
        <v>-2.881667005315891E-2</v>
      </c>
      <c r="D383" s="4">
        <f>Acciones!D384/Acciones!D383 -1</f>
        <v>2.3957426687782668E-2</v>
      </c>
      <c r="E383" s="4">
        <f>Acciones!E384/Acciones!E383 -1</f>
        <v>6.1538496807483245E-2</v>
      </c>
    </row>
    <row r="384" spans="1:5" x14ac:dyDescent="0.2">
      <c r="A384" s="1">
        <f>Acciones!A385</f>
        <v>45554</v>
      </c>
      <c r="B384" s="4">
        <f>Acciones!B385/Acciones!B384 -1</f>
        <v>-4.1563054714468528E-3</v>
      </c>
      <c r="C384" s="4">
        <f>Acciones!C385/Acciones!C384 -1</f>
        <v>9.9244404929981211E-3</v>
      </c>
      <c r="D384" s="4">
        <f>Acciones!D385/Acciones!D384 -1</f>
        <v>-9.7968038111058142E-3</v>
      </c>
      <c r="E384" s="4">
        <f>Acciones!E385/Acciones!E384 -1</f>
        <v>-5.7971045791138764E-2</v>
      </c>
    </row>
    <row r="385" spans="1:5" x14ac:dyDescent="0.2">
      <c r="A385" s="1">
        <f>Acciones!A386</f>
        <v>45555</v>
      </c>
      <c r="B385" s="4">
        <f>Acciones!B386/Acciones!B385 -1</f>
        <v>-1.6694609783731718E-3</v>
      </c>
      <c r="C385" s="4">
        <f>Acciones!C386/Acciones!C385 -1</f>
        <v>1.3214389566050144E-2</v>
      </c>
      <c r="D385" s="4">
        <f>Acciones!D386/Acciones!D385 -1</f>
        <v>7.4777420660351979E-2</v>
      </c>
      <c r="E385" s="4">
        <f>Acciones!E386/Acciones!E385 -1</f>
        <v>-9.2307699361497075E-2</v>
      </c>
    </row>
    <row r="386" spans="1:5" x14ac:dyDescent="0.2">
      <c r="A386" s="1">
        <f>Acciones!A387</f>
        <v>45558</v>
      </c>
      <c r="B386" s="4">
        <f>Acciones!B387/Acciones!B386 -1</f>
        <v>-4.5986540096637496E-3</v>
      </c>
      <c r="C386" s="4">
        <f>Acciones!C387/Acciones!C386 -1</f>
        <v>2.8070110219873046E-2</v>
      </c>
      <c r="D386" s="4">
        <f>Acciones!D387/Acciones!D386 -1</f>
        <v>-3.597399447778149E-3</v>
      </c>
      <c r="E386" s="4">
        <f>Acciones!E387/Acciones!E386 -1</f>
        <v>-8.4745685659030623E-2</v>
      </c>
    </row>
    <row r="387" spans="1:5" x14ac:dyDescent="0.2">
      <c r="A387" s="1">
        <f>Acciones!A388</f>
        <v>45559</v>
      </c>
      <c r="B387" s="4">
        <f>Acciones!B388/Acciones!B387 -1</f>
        <v>1.7639608123737771E-2</v>
      </c>
      <c r="C387" s="4">
        <f>Acciones!C388/Acciones!C387 -1</f>
        <v>1.0013574613950249E-2</v>
      </c>
      <c r="D387" s="4">
        <f>Acciones!D388/Acciones!D387 -1</f>
        <v>8.8913095149036891E-3</v>
      </c>
      <c r="E387" s="4">
        <f>Acciones!E388/Acciones!E387 -1</f>
        <v>-6.6666688742461178E-2</v>
      </c>
    </row>
    <row r="388" spans="1:5" x14ac:dyDescent="0.2">
      <c r="A388" s="1">
        <f>Acciones!A389</f>
        <v>45560</v>
      </c>
      <c r="B388" s="4">
        <f>Acciones!B389/Acciones!B388 -1</f>
        <v>-2.3524522472629261E-2</v>
      </c>
      <c r="C388" s="4">
        <f>Acciones!C389/Acciones!C388 -1</f>
        <v>8.9897902460112089E-3</v>
      </c>
      <c r="D388" s="4">
        <f>Acciones!D389/Acciones!D388 -1</f>
        <v>2.2688489266903478E-2</v>
      </c>
      <c r="E388" s="4">
        <f>Acciones!E389/Acciones!E388 -1</f>
        <v>5.1587227907462285E-2</v>
      </c>
    </row>
    <row r="389" spans="1:5" x14ac:dyDescent="0.2">
      <c r="A389" s="1">
        <f>Acciones!A390</f>
        <v>45561</v>
      </c>
      <c r="B389" s="4">
        <f>Acciones!B390/Acciones!B389 -1</f>
        <v>5.9172019731119629E-3</v>
      </c>
      <c r="C389" s="4">
        <f>Acciones!C390/Acciones!C389 -1</f>
        <v>8.6853462406232484E-2</v>
      </c>
      <c r="D389" s="4">
        <f>Acciones!D390/Acciones!D389 -1</f>
        <v>1.5534744563041603E-2</v>
      </c>
      <c r="E389" s="4">
        <f>Acciones!E390/Acciones!E389 -1</f>
        <v>3.7735927567533079E-2</v>
      </c>
    </row>
    <row r="390" spans="1:5" x14ac:dyDescent="0.2">
      <c r="A390" s="1">
        <f>Acciones!A391</f>
        <v>45562</v>
      </c>
      <c r="B390" s="4">
        <f>Acciones!B391/Acciones!B390 -1</f>
        <v>1.008402266507713E-2</v>
      </c>
      <c r="C390" s="4">
        <f>Acciones!C391/Acciones!C390 -1</f>
        <v>-1.7674379570540744E-2</v>
      </c>
      <c r="D390" s="4">
        <f>Acciones!D391/Acciones!D390 -1</f>
        <v>8.2972079018350797E-3</v>
      </c>
      <c r="E390" s="4">
        <f>Acciones!E391/Acciones!E390 -1</f>
        <v>0</v>
      </c>
    </row>
    <row r="391" spans="1:5" x14ac:dyDescent="0.2">
      <c r="A391" s="1">
        <f>Acciones!A392</f>
        <v>45565</v>
      </c>
      <c r="B391" s="4">
        <f>Acciones!B392/Acciones!B391 -1</f>
        <v>-2.038271781816503E-2</v>
      </c>
      <c r="C391" s="4">
        <f>Acciones!C392/Acciones!C391 -1</f>
        <v>-5.693661217869106E-2</v>
      </c>
      <c r="D391" s="4">
        <f>Acciones!D392/Acciones!D391 -1</f>
        <v>-1.263809345522704E-2</v>
      </c>
      <c r="E391" s="4">
        <f>Acciones!E392/Acciones!E391 -1</f>
        <v>-2.5454542301903915E-2</v>
      </c>
    </row>
    <row r="392" spans="1:5" x14ac:dyDescent="0.2">
      <c r="A392" s="1">
        <f>Acciones!A393</f>
        <v>45567</v>
      </c>
      <c r="B392" s="4">
        <f>Acciones!B393/Acciones!B392 -1</f>
        <v>-2.1231157108451137E-3</v>
      </c>
      <c r="C392" s="4">
        <f>Acciones!C393/Acciones!C392 -1</f>
        <v>-7.4683031065532535E-2</v>
      </c>
      <c r="D392" s="4">
        <f>Acciones!D393/Acciones!D392 -1</f>
        <v>-7.3371811459428393E-2</v>
      </c>
      <c r="E392" s="4">
        <f>Acciones!E393/Acciones!E392 -1</f>
        <v>2.611939966559218E-2</v>
      </c>
    </row>
    <row r="393" spans="1:5" x14ac:dyDescent="0.2">
      <c r="A393" s="1">
        <f>Acciones!A394</f>
        <v>45568</v>
      </c>
      <c r="B393" s="4">
        <f>Acciones!B394/Acciones!B393 -1</f>
        <v>-2.1276329217325696E-3</v>
      </c>
      <c r="C393" s="4">
        <f>Acciones!C394/Acciones!C393 -1</f>
        <v>1.0580558415372865E-2</v>
      </c>
      <c r="D393" s="4">
        <f>Acciones!D394/Acciones!D393 -1</f>
        <v>-1.4618628018391422E-2</v>
      </c>
      <c r="E393" s="4">
        <f>Acciones!E394/Acciones!E393 -1</f>
        <v>0</v>
      </c>
    </row>
    <row r="394" spans="1:5" x14ac:dyDescent="0.2">
      <c r="A394" s="1">
        <f>Acciones!A395</f>
        <v>45569</v>
      </c>
      <c r="B394" s="4">
        <f>Acciones!B395/Acciones!B394 -1</f>
        <v>2.6865652405590135E-2</v>
      </c>
      <c r="C394" s="4">
        <f>Acciones!C395/Acciones!C394 -1</f>
        <v>5.2047012636325496E-2</v>
      </c>
      <c r="D394" s="4">
        <f>Acciones!D395/Acciones!D394 -1</f>
        <v>-3.5767048081890573E-3</v>
      </c>
      <c r="E394" s="4">
        <f>Acciones!E395/Acciones!E394 -1</f>
        <v>0</v>
      </c>
    </row>
    <row r="395" spans="1:5" x14ac:dyDescent="0.2">
      <c r="A395" s="1">
        <f>Acciones!A396</f>
        <v>45572</v>
      </c>
      <c r="B395" s="4">
        <f>Acciones!B396/Acciones!B395 -1</f>
        <v>-2.1179429916047821E-2</v>
      </c>
      <c r="C395" s="4">
        <f>Acciones!C396/Acciones!C395 -1</f>
        <v>-2.0764918384876374E-2</v>
      </c>
      <c r="D395" s="4">
        <f>Acciones!D396/Acciones!D395 -1</f>
        <v>-1.6465839967074181E-2</v>
      </c>
      <c r="E395" s="4">
        <f>Acciones!E396/Acciones!E395 -1</f>
        <v>-0.10727275269090741</v>
      </c>
    </row>
    <row r="396" spans="1:5" x14ac:dyDescent="0.2">
      <c r="A396" s="1">
        <f>Acciones!A397</f>
        <v>45573</v>
      </c>
      <c r="B396" s="4">
        <f>Acciones!B397/Acciones!B396 -1</f>
        <v>-8.9095694191013708E-3</v>
      </c>
      <c r="C396" s="4">
        <f>Acciones!C397/Acciones!C396 -1</f>
        <v>9.4465324078507606E-4</v>
      </c>
      <c r="D396" s="4">
        <f>Acciones!D397/Acciones!D396 -1</f>
        <v>2.9441066094286761E-3</v>
      </c>
      <c r="E396" s="4">
        <f>Acciones!E397/Acciones!E396 -1</f>
        <v>1.8329945822899818E-2</v>
      </c>
    </row>
    <row r="397" spans="1:5" x14ac:dyDescent="0.2">
      <c r="A397" s="1">
        <f>Acciones!A398</f>
        <v>45574</v>
      </c>
      <c r="B397" s="4">
        <f>Acciones!B398/Acciones!B397 -1</f>
        <v>9.8458338752107633E-3</v>
      </c>
      <c r="C397" s="4">
        <f>Acciones!C398/Acciones!C397 -1</f>
        <v>-2.313780361036577E-2</v>
      </c>
      <c r="D397" s="4">
        <f>Acciones!D398/Acciones!D397 -1</f>
        <v>3.0960853619346862E-2</v>
      </c>
      <c r="E397" s="4">
        <f>Acciones!E398/Acciones!E397 -1</f>
        <v>-9.9999904632579462E-3</v>
      </c>
    </row>
    <row r="398" spans="1:5" x14ac:dyDescent="0.2">
      <c r="A398" s="1">
        <f>Acciones!A399</f>
        <v>45575</v>
      </c>
      <c r="B398" s="4">
        <f>Acciones!B399/Acciones!B398 -1</f>
        <v>-2.1195156585982478E-3</v>
      </c>
      <c r="C398" s="4">
        <f>Acciones!C399/Acciones!C398 -1</f>
        <v>-1.1459799204943999E-2</v>
      </c>
      <c r="D398" s="4">
        <f>Acciones!D399/Acciones!D398 -1</f>
        <v>-7.438084055517824E-3</v>
      </c>
      <c r="E398" s="4">
        <f>Acciones!E399/Acciones!E398 -1</f>
        <v>-3.0303061318609714E-2</v>
      </c>
    </row>
    <row r="399" spans="1:5" x14ac:dyDescent="0.2">
      <c r="A399" s="1">
        <f>Acciones!A400</f>
        <v>45576</v>
      </c>
      <c r="B399" s="4">
        <f>Acciones!B400/Acciones!B399 -1</f>
        <v>2.2090049273337353E-2</v>
      </c>
      <c r="C399" s="4">
        <f>Acciones!C400/Acciones!C399 -1</f>
        <v>4.2495168444199871E-2</v>
      </c>
      <c r="D399" s="4">
        <f>Acciones!D400/Acciones!D399 -1</f>
        <v>-1.3105994004207311E-2</v>
      </c>
      <c r="E399" s="4">
        <f>Acciones!E400/Acciones!E399 -1</f>
        <v>-0.2083333255723111</v>
      </c>
    </row>
    <row r="400" spans="1:5" x14ac:dyDescent="0.2">
      <c r="A400" s="1">
        <f>Acciones!A401</f>
        <v>45579</v>
      </c>
      <c r="B400" s="4">
        <f>Acciones!B401/Acciones!B400 -1</f>
        <v>-2.5768849218489209E-2</v>
      </c>
      <c r="C400" s="4">
        <f>Acciones!C401/Acciones!C400 -1</f>
        <v>6.3520263484041051E-2</v>
      </c>
      <c r="D400" s="4">
        <f>Acciones!D401/Acciones!D400 -1</f>
        <v>-3.8188601878016426E-3</v>
      </c>
      <c r="E400" s="4">
        <f>Acciones!E401/Acciones!E400 -1</f>
        <v>-2.6315764707211309E-2</v>
      </c>
    </row>
    <row r="401" spans="1:5" x14ac:dyDescent="0.2">
      <c r="A401" s="1">
        <f>Acciones!A402</f>
        <v>45580</v>
      </c>
      <c r="B401" s="4">
        <f>Acciones!B402/Acciones!B401 -1</f>
        <v>-2.6023948221364779E-2</v>
      </c>
      <c r="C401" s="4">
        <f>Acciones!C402/Acciones!C401 -1</f>
        <v>1.7173233727914905E-2</v>
      </c>
      <c r="D401" s="4">
        <f>Acciones!D402/Acciones!D401 -1</f>
        <v>2.9707368719269933E-2</v>
      </c>
      <c r="E401" s="4">
        <f>Acciones!E402/Acciones!E401 -1</f>
        <v>-5.4054082354286659E-2</v>
      </c>
    </row>
    <row r="402" spans="1:5" x14ac:dyDescent="0.2">
      <c r="A402" s="1">
        <f>Acciones!A403</f>
        <v>45581</v>
      </c>
      <c r="B402" s="4">
        <f>Acciones!B403/Acciones!B402 -1</f>
        <v>1.4454638481882887E-2</v>
      </c>
      <c r="C402" s="4">
        <f>Acciones!C403/Acciones!C402 -1</f>
        <v>6.860897018925427E-2</v>
      </c>
      <c r="D402" s="4">
        <f>Acciones!D403/Acciones!D402 -1</f>
        <v>3.352393815216681E-2</v>
      </c>
      <c r="E402" s="4">
        <f>Acciones!E403/Acciones!E402 -1</f>
        <v>2.857191270711823E-3</v>
      </c>
    </row>
    <row r="403" spans="1:5" x14ac:dyDescent="0.2">
      <c r="A403" s="1">
        <f>Acciones!A404</f>
        <v>45582</v>
      </c>
      <c r="B403" s="4">
        <f>Acciones!B404/Acciones!B403 -1</f>
        <v>-1.1226247329270245E-2</v>
      </c>
      <c r="C403" s="4">
        <f>Acciones!C404/Acciones!C403 -1</f>
        <v>1.0906145365447983E-3</v>
      </c>
      <c r="D403" s="4">
        <f>Acciones!D404/Acciones!D403 -1</f>
        <v>-7.0489024593889393E-3</v>
      </c>
      <c r="E403" s="4">
        <f>Acciones!E404/Acciones!E403 -1</f>
        <v>-2.8490509871016423E-3</v>
      </c>
    </row>
    <row r="404" spans="1:5" x14ac:dyDescent="0.2">
      <c r="A404" s="1">
        <f>Acciones!A405</f>
        <v>45583</v>
      </c>
      <c r="B404" s="4">
        <f>Acciones!B405/Acciones!B404 -1</f>
        <v>1.6593918796853568E-2</v>
      </c>
      <c r="C404" s="4">
        <f>Acciones!C405/Acciones!C404 -1</f>
        <v>4.4832368136782152E-2</v>
      </c>
      <c r="D404" s="4">
        <f>Acciones!D405/Acciones!D404 -1</f>
        <v>-1.1051259838028571E-2</v>
      </c>
      <c r="E404" s="4">
        <f>Acciones!E405/Acciones!E404 -1</f>
        <v>0</v>
      </c>
    </row>
    <row r="405" spans="1:5" x14ac:dyDescent="0.2">
      <c r="A405" s="1">
        <f>Acciones!A406</f>
        <v>45586</v>
      </c>
      <c r="B405" s="4">
        <f>Acciones!B406/Acciones!B405 -1</f>
        <v>-3.5223448522369583E-2</v>
      </c>
      <c r="C405" s="4">
        <f>Acciones!C406/Acciones!C405 -1</f>
        <v>-5.9617177958157797E-3</v>
      </c>
      <c r="D405" s="4">
        <f>Acciones!D406/Acciones!D405 -1</f>
        <v>-6.2171658948494413E-3</v>
      </c>
      <c r="E405" s="4">
        <f>Acciones!E406/Acciones!E405 -1</f>
        <v>-0.11428569239013109</v>
      </c>
    </row>
    <row r="406" spans="1:5" x14ac:dyDescent="0.2">
      <c r="A406" s="1">
        <f>Acciones!A407</f>
        <v>45587</v>
      </c>
      <c r="B406" s="4">
        <f>Acciones!B407/Acciones!B406 -1</f>
        <v>9.3500661589296374E-3</v>
      </c>
      <c r="C406" s="4">
        <f>Acciones!C407/Acciones!C406 -1</f>
        <v>1.2721156407878853E-2</v>
      </c>
      <c r="D406" s="4">
        <f>Acciones!D407/Acciones!D406 -1</f>
        <v>-7.7066255554824048E-3</v>
      </c>
      <c r="E406" s="4">
        <f>Acciones!E407/Acciones!E406 -1</f>
        <v>-6.4516163145217909E-2</v>
      </c>
    </row>
    <row r="407" spans="1:5" x14ac:dyDescent="0.2">
      <c r="A407" s="1">
        <f>Acciones!A408</f>
        <v>45588</v>
      </c>
      <c r="B407" s="4">
        <f>Acciones!B408/Acciones!B407 -1</f>
        <v>-4.5875670491334786E-2</v>
      </c>
      <c r="C407" s="4">
        <f>Acciones!C408/Acciones!C407 -1</f>
        <v>-5.1865620534915058E-2</v>
      </c>
      <c r="D407" s="4">
        <f>Acciones!D408/Acciones!D407 -1</f>
        <v>-1.9160261869606954E-2</v>
      </c>
      <c r="E407" s="4">
        <f>Acciones!E408/Acciones!E407 -1</f>
        <v>-3.4482726727597668E-2</v>
      </c>
    </row>
    <row r="408" spans="1:5" x14ac:dyDescent="0.2">
      <c r="A408" s="1">
        <f>Acciones!A409</f>
        <v>45589</v>
      </c>
      <c r="B408" s="4">
        <f>Acciones!B409/Acciones!B408 -1</f>
        <v>-2.5427601064393457E-2</v>
      </c>
      <c r="C408" s="4">
        <f>Acciones!C409/Acciones!C408 -1</f>
        <v>9.9154351404857621E-3</v>
      </c>
      <c r="D408" s="4">
        <f>Acciones!D409/Acciones!D408 -1</f>
        <v>-1.1201320727027508E-2</v>
      </c>
      <c r="E408" s="4">
        <f>Acciones!E409/Acciones!E408 -1</f>
        <v>-0.16071429141625992</v>
      </c>
    </row>
    <row r="409" spans="1:5" x14ac:dyDescent="0.2">
      <c r="A409" s="1">
        <f>Acciones!A410</f>
        <v>45590</v>
      </c>
      <c r="B409" s="4">
        <f>Acciones!B410/Acciones!B409 -1</f>
        <v>-2.2296033287779848E-2</v>
      </c>
      <c r="C409" s="4">
        <f>Acciones!C410/Acciones!C409 -1</f>
        <v>-5.1503237879849006E-2</v>
      </c>
      <c r="D409" s="4">
        <f>Acciones!D410/Acciones!D409 -1</f>
        <v>5.1525814401909287E-4</v>
      </c>
      <c r="E409" s="4">
        <f>Acciones!E410/Acciones!E409 -1</f>
        <v>4.2553214424603025E-2</v>
      </c>
    </row>
    <row r="410" spans="1:5" x14ac:dyDescent="0.2">
      <c r="A410" s="1">
        <f>Acciones!A411</f>
        <v>45593</v>
      </c>
      <c r="B410" s="4">
        <f>Acciones!B411/Acciones!B410 -1</f>
        <v>-9.704096012184138E-4</v>
      </c>
      <c r="C410" s="4">
        <f>Acciones!C411/Acciones!C410 -1</f>
        <v>0.11523730163885859</v>
      </c>
      <c r="D410" s="4">
        <f>Acciones!D411/Acciones!D410 -1</f>
        <v>9.5359187256758293E-3</v>
      </c>
      <c r="E410" s="4">
        <f>Acciones!E411/Acciones!E410 -1</f>
        <v>2.0408143405368895E-2</v>
      </c>
    </row>
    <row r="411" spans="1:5" x14ac:dyDescent="0.2">
      <c r="A411" s="1">
        <f>Acciones!A412</f>
        <v>45594</v>
      </c>
      <c r="B411" s="4">
        <f>Acciones!B412/Acciones!B411 -1</f>
        <v>-2.0883929558617398E-2</v>
      </c>
      <c r="C411" s="4">
        <f>Acciones!C412/Acciones!C411 -1</f>
        <v>-1.8091307090928321E-3</v>
      </c>
      <c r="D411" s="4">
        <f>Acciones!D412/Acciones!D411 -1</f>
        <v>-6.4293564020539984E-3</v>
      </c>
      <c r="E411" s="4">
        <f>Acciones!E412/Acciones!E411 -1</f>
        <v>0</v>
      </c>
    </row>
    <row r="412" spans="1:5" x14ac:dyDescent="0.2">
      <c r="A412" s="1">
        <f>Acciones!A413</f>
        <v>45595</v>
      </c>
      <c r="B412" s="4">
        <f>Acciones!B413/Acciones!B412 -1</f>
        <v>1.1904749156848471E-2</v>
      </c>
      <c r="C412" s="4">
        <f>Acciones!C413/Acciones!C412 -1</f>
        <v>-2.2221616571563629E-2</v>
      </c>
      <c r="D412" s="4">
        <f>Acciones!D413/Acciones!D412 -1</f>
        <v>-2.1739357911127355E-2</v>
      </c>
      <c r="E412" s="4">
        <f>Acciones!E413/Acciones!E412 -1</f>
        <v>3.9999961853024013E-2</v>
      </c>
    </row>
    <row r="413" spans="1:5" x14ac:dyDescent="0.2">
      <c r="A413" s="1">
        <f>Acciones!A414</f>
        <v>45596</v>
      </c>
      <c r="B413" s="4">
        <f>Acciones!B414/Acciones!B413 -1</f>
        <v>1.4705506031569282E-3</v>
      </c>
      <c r="C413" s="4">
        <f>Acciones!C414/Acciones!C413 -1</f>
        <v>-9.1202181885915334E-2</v>
      </c>
      <c r="D413" s="4">
        <f>Acciones!D414/Acciones!D413 -1</f>
        <v>-3.557003933517211E-3</v>
      </c>
      <c r="E413" s="4">
        <f>Acciones!E414/Acciones!E413 -1</f>
        <v>0</v>
      </c>
    </row>
    <row r="414" spans="1:5" x14ac:dyDescent="0.2">
      <c r="A414" s="1">
        <f>Acciones!A415</f>
        <v>45597</v>
      </c>
      <c r="B414" s="4">
        <f>Acciones!B415/Acciones!B414 -1</f>
        <v>1.4684873206920468E-3</v>
      </c>
      <c r="C414" s="4">
        <f>Acciones!C415/Acciones!C414 -1</f>
        <v>-2.9382213420264924E-2</v>
      </c>
      <c r="D414" s="4">
        <f>Acciones!D415/Acciones!D414 -1</f>
        <v>2.7061203763766084E-2</v>
      </c>
      <c r="E414" s="4">
        <f>Acciones!E415/Acciones!E414 -1</f>
        <v>0</v>
      </c>
    </row>
    <row r="415" spans="1:5" x14ac:dyDescent="0.2">
      <c r="A415" s="1">
        <f>Acciones!A416</f>
        <v>45600</v>
      </c>
      <c r="B415" s="4">
        <f>Acciones!B416/Acciones!B415 -1</f>
        <v>-3.9100961802669421E-3</v>
      </c>
      <c r="C415" s="4">
        <f>Acciones!C416/Acciones!C415 -1</f>
        <v>-4.6930118869484394E-2</v>
      </c>
      <c r="D415" s="4">
        <f>Acciones!D416/Acciones!D415 -1</f>
        <v>-1.7282616496623215E-2</v>
      </c>
      <c r="E415" s="4">
        <f>Acciones!E416/Acciones!E415 -1</f>
        <v>1.923075159626042E-2</v>
      </c>
    </row>
    <row r="416" spans="1:5" x14ac:dyDescent="0.2">
      <c r="A416" s="1">
        <f>Acciones!A417</f>
        <v>45601</v>
      </c>
      <c r="B416" s="4">
        <f>Acciones!B417/Acciones!B416 -1</f>
        <v>-2.2571116432049787E-2</v>
      </c>
      <c r="C416" s="4">
        <f>Acciones!C417/Acciones!C416 -1</f>
        <v>3.8760101907934885E-2</v>
      </c>
      <c r="D416" s="4">
        <f>Acciones!D417/Acciones!D416 -1</f>
        <v>5.5917266678715549E-3</v>
      </c>
      <c r="E416" s="4">
        <f>Acciones!E417/Acciones!E416 -1</f>
        <v>1.8868020014566778E-2</v>
      </c>
    </row>
    <row r="417" spans="1:5" x14ac:dyDescent="0.2">
      <c r="A417" s="1">
        <f>Acciones!A418</f>
        <v>45602</v>
      </c>
      <c r="B417" s="4">
        <f>Acciones!B418/Acciones!B417 -1</f>
        <v>2.5100382614505534E-2</v>
      </c>
      <c r="C417" s="4">
        <f>Acciones!C418/Acciones!C417 -1</f>
        <v>0.19081457284823578</v>
      </c>
      <c r="D417" s="4">
        <f>Acciones!D418/Acciones!D417 -1</f>
        <v>-2.814231748592666E-2</v>
      </c>
      <c r="E417" s="4">
        <f>Acciones!E418/Acciones!E417 -1</f>
        <v>0</v>
      </c>
    </row>
    <row r="418" spans="1:5" x14ac:dyDescent="0.2">
      <c r="A418" s="1">
        <f>Acciones!A419</f>
        <v>45603</v>
      </c>
      <c r="B418" s="4">
        <f>Acciones!B419/Acciones!B418 -1</f>
        <v>7.5905985783484287E-2</v>
      </c>
      <c r="C418" s="4">
        <f>Acciones!C419/Acciones!C418 -1</f>
        <v>-1.3691167868366105E-2</v>
      </c>
      <c r="D418" s="4">
        <f>Acciones!D419/Acciones!D418 -1</f>
        <v>-2.5971021315682741E-3</v>
      </c>
      <c r="E418" s="4">
        <f>Acciones!E419/Acciones!E418 -1</f>
        <v>7.4074221245998828E-3</v>
      </c>
    </row>
    <row r="419" spans="1:5" x14ac:dyDescent="0.2">
      <c r="A419" s="1">
        <f>Acciones!A420</f>
        <v>45604</v>
      </c>
      <c r="B419" s="4">
        <f>Acciones!B420/Acciones!B419 -1</f>
        <v>-7.146109947766488E-2</v>
      </c>
      <c r="C419" s="4">
        <f>Acciones!C420/Acciones!C419 -1</f>
        <v>1.2257386411323123E-2</v>
      </c>
      <c r="D419" s="4">
        <f>Acciones!D420/Acciones!D419 -1</f>
        <v>1.3098691052275235E-2</v>
      </c>
      <c r="E419" s="4">
        <f>Acciones!E420/Acciones!E419 -1</f>
        <v>0</v>
      </c>
    </row>
    <row r="420" spans="1:5" x14ac:dyDescent="0.2">
      <c r="A420" s="1">
        <f>Acciones!A421</f>
        <v>45607</v>
      </c>
      <c r="B420" s="4">
        <f>Acciones!B421/Acciones!B420 -1</f>
        <v>-1.4215643172044046E-2</v>
      </c>
      <c r="C420" s="4">
        <f>Acciones!C421/Acciones!C420 -1</f>
        <v>0.31905094743544438</v>
      </c>
      <c r="D420" s="4">
        <f>Acciones!D421/Acciones!D420 -1</f>
        <v>1.4690745706167574E-2</v>
      </c>
      <c r="E420" s="4">
        <f>Acciones!E421/Acciones!E420 -1</f>
        <v>0</v>
      </c>
    </row>
    <row r="421" spans="1:5" x14ac:dyDescent="0.2">
      <c r="A421" s="1">
        <f>Acciones!A422</f>
        <v>45608</v>
      </c>
      <c r="B421" s="4">
        <f>Acciones!B422/Acciones!B421 -1</f>
        <v>-1.0442590976578736E-2</v>
      </c>
      <c r="C421" s="4">
        <f>Acciones!C422/Acciones!C421 -1</f>
        <v>1.9811763167785212E-2</v>
      </c>
      <c r="D421" s="4">
        <f>Acciones!D422/Acciones!D421 -1</f>
        <v>1.3301385268751131E-2</v>
      </c>
      <c r="E421" s="4">
        <f>Acciones!E422/Acciones!E421 -1</f>
        <v>0</v>
      </c>
    </row>
    <row r="422" spans="1:5" x14ac:dyDescent="0.2">
      <c r="A422" s="1">
        <f>Acciones!A423</f>
        <v>45609</v>
      </c>
      <c r="B422" s="4">
        <f>Acciones!B423/Acciones!B422 -1</f>
        <v>-1.0050223999610863E-2</v>
      </c>
      <c r="C422" s="4">
        <f>Acciones!C423/Acciones!C422 -1</f>
        <v>-0.14304678234739954</v>
      </c>
      <c r="D422" s="4">
        <f>Acciones!D423/Acciones!D422 -1</f>
        <v>-3.4641883602294365E-3</v>
      </c>
      <c r="E422" s="4">
        <f>Acciones!E423/Acciones!E422 -1</f>
        <v>0</v>
      </c>
    </row>
    <row r="423" spans="1:5" x14ac:dyDescent="0.2">
      <c r="A423" s="1">
        <f>Acciones!A424</f>
        <v>45610</v>
      </c>
      <c r="B423" s="4">
        <f>Acciones!B424/Acciones!B423 -1</f>
        <v>0</v>
      </c>
      <c r="C423" s="4">
        <f>Acciones!C424/Acciones!C423 -1</f>
        <v>-5.0591449749013973E-2</v>
      </c>
      <c r="D423" s="4">
        <f>Acciones!D424/Acciones!D423 -1</f>
        <v>-1.2624898693962883E-2</v>
      </c>
      <c r="E423" s="4">
        <f>Acciones!E424/Acciones!E423 -1</f>
        <v>-7.3529556780292937E-3</v>
      </c>
    </row>
    <row r="424" spans="1:5" x14ac:dyDescent="0.2">
      <c r="A424" s="1">
        <f>Acciones!A425</f>
        <v>45611</v>
      </c>
      <c r="B424" s="4">
        <f>Acciones!B425/Acciones!B424 -1</f>
        <v>-1.1167591679032252E-2</v>
      </c>
      <c r="C424" s="4">
        <f>Acciones!C425/Acciones!C424 -1</f>
        <v>1.3948378331110955E-2</v>
      </c>
      <c r="D424" s="4">
        <f>Acciones!D425/Acciones!D424 -1</f>
        <v>1.3624641708411378E-2</v>
      </c>
      <c r="E424" s="4">
        <f>Acciones!E425/Acciones!E424 -1</f>
        <v>0</v>
      </c>
    </row>
    <row r="425" spans="1:5" x14ac:dyDescent="0.2">
      <c r="A425" s="1">
        <f>Acciones!A426</f>
        <v>45615</v>
      </c>
      <c r="B425" s="4">
        <f>Acciones!B426/Acciones!B425 -1</f>
        <v>-9.2402117557764951E-3</v>
      </c>
      <c r="C425" s="4">
        <f>Acciones!C426/Acciones!C425 -1</f>
        <v>-6.9318496516403649E-2</v>
      </c>
      <c r="D425" s="4">
        <f>Acciones!D426/Acciones!D425 -1</f>
        <v>-5.5025384817654066E-2</v>
      </c>
      <c r="E425" s="4">
        <f>Acciones!E426/Acciones!E425 -1</f>
        <v>-2.9629688498414519E-2</v>
      </c>
    </row>
    <row r="426" spans="1:5" x14ac:dyDescent="0.2">
      <c r="A426" s="1">
        <f>Acciones!A427</f>
        <v>45616</v>
      </c>
      <c r="B426" s="4">
        <f>Acciones!B427/Acciones!B426 -1</f>
        <v>-5.0259069201550099E-2</v>
      </c>
      <c r="C426" s="4">
        <f>Acciones!C427/Acciones!C426 -1</f>
        <v>0.15878345601094734</v>
      </c>
      <c r="D426" s="4">
        <f>Acciones!D427/Acciones!D426 -1</f>
        <v>-5.0623882630834727E-3</v>
      </c>
      <c r="E426" s="4">
        <f>Acciones!E427/Acciones!E426 -1</f>
        <v>0</v>
      </c>
    </row>
    <row r="427" spans="1:5" x14ac:dyDescent="0.2">
      <c r="A427" s="1">
        <f>Acciones!A428</f>
        <v>45617</v>
      </c>
      <c r="B427" s="4">
        <f>Acciones!B428/Acciones!B427 -1</f>
        <v>-2.2913205963394745E-2</v>
      </c>
      <c r="C427" s="4">
        <f>Acciones!C428/Acciones!C427 -1</f>
        <v>5.9886671807253711E-2</v>
      </c>
      <c r="D427" s="4">
        <f>Acciones!D428/Acciones!D427 -1</f>
        <v>4.1962727746926998E-2</v>
      </c>
      <c r="E427" s="4">
        <f>Acciones!E428/Acciones!E427 -1</f>
        <v>-7.6336034159383281E-3</v>
      </c>
    </row>
    <row r="428" spans="1:5" x14ac:dyDescent="0.2">
      <c r="A428" s="1">
        <f>Acciones!A429</f>
        <v>45618</v>
      </c>
      <c r="B428" s="4">
        <f>Acciones!B429/Acciones!B428 -1</f>
        <v>2.903404523527553E-2</v>
      </c>
      <c r="C428" s="4">
        <f>Acciones!C429/Acciones!C428 -1</f>
        <v>8.9303259972619786E-2</v>
      </c>
      <c r="D428" s="4">
        <f>Acciones!D429/Acciones!D428 -1</f>
        <v>2.8448014759288931E-2</v>
      </c>
      <c r="E428" s="4">
        <f>Acciones!E429/Acciones!E428 -1</f>
        <v>-3.4615398722993018E-2</v>
      </c>
    </row>
    <row r="429" spans="1:5" x14ac:dyDescent="0.2">
      <c r="A429" s="1">
        <f>Acciones!A430</f>
        <v>45621</v>
      </c>
      <c r="B429" s="4">
        <f>Acciones!B430/Acciones!B429 -1</f>
        <v>-3.3640828287690439E-2</v>
      </c>
      <c r="C429" s="4">
        <f>Acciones!C430/Acciones!C429 -1</f>
        <v>-3.2209124665248945E-3</v>
      </c>
      <c r="D429" s="4">
        <f>Acciones!D430/Acciones!D429 -1</f>
        <v>1.9693053098484459E-2</v>
      </c>
      <c r="E429" s="4">
        <f>Acciones!E430/Acciones!E429 -1</f>
        <v>-3.9840126561297984E-3</v>
      </c>
    </row>
    <row r="430" spans="1:5" x14ac:dyDescent="0.2">
      <c r="A430" s="1">
        <f>Acciones!A431</f>
        <v>45622</v>
      </c>
      <c r="B430" s="4">
        <f>Acciones!B431/Acciones!B430 -1</f>
        <v>-2.2459452159955262E-3</v>
      </c>
      <c r="C430" s="4">
        <f>Acciones!C431/Acciones!C430 -1</f>
        <v>-3.7873330089896462E-2</v>
      </c>
      <c r="D430" s="4">
        <f>Acciones!D431/Acciones!D430 -1</f>
        <v>-4.3344761690137235E-3</v>
      </c>
      <c r="E430" s="4">
        <f>Acciones!E431/Acciones!E430 -1</f>
        <v>-4.0000021457676005E-2</v>
      </c>
    </row>
    <row r="431" spans="1:5" x14ac:dyDescent="0.2">
      <c r="A431" s="1">
        <f>Acciones!A432</f>
        <v>45623</v>
      </c>
      <c r="B431" s="4">
        <f>Acciones!B432/Acciones!B431 -1</f>
        <v>2.2510008405647319E-3</v>
      </c>
      <c r="C431" s="4">
        <f>Acciones!C432/Acciones!C431 -1</f>
        <v>7.9255603271258357E-2</v>
      </c>
      <c r="D431" s="4">
        <f>Acciones!D432/Acciones!D431 -1</f>
        <v>4.9752412973380622E-3</v>
      </c>
      <c r="E431" s="4">
        <f>Acciones!E432/Acciones!E431 -1</f>
        <v>0</v>
      </c>
    </row>
    <row r="432" spans="1:5" x14ac:dyDescent="0.2">
      <c r="A432" s="1">
        <f>Acciones!A433</f>
        <v>45624</v>
      </c>
      <c r="B432" s="4">
        <f>Acciones!B433/Acciones!B432 -1</f>
        <v>-8.4222394636869202E-3</v>
      </c>
      <c r="C432" s="4">
        <f>Acciones!C433/Acciones!C432 -1</f>
        <v>6.3322058214243526E-3</v>
      </c>
      <c r="D432" s="4">
        <f>Acciones!D433/Acciones!D432 -1</f>
        <v>-9.9011459501987531E-3</v>
      </c>
      <c r="E432" s="4">
        <f>Acciones!E433/Acciones!E432 -1</f>
        <v>4.1666689949735769E-2</v>
      </c>
    </row>
    <row r="433" spans="1:5" x14ac:dyDescent="0.2">
      <c r="A433" s="1">
        <f>Acciones!A434</f>
        <v>45625</v>
      </c>
      <c r="B433" s="4">
        <f>Acciones!B434/Acciones!B433 -1</f>
        <v>2.208379558172946E-2</v>
      </c>
      <c r="C433" s="4">
        <f>Acciones!C434/Acciones!C433 -1</f>
        <v>6.7778071366684234E-3</v>
      </c>
      <c r="D433" s="4">
        <f>Acciones!D434/Acciones!D433 -1</f>
        <v>0</v>
      </c>
      <c r="E433" s="4">
        <f>Acciones!E434/Acciones!E433 -1</f>
        <v>0</v>
      </c>
    </row>
    <row r="434" spans="1:5" x14ac:dyDescent="0.2">
      <c r="A434" s="1">
        <f>Acciones!A435</f>
        <v>45628</v>
      </c>
      <c r="B434" s="4">
        <f>Acciones!B435/Acciones!B434 -1</f>
        <v>4.4321319098444611E-2</v>
      </c>
      <c r="C434" s="4">
        <f>Acciones!C435/Acciones!C434 -1</f>
        <v>-7.8553553989955338E-2</v>
      </c>
      <c r="D434" s="4">
        <f>Acciones!D435/Acciones!D434 -1</f>
        <v>7.8895722815370828E-3</v>
      </c>
      <c r="E434" s="4">
        <f>Acciones!E435/Acciones!E434 -1</f>
        <v>1.9999980926511896E-2</v>
      </c>
    </row>
    <row r="435" spans="1:5" x14ac:dyDescent="0.2">
      <c r="A435" s="1">
        <f>Acciones!A436</f>
        <v>45629</v>
      </c>
      <c r="B435" s="4">
        <f>Acciones!B436/Acciones!B435 -1</f>
        <v>-3.3952288554572996E-2</v>
      </c>
      <c r="C435" s="4">
        <f>Acciones!C436/Acciones!C435 -1</f>
        <v>-1.3895105311991229E-2</v>
      </c>
      <c r="D435" s="4">
        <f>Acciones!D436/Acciones!D435 -1</f>
        <v>-4.0378993004307473E-3</v>
      </c>
      <c r="E435" s="4">
        <f>Acciones!E436/Acciones!E435 -1</f>
        <v>0</v>
      </c>
    </row>
    <row r="436" spans="1:5" x14ac:dyDescent="0.2">
      <c r="A436" s="1">
        <f>Acciones!A437</f>
        <v>45630</v>
      </c>
      <c r="B436" s="4">
        <f>Acciones!B437/Acciones!B436 -1</f>
        <v>-3.075223096337909E-2</v>
      </c>
      <c r="C436" s="4">
        <f>Acciones!C437/Acciones!C436 -1</f>
        <v>3.5551443416563799E-2</v>
      </c>
      <c r="D436" s="4">
        <f>Acciones!D437/Acciones!D436 -1</f>
        <v>-1.0730547556026315E-2</v>
      </c>
      <c r="E436" s="4">
        <f>Acciones!E437/Acciones!E436 -1</f>
        <v>1.9607824804413365E-2</v>
      </c>
    </row>
    <row r="437" spans="1:5" x14ac:dyDescent="0.2">
      <c r="A437" s="1">
        <f>Acciones!A438</f>
        <v>45631</v>
      </c>
      <c r="B437" s="4">
        <f>Acciones!B438/Acciones!B437 -1</f>
        <v>-1.0764892932601744E-2</v>
      </c>
      <c r="C437" s="4">
        <f>Acciones!C438/Acciones!C437 -1</f>
        <v>-4.8507387914661804E-2</v>
      </c>
      <c r="D437" s="4">
        <f>Acciones!D438/Acciones!D437 -1</f>
        <v>-1.5611744391356153E-3</v>
      </c>
      <c r="E437" s="4">
        <f>Acciones!E438/Acciones!E437 -1</f>
        <v>0.15000002292486481</v>
      </c>
    </row>
    <row r="438" spans="1:5" x14ac:dyDescent="0.2">
      <c r="A438" s="1">
        <f>Acciones!A439</f>
        <v>45632</v>
      </c>
      <c r="B438" s="4">
        <f>Acciones!B439/Acciones!B438 -1</f>
        <v>-1.0309238952058486E-2</v>
      </c>
      <c r="C438" s="4">
        <f>Acciones!C439/Acciones!C438 -1</f>
        <v>5.512897643979997E-2</v>
      </c>
      <c r="D438" s="4">
        <f>Acciones!D439/Acciones!D438 -1</f>
        <v>5.7187639797826595E-3</v>
      </c>
      <c r="E438" s="4">
        <f>Acciones!E439/Acciones!E438 -1</f>
        <v>3.6789322993887819E-2</v>
      </c>
    </row>
    <row r="439" spans="1:5" x14ac:dyDescent="0.2">
      <c r="A439" s="1">
        <f>Acciones!A440</f>
        <v>45635</v>
      </c>
      <c r="B439" s="4">
        <f>Acciones!B440/Acciones!B439 -1</f>
        <v>5.7876456479788452E-4</v>
      </c>
      <c r="C439" s="4">
        <f>Acciones!C440/Acciones!C439 -1</f>
        <v>-8.4497479030379963E-2</v>
      </c>
      <c r="D439" s="4">
        <f>Acciones!D440/Acciones!D439 -1</f>
        <v>-1.3046409018152794E-2</v>
      </c>
      <c r="E439" s="4">
        <f>Acciones!E440/Acciones!E439 -1</f>
        <v>0</v>
      </c>
    </row>
    <row r="440" spans="1:5" x14ac:dyDescent="0.2">
      <c r="A440" s="1">
        <f>Acciones!A441</f>
        <v>45636</v>
      </c>
      <c r="B440" s="4">
        <f>Acciones!B441/Acciones!B440 -1</f>
        <v>1.6194218017632434E-2</v>
      </c>
      <c r="C440" s="4">
        <f>Acciones!C441/Acciones!C440 -1</f>
        <v>-5.0133176894328946E-2</v>
      </c>
      <c r="D440" s="4">
        <f>Acciones!D441/Acciones!D440 -1</f>
        <v>-1.5442257039891327E-2</v>
      </c>
      <c r="E440" s="4">
        <f>Acciones!E441/Acciones!E440 -1</f>
        <v>0</v>
      </c>
    </row>
    <row r="441" spans="1:5" x14ac:dyDescent="0.2">
      <c r="A441" s="1">
        <f>Acciones!A442</f>
        <v>45637</v>
      </c>
      <c r="B441" s="4">
        <f>Acciones!B442/Acciones!B441 -1</f>
        <v>-1.5936144617338832E-2</v>
      </c>
      <c r="C441" s="4">
        <f>Acciones!C442/Acciones!C441 -1</f>
        <v>2.6476518288159445E-2</v>
      </c>
      <c r="D441" s="4">
        <f>Acciones!D442/Acciones!D441 -1</f>
        <v>2.0032884736347123E-2</v>
      </c>
      <c r="E441" s="4">
        <f>Acciones!E442/Acciones!E441 -1</f>
        <v>0</v>
      </c>
    </row>
    <row r="442" spans="1:5" x14ac:dyDescent="0.2">
      <c r="A442" s="1">
        <f>Acciones!A443</f>
        <v>45639</v>
      </c>
      <c r="B442" s="4">
        <f>Acciones!B443/Acciones!B442 -1</f>
        <v>-6.9404764418150577E-3</v>
      </c>
      <c r="C442" s="4">
        <f>Acciones!C443/Acciones!C442 -1</f>
        <v>-3.326907888303865E-2</v>
      </c>
      <c r="D442" s="4">
        <f>Acciones!D443/Acciones!D442 -1</f>
        <v>-1.6445178908949032E-2</v>
      </c>
      <c r="E442" s="4">
        <f>Acciones!E443/Acciones!E442 -1</f>
        <v>0</v>
      </c>
    </row>
    <row r="443" spans="1:5" x14ac:dyDescent="0.2">
      <c r="A443" s="1">
        <f>Acciones!A444</f>
        <v>45642</v>
      </c>
      <c r="B443" s="4">
        <f>Acciones!B444/Acciones!B443 -1</f>
        <v>-1.8637174542386337E-2</v>
      </c>
      <c r="C443" s="4">
        <f>Acciones!C444/Acciones!C443 -1</f>
        <v>8.43373493975903E-2</v>
      </c>
      <c r="D443" s="4">
        <f>Acciones!D444/Acciones!D443 -1</f>
        <v>3.4662621475494149E-3</v>
      </c>
      <c r="E443" s="4">
        <f>Acciones!E444/Acciones!E443 -1</f>
        <v>0</v>
      </c>
    </row>
    <row r="444" spans="1:5" x14ac:dyDescent="0.2">
      <c r="A444" s="1">
        <f>Acciones!A445</f>
        <v>45643</v>
      </c>
      <c r="B444" s="4">
        <f>Acciones!B445/Acciones!B444 -1</f>
        <v>9.4954994009330829E-3</v>
      </c>
      <c r="C444" s="4">
        <f>Acciones!C445/Acciones!C444 -1</f>
        <v>9.0909090909090384E-3</v>
      </c>
      <c r="D444" s="4">
        <f>Acciones!D445/Acciones!D444 -1</f>
        <v>8.7926279673455898E-3</v>
      </c>
      <c r="E444" s="4">
        <f>Acciones!E445/Acciones!E444 -1</f>
        <v>0</v>
      </c>
    </row>
    <row r="445" spans="1:5" x14ac:dyDescent="0.2">
      <c r="A445" s="1">
        <f>Acciones!A446</f>
        <v>45644</v>
      </c>
      <c r="B445" s="4">
        <f>Acciones!B446/Acciones!B445 -1</f>
        <v>-5.8201009670277637E-2</v>
      </c>
      <c r="C445" s="4">
        <f>Acciones!C446/Acciones!C445 -1</f>
        <v>-0.10138141070758355</v>
      </c>
      <c r="D445" s="4">
        <f>Acciones!D446/Acciones!D445 -1</f>
        <v>2.4902499966843461E-3</v>
      </c>
      <c r="E445" s="4">
        <f>Acciones!E446/Acciones!E445 -1</f>
        <v>0</v>
      </c>
    </row>
    <row r="446" spans="1:5" x14ac:dyDescent="0.2">
      <c r="A446" s="1">
        <f>Acciones!A447</f>
        <v>45645</v>
      </c>
      <c r="B446" s="4">
        <f>Acciones!B447/Acciones!B446 -1</f>
        <v>-2.5593066512179408E-2</v>
      </c>
      <c r="C446" s="4">
        <f>Acciones!C447/Acciones!C446 -1</f>
        <v>-7.5680550309064842E-2</v>
      </c>
      <c r="D446" s="4">
        <f>Acciones!D447/Acciones!D446 -1</f>
        <v>-6.387703972023151E-3</v>
      </c>
      <c r="E446" s="4">
        <f>Acciones!E447/Acciones!E446 -1</f>
        <v>3.2257648958264884E-3</v>
      </c>
    </row>
    <row r="447" spans="1:5" x14ac:dyDescent="0.2">
      <c r="A447" s="1">
        <f>Acciones!A448</f>
        <v>45646</v>
      </c>
      <c r="B447" s="4">
        <f>Acciones!B448/Acciones!B447 -1</f>
        <v>-2.4983973510749879E-2</v>
      </c>
      <c r="C447" s="4">
        <f>Acciones!C448/Acciones!C447 -1</f>
        <v>-3.4177788552888222E-2</v>
      </c>
      <c r="D447" s="4">
        <f>Acciones!D448/Acciones!D447 -1</f>
        <v>-1.8661318248557435E-2</v>
      </c>
      <c r="E447" s="4">
        <f>Acciones!E448/Acciones!E447 -1</f>
        <v>0</v>
      </c>
    </row>
    <row r="448" spans="1:5" x14ac:dyDescent="0.2">
      <c r="A448" s="1">
        <f>Acciones!A449</f>
        <v>45649</v>
      </c>
      <c r="B448" s="4">
        <f>Acciones!B449/Acciones!B448 -1</f>
        <v>-2.1024987311893506E-2</v>
      </c>
      <c r="C448" s="4">
        <f>Acciones!C449/Acciones!C448 -1</f>
        <v>-2.602878115893259E-2</v>
      </c>
      <c r="D448" s="4">
        <f>Acciones!D449/Acciones!D448 -1</f>
        <v>2.8075685239301595E-3</v>
      </c>
      <c r="E448" s="4">
        <f>Acciones!E449/Acciones!E448 -1</f>
        <v>-3.5369704050472683E-2</v>
      </c>
    </row>
    <row r="449" spans="1:5" x14ac:dyDescent="0.2">
      <c r="A449" s="1">
        <f>Acciones!A450</f>
        <v>45650</v>
      </c>
      <c r="B449" s="4">
        <f>Acciones!B450/Acciones!B449 -1</f>
        <v>2.5503339527815028E-2</v>
      </c>
      <c r="C449" s="4">
        <f>Acciones!C450/Acciones!C449 -1</f>
        <v>3.2591988471069921E-2</v>
      </c>
      <c r="D449" s="4">
        <f>Acciones!D450/Acciones!D449 -1</f>
        <v>1.4128886889934744E-3</v>
      </c>
      <c r="E449" s="4">
        <f>Acciones!E450/Acciones!E449 -1</f>
        <v>0</v>
      </c>
    </row>
    <row r="450" spans="1:5" x14ac:dyDescent="0.2">
      <c r="A450" s="1">
        <f>Acciones!A451</f>
        <v>45652</v>
      </c>
      <c r="B450" s="4">
        <f>Acciones!B451/Acciones!B450 -1</f>
        <v>1.4397944172830801E-2</v>
      </c>
      <c r="C450" s="4">
        <f>Acciones!C451/Acciones!C450 -1</f>
        <v>-2.7617878121124151E-2</v>
      </c>
      <c r="D450" s="4">
        <f>Acciones!D451/Acciones!D450 -1</f>
        <v>7.8113953272205272E-3</v>
      </c>
      <c r="E450" s="4">
        <f>Acciones!E451/Acciones!E450 -1</f>
        <v>-6.6666799121399833E-3</v>
      </c>
    </row>
    <row r="451" spans="1:5" x14ac:dyDescent="0.2">
      <c r="A451" s="1">
        <f>Acciones!A452</f>
        <v>45653</v>
      </c>
      <c r="B451" s="4">
        <f>Acciones!B452/Acciones!B451 -1</f>
        <v>2.5161342112129281E-2</v>
      </c>
      <c r="C451" s="4">
        <f>Acciones!C452/Acciones!C451 -1</f>
        <v>-4.2667214711611057E-2</v>
      </c>
      <c r="D451" s="4">
        <f>Acciones!D452/Acciones!D451 -1</f>
        <v>-1.7660642441035268E-3</v>
      </c>
      <c r="E451" s="4">
        <f>Acciones!E452/Acciones!E451 -1</f>
        <v>-4.3624198325050267E-2</v>
      </c>
    </row>
    <row r="452" spans="1:5" x14ac:dyDescent="0.2">
      <c r="A452" s="1">
        <f>Acciones!A453</f>
        <v>45656</v>
      </c>
      <c r="B452" s="4">
        <f>Acciones!B453/Acciones!B452 -1</f>
        <v>-1.5733152765776359E-2</v>
      </c>
      <c r="C452" s="4">
        <f>Acciones!C453/Acciones!C452 -1</f>
        <v>-3.9370889654732344E-2</v>
      </c>
      <c r="D452" s="4">
        <f>Acciones!D453/Acciones!D452 -1</f>
        <v>-3.5443550106014632E-3</v>
      </c>
      <c r="E452" s="4">
        <f>Acciones!E453/Acciones!E452 -1</f>
        <v>-1.4035116338334985E-2</v>
      </c>
    </row>
    <row r="453" spans="1:5" x14ac:dyDescent="0.2">
      <c r="A453" s="1">
        <f>Acciones!A454</f>
        <v>45657</v>
      </c>
      <c r="B453" s="4">
        <f>Acciones!B454/Acciones!B453 -1</f>
        <v>8.9513440693573809E-3</v>
      </c>
      <c r="C453" s="4">
        <f>Acciones!C454/Acciones!C453 -1</f>
        <v>-2.6222354400888381E-2</v>
      </c>
      <c r="D453" s="4">
        <f>Acciones!D454/Acciones!D453 -1</f>
        <v>2.3105257001253099E-2</v>
      </c>
      <c r="E453" s="4">
        <f>Acciones!E454/Acciones!E453 -1</f>
        <v>0</v>
      </c>
    </row>
    <row r="454" spans="1:5" x14ac:dyDescent="0.2">
      <c r="A454" s="1">
        <f>Acciones!A455</f>
        <v>45659</v>
      </c>
      <c r="B454" s="4">
        <f>Acciones!B455/Acciones!B454 -1</f>
        <v>1.3941672816674355E-2</v>
      </c>
      <c r="C454" s="4">
        <f>Acciones!C455/Acciones!C454 -1</f>
        <v>6.5540659349454522E-3</v>
      </c>
      <c r="D454" s="4">
        <f>Acciones!D455/Acciones!D454 -1</f>
        <v>-4.277553926241584E-2</v>
      </c>
      <c r="E454" s="4">
        <f>Acciones!E455/Acciones!E454 -1</f>
        <v>0</v>
      </c>
    </row>
    <row r="455" spans="1:5" x14ac:dyDescent="0.2">
      <c r="A455" s="1">
        <f>Acciones!A456</f>
        <v>45660</v>
      </c>
      <c r="B455" s="4">
        <f>Acciones!B456/Acciones!B455 -1</f>
        <v>-3.1874981447957418E-2</v>
      </c>
      <c r="C455" s="4">
        <f>Acciones!C456/Acciones!C455 -1</f>
        <v>0.13467139067207179</v>
      </c>
      <c r="D455" s="4">
        <f>Acciones!D456/Acciones!D455 -1</f>
        <v>1.9775927625746981E-3</v>
      </c>
      <c r="E455" s="4">
        <f>Acciones!E456/Acciones!E455 -1</f>
        <v>6.7615745172102004E-2</v>
      </c>
    </row>
    <row r="456" spans="1:5" x14ac:dyDescent="0.2">
      <c r="A456" s="1">
        <f>Acciones!A457</f>
        <v>45663</v>
      </c>
      <c r="B456" s="4">
        <f>Acciones!B457/Acciones!B456 -1</f>
        <v>1.2912280932915188E-3</v>
      </c>
      <c r="C456" s="4">
        <f>Acciones!C457/Acciones!C456 -1</f>
        <v>3.737527805032248E-2</v>
      </c>
      <c r="D456" s="4">
        <f>Acciones!D457/Acciones!D456 -1</f>
        <v>-3.6026250224621248E-2</v>
      </c>
      <c r="E456" s="4">
        <f>Acciones!E457/Acciones!E456 -1</f>
        <v>3.3333300219643869E-2</v>
      </c>
    </row>
    <row r="457" spans="1:5" x14ac:dyDescent="0.2">
      <c r="A457" s="1">
        <f>Acciones!A458</f>
        <v>45664</v>
      </c>
      <c r="B457" s="4">
        <f>Acciones!B458/Acciones!B457 -1</f>
        <v>-5.8027486804194117E-3</v>
      </c>
      <c r="C457" s="4">
        <f>Acciones!C458/Acciones!C457 -1</f>
        <v>-6.7006554989074041E-2</v>
      </c>
      <c r="D457" s="4">
        <f>Acciones!D458/Acciones!D457 -1</f>
        <v>-1.570405483334314E-4</v>
      </c>
      <c r="E457" s="4">
        <f>Acciones!E458/Acciones!E457 -1</f>
        <v>0.51612901675217704</v>
      </c>
    </row>
    <row r="458" spans="1:5" x14ac:dyDescent="0.2">
      <c r="A458" s="1">
        <f>Acciones!A459</f>
        <v>45665</v>
      </c>
      <c r="B458" s="4">
        <f>Acciones!B459/Acciones!B458 -1</f>
        <v>-2.594052045604367E-3</v>
      </c>
      <c r="C458" s="4">
        <f>Acciones!C459/Acciones!C458 -1</f>
        <v>-3.3099676250297305E-2</v>
      </c>
      <c r="D458" s="4">
        <f>Acciones!D459/Acciones!D458 -1</f>
        <v>-8.8805272851203432E-3</v>
      </c>
      <c r="E458" s="4">
        <f>Acciones!E459/Acciones!E458 -1</f>
        <v>0</v>
      </c>
    </row>
    <row r="459" spans="1:5" x14ac:dyDescent="0.2">
      <c r="A459" s="1">
        <f>Acciones!A460</f>
        <v>45666</v>
      </c>
      <c r="B459" s="4">
        <f>Acciones!B460/Acciones!B459 -1</f>
        <v>4.5513976421713842E-3</v>
      </c>
      <c r="C459" s="4">
        <f>Acciones!C460/Acciones!C459 -1</f>
        <v>-1.4476892583376588E-2</v>
      </c>
      <c r="D459" s="4">
        <f>Acciones!D460/Acciones!D459 -1</f>
        <v>1.9283884345369318E-2</v>
      </c>
      <c r="E459" s="4">
        <f>Acciones!E460/Acciones!E459 -1</f>
        <v>0.1063829409477115</v>
      </c>
    </row>
    <row r="460" spans="1:5" x14ac:dyDescent="0.2">
      <c r="A460" s="1">
        <f>Acciones!A461</f>
        <v>45667</v>
      </c>
      <c r="B460" s="4">
        <f>Acciones!B461/Acciones!B460 -1</f>
        <v>-2.5890785281202922E-3</v>
      </c>
      <c r="C460" s="4">
        <f>Acciones!C461/Acciones!C460 -1</f>
        <v>3.7332744639473336E-3</v>
      </c>
      <c r="D460" s="4">
        <f>Acciones!D461/Acciones!D460 -1</f>
        <v>-3.3784699205808844E-3</v>
      </c>
      <c r="E460" s="4">
        <f>Acciones!E461/Acciones!E460 -1</f>
        <v>0.13461537579812988</v>
      </c>
    </row>
    <row r="461" spans="1:5" x14ac:dyDescent="0.2">
      <c r="A461" s="1">
        <f>Acciones!A462</f>
        <v>45670</v>
      </c>
      <c r="B461" s="4">
        <f>Acciones!B462/Acciones!B461 -1</f>
        <v>9.1499042391093743E-2</v>
      </c>
      <c r="C461" s="4">
        <f>Acciones!C462/Acciones!C461 -1</f>
        <v>-4.3716144985762595E-2</v>
      </c>
      <c r="D461" s="4">
        <f>Acciones!D462/Acciones!D461 -1</f>
        <v>1.6949116013999177E-2</v>
      </c>
      <c r="E461" s="4">
        <f>Acciones!E462/Acciones!E461 -1</f>
        <v>8.4745786683857238E-2</v>
      </c>
    </row>
    <row r="462" spans="1:5" x14ac:dyDescent="0.2">
      <c r="A462" s="1">
        <f>Acciones!A463</f>
        <v>45671</v>
      </c>
      <c r="B462" s="4">
        <f>Acciones!B463/Acciones!B462 -1</f>
        <v>-3.0321087162233695E-2</v>
      </c>
      <c r="C462" s="4">
        <f>Acciones!C463/Acciones!C462 -1</f>
        <v>5.0729313441144619E-4</v>
      </c>
      <c r="D462" s="4">
        <f>Acciones!D463/Acciones!D462 -1</f>
        <v>-2.8999958103970047E-2</v>
      </c>
      <c r="E462" s="4">
        <f>Acciones!E463/Acciones!E462 -1</f>
        <v>0.2218750355066732</v>
      </c>
    </row>
    <row r="463" spans="1:5" x14ac:dyDescent="0.2">
      <c r="A463" s="1">
        <f>Acciones!A464</f>
        <v>45672</v>
      </c>
      <c r="B463" s="4">
        <f>Acciones!B464/Acciones!B463 -1</f>
        <v>4.0466020856726015E-2</v>
      </c>
      <c r="C463" s="4">
        <f>Acciones!C464/Acciones!C463 -1</f>
        <v>5.5241038926739483E-2</v>
      </c>
      <c r="D463" s="4">
        <f>Acciones!D464/Acciones!D463 -1</f>
        <v>-1.3937248886308762E-3</v>
      </c>
      <c r="E463" s="4">
        <f>Acciones!E464/Acciones!E463 -1</f>
        <v>7.416875721191496E-2</v>
      </c>
    </row>
    <row r="464" spans="1:5" x14ac:dyDescent="0.2">
      <c r="A464" s="1">
        <f>Acciones!A465</f>
        <v>45673</v>
      </c>
      <c r="B464" s="4">
        <f>Acciones!B465/Acciones!B464 -1</f>
        <v>6.7177502676653011E-2</v>
      </c>
      <c r="C464" s="4">
        <f>Acciones!C465/Acciones!C464 -1</f>
        <v>1.70848739781293E-2</v>
      </c>
      <c r="D464" s="4">
        <f>Acciones!D465/Acciones!D464 -1</f>
        <v>1.4115072211197788E-2</v>
      </c>
      <c r="E464" s="4">
        <f>Acciones!E465/Acciones!E464 -1</f>
        <v>-0.17857140576352803</v>
      </c>
    </row>
    <row r="465" spans="1:5" x14ac:dyDescent="0.2">
      <c r="A465" s="1">
        <f>Acciones!A466</f>
        <v>45674</v>
      </c>
      <c r="B465" s="4">
        <f>Acciones!B466/Acciones!B465 -1</f>
        <v>-3.9204970672590989E-2</v>
      </c>
      <c r="C465" s="4">
        <f>Acciones!C466/Acciones!C465 -1</f>
        <v>8.7926509186351698E-2</v>
      </c>
      <c r="D465" s="4">
        <f>Acciones!D466/Acciones!D465 -1</f>
        <v>1.3967184328338433E-3</v>
      </c>
      <c r="E465" s="4">
        <f>Acciones!E466/Acciones!E465 -1</f>
        <v>-5.7971045791138764E-2</v>
      </c>
    </row>
    <row r="466" spans="1:5" x14ac:dyDescent="0.2">
      <c r="A466" s="1">
        <f>Acciones!A467</f>
        <v>45677</v>
      </c>
      <c r="B466" s="4">
        <f>Acciones!B467/Acciones!B466 -1</f>
        <v>2.298844351867313E-2</v>
      </c>
      <c r="C466" s="4">
        <f>Acciones!C467/Acciones!C466 -1</f>
        <v>1.3510268042255635E-2</v>
      </c>
      <c r="D466" s="4">
        <f>Acciones!D467/Acciones!D466 -1</f>
        <v>-7.1766520909377629E-4</v>
      </c>
      <c r="E466" s="4">
        <f>Acciones!E467/Acciones!E466 -1</f>
        <v>-0.13999994498032586</v>
      </c>
    </row>
    <row r="467" spans="1:5" x14ac:dyDescent="0.2">
      <c r="A467" s="1">
        <f>Acciones!A468</f>
        <v>45678</v>
      </c>
      <c r="B467" s="4">
        <f>Acciones!B468/Acciones!B467 -1</f>
        <v>-1.4044879092167117E-2</v>
      </c>
      <c r="C467" s="4">
        <f>Acciones!C468/Acciones!C467 -1</f>
        <v>-4.2251844184992282E-2</v>
      </c>
      <c r="D467" s="4">
        <f>Acciones!D468/Acciones!D467 -1</f>
        <v>2.2818429028347076E-2</v>
      </c>
      <c r="E467" s="4">
        <f>Acciones!E468/Acciones!E467 -1</f>
        <v>-1.7889070107855787E-2</v>
      </c>
    </row>
    <row r="468" spans="1:5" x14ac:dyDescent="0.2">
      <c r="A468" s="1">
        <f>Acciones!A469</f>
        <v>45679</v>
      </c>
      <c r="B468" s="4">
        <f>Acciones!B469/Acciones!B468 -1</f>
        <v>3.9886882237814003E-3</v>
      </c>
      <c r="C468" s="4">
        <f>Acciones!C469/Acciones!C468 -1</f>
        <v>2.5102006529786891E-3</v>
      </c>
      <c r="D468" s="4">
        <f>Acciones!D469/Acciones!D468 -1</f>
        <v>4.7095639328649241E-3</v>
      </c>
      <c r="E468" s="4">
        <f>Acciones!E469/Acciones!E468 -1</f>
        <v>-4.3715933612805458E-2</v>
      </c>
    </row>
    <row r="469" spans="1:5" x14ac:dyDescent="0.2">
      <c r="A469" s="1">
        <f>Acciones!A470</f>
        <v>45680</v>
      </c>
      <c r="B469" s="4">
        <f>Acciones!B470/Acciones!B469 -1</f>
        <v>3.0079276399033406E-2</v>
      </c>
      <c r="C469" s="4">
        <f>Acciones!C470/Acciones!C469 -1</f>
        <v>1.6436942492038309E-2</v>
      </c>
      <c r="D469" s="4">
        <f>Acciones!D470/Acciones!D469 -1</f>
        <v>-1.1801745507309391E-3</v>
      </c>
      <c r="E469" s="4">
        <f>Acciones!E470/Acciones!E469 -1</f>
        <v>-1.9047601747404164E-2</v>
      </c>
    </row>
    <row r="470" spans="1:5" x14ac:dyDescent="0.2">
      <c r="A470" s="1">
        <f>Acciones!A471</f>
        <v>45681</v>
      </c>
      <c r="B470" s="4">
        <f>Acciones!B471/Acciones!B470 -1</f>
        <v>-4.1322232729898212E-2</v>
      </c>
      <c r="C470" s="4">
        <f>Acciones!C471/Acciones!C470 -1</f>
        <v>-8.7318877473556711E-3</v>
      </c>
      <c r="D470" s="4">
        <f>Acciones!D471/Acciones!D470 -1</f>
        <v>-1.9141886012038811E-2</v>
      </c>
      <c r="E470" s="4">
        <f>Acciones!E471/Acciones!E470 -1</f>
        <v>-5.8251678825627096E-3</v>
      </c>
    </row>
    <row r="471" spans="1:5" x14ac:dyDescent="0.2">
      <c r="A471" s="1">
        <f>Acciones!A472</f>
        <v>45684</v>
      </c>
      <c r="B471" s="4">
        <f>Acciones!B472/Acciones!B471 -1</f>
        <v>5.7471672742015478E-3</v>
      </c>
      <c r="C471" s="4">
        <f>Acciones!C472/Acciones!C471 -1</f>
        <v>-7.7286492406873353E-2</v>
      </c>
      <c r="D471" s="4">
        <f>Acciones!D472/Acciones!D471 -1</f>
        <v>5.0854614392787711E-2</v>
      </c>
      <c r="E471" s="4">
        <f>Acciones!E472/Acciones!E471 -1</f>
        <v>9.3749952706276396E-2</v>
      </c>
    </row>
    <row r="472" spans="1:5" x14ac:dyDescent="0.2">
      <c r="A472" s="1">
        <f>Acciones!A473</f>
        <v>45685</v>
      </c>
      <c r="B472" s="4">
        <f>Acciones!B473/Acciones!B472 -1</f>
        <v>1.142753072707281E-3</v>
      </c>
      <c r="C472" s="4">
        <f>Acciones!C473/Acciones!C472 -1</f>
        <v>-2.666666666666706E-3</v>
      </c>
      <c r="D472" s="4">
        <f>Acciones!D473/Acciones!D472 -1</f>
        <v>-2.1497573685531735E-2</v>
      </c>
      <c r="E472" s="4">
        <f>Acciones!E473/Acciones!E472 -1</f>
        <v>7.1428609441737567E-2</v>
      </c>
    </row>
    <row r="473" spans="1:5" x14ac:dyDescent="0.2">
      <c r="A473" s="1">
        <f>Acciones!A474</f>
        <v>45686</v>
      </c>
      <c r="B473" s="4">
        <f>Acciones!B474/Acciones!B473 -1</f>
        <v>4.5663547976466656E-3</v>
      </c>
      <c r="C473" s="4">
        <f>Acciones!C474/Acciones!C473 -1</f>
        <v>1.0695187165775444E-2</v>
      </c>
      <c r="D473" s="4">
        <f>Acciones!D474/Acciones!D473 -1</f>
        <v>3.2067990037668359E-2</v>
      </c>
      <c r="E473" s="4">
        <f>Acciones!E474/Acciones!E473 -1</f>
        <v>6.6666600439287516E-2</v>
      </c>
    </row>
    <row r="474" spans="1:5" x14ac:dyDescent="0.2">
      <c r="A474" s="1">
        <f>Acciones!A475</f>
        <v>45687</v>
      </c>
      <c r="B474" s="4">
        <f>Acciones!B475/Acciones!B474 -1</f>
        <v>1.2499864797315352E-2</v>
      </c>
      <c r="C474" s="4">
        <f>Acciones!C475/Acciones!C474 -1</f>
        <v>4.4179926473627118E-2</v>
      </c>
      <c r="D474" s="4">
        <f>Acciones!D475/Acciones!D474 -1</f>
        <v>2.0919664509450042E-2</v>
      </c>
      <c r="E474" s="4">
        <f>Acciones!E475/Acciones!E474 -1</f>
        <v>4.5312569558155547E-2</v>
      </c>
    </row>
    <row r="475" spans="1:5" x14ac:dyDescent="0.2">
      <c r="A475" s="1">
        <f>Acciones!A476</f>
        <v>45688</v>
      </c>
      <c r="B475" s="4">
        <f>Acciones!B476/Acciones!B475 -1</f>
        <v>-5.6111617957410598E-4</v>
      </c>
      <c r="C475" s="4">
        <f>Acciones!C476/Acciones!C475 -1</f>
        <v>-4.9911354440743794E-2</v>
      </c>
      <c r="D475" s="4">
        <f>Acciones!D476/Acciones!D475 -1</f>
        <v>-1.2361716679264445E-3</v>
      </c>
      <c r="E475" s="4">
        <f>Acciones!E476/Acciones!E475 -1</f>
        <v>7.6233179062145995E-2</v>
      </c>
    </row>
    <row r="476" spans="1:5" x14ac:dyDescent="0.2">
      <c r="A476" s="1">
        <f>Acciones!A477</f>
        <v>45692</v>
      </c>
      <c r="B476" s="4">
        <f>Acciones!B477/Acciones!B476 -1</f>
        <v>1.0106643279393035E-2</v>
      </c>
      <c r="C476" s="4">
        <f>Acciones!C477/Acciones!C476 -1</f>
        <v>-3.2799967447917244E-2</v>
      </c>
      <c r="D476" s="4">
        <f>Acciones!D477/Acciones!D476 -1</f>
        <v>-2.3009861162692991E-2</v>
      </c>
      <c r="E476" s="4">
        <f>Acciones!E477/Acciones!E476 -1</f>
        <v>0.11111108351637</v>
      </c>
    </row>
    <row r="477" spans="1:5" x14ac:dyDescent="0.2">
      <c r="A477" s="1">
        <f>Acciones!A478</f>
        <v>45693</v>
      </c>
      <c r="B477" s="4">
        <f>Acciones!B478/Acciones!B477 -1</f>
        <v>5.5592288598971251E-4</v>
      </c>
      <c r="C477" s="4">
        <f>Acciones!C478/Acciones!C477 -1</f>
        <v>-3.2533823858300615E-2</v>
      </c>
      <c r="D477" s="4">
        <f>Acciones!D478/Acciones!D477 -1</f>
        <v>-2.4825017948621686E-2</v>
      </c>
      <c r="E477" s="4">
        <f>Acciones!E478/Acciones!E477 -1</f>
        <v>0</v>
      </c>
    </row>
    <row r="478" spans="1:5" x14ac:dyDescent="0.2">
      <c r="A478" s="1">
        <f>Acciones!A479</f>
        <v>45694</v>
      </c>
      <c r="B478" s="4">
        <f>Acciones!B479/Acciones!B478 -1</f>
        <v>-4.5000046337510535E-2</v>
      </c>
      <c r="C478" s="4">
        <f>Acciones!C479/Acciones!C478 -1</f>
        <v>-1.8894286116085901E-2</v>
      </c>
      <c r="D478" s="4">
        <f>Acciones!D479/Acciones!D478 -1</f>
        <v>-4.0306718315775703E-2</v>
      </c>
      <c r="E478" s="4">
        <f>Acciones!E479/Acciones!E478 -1</f>
        <v>3.7499963678419679E-2</v>
      </c>
    </row>
    <row r="479" spans="1:5" x14ac:dyDescent="0.2">
      <c r="A479" s="1">
        <f>Acciones!A480</f>
        <v>45695</v>
      </c>
      <c r="B479" s="4">
        <f>Acciones!B480/Acciones!B479 -1</f>
        <v>-3.6649190750377758E-2</v>
      </c>
      <c r="C479" s="4">
        <f>Acciones!C480/Acciones!C479 -1</f>
        <v>2.0333233490306135E-3</v>
      </c>
      <c r="D479" s="4">
        <f>Acciones!D480/Acciones!D479 -1</f>
        <v>-3.3524923570552256E-2</v>
      </c>
      <c r="E479" s="4">
        <f>Acciones!E480/Acciones!E479 -1</f>
        <v>-6.0240979429287855E-2</v>
      </c>
    </row>
    <row r="480" spans="1:5" x14ac:dyDescent="0.2">
      <c r="A480" s="1">
        <f>Acciones!A481</f>
        <v>45698</v>
      </c>
      <c r="B480" s="4">
        <f>Acciones!B481/Acciones!B480 -1</f>
        <v>6.0386902814975052E-3</v>
      </c>
      <c r="C480" s="4">
        <f>Acciones!C481/Acciones!C480 -1</f>
        <v>3.1306680825677891E-3</v>
      </c>
      <c r="D480" s="4">
        <f>Acciones!D481/Acciones!D480 -1</f>
        <v>2.2548096493879122E-2</v>
      </c>
      <c r="E480" s="4">
        <f>Acciones!E481/Acciones!E480 -1</f>
        <v>2.5641078544559104E-2</v>
      </c>
    </row>
    <row r="481" spans="1:5" x14ac:dyDescent="0.2">
      <c r="A481" s="1">
        <f>Acciones!A482</f>
        <v>45699</v>
      </c>
      <c r="B481" s="4">
        <f>Acciones!B482/Acciones!B481 -1</f>
        <v>-9.6039094159414695E-3</v>
      </c>
      <c r="C481" s="4">
        <f>Acciones!C482/Acciones!C481 -1</f>
        <v>-4.5918175672254535E-2</v>
      </c>
      <c r="D481" s="4">
        <f>Acciones!D482/Acciones!D481 -1</f>
        <v>8.9539302872683191E-3</v>
      </c>
      <c r="E481" s="4">
        <f>Acciones!E482/Acciones!E481 -1</f>
        <v>0</v>
      </c>
    </row>
    <row r="482" spans="1:5" x14ac:dyDescent="0.2">
      <c r="A482" s="1">
        <f>Acciones!A483</f>
        <v>45700</v>
      </c>
      <c r="B482" s="4">
        <f>Acciones!B483/Acciones!B482 -1</f>
        <v>-3.5757533587511658E-2</v>
      </c>
      <c r="C482" s="4">
        <f>Acciones!C483/Acciones!C482 -1</f>
        <v>1.2327378480357476E-2</v>
      </c>
      <c r="D482" s="4">
        <f>Acciones!D483/Acciones!D482 -1</f>
        <v>1.3424167738626203E-2</v>
      </c>
      <c r="E482" s="4">
        <f>Acciones!E483/Acciones!E482 -1</f>
        <v>0</v>
      </c>
    </row>
    <row r="483" spans="1:5" x14ac:dyDescent="0.2">
      <c r="A483" s="1">
        <f>Acciones!A484</f>
        <v>45701</v>
      </c>
      <c r="B483" s="4">
        <f>Acciones!B484/Acciones!B483 -1</f>
        <v>-2.4512812137532758E-2</v>
      </c>
      <c r="C483" s="4">
        <f>Acciones!C484/Acciones!C483 -1</f>
        <v>2.9530547206279234E-2</v>
      </c>
      <c r="D483" s="4">
        <f>Acciones!D484/Acciones!D483 -1</f>
        <v>9.0665079143814609E-3</v>
      </c>
      <c r="E483" s="4">
        <f>Acciones!E484/Acciones!E483 -1</f>
        <v>-2.500005029141894E-2</v>
      </c>
    </row>
    <row r="484" spans="1:5" x14ac:dyDescent="0.2">
      <c r="A484" s="1">
        <f>Acciones!A485</f>
        <v>45702</v>
      </c>
      <c r="B484" s="4">
        <f>Acciones!B485/Acciones!B484 -1</f>
        <v>-3.8659875453968318E-2</v>
      </c>
      <c r="C484" s="4">
        <f>Acciones!C485/Acciones!C484 -1</f>
        <v>-3.6326648585526256E-3</v>
      </c>
      <c r="D484" s="4">
        <f>Acciones!D485/Acciones!D484 -1</f>
        <v>-9.9323114272994451E-3</v>
      </c>
      <c r="E484" s="4">
        <f>Acciones!E485/Acciones!E484 -1</f>
        <v>-8.9743583865419918E-2</v>
      </c>
    </row>
    <row r="485" spans="1:5" x14ac:dyDescent="0.2">
      <c r="A485" s="1">
        <f>Acciones!A486</f>
        <v>45705</v>
      </c>
      <c r="B485" s="4">
        <f>Acciones!B486/Acciones!B485 -1</f>
        <v>-6.7018027915410894E-4</v>
      </c>
      <c r="C485" s="4">
        <f>Acciones!C486/Acciones!C485 -1</f>
        <v>1.3562764514231995E-2</v>
      </c>
      <c r="D485" s="4">
        <f>Acciones!D486/Acciones!D485 -1</f>
        <v>3.8605213870332999E-3</v>
      </c>
      <c r="E485" s="4">
        <f>Acciones!E486/Acciones!E485 -1</f>
        <v>4.2253566057858016E-2</v>
      </c>
    </row>
    <row r="486" spans="1:5" x14ac:dyDescent="0.2">
      <c r="A486" s="1">
        <f>Acciones!A487</f>
        <v>45706</v>
      </c>
      <c r="B486" s="4">
        <f>Acciones!B487/Acciones!B486 -1</f>
        <v>6.0361281854395266E-3</v>
      </c>
      <c r="C486" s="4">
        <f>Acciones!C487/Acciones!C486 -1</f>
        <v>-6.1812981255622956E-2</v>
      </c>
      <c r="D486" s="4">
        <f>Acciones!D487/Acciones!D486 -1</f>
        <v>5.2986552445753787E-2</v>
      </c>
      <c r="E486" s="4">
        <f>Acciones!E487/Acciones!E486 -1</f>
        <v>8.1081083258022213E-2</v>
      </c>
    </row>
    <row r="487" spans="1:5" x14ac:dyDescent="0.2">
      <c r="A487" s="1">
        <f>Acciones!A488</f>
        <v>45707</v>
      </c>
      <c r="B487" s="4">
        <f>Acciones!B488/Acciones!B487 -1</f>
        <v>-6.1999984168923938E-2</v>
      </c>
      <c r="C487" s="4">
        <f>Acciones!C488/Acciones!C487 -1</f>
        <v>-5.3677690294217095E-3</v>
      </c>
      <c r="D487" s="4">
        <f>Acciones!D488/Acciones!D487 -1</f>
        <v>1.9441403315838546E-3</v>
      </c>
      <c r="E487" s="4">
        <f>Acciones!E488/Acciones!E487 -1</f>
        <v>-1.2499987892806819E-2</v>
      </c>
    </row>
    <row r="488" spans="1:5" x14ac:dyDescent="0.2">
      <c r="A488" s="1">
        <f>Acciones!A489</f>
        <v>45708</v>
      </c>
      <c r="B488" s="4">
        <f>Acciones!B489/Acciones!B488 -1</f>
        <v>1.3503935346704354E-2</v>
      </c>
      <c r="C488" s="4">
        <f>Acciones!C489/Acciones!C488 -1</f>
        <v>-3.2996479566134163E-3</v>
      </c>
      <c r="D488" s="4">
        <f>Acciones!D489/Acciones!D488 -1</f>
        <v>-4.0904213969358283E-3</v>
      </c>
      <c r="E488" s="4">
        <f>Acciones!E489/Acciones!E488 -1</f>
        <v>-5.1898743632206035E-2</v>
      </c>
    </row>
    <row r="489" spans="1:5" x14ac:dyDescent="0.2">
      <c r="A489" s="1">
        <f>Acciones!A490</f>
        <v>45709</v>
      </c>
      <c r="B489" s="4">
        <f>Acciones!B490/Acciones!B489 -1</f>
        <v>-2.805000157238613E-3</v>
      </c>
      <c r="C489" s="4">
        <f>Acciones!C490/Acciones!C489 -1</f>
        <v>-6.9152243995583063E-2</v>
      </c>
      <c r="D489" s="4">
        <f>Acciones!D490/Acciones!D489 -1</f>
        <v>-6.7515501848804949E-3</v>
      </c>
      <c r="E489" s="4">
        <f>Acciones!E490/Acciones!E489 -1</f>
        <v>-1.2016025611693459E-2</v>
      </c>
    </row>
    <row r="490" spans="1:5" x14ac:dyDescent="0.2">
      <c r="A490" s="1">
        <f>Acciones!A491</f>
        <v>45712</v>
      </c>
      <c r="B490" s="4">
        <f>Acciones!B491/Acciones!B490 -1</f>
        <v>-3.516178449435492E-2</v>
      </c>
      <c r="C490" s="4">
        <f>Acciones!C491/Acciones!C490 -1</f>
        <v>-5.2783794451205956E-2</v>
      </c>
      <c r="D490" s="4">
        <f>Acciones!D491/Acciones!D490 -1</f>
        <v>6.1086727632309268E-2</v>
      </c>
      <c r="E490" s="4">
        <f>Acciones!E491/Acciones!E490 -1</f>
        <v>-5.4054082354286659E-2</v>
      </c>
    </row>
    <row r="491" spans="1:5" x14ac:dyDescent="0.2">
      <c r="A491" s="1">
        <f>Acciones!A492</f>
        <v>45713</v>
      </c>
      <c r="B491" s="4">
        <f>Acciones!B492/Acciones!B491 -1</f>
        <v>-2.6967906414790188E-2</v>
      </c>
      <c r="C491" s="4">
        <f>Acciones!C492/Acciones!C491 -1</f>
        <v>-0.1081868326455101</v>
      </c>
      <c r="D491" s="4">
        <f>Acciones!D492/Acciones!D491 -1</f>
        <v>1.4891112275145391E-2</v>
      </c>
      <c r="E491" s="4">
        <f>Acciones!E492/Acciones!E491 -1</f>
        <v>-2.8571401810159491E-2</v>
      </c>
    </row>
    <row r="492" spans="1:5" x14ac:dyDescent="0.2">
      <c r="A492" s="1">
        <f>Acciones!A493</f>
        <v>45714</v>
      </c>
      <c r="B492" s="4">
        <f>Acciones!B493/Acciones!B492 -1</f>
        <v>-3.7453447801022444E-3</v>
      </c>
      <c r="C492" s="4">
        <f>Acciones!C493/Acciones!C492 -1</f>
        <v>-7.6335974111324534E-3</v>
      </c>
      <c r="D492" s="4">
        <f>Acciones!D493/Acciones!D492 -1</f>
        <v>-1.4069460192941197E-2</v>
      </c>
      <c r="E492" s="4">
        <f>Acciones!E493/Acciones!E492 -1</f>
        <v>-0.11764703304297486</v>
      </c>
    </row>
    <row r="493" spans="1:5" x14ac:dyDescent="0.2">
      <c r="A493" s="1">
        <f>Acciones!A494</f>
        <v>45715</v>
      </c>
      <c r="B493" s="4">
        <f>Acciones!B494/Acciones!B493 -1</f>
        <v>-1.4285741689459952E-2</v>
      </c>
      <c r="C493" s="4">
        <f>Acciones!C494/Acciones!C493 -1</f>
        <v>6.6613811479172336E-2</v>
      </c>
      <c r="D493" s="4">
        <f>Acciones!D494/Acciones!D493 -1</f>
        <v>-1.2089539505782732E-2</v>
      </c>
      <c r="E493" s="4">
        <f>Acciones!E494/Acciones!E493 -1</f>
        <v>1.6666650109821823E-2</v>
      </c>
    </row>
    <row r="494" spans="1:5" x14ac:dyDescent="0.2">
      <c r="A494" s="1">
        <f>Acciones!A495</f>
        <v>45716</v>
      </c>
      <c r="B494" s="4">
        <f>Acciones!B495/Acciones!B494 -1</f>
        <v>-4.6529323505017262E-2</v>
      </c>
      <c r="C494" s="4">
        <f>Acciones!C495/Acciones!C494 -1</f>
        <v>5.0966510985420044E-2</v>
      </c>
      <c r="D494" s="4">
        <f>Acciones!D495/Acciones!D494 -1</f>
        <v>-3.4518117026521855E-3</v>
      </c>
      <c r="E494" s="4">
        <f>Acciones!E495/Acciones!E494 -1</f>
        <v>6.5573706418014188E-2</v>
      </c>
    </row>
    <row r="495" spans="1:5" x14ac:dyDescent="0.2">
      <c r="A495" s="1">
        <f>Acciones!A496</f>
        <v>45719</v>
      </c>
      <c r="B495" s="4">
        <f>Acciones!B496/Acciones!B495 -1</f>
        <v>-8.0000565208617758E-3</v>
      </c>
      <c r="C495" s="4">
        <f>Acciones!C496/Acciones!C495 -1</f>
        <v>-2.5113773001929074E-3</v>
      </c>
      <c r="D495" s="4">
        <f>Acciones!D496/Acciones!D495 -1</f>
        <v>-5.4277081730330634E-3</v>
      </c>
      <c r="E495" s="4">
        <f>Acciones!E496/Acciones!E495 -1</f>
        <v>-6.153840510802755E-2</v>
      </c>
    </row>
    <row r="496" spans="1:5" x14ac:dyDescent="0.2">
      <c r="A496" s="1">
        <f>Acciones!A497</f>
        <v>45720</v>
      </c>
      <c r="B496" s="4">
        <f>Acciones!B497/Acciones!B496 -1</f>
        <v>-2.8225770075374412E-2</v>
      </c>
      <c r="C496" s="4">
        <f>Acciones!C497/Acciones!C496 -1</f>
        <v>2.812054140347886E-2</v>
      </c>
      <c r="D496" s="4">
        <f>Acciones!D497/Acciones!D496 -1</f>
        <v>-3.8299699078114813E-3</v>
      </c>
      <c r="E496" s="4">
        <f>Acciones!E497/Acciones!E496 -1</f>
        <v>-9.8360657339548574E-2</v>
      </c>
    </row>
    <row r="497" spans="1:5" x14ac:dyDescent="0.2">
      <c r="A497" s="1">
        <f>Acciones!A498</f>
        <v>45721</v>
      </c>
      <c r="B497" s="4">
        <f>Acciones!B498/Acciones!B497 -1</f>
        <v>-1.4937783732141052E-2</v>
      </c>
      <c r="C497" s="4">
        <f>Acciones!C498/Acciones!C497 -1</f>
        <v>5.5220260649364583E-2</v>
      </c>
      <c r="D497" s="4">
        <f>Acciones!D498/Acciones!D497 -1</f>
        <v>-2.8962761426351458E-2</v>
      </c>
      <c r="E497" s="4">
        <f>Acciones!E498/Acciones!E497 -1</f>
        <v>3.6363600896409221E-2</v>
      </c>
    </row>
    <row r="498" spans="1:5" x14ac:dyDescent="0.2">
      <c r="A498" s="1">
        <f>Acciones!A499</f>
        <v>45722</v>
      </c>
      <c r="B498" s="4">
        <f>Acciones!B499/Acciones!B498 -1</f>
        <v>1.6006853478458094E-2</v>
      </c>
      <c r="C498" s="4">
        <f>Acciones!C499/Acciones!C498 -1</f>
        <v>-1.4087721527751174E-2</v>
      </c>
      <c r="D498" s="4">
        <f>Acciones!D499/Acciones!D498 -1</f>
        <v>8.718352802312257E-3</v>
      </c>
      <c r="E498" s="4">
        <f>Acciones!E499/Acciones!E498 -1</f>
        <v>-1.7543633999037578E-3</v>
      </c>
    </row>
    <row r="499" spans="1:5" x14ac:dyDescent="0.2">
      <c r="A499" s="1">
        <f>Acciones!A500</f>
        <v>45723</v>
      </c>
      <c r="B499" s="4">
        <f>Acciones!B500/Acciones!B499 -1</f>
        <v>3.3166914288251803E-3</v>
      </c>
      <c r="C499" s="4">
        <f>Acciones!C500/Acciones!C499 -1</f>
        <v>7.9899233210831477E-2</v>
      </c>
      <c r="D499" s="4">
        <f>Acciones!D500/Acciones!D499 -1</f>
        <v>2.5364643884631111E-3</v>
      </c>
      <c r="E499" s="4">
        <f>Acciones!E500/Acciones!E499 -1</f>
        <v>-1.581722890571724E-2</v>
      </c>
    </row>
    <row r="500" spans="1:5" x14ac:dyDescent="0.2">
      <c r="A500" s="1">
        <f>Acciones!A501</f>
        <v>45726</v>
      </c>
      <c r="B500" s="4">
        <f>Acciones!B501/Acciones!B500 -1</f>
        <v>-2.727275749951652E-2</v>
      </c>
      <c r="C500" s="4">
        <f>Acciones!C501/Acciones!C500 -1</f>
        <v>-0.16083877101099231</v>
      </c>
      <c r="D500" s="4">
        <f>Acciones!D501/Acciones!D500 -1</f>
        <v>-1.9607864360899896E-2</v>
      </c>
      <c r="E500" s="4">
        <f>Acciones!E501/Acciones!E500 -1</f>
        <v>6.7857120429375195E-2</v>
      </c>
    </row>
    <row r="501" spans="1:5" x14ac:dyDescent="0.2">
      <c r="A501" s="1">
        <f>Acciones!A502</f>
        <v>45727</v>
      </c>
      <c r="B501" s="4">
        <f>Acciones!B502/Acciones!B501 -1</f>
        <v>-2.8886955445910911E-2</v>
      </c>
      <c r="C501" s="4">
        <f>Acciones!C502/Acciones!C501 -1</f>
        <v>-1.4670409816893493E-2</v>
      </c>
      <c r="D501" s="4">
        <f>Acciones!D502/Acciones!D501 -1</f>
        <v>-3.2251633527163204E-2</v>
      </c>
      <c r="E501" s="4">
        <f>Acciones!E502/Acciones!E501 -1</f>
        <v>-3.0100346115605747E-2</v>
      </c>
    </row>
    <row r="502" spans="1:5" x14ac:dyDescent="0.2">
      <c r="A502" s="1">
        <f>Acciones!A503</f>
        <v>45728</v>
      </c>
      <c r="B502" s="4">
        <f>Acciones!B503/Acciones!B502 -1</f>
        <v>-8.7489679763335104E-3</v>
      </c>
      <c r="C502" s="4">
        <f>Acciones!C503/Acciones!C502 -1</f>
        <v>-1.1584284233979503E-2</v>
      </c>
      <c r="D502" s="4">
        <f>Acciones!D503/Acciones!D502 -1</f>
        <v>-8.6732192658706131E-3</v>
      </c>
      <c r="E502" s="4">
        <f>Acciones!E503/Acciones!E502 -1</f>
        <v>-5.1724090091394781E-2</v>
      </c>
    </row>
    <row r="503" spans="1:5" x14ac:dyDescent="0.2">
      <c r="A503" s="1">
        <f>Acciones!A504</f>
        <v>45729</v>
      </c>
      <c r="B503" s="4">
        <f>Acciones!B504/Acciones!B503 -1</f>
        <v>-1.4121727604835876E-2</v>
      </c>
      <c r="C503" s="4">
        <f>Acciones!C504/Acciones!C503 -1</f>
        <v>-7.9936889907785247E-2</v>
      </c>
      <c r="D503" s="4">
        <f>Acciones!D504/Acciones!D503 -1</f>
        <v>-1.8628154856326296E-2</v>
      </c>
      <c r="E503" s="4">
        <f>Acciones!E504/Acciones!E503 -1</f>
        <v>-1.8181800448205498E-2</v>
      </c>
    </row>
    <row r="504" spans="1:5" x14ac:dyDescent="0.2">
      <c r="A504" s="1">
        <f>Acciones!A505</f>
        <v>45730</v>
      </c>
      <c r="B504" s="4">
        <f>Acciones!B505/Acciones!B504 -1</f>
        <v>3.5810106184808399E-2</v>
      </c>
      <c r="C504" s="4">
        <f>Acciones!C505/Acciones!C504 -1</f>
        <v>7.1204029571387384E-2</v>
      </c>
      <c r="D504" s="4">
        <f>Acciones!D505/Acciones!D504 -1</f>
        <v>-2.349746869796776E-2</v>
      </c>
      <c r="E504" s="4">
        <f>Acciones!E505/Acciones!E504 -1</f>
        <v>-3.5185172307639179E-2</v>
      </c>
    </row>
    <row r="505" spans="1:5" x14ac:dyDescent="0.2">
      <c r="A505" s="1">
        <f>Acciones!A506</f>
        <v>45734</v>
      </c>
      <c r="B505" s="4">
        <f>Acciones!B506/Acciones!B505 -1</f>
        <v>3.0250694115621979E-2</v>
      </c>
      <c r="C505" s="4">
        <f>Acciones!C506/Acciones!C505 -1</f>
        <v>-8.0878155336417623E-2</v>
      </c>
      <c r="D505" s="4">
        <f>Acciones!D506/Acciones!D505 -1</f>
        <v>2.1073520789811839E-2</v>
      </c>
      <c r="E505" s="4">
        <f>Acciones!E506/Acciones!E505 -1</f>
        <v>1.7274363254252689E-2</v>
      </c>
    </row>
    <row r="506" spans="1:5" x14ac:dyDescent="0.2">
      <c r="A506" s="1">
        <f>Acciones!A507</f>
        <v>45735</v>
      </c>
      <c r="B506" s="4">
        <f>Acciones!B507/Acciones!B506 -1</f>
        <v>-4.1946605687764871E-3</v>
      </c>
      <c r="C506" s="4">
        <f>Acciones!C507/Acciones!C506 -1</f>
        <v>4.379022635147134E-2</v>
      </c>
      <c r="D506" s="4">
        <f>Acciones!D507/Acciones!D506 -1</f>
        <v>8.9342194466257574E-4</v>
      </c>
      <c r="E506" s="4">
        <f>Acciones!E507/Acciones!E506 -1</f>
        <v>5.6603835120497825E-2</v>
      </c>
    </row>
    <row r="507" spans="1:5" x14ac:dyDescent="0.2">
      <c r="A507" s="1">
        <f>Acciones!A508</f>
        <v>45736</v>
      </c>
      <c r="B507" s="4">
        <f>Acciones!B508/Acciones!B507 -1</f>
        <v>-1.684923678336514E-2</v>
      </c>
      <c r="C507" s="4">
        <f>Acciones!C508/Acciones!C507 -1</f>
        <v>-2.7412594771861754E-3</v>
      </c>
      <c r="D507" s="4">
        <f>Acciones!D508/Acciones!D507 -1</f>
        <v>-8.2947347747133193E-3</v>
      </c>
      <c r="E507" s="4">
        <f>Acciones!E508/Acciones!E507 -1</f>
        <v>-2.3214306051328237E-2</v>
      </c>
    </row>
    <row r="508" spans="1:5" x14ac:dyDescent="0.2">
      <c r="A508" s="1">
        <f>Acciones!A509</f>
        <v>45737</v>
      </c>
      <c r="B508" s="4">
        <f>Acciones!B509/Acciones!B508 -1</f>
        <v>1.0282849842413233E-2</v>
      </c>
      <c r="C508" s="4">
        <f>Acciones!C509/Acciones!C508 -1</f>
        <v>2.2308881725066065E-3</v>
      </c>
      <c r="D508" s="4">
        <f>Acciones!D509/Acciones!D508 -1</f>
        <v>-4.9409338377220391E-2</v>
      </c>
      <c r="E508" s="4">
        <f>Acciones!E509/Acciones!E508 -1</f>
        <v>2.1937887600457229E-2</v>
      </c>
    </row>
    <row r="509" spans="1:5" x14ac:dyDescent="0.2">
      <c r="A509" s="1">
        <f>Acciones!A510</f>
        <v>45740</v>
      </c>
      <c r="B509" s="4">
        <f>Acciones!B510/Acciones!B509 -1</f>
        <v>8.4817409820134859E-3</v>
      </c>
      <c r="C509" s="4">
        <f>Acciones!C510/Acciones!C509 -1</f>
        <v>0.15291352922299506</v>
      </c>
      <c r="D509" s="4">
        <f>Acciones!D510/Acciones!D509 -1</f>
        <v>-1.0503411598832391E-2</v>
      </c>
      <c r="E509" s="4">
        <f>Acciones!E510/Acciones!E509 -1</f>
        <v>-1.6100184422523589E-2</v>
      </c>
    </row>
    <row r="510" spans="1:5" x14ac:dyDescent="0.2">
      <c r="A510" s="1">
        <f>Acciones!A511</f>
        <v>45741</v>
      </c>
      <c r="B510" s="4">
        <f>Acciones!B511/Acciones!B510 -1</f>
        <v>8.4104886245506272E-4</v>
      </c>
      <c r="C510" s="4">
        <f>Acciones!C511/Acciones!C510 -1</f>
        <v>-5.3783748465678904E-3</v>
      </c>
      <c r="D510" s="4">
        <f>Acciones!D511/Acciones!D510 -1</f>
        <v>-1.5752881147819808E-2</v>
      </c>
      <c r="E510" s="4">
        <f>Acciones!E511/Acciones!E510 -1</f>
        <v>-3.6364251128898628E-3</v>
      </c>
    </row>
    <row r="511" spans="1:5" x14ac:dyDescent="0.2">
      <c r="A511" s="1">
        <f>Acciones!A512</f>
        <v>45742</v>
      </c>
      <c r="B511" s="4">
        <f>Acciones!B512/Acciones!B511 -1</f>
        <v>1.6806841873864276E-3</v>
      </c>
      <c r="C511" s="4">
        <f>Acciones!C512/Acciones!C511 -1</f>
        <v>-3.9342701549946568E-2</v>
      </c>
      <c r="D511" s="4">
        <f>Acciones!D512/Acciones!D511 -1</f>
        <v>-9.2889061162996223E-3</v>
      </c>
      <c r="E511" s="4">
        <f>Acciones!E512/Acciones!E511 -1</f>
        <v>3.6496969625789966E-3</v>
      </c>
    </row>
    <row r="512" spans="1:5" x14ac:dyDescent="0.2">
      <c r="A512" s="1">
        <f>Acciones!A513</f>
        <v>45743</v>
      </c>
      <c r="B512" s="4">
        <f>Acciones!B513/Acciones!B512 -1</f>
        <v>1.7617492067971252E-2</v>
      </c>
      <c r="C512" s="4">
        <f>Acciones!C513/Acciones!C512 -1</f>
        <v>7.5770889795334639E-4</v>
      </c>
      <c r="D512" s="4">
        <f>Acciones!D513/Acciones!D512 -1</f>
        <v>1.3135515332976633E-2</v>
      </c>
      <c r="E512" s="4">
        <f>Acciones!E513/Acciones!E512 -1</f>
        <v>-3.6363709268490529E-2</v>
      </c>
    </row>
    <row r="513" spans="1:5" x14ac:dyDescent="0.2">
      <c r="A513" s="1">
        <f>Acciones!A514</f>
        <v>45744</v>
      </c>
      <c r="B513" s="4">
        <f>Acciones!B514/Acciones!B513 -1</f>
        <v>-1.1541713545731302E-2</v>
      </c>
      <c r="C513" s="4">
        <f>Acciones!C514/Acciones!C513 -1</f>
        <v>-8.4189672217999223E-2</v>
      </c>
      <c r="D513" s="4">
        <f>Acciones!D514/Acciones!D513 -1</f>
        <v>-3.5065543761931273E-2</v>
      </c>
      <c r="E513" s="4">
        <f>Acciones!E514/Acciones!E513 -1</f>
        <v>0</v>
      </c>
    </row>
    <row r="514" spans="1:5" x14ac:dyDescent="0.2">
      <c r="A514" s="1">
        <f>Acciones!A515</f>
        <v>45747</v>
      </c>
      <c r="B514" s="4">
        <f>Acciones!B515/Acciones!B514 -1</f>
        <v>-5.0040420914345685E-3</v>
      </c>
      <c r="C514" s="4">
        <f>Acciones!C515/Acciones!C514 -1</f>
        <v>-7.3661443755385858E-2</v>
      </c>
      <c r="D514" s="4">
        <f>Acciones!D515/Acciones!D514 -1</f>
        <v>8.2547508189205754E-3</v>
      </c>
      <c r="E514" s="4">
        <f>Acciones!E515/Acciones!E514 -1</f>
        <v>-2.6415093066471385E-2</v>
      </c>
    </row>
    <row r="515" spans="1:5" x14ac:dyDescent="0.2">
      <c r="A515" s="1">
        <f>Acciones!A516</f>
        <v>45748</v>
      </c>
      <c r="B515" s="4">
        <f>Acciones!B516/Acciones!B515 -1</f>
        <v>-1.3411661242700768E-2</v>
      </c>
      <c r="C515" s="4">
        <f>Acciones!C516/Acciones!C515 -1</f>
        <v>1.5767804920442829E-2</v>
      </c>
      <c r="D515" s="4">
        <f>Acciones!D516/Acciones!D515 -1</f>
        <v>9.3283571610054405E-3</v>
      </c>
      <c r="E515" s="4">
        <f>Acciones!E516/Acciones!E515 -1</f>
        <v>2.7131781602562244E-2</v>
      </c>
    </row>
    <row r="516" spans="1:5" x14ac:dyDescent="0.2">
      <c r="A516" s="1">
        <f>Acciones!A517</f>
        <v>45749</v>
      </c>
      <c r="B516" s="4">
        <f>Acciones!B517/Acciones!B516 -1</f>
        <v>-3.2285450217187095E-2</v>
      </c>
      <c r="C516" s="4">
        <f>Acciones!C517/Acciones!C516 -1</f>
        <v>5.9163177362544062E-2</v>
      </c>
      <c r="D516" s="4">
        <f>Acciones!D517/Acciones!D516 -1</f>
        <v>9.9631015476331353E-3</v>
      </c>
      <c r="E516" s="4">
        <f>Acciones!E517/Acciones!E516 -1</f>
        <v>-1.3207490302436509E-2</v>
      </c>
    </row>
    <row r="517" spans="1:5" x14ac:dyDescent="0.2">
      <c r="A517" s="1">
        <f>Acciones!A518</f>
        <v>45750</v>
      </c>
      <c r="B517" s="4">
        <f>Acciones!B518/Acciones!B517 -1</f>
        <v>1.8437183581905492E-2</v>
      </c>
      <c r="C517" s="4">
        <f>Acciones!C518/Acciones!C517 -1</f>
        <v>-0.11116378074384548</v>
      </c>
      <c r="D517" s="4">
        <f>Acciones!D518/Acciones!D517 -1</f>
        <v>-0.16236655331268934</v>
      </c>
      <c r="E517" s="4">
        <f>Acciones!E518/Acciones!E517 -1</f>
        <v>-7.2657719815775068E-2</v>
      </c>
    </row>
    <row r="518" spans="1:5" x14ac:dyDescent="0.2">
      <c r="A518" s="1">
        <f>Acciones!A519</f>
        <v>45751</v>
      </c>
      <c r="B518" s="4">
        <f>Acciones!B519/Acciones!B518 -1</f>
        <v>-2.1551708094651567E-2</v>
      </c>
      <c r="C518" s="4">
        <f>Acciones!C519/Acciones!C518 -1</f>
        <v>2.2266642252599889E-2</v>
      </c>
      <c r="D518" s="4">
        <f>Acciones!D519/Acciones!D518 -1</f>
        <v>5.937787320689436E-2</v>
      </c>
      <c r="E518" s="4">
        <f>Acciones!E519/Acciones!E518 -1</f>
        <v>-7.2165000399411317E-2</v>
      </c>
    </row>
    <row r="519" spans="1:5" x14ac:dyDescent="0.2">
      <c r="A519" s="1">
        <f>Acciones!A520</f>
        <v>45754</v>
      </c>
      <c r="B519" s="4">
        <f>Acciones!B520/Acciones!B519 -1</f>
        <v>-5.5506655613100198E-2</v>
      </c>
      <c r="C519" s="4">
        <f>Acciones!C520/Acciones!C519 -1</f>
        <v>1.5303701389186353E-2</v>
      </c>
      <c r="D519" s="4">
        <f>Acciones!D520/Acciones!D519 -1</f>
        <v>-2.6323039433118978E-2</v>
      </c>
      <c r="E519" s="4">
        <f>Acciones!E520/Acciones!E519 -1</f>
        <v>-5.5555504045369353E-2</v>
      </c>
    </row>
    <row r="520" spans="1:5" x14ac:dyDescent="0.2">
      <c r="A520" s="1">
        <f>Acciones!A521</f>
        <v>45755</v>
      </c>
      <c r="B520" s="4">
        <f>Acciones!B521/Acciones!B520 -1</f>
        <v>3.5447831212169767E-2</v>
      </c>
      <c r="C520" s="4">
        <f>Acciones!C521/Acciones!C520 -1</f>
        <v>-8.1402794528346312E-2</v>
      </c>
      <c r="D520" s="4">
        <f>Acciones!D521/Acciones!D520 -1</f>
        <v>-4.7478247560095888E-2</v>
      </c>
      <c r="E520" s="4">
        <f>Acciones!E521/Acciones!E520 -1</f>
        <v>-3.5294153121101068E-2</v>
      </c>
    </row>
    <row r="521" spans="1:5" x14ac:dyDescent="0.2">
      <c r="A521" s="1">
        <f>Acciones!A522</f>
        <v>45756</v>
      </c>
      <c r="B521" s="4">
        <f>Acciones!B522/Acciones!B521 -1</f>
        <v>9.0089843200897857E-3</v>
      </c>
      <c r="C521" s="4">
        <f>Acciones!C522/Acciones!C521 -1</f>
        <v>0.16553232239234461</v>
      </c>
      <c r="D521" s="4">
        <f>Acciones!D522/Acciones!D521 -1</f>
        <v>8.9099898699517732E-2</v>
      </c>
      <c r="E521" s="4">
        <f>Acciones!E522/Acciones!E521 -1</f>
        <v>0</v>
      </c>
    </row>
    <row r="522" spans="1:5" x14ac:dyDescent="0.2">
      <c r="A522" s="1">
        <f>Acciones!A523</f>
        <v>45757</v>
      </c>
      <c r="B522" s="4">
        <f>Acciones!B523/Acciones!B522 -1</f>
        <v>0</v>
      </c>
      <c r="C522" s="4">
        <f>Acciones!C523/Acciones!C522 -1</f>
        <v>-5.4073528530451442E-2</v>
      </c>
      <c r="D522" s="4">
        <f>Acciones!D523/Acciones!D522 -1</f>
        <v>-6.957247511071174E-2</v>
      </c>
      <c r="E522" s="4">
        <f>Acciones!E523/Acciones!E522 -1</f>
        <v>-7.0731669554463861E-2</v>
      </c>
    </row>
    <row r="523" spans="1:5" x14ac:dyDescent="0.2">
      <c r="A523" s="1">
        <f>Acciones!A524</f>
        <v>45758</v>
      </c>
      <c r="B523" s="4">
        <f>Acciones!B524/Acciones!B523 -1</f>
        <v>-3.9285642630839557E-2</v>
      </c>
      <c r="C523" s="4">
        <f>Acciones!C524/Acciones!C523 -1</f>
        <v>6.7523578671608631E-2</v>
      </c>
      <c r="D523" s="4">
        <f>Acciones!D524/Acciones!D523 -1</f>
        <v>-6.5316205957954843E-3</v>
      </c>
      <c r="E523" s="4">
        <f>Acciones!E524/Acciones!E523 -1</f>
        <v>0</v>
      </c>
    </row>
    <row r="524" spans="1:5" x14ac:dyDescent="0.2">
      <c r="A524" s="1">
        <f>Acciones!A525</f>
        <v>45761</v>
      </c>
      <c r="B524" s="4">
        <f>Acciones!B525/Acciones!B524 -1</f>
        <v>1.3940435946065755E-2</v>
      </c>
      <c r="C524" s="4">
        <f>Acciones!C525/Acciones!C524 -1</f>
        <v>3.1804555505266618E-2</v>
      </c>
      <c r="D524" s="4">
        <f>Acciones!D525/Acciones!D524 -1</f>
        <v>1.3584193824849766E-2</v>
      </c>
      <c r="E524" s="4">
        <f>Acciones!E525/Acciones!E524 -1</f>
        <v>-8.1364874358184291E-2</v>
      </c>
    </row>
    <row r="525" spans="1:5" x14ac:dyDescent="0.2">
      <c r="A525" s="1">
        <f>Acciones!A526</f>
        <v>45762</v>
      </c>
      <c r="B525" s="4">
        <f>Acciones!B526/Acciones!B525 -1</f>
        <v>-1.0999071620824918E-2</v>
      </c>
      <c r="C525" s="4">
        <f>Acciones!C526/Acciones!C525 -1</f>
        <v>-3.996009086743213E-2</v>
      </c>
      <c r="D525" s="4">
        <f>Acciones!D526/Acciones!D525 -1</f>
        <v>-1.5960934102158819E-2</v>
      </c>
      <c r="E525" s="4">
        <f>Acciones!E526/Acciones!E525 -1</f>
        <v>0.14285717934978326</v>
      </c>
    </row>
    <row r="526" spans="1:5" x14ac:dyDescent="0.2">
      <c r="A526" s="1">
        <f>Acciones!A527</f>
        <v>45763</v>
      </c>
      <c r="B526" s="4">
        <f>Acciones!B527/Acciones!B526 -1</f>
        <v>5.560743800630874E-3</v>
      </c>
      <c r="C526" s="4">
        <f>Acciones!C527/Acciones!C526 -1</f>
        <v>-8.4766506366998895E-3</v>
      </c>
      <c r="D526" s="4">
        <f>Acciones!D527/Acciones!D526 -1</f>
        <v>-2.8366482592612652E-2</v>
      </c>
      <c r="E526" s="4">
        <f>Acciones!E527/Acciones!E526 -1</f>
        <v>0</v>
      </c>
    </row>
    <row r="527" spans="1:5" x14ac:dyDescent="0.2">
      <c r="A527" s="1">
        <f>Acciones!A528</f>
        <v>45768</v>
      </c>
      <c r="B527" s="4">
        <f>Acciones!B528/Acciones!B527 -1</f>
        <v>-4.9769574584134113E-2</v>
      </c>
      <c r="C527" s="4">
        <f>Acciones!C528/Acciones!C527 -1</f>
        <v>-1.903379829835139E-2</v>
      </c>
      <c r="D527" s="4">
        <f>Acciones!D528/Acciones!D527 -1</f>
        <v>3.3040476187483181E-2</v>
      </c>
      <c r="E527" s="4">
        <f>Acciones!E528/Acciones!E527 -1</f>
        <v>-0.15000000372529088</v>
      </c>
    </row>
    <row r="528" spans="1:5" x14ac:dyDescent="0.2">
      <c r="A528" s="1">
        <f>Acciones!A529</f>
        <v>45769</v>
      </c>
      <c r="B528" s="4">
        <f>Acciones!B529/Acciones!B528 -1</f>
        <v>2.9097216320015384E-3</v>
      </c>
      <c r="C528" s="4">
        <f>Acciones!C529/Acciones!C528 -1</f>
        <v>0.12809347868345644</v>
      </c>
      <c r="D528" s="4">
        <f>Acciones!D529/Acciones!D528 -1</f>
        <v>1.4492769669526062E-2</v>
      </c>
      <c r="E528" s="4">
        <f>Acciones!E529/Acciones!E528 -1</f>
        <v>-6.1764698921603745E-2</v>
      </c>
    </row>
    <row r="529" spans="1:5" x14ac:dyDescent="0.2">
      <c r="A529" s="1">
        <f>Acciones!A530</f>
        <v>45770</v>
      </c>
      <c r="B529" s="4">
        <f>Acciones!B530/Acciones!B529 -1</f>
        <v>3.4816305586782947E-2</v>
      </c>
      <c r="C529" s="4">
        <f>Acciones!C530/Acciones!C529 -1</f>
        <v>1.3264280856897459E-2</v>
      </c>
      <c r="D529" s="4">
        <f>Acciones!D530/Acciones!D529 -1</f>
        <v>6.6785918139984357E-3</v>
      </c>
      <c r="E529" s="4">
        <f>Acciones!E530/Acciones!E529 -1</f>
        <v>-5.9561108026036536E-2</v>
      </c>
    </row>
    <row r="530" spans="1:5" x14ac:dyDescent="0.2">
      <c r="A530" s="1">
        <f>Acciones!A531</f>
        <v>45771</v>
      </c>
      <c r="B530" s="4">
        <f>Acciones!B531/Acciones!B530 -1</f>
        <v>5.1401865302040495E-2</v>
      </c>
      <c r="C530" s="4">
        <f>Acciones!C531/Acciones!C530 -1</f>
        <v>-1.2407438097254642E-2</v>
      </c>
      <c r="D530" s="4">
        <f>Acciones!D531/Acciones!D530 -1</f>
        <v>1.287827800462793E-2</v>
      </c>
      <c r="E530" s="4">
        <f>Acciones!E531/Acciones!E530 -1</f>
        <v>-3.3333896266063423E-3</v>
      </c>
    </row>
    <row r="531" spans="1:5" x14ac:dyDescent="0.2">
      <c r="A531" s="1">
        <f>Acciones!A532</f>
        <v>45772</v>
      </c>
      <c r="B531" s="4">
        <f>Acciones!B532/Acciones!B531 -1</f>
        <v>1.7777903379692095E-3</v>
      </c>
      <c r="C531" s="4">
        <f>Acciones!C532/Acciones!C531 -1</f>
        <v>9.8321705366044565E-3</v>
      </c>
      <c r="D531" s="4">
        <f>Acciones!D532/Acciones!D531 -1</f>
        <v>-1.4868519694323679E-2</v>
      </c>
      <c r="E531" s="4">
        <f>Acciones!E532/Acciones!E531 -1</f>
        <v>-6.3545130833692953E-2</v>
      </c>
    </row>
    <row r="532" spans="1:5" x14ac:dyDescent="0.2">
      <c r="A532" s="1">
        <f>Acciones!A533</f>
        <v>45775</v>
      </c>
      <c r="B532" s="4">
        <f>Acciones!B533/Acciones!B532 -1</f>
        <v>2.6619531124305595E-3</v>
      </c>
      <c r="C532" s="4">
        <f>Acciones!C533/Acciones!C532 -1</f>
        <v>-6.6712564271114161E-3</v>
      </c>
      <c r="D532" s="4">
        <f>Acciones!D533/Acciones!D532 -1</f>
        <v>-1.9556095430377507E-3</v>
      </c>
      <c r="E532" s="4">
        <f>Acciones!E533/Acciones!E532 -1</f>
        <v>6.7857120429375195E-2</v>
      </c>
    </row>
    <row r="533" spans="1:5" x14ac:dyDescent="0.2">
      <c r="A533" s="1">
        <f>Acciones!A534</f>
        <v>45776</v>
      </c>
      <c r="B533" s="4">
        <f>Acciones!B534/Acciones!B533 -1</f>
        <v>6.106185537735942E-2</v>
      </c>
      <c r="C533" s="4">
        <f>Acciones!C534/Acciones!C533 -1</f>
        <v>2.3742135873799031E-2</v>
      </c>
      <c r="D533" s="4">
        <f>Acciones!D534/Acciones!D533 -1</f>
        <v>4.7023764228670828E-3</v>
      </c>
      <c r="E533" s="4">
        <f>Acciones!E534/Acciones!E533 -1</f>
        <v>-6.6889768782786296E-3</v>
      </c>
    </row>
    <row r="534" spans="1:5" x14ac:dyDescent="0.2">
      <c r="A534" s="1">
        <f>Acciones!A535</f>
        <v>45777</v>
      </c>
      <c r="B534" s="4">
        <f>Acciones!B535/Acciones!B534 -1</f>
        <v>1.084244583933458E-2</v>
      </c>
      <c r="C534" s="4">
        <f>Acciones!C535/Acciones!C534 -1</f>
        <v>-6.7092246197641869E-2</v>
      </c>
      <c r="D534" s="4">
        <f>Acciones!D535/Acciones!D534 -1</f>
        <v>-2.0707281067804284E-2</v>
      </c>
      <c r="E534" s="4">
        <f>Acciones!E535/Acciones!E534 -1</f>
        <v>-6.734020586281475E-3</v>
      </c>
    </row>
    <row r="535" spans="1:5" x14ac:dyDescent="0.2">
      <c r="A535" s="1">
        <f>Acciones!A536</f>
        <v>45779</v>
      </c>
      <c r="B535" s="4">
        <f>Acciones!B536/Acciones!B535 -1</f>
        <v>3.2178201589212252E-2</v>
      </c>
      <c r="C535" s="4">
        <f>Acciones!C536/Acciones!C535 -1</f>
        <v>7.7923069204539841E-2</v>
      </c>
      <c r="D535" s="4">
        <f>Acciones!D536/Acciones!D535 -1</f>
        <v>4.0814931041819769E-2</v>
      </c>
      <c r="E535" s="4">
        <f>Acciones!E536/Acciones!E535 -1</f>
        <v>-0.18644065998711001</v>
      </c>
    </row>
    <row r="536" spans="1:5" x14ac:dyDescent="0.2">
      <c r="A536" s="1">
        <f>Acciones!A537</f>
        <v>45782</v>
      </c>
      <c r="B536" s="4">
        <f>Acciones!B537/Acciones!B536 -1</f>
        <v>-5.5955630825106351E-3</v>
      </c>
      <c r="C536" s="4">
        <f>Acciones!C537/Acciones!C536 -1</f>
        <v>-8.73121532564054E-2</v>
      </c>
      <c r="D536" s="4">
        <f>Acciones!D537/Acciones!D536 -1</f>
        <v>-1.6428630125030486E-2</v>
      </c>
      <c r="E536" s="4">
        <f>Acciones!E537/Acciones!E536 -1</f>
        <v>-6.6666616996127859E-2</v>
      </c>
    </row>
    <row r="537" spans="1:5" x14ac:dyDescent="0.2">
      <c r="A537" s="1">
        <f>Acciones!A538</f>
        <v>45783</v>
      </c>
      <c r="B537" s="4">
        <f>Acciones!B538/Acciones!B537 -1</f>
        <v>1.6880991020796099E-2</v>
      </c>
      <c r="C537" s="4">
        <f>Acciones!C538/Acciones!C537 -1</f>
        <v>6.9543571087415934E-4</v>
      </c>
      <c r="D537" s="4">
        <f>Acciones!D538/Acciones!D537 -1</f>
        <v>-5.2431803042949365E-3</v>
      </c>
      <c r="E537" s="4">
        <f>Acciones!E538/Acciones!E537 -1</f>
        <v>2.6785701218691838E-2</v>
      </c>
    </row>
    <row r="538" spans="1:5" x14ac:dyDescent="0.2">
      <c r="A538" s="1">
        <f>Acciones!A539</f>
        <v>45784</v>
      </c>
      <c r="B538" s="4">
        <f>Acciones!B539/Acciones!B538 -1</f>
        <v>-3.9524422366503664E-3</v>
      </c>
      <c r="C538" s="4">
        <f>Acciones!C539/Acciones!C538 -1</f>
        <v>4.7876070825290107E-3</v>
      </c>
      <c r="D538" s="4">
        <f>Acciones!D539/Acciones!D538 -1</f>
        <v>2.0435372825138298E-2</v>
      </c>
      <c r="E538" s="4">
        <f>Acciones!E539/Acciones!E538 -1</f>
        <v>0.26086950606344206</v>
      </c>
    </row>
    <row r="539" spans="1:5" x14ac:dyDescent="0.2">
      <c r="A539" s="1">
        <f>Acciones!A540</f>
        <v>45785</v>
      </c>
      <c r="B539" s="4">
        <f>Acciones!B540/Acciones!B539 -1</f>
        <v>0</v>
      </c>
      <c r="C539" s="4">
        <f>Acciones!C540/Acciones!C539 -1</f>
        <v>6.832154721218342E-2</v>
      </c>
      <c r="D539" s="4">
        <f>Acciones!D540/Acciones!D539 -1</f>
        <v>1.1332677227609667E-2</v>
      </c>
      <c r="E539" s="4">
        <f>Acciones!E540/Acciones!E539 -1</f>
        <v>0.31034484884827029</v>
      </c>
    </row>
    <row r="540" spans="1:5" x14ac:dyDescent="0.2">
      <c r="A540" s="1">
        <f>Acciones!A541</f>
        <v>45786</v>
      </c>
      <c r="B540" s="4">
        <f>Acciones!B541/Acciones!B540 -1</f>
        <v>-3.9683596600464943E-3</v>
      </c>
      <c r="C540" s="4">
        <f>Acciones!C541/Acciones!C540 -1</f>
        <v>8.9813690408699909E-2</v>
      </c>
      <c r="D540" s="4">
        <f>Acciones!D541/Acciones!D540 -1</f>
        <v>-1.8613080165713392E-2</v>
      </c>
      <c r="E540" s="4">
        <f>Acciones!E541/Acciones!E540 -1</f>
        <v>-0.21052627451201988</v>
      </c>
    </row>
    <row r="541" spans="1:5" x14ac:dyDescent="0.2">
      <c r="A541" s="1">
        <f>Acciones!A542</f>
        <v>45789</v>
      </c>
      <c r="B541" s="4">
        <f>Acciones!B542/Acciones!B541 -1</f>
        <v>-3.9840139037845557E-3</v>
      </c>
      <c r="C541" s="4">
        <f>Acciones!C542/Acciones!C541 -1</f>
        <v>2.9736988204314585E-2</v>
      </c>
      <c r="D541" s="4">
        <f>Acciones!D542/Acciones!D541 -1</f>
        <v>7.4065308919609496E-2</v>
      </c>
      <c r="E541" s="4">
        <f>Acciones!E542/Acciones!E541 -1</f>
        <v>4.9999950329467246E-2</v>
      </c>
    </row>
    <row r="542" spans="1:5" x14ac:dyDescent="0.2">
      <c r="A542" s="1">
        <f>Acciones!A543</f>
        <v>45790</v>
      </c>
      <c r="B542" s="4">
        <f>Acciones!B543/Acciones!B542 -1</f>
        <v>0</v>
      </c>
      <c r="C542" s="4">
        <f>Acciones!C543/Acciones!C542 -1</f>
        <v>1.4807676657650592E-2</v>
      </c>
      <c r="D542" s="4">
        <f>Acciones!D543/Acciones!D542 -1</f>
        <v>-7.3460199428375672E-3</v>
      </c>
      <c r="E542" s="4">
        <f>Acciones!E543/Acciones!E542 -1</f>
        <v>7.6190441950467314E-2</v>
      </c>
    </row>
    <row r="543" spans="1:5" x14ac:dyDescent="0.2">
      <c r="A543" s="1">
        <f>Acciones!A544</f>
        <v>45791</v>
      </c>
      <c r="B543" s="4">
        <f>Acciones!B544/Acciones!B543 -1</f>
        <v>1.9999905798564699E-2</v>
      </c>
      <c r="C543" s="4">
        <f>Acciones!C544/Acciones!C543 -1</f>
        <v>-2.7225049744557528E-2</v>
      </c>
      <c r="D543" s="4">
        <f>Acciones!D544/Acciones!D543 -1</f>
        <v>-1.3195658117126974E-2</v>
      </c>
      <c r="E543" s="4">
        <f>Acciones!E544/Acciones!E543 -1</f>
        <v>-5.6047181561733495E-2</v>
      </c>
    </row>
    <row r="544" spans="1:5" x14ac:dyDescent="0.2">
      <c r="A544" s="1">
        <f>Acciones!A545</f>
        <v>45792</v>
      </c>
      <c r="B544" s="4">
        <f>Acciones!B545/Acciones!B544 -1</f>
        <v>1.5686386783729134E-2</v>
      </c>
      <c r="C544" s="4">
        <f>Acciones!C545/Acciones!C544 -1</f>
        <v>-1.4415592342230443E-2</v>
      </c>
      <c r="D544" s="4">
        <f>Acciones!D545/Acciones!D544 -1</f>
        <v>1.5974810971655762E-2</v>
      </c>
      <c r="E544" s="4">
        <f>Acciones!E545/Acciones!E544 -1</f>
        <v>0</v>
      </c>
    </row>
    <row r="545" spans="1:5" x14ac:dyDescent="0.2">
      <c r="A545" s="1">
        <f>Acciones!A546</f>
        <v>45793</v>
      </c>
      <c r="B545" s="4">
        <f>Acciones!B546/Acciones!B545 -1</f>
        <v>8.4941925788759587E-3</v>
      </c>
      <c r="C545" s="4">
        <f>Acciones!C546/Acciones!C545 -1</f>
        <v>4.0815702820153454E-2</v>
      </c>
      <c r="D545" s="4">
        <f>Acciones!D546/Acciones!D545 -1</f>
        <v>9.9184105974070569E-3</v>
      </c>
      <c r="E545" s="4">
        <f>Acciones!E546/Acciones!E545 -1</f>
        <v>3.4375023865141685E-2</v>
      </c>
    </row>
    <row r="546" spans="1:5" x14ac:dyDescent="0.2">
      <c r="A546" s="1">
        <f>Acciones!A547</f>
        <v>45796</v>
      </c>
      <c r="B546" s="4">
        <f>Acciones!B547/Acciones!B546 -1</f>
        <v>3.9050436114394182E-2</v>
      </c>
      <c r="C546" s="4">
        <f>Acciones!C547/Acciones!C546 -1</f>
        <v>-6.1719010339941205E-3</v>
      </c>
      <c r="D546" s="4">
        <f>Acciones!D547/Acciones!D546 -1</f>
        <v>-2.5707323312145647E-2</v>
      </c>
      <c r="E546" s="4">
        <f>Acciones!E547/Acciones!E546 -1</f>
        <v>2.416914321564545E-2</v>
      </c>
    </row>
    <row r="547" spans="1:5" x14ac:dyDescent="0.2">
      <c r="A547" s="1">
        <f>Acciones!A548</f>
        <v>45797</v>
      </c>
      <c r="B547" s="4">
        <f>Acciones!B548/Acciones!B547 -1</f>
        <v>9.5799520546886452E-3</v>
      </c>
      <c r="C547" s="4">
        <f>Acciones!C548/Acciones!C547 -1</f>
        <v>-8.9490368108088303E-3</v>
      </c>
      <c r="D547" s="4">
        <f>Acciones!D548/Acciones!D547 -1</f>
        <v>5.5241078685090983E-3</v>
      </c>
      <c r="E547" s="4">
        <f>Acciones!E548/Acciones!E547 -1</f>
        <v>-1.7699063697147577E-2</v>
      </c>
    </row>
    <row r="548" spans="1:5" x14ac:dyDescent="0.2">
      <c r="A548" s="1">
        <f>Acciones!A549</f>
        <v>45798</v>
      </c>
      <c r="B548" s="4">
        <f>Acciones!B549/Acciones!B548 -1</f>
        <v>-1.459721220467558E-3</v>
      </c>
      <c r="C548" s="4">
        <f>Acciones!C549/Acciones!C548 -1</f>
        <v>-8.0979112243380058E-3</v>
      </c>
      <c r="D548" s="4">
        <f>Acciones!D549/Acciones!D548 -1</f>
        <v>-3.3410718136787976E-2</v>
      </c>
      <c r="E548" s="4">
        <f>Acciones!E549/Acciones!E548 -1</f>
        <v>-6.9069073906716794E-2</v>
      </c>
    </row>
    <row r="549" spans="1:5" x14ac:dyDescent="0.2">
      <c r="A549" s="1">
        <f>Acciones!A550</f>
        <v>45799</v>
      </c>
      <c r="B549" s="4">
        <f>Acciones!B550/Acciones!B549 -1</f>
        <v>-2.046790840667323E-2</v>
      </c>
      <c r="C549" s="4">
        <f>Acciones!C550/Acciones!C549 -1</f>
        <v>-2.1576451784709016E-2</v>
      </c>
      <c r="D549" s="4">
        <f>Acciones!D550/Acciones!D549 -1</f>
        <v>1.788381408305062E-2</v>
      </c>
      <c r="E549" s="4">
        <f>Acciones!E550/Acciones!E549 -1</f>
        <v>4.8387050256523567E-2</v>
      </c>
    </row>
    <row r="550" spans="1:5" x14ac:dyDescent="0.2">
      <c r="A550" s="1">
        <f>Acciones!A551</f>
        <v>45800</v>
      </c>
      <c r="B550" s="4">
        <f>Acciones!B551/Acciones!B550 -1</f>
        <v>-2.6865642787485933E-2</v>
      </c>
      <c r="C550" s="4">
        <f>Acciones!C551/Acciones!C550 -1</f>
        <v>-5.4633950751515892E-2</v>
      </c>
      <c r="D550" s="4">
        <f>Acciones!D551/Acciones!D550 -1</f>
        <v>-2.4890871745509857E-2</v>
      </c>
      <c r="E550" s="4">
        <f>Acciones!E551/Acciones!E550 -1</f>
        <v>-9.2307424263138316E-3</v>
      </c>
    </row>
    <row r="551" spans="1:5" x14ac:dyDescent="0.2">
      <c r="A551" s="1">
        <f>Acciones!A552</f>
        <v>45803</v>
      </c>
      <c r="B551" s="4">
        <f>Acciones!B552/Acciones!B551 -1</f>
        <v>8.435567241107611E-3</v>
      </c>
      <c r="C551" s="4">
        <f>Acciones!C552/Acciones!C551 -1</f>
        <v>-1.7863113312337475E-3</v>
      </c>
      <c r="D551" s="4">
        <f>Acciones!D552/Acciones!D551 -1</f>
        <v>1.7299099000391838E-3</v>
      </c>
      <c r="E551" s="4">
        <f>Acciones!E552/Acciones!E551 -1</f>
        <v>9.3167428800922103E-3</v>
      </c>
    </row>
    <row r="552" spans="1:5" x14ac:dyDescent="0.2">
      <c r="A552" s="1">
        <f>Acciones!A553</f>
        <v>45804</v>
      </c>
      <c r="B552" s="4">
        <f>Acciones!B553/Acciones!B552 -1</f>
        <v>-1.5209084050752053E-2</v>
      </c>
      <c r="C552" s="4">
        <f>Acciones!C553/Acciones!C552 -1</f>
        <v>0.10101757384182819</v>
      </c>
      <c r="D552" s="4">
        <f>Acciones!D553/Acciones!D552 -1</f>
        <v>3.8262188862898672E-2</v>
      </c>
      <c r="E552" s="4">
        <f>Acciones!E553/Acciones!E552 -1</f>
        <v>-1.8461484852627774E-2</v>
      </c>
    </row>
    <row r="553" spans="1:5" x14ac:dyDescent="0.2">
      <c r="A553" s="1">
        <f>Acciones!A554</f>
        <v>45805</v>
      </c>
      <c r="B553" s="4">
        <f>Acciones!B554/Acciones!B553 -1</f>
        <v>8.4941925788759587E-3</v>
      </c>
      <c r="C553" s="4">
        <f>Acciones!C554/Acciones!C553 -1</f>
        <v>-8.0467826611456017E-2</v>
      </c>
      <c r="D553" s="4">
        <f>Acciones!D554/Acciones!D553 -1</f>
        <v>-3.2102627560071095E-3</v>
      </c>
      <c r="E553" s="4">
        <f>Acciones!E554/Acciones!E553 -1</f>
        <v>-9.4043608924759825E-3</v>
      </c>
    </row>
    <row r="554" spans="1:5" x14ac:dyDescent="0.2">
      <c r="A554" s="1">
        <f>Acciones!A555</f>
        <v>45806</v>
      </c>
      <c r="B554" s="4">
        <f>Acciones!B555/Acciones!B554 -1</f>
        <v>2.0673808912713643E-2</v>
      </c>
      <c r="C554" s="4">
        <f>Acciones!C555/Acciones!C554 -1</f>
        <v>-2.4121514405418987E-2</v>
      </c>
      <c r="D554" s="4">
        <f>Acciones!D555/Acciones!D554 -1</f>
        <v>-1.1147169811324908E-2</v>
      </c>
      <c r="E554" s="4">
        <f>Acciones!E555/Acciones!E554 -1</f>
        <v>-1.8987379377229163E-2</v>
      </c>
    </row>
    <row r="555" spans="1:5" x14ac:dyDescent="0.2">
      <c r="A555" s="1">
        <f>Acciones!A556</f>
        <v>45807</v>
      </c>
      <c r="B555" s="4">
        <f>Acciones!B556/Acciones!B555 -1</f>
        <v>-9.7524334155130177E-3</v>
      </c>
      <c r="C555" s="4">
        <f>Acciones!C556/Acciones!C555 -1</f>
        <v>-2.2231619953715809E-2</v>
      </c>
      <c r="D555" s="4">
        <f>Acciones!D556/Acciones!D555 -1</f>
        <v>-2.6494213621665041E-3</v>
      </c>
      <c r="E555" s="4">
        <f>Acciones!E556/Acciones!E555 -1</f>
        <v>0</v>
      </c>
    </row>
    <row r="556" spans="1:5" x14ac:dyDescent="0.2">
      <c r="A556" s="1">
        <f>Acciones!A557</f>
        <v>45810</v>
      </c>
      <c r="B556" s="4">
        <f>Acciones!B557/Acciones!B556 -1</f>
        <v>1.4393966707614059E-2</v>
      </c>
      <c r="C556" s="4">
        <f>Acciones!C557/Acciones!C556 -1</f>
        <v>-8.717882666273713E-4</v>
      </c>
      <c r="D556" s="4">
        <f>Acciones!D557/Acciones!D556 -1</f>
        <v>-2.2004104647582734E-3</v>
      </c>
      <c r="E556" s="4">
        <f>Acciones!E557/Acciones!E556 -1</f>
        <v>6.4516259281746091E-3</v>
      </c>
    </row>
    <row r="557" spans="1:5" x14ac:dyDescent="0.2">
      <c r="A557" s="1">
        <f>Acciones!A558</f>
        <v>45811</v>
      </c>
      <c r="B557" s="4">
        <f>Acciones!B558/Acciones!B557 -1</f>
        <v>2.9872956611165957E-2</v>
      </c>
      <c r="C557" s="4">
        <f>Acciones!C558/Acciones!C557 -1</f>
        <v>7.5941601236591882E-2</v>
      </c>
      <c r="D557" s="4">
        <f>Acciones!D558/Acciones!D557 -1</f>
        <v>1.6242438387778391E-2</v>
      </c>
      <c r="E557" s="4">
        <f>Acciones!E558/Acciones!E557 -1</f>
        <v>2.2435894680504331E-2</v>
      </c>
    </row>
    <row r="558" spans="1:5" x14ac:dyDescent="0.2">
      <c r="A558" s="1">
        <f>Acciones!A559</f>
        <v>45812</v>
      </c>
      <c r="B558" s="4">
        <f>Acciones!B559/Acciones!B558 -1</f>
        <v>-3.6983299781280121E-2</v>
      </c>
      <c r="C558" s="4">
        <f>Acciones!C559/Acciones!C558 -1</f>
        <v>1.6116461107539948E-2</v>
      </c>
      <c r="D558" s="4">
        <f>Acciones!D559/Acciones!D558 -1</f>
        <v>4.2565082395524811E-3</v>
      </c>
      <c r="E558" s="4">
        <f>Acciones!E559/Acciones!E558 -1</f>
        <v>-2.8213176101639315E-2</v>
      </c>
    </row>
    <row r="559" spans="1:5" x14ac:dyDescent="0.2">
      <c r="A559" s="1">
        <f>Acciones!A560</f>
        <v>45813</v>
      </c>
      <c r="B559" s="4">
        <f>Acciones!B560/Acciones!B559 -1</f>
        <v>0</v>
      </c>
      <c r="C559" s="4">
        <f>Acciones!C560/Acciones!C559 -1</f>
        <v>-5.2005003121371796E-2</v>
      </c>
      <c r="D559" s="4">
        <f>Acciones!D560/Acciones!D559 -1</f>
        <v>-3.5402985947711185E-3</v>
      </c>
      <c r="E559" s="4">
        <f>Acciones!E560/Acciones!E559 -1</f>
        <v>-4.1935520464867704E-2</v>
      </c>
    </row>
    <row r="560" spans="1:5" x14ac:dyDescent="0.2">
      <c r="A560" s="1">
        <f>Acciones!A561</f>
        <v>45814</v>
      </c>
      <c r="B560" s="4">
        <f>Acciones!B561/Acciones!B560 -1</f>
        <v>7.530100006262419E-3</v>
      </c>
      <c r="C560" s="4">
        <f>Acciones!C561/Acciones!C560 -1</f>
        <v>5.5033329026689781E-2</v>
      </c>
      <c r="D560" s="4">
        <f>Acciones!D561/Acciones!D560 -1</f>
        <v>8.3395075379866235E-4</v>
      </c>
      <c r="E560" s="4">
        <f>Acciones!E561/Acciones!E560 -1</f>
        <v>-6.734020586281475E-3</v>
      </c>
    </row>
    <row r="561" spans="1:5" x14ac:dyDescent="0.2">
      <c r="A561" s="1">
        <f>Acciones!A562</f>
        <v>45817</v>
      </c>
      <c r="B561" s="4">
        <f>Acciones!B562/Acciones!B561 -1</f>
        <v>3.2884916762258687E-2</v>
      </c>
      <c r="C561" s="4">
        <f>Acciones!C562/Acciones!C561 -1</f>
        <v>2.9422540151277321E-2</v>
      </c>
      <c r="D561" s="4">
        <f>Acciones!D562/Acciones!D561 -1</f>
        <v>-1.4783341766361979E-2</v>
      </c>
      <c r="E561" s="4">
        <f>Acciones!E562/Acciones!E561 -1</f>
        <v>3.3898880412566168E-3</v>
      </c>
    </row>
    <row r="562" spans="1:5" x14ac:dyDescent="0.2">
      <c r="A562" s="1">
        <f>Acciones!A563</f>
        <v>45818</v>
      </c>
      <c r="B562" s="4">
        <f>Acciones!B563/Acciones!B562 -1</f>
        <v>5.7886821100667785E-3</v>
      </c>
      <c r="C562" s="4">
        <f>Acciones!C563/Acciones!C562 -1</f>
        <v>2.2703780024293074E-2</v>
      </c>
      <c r="D562" s="4">
        <f>Acciones!D563/Acciones!D562 -1</f>
        <v>3.1076036349345415E-2</v>
      </c>
      <c r="E562" s="4">
        <f>Acciones!E563/Acciones!E562 -1</f>
        <v>1.3513540725273554E-2</v>
      </c>
    </row>
    <row r="563" spans="1:5" x14ac:dyDescent="0.2">
      <c r="A563" s="1">
        <f>Acciones!A564</f>
        <v>45819</v>
      </c>
      <c r="B563" s="4">
        <f>Acciones!B564/Acciones!B563 -1</f>
        <v>1.8705098744546511E-2</v>
      </c>
      <c r="C563" s="4">
        <f>Acciones!C564/Acciones!C563 -1</f>
        <v>-3.1736564513205723E-2</v>
      </c>
      <c r="D563" s="4">
        <f>Acciones!D564/Acciones!D563 -1</f>
        <v>-2.1328981022866622E-2</v>
      </c>
      <c r="E563" s="4">
        <f>Acciones!E564/Acciones!E563 -1</f>
        <v>0</v>
      </c>
    </row>
    <row r="564" spans="1:5" x14ac:dyDescent="0.2">
      <c r="A564" s="1">
        <f>Acciones!A565</f>
        <v>45820</v>
      </c>
      <c r="B564" s="4">
        <f>Acciones!B565/Acciones!B564 -1</f>
        <v>1.6242914068499426E-2</v>
      </c>
      <c r="C564" s="4">
        <f>Acciones!C565/Acciones!C564 -1</f>
        <v>-1.4904466104607272E-2</v>
      </c>
      <c r="D564" s="4">
        <f>Acciones!D565/Acciones!D564 -1</f>
        <v>-6.0266965037990561E-3</v>
      </c>
      <c r="E564" s="4">
        <f>Acciones!E565/Acciones!E564 -1</f>
        <v>-1.666674945088964E-2</v>
      </c>
    </row>
    <row r="565" spans="1:5" x14ac:dyDescent="0.2">
      <c r="A565" s="1">
        <f>Acciones!A566</f>
        <v>45821</v>
      </c>
      <c r="B565" s="4">
        <f>Acciones!B566/Acciones!B565 -1</f>
        <v>-1.4593434798901406E-2</v>
      </c>
      <c r="C565" s="4">
        <f>Acciones!C566/Acciones!C565 -1</f>
        <v>-5.9592785060258335E-2</v>
      </c>
      <c r="D565" s="4">
        <f>Acciones!D566/Acciones!D565 -1</f>
        <v>-3.694525341428323E-2</v>
      </c>
      <c r="E565" s="4">
        <f>Acciones!E566/Acciones!E565 -1</f>
        <v>1.3559350115373237E-2</v>
      </c>
    </row>
    <row r="566" spans="1:5" x14ac:dyDescent="0.2">
      <c r="A566" s="1">
        <f>Acciones!A567</f>
        <v>45824</v>
      </c>
      <c r="B566" s="4">
        <f>Acciones!B567/Acciones!B566 -1</f>
        <v>-5.6417195636226936E-3</v>
      </c>
      <c r="C566" s="4">
        <f>Acciones!C567/Acciones!C566 -1</f>
        <v>2.0735838414226659E-2</v>
      </c>
      <c r="D566" s="4">
        <f>Acciones!D567/Acciones!D566 -1</f>
        <v>2.5358942547264229E-2</v>
      </c>
      <c r="E566" s="4">
        <f>Acciones!E567/Acciones!E566 -1</f>
        <v>6.6889768782820713E-3</v>
      </c>
    </row>
    <row r="567" spans="1:5" x14ac:dyDescent="0.2">
      <c r="A567" s="1">
        <f>Acciones!A568</f>
        <v>45825</v>
      </c>
      <c r="B567" s="4">
        <f>Acciones!B568/Acciones!B567 -1</f>
        <v>1.347513283438273E-2</v>
      </c>
      <c r="C567" s="4">
        <f>Acciones!C568/Acciones!C567 -1</f>
        <v>-4.0146287336775277E-2</v>
      </c>
      <c r="D567" s="4">
        <f>Acciones!D568/Acciones!D567 -1</f>
        <v>-2.6960751575528352E-2</v>
      </c>
      <c r="E567" s="4">
        <f>Acciones!E568/Acciones!E567 -1</f>
        <v>0</v>
      </c>
    </row>
    <row r="568" spans="1:5" x14ac:dyDescent="0.2">
      <c r="A568" s="1">
        <f>Acciones!A569</f>
        <v>45826</v>
      </c>
      <c r="B568" s="4">
        <f>Acciones!B569/Acciones!B568 -1</f>
        <v>-7.6976764690656063E-3</v>
      </c>
      <c r="C568" s="4">
        <f>Acciones!C569/Acciones!C568 -1</f>
        <v>-2.5144380060859728E-4</v>
      </c>
      <c r="D568" s="4">
        <f>Acciones!D569/Acciones!D568 -1</f>
        <v>-7.3635086940343486E-3</v>
      </c>
      <c r="E568" s="4">
        <f>Acciones!E569/Acciones!E568 -1</f>
        <v>-3.3222163739711208E-3</v>
      </c>
    </row>
    <row r="569" spans="1:5" x14ac:dyDescent="0.2">
      <c r="A569" s="1">
        <f>Acciones!A570</f>
        <v>45827</v>
      </c>
      <c r="B569" s="4">
        <f>Acciones!B570/Acciones!B569 -1</f>
        <v>-7.0529279615838547E-4</v>
      </c>
      <c r="C569" s="4">
        <f>Acciones!C570/Acciones!C569 -1</f>
        <v>9.5963152957183606E-3</v>
      </c>
      <c r="D569" s="4">
        <f>Acciones!D570/Acciones!D569 -1</f>
        <v>0</v>
      </c>
      <c r="E569" s="4">
        <f>Acciones!E570/Acciones!E569 -1</f>
        <v>0</v>
      </c>
    </row>
    <row r="570" spans="1:5" x14ac:dyDescent="0.2">
      <c r="A570" s="1">
        <f>Acciones!A571</f>
        <v>45828</v>
      </c>
      <c r="B570" s="4">
        <f>Acciones!B571/Acciones!B570 -1</f>
        <v>-1.1997124208063092E-2</v>
      </c>
      <c r="C570" s="4">
        <f>Acciones!C571/Acciones!C570 -1</f>
        <v>-2.1751461318345822E-2</v>
      </c>
      <c r="D570" s="4">
        <f>Acciones!D571/Acciones!D570 -1</f>
        <v>1.6746086846417318E-2</v>
      </c>
      <c r="E570" s="4">
        <f>Acciones!E571/Acciones!E570 -1</f>
        <v>-1.0000069538746326E-2</v>
      </c>
    </row>
    <row r="571" spans="1:5" x14ac:dyDescent="0.2">
      <c r="A571" s="1">
        <f>Acciones!A572</f>
        <v>45831</v>
      </c>
      <c r="B571" s="4">
        <f>Acciones!B572/Acciones!B571 -1</f>
        <v>-8.1428587148834719E-2</v>
      </c>
      <c r="C571" s="4">
        <f>Acciones!C572/Acciones!C571 -1</f>
        <v>-1.706758723230406E-2</v>
      </c>
      <c r="D571" s="4">
        <f>Acciones!D572/Acciones!D571 -1</f>
        <v>1.44791645967981E-2</v>
      </c>
      <c r="E571" s="4">
        <f>Acciones!E572/Acciones!E571 -1</f>
        <v>-6.734020586281475E-3</v>
      </c>
    </row>
    <row r="572" spans="1:5" x14ac:dyDescent="0.2">
      <c r="A572" s="1">
        <f>Acciones!A573</f>
        <v>45832</v>
      </c>
      <c r="B572" s="4">
        <f>Acciones!B573/Acciones!B572 -1</f>
        <v>3.3436946059350436E-2</v>
      </c>
      <c r="C572" s="4">
        <f>Acciones!C573/Acciones!C572 -1</f>
        <v>4.4242804218498355E-2</v>
      </c>
      <c r="D572" s="4">
        <f>Acciones!D573/Acciones!D572 -1</f>
        <v>-1.9115764440947869E-3</v>
      </c>
      <c r="E572" s="4">
        <f>Acciones!E573/Acciones!E572 -1</f>
        <v>0</v>
      </c>
    </row>
    <row r="573" spans="1:5" x14ac:dyDescent="0.2">
      <c r="A573" s="1">
        <f>Acciones!A574</f>
        <v>45833</v>
      </c>
      <c r="B573" s="4">
        <f>Acciones!B574/Acciones!B573 -1</f>
        <v>4.4394377861006307E-2</v>
      </c>
      <c r="C573" s="4">
        <f>Acciones!C574/Acciones!C573 -1</f>
        <v>6.2045739256848531E-3</v>
      </c>
      <c r="D573" s="4">
        <f>Acciones!D574/Acciones!D573 -1</f>
        <v>-1.0039832743615085E-2</v>
      </c>
      <c r="E573" s="4">
        <f>Acciones!E574/Acciones!E573 -1</f>
        <v>1.01695630989449E-2</v>
      </c>
    </row>
    <row r="574" spans="1:5" x14ac:dyDescent="0.2">
      <c r="A574" s="1">
        <f>Acciones!A575</f>
        <v>45834</v>
      </c>
      <c r="B574" s="4">
        <f>Acciones!B575/Acciones!B574 -1</f>
        <v>0</v>
      </c>
      <c r="C574" s="4">
        <f>Acciones!C575/Acciones!C574 -1</f>
        <v>1.5222013777429932E-2</v>
      </c>
      <c r="D574" s="4">
        <f>Acciones!D575/Acciones!D574 -1</f>
        <v>2.2200582285325732E-2</v>
      </c>
      <c r="E574" s="4">
        <f>Acciones!E575/Acciones!E574 -1</f>
        <v>3.3556614060210599E-3</v>
      </c>
    </row>
    <row r="575" spans="1:5" x14ac:dyDescent="0.2">
      <c r="A575" s="1">
        <f>Acciones!A576</f>
        <v>45835</v>
      </c>
      <c r="B575" s="4">
        <f>Acciones!B576/Acciones!B575 -1</f>
        <v>-1.5129719262088726E-2</v>
      </c>
      <c r="C575" s="4">
        <f>Acciones!C576/Acciones!C575 -1</f>
        <v>-2.1206391278317471E-2</v>
      </c>
      <c r="D575" s="4">
        <f>Acciones!D576/Acciones!D575 -1</f>
        <v>0.15626431797737994</v>
      </c>
      <c r="E575" s="4">
        <f>Acciones!E576/Acciones!E575 -1</f>
        <v>3.3445382758006126E-3</v>
      </c>
    </row>
    <row r="576" spans="1:5" x14ac:dyDescent="0.2">
      <c r="A576" s="1">
        <f>Acciones!A577</f>
        <v>45838</v>
      </c>
      <c r="B576" s="4">
        <f>Acciones!B577/Acciones!B576 -1</f>
        <v>2.1945879254303913E-2</v>
      </c>
      <c r="C576" s="4">
        <f>Acciones!C577/Acciones!C576 -1</f>
        <v>4.5813916041113734E-2</v>
      </c>
      <c r="D576" s="4">
        <f>Acciones!D577/Acciones!D576 -1</f>
        <v>-2.3767125597526917E-2</v>
      </c>
      <c r="E576" s="4">
        <f>Acciones!E577/Acciones!E576 -1</f>
        <v>-1.3333359824283297E-2</v>
      </c>
    </row>
    <row r="577" spans="1:5" x14ac:dyDescent="0.2">
      <c r="A577" s="1">
        <f>Acciones!A578</f>
        <v>45839</v>
      </c>
      <c r="B577" s="4">
        <f>Acciones!B578/Acciones!B577 -1</f>
        <v>3.5791234585831333E-3</v>
      </c>
      <c r="C577" s="4">
        <f>Acciones!C578/Acciones!C577 -1</f>
        <v>1.2545184497181339E-3</v>
      </c>
      <c r="D577" s="4">
        <f>Acciones!D578/Acciones!D577 -1</f>
        <v>3.4180377187436273E-2</v>
      </c>
      <c r="E577" s="4">
        <f>Acciones!E578/Acciones!E577 -1</f>
        <v>3.3783348395597379E-3</v>
      </c>
    </row>
    <row r="578" spans="1:5" x14ac:dyDescent="0.2">
      <c r="A578" s="1">
        <f>Acciones!A579</f>
        <v>45840</v>
      </c>
      <c r="B578" s="4">
        <f>Acciones!B579/Acciones!B578 -1</f>
        <v>3.4236836614706112E-2</v>
      </c>
      <c r="C578" s="4">
        <f>Acciones!C579/Acciones!C578 -1</f>
        <v>0.12851342287774958</v>
      </c>
      <c r="D578" s="4">
        <f>Acciones!D579/Acciones!D578 -1</f>
        <v>4.4741426149447205E-2</v>
      </c>
      <c r="E578" s="4">
        <f>Acciones!E579/Acciones!E578 -1</f>
        <v>1.0101081051679728E-2</v>
      </c>
    </row>
    <row r="579" spans="1:5" x14ac:dyDescent="0.2">
      <c r="A579" s="1">
        <f>Acciones!A580</f>
        <v>45841</v>
      </c>
      <c r="B579" s="4">
        <f>Acciones!B580/Acciones!B579 -1</f>
        <v>-1.4482792877451578E-2</v>
      </c>
      <c r="C579" s="4">
        <f>Acciones!C580/Acciones!C579 -1</f>
        <v>-1.5753938484621144E-2</v>
      </c>
      <c r="D579" s="4">
        <f>Acciones!D580/Acciones!D579 -1</f>
        <v>-7.6548896626031926E-3</v>
      </c>
      <c r="E579" s="4">
        <f>Acciones!E580/Acciones!E579 -1</f>
        <v>-6.6666799121399833E-3</v>
      </c>
    </row>
    <row r="580" spans="1:5" x14ac:dyDescent="0.2">
      <c r="A580" s="1">
        <f>Acciones!A581</f>
        <v>45842</v>
      </c>
      <c r="B580" s="4">
        <f>Acciones!B581/Acciones!B580 -1</f>
        <v>-4.8984964192444469E-3</v>
      </c>
      <c r="C580" s="4">
        <f>Acciones!C581/Acciones!C580 -1</f>
        <v>4.5426531535823766E-3</v>
      </c>
      <c r="D580" s="4">
        <f>Acciones!D581/Acciones!D580 -1</f>
        <v>2.1038482891622134E-3</v>
      </c>
      <c r="E580" s="4">
        <f>Acciones!E581/Acciones!E580 -1</f>
        <v>0</v>
      </c>
    </row>
    <row r="581" spans="1:5" x14ac:dyDescent="0.2">
      <c r="A581" s="1">
        <f>Acciones!A582</f>
        <v>45845</v>
      </c>
      <c r="B581" s="4">
        <f>Acciones!B582/Acciones!B581 -1</f>
        <v>-1.9690646240901888E-2</v>
      </c>
      <c r="C581" s="4">
        <f>Acciones!C582/Acciones!C581 -1</f>
        <v>-5.9485799771932468E-2</v>
      </c>
      <c r="D581" s="4">
        <f>Acciones!D582/Acciones!D581 -1</f>
        <v>-1.1127362683341913E-3</v>
      </c>
      <c r="E581" s="4">
        <f>Acciones!E582/Acciones!E581 -1</f>
        <v>-1.0067184233651938E-2</v>
      </c>
    </row>
    <row r="582" spans="1:5" x14ac:dyDescent="0.2">
      <c r="A582" s="1">
        <f>Acciones!A583</f>
        <v>45846</v>
      </c>
      <c r="B582" s="4">
        <f>Acciones!B583/Acciones!B582 -1</f>
        <v>-1.7216694765986751E-2</v>
      </c>
      <c r="C582" s="4">
        <f>Acciones!C583/Acciones!C582 -1</f>
        <v>3.6077292417648454E-2</v>
      </c>
      <c r="D582" s="4">
        <f>Acciones!D583/Acciones!D582 -1</f>
        <v>-3.6856908593375648E-2</v>
      </c>
      <c r="E582" s="4">
        <f>Acciones!E583/Acciones!E582 -1</f>
        <v>-3.7288061280044693E-2</v>
      </c>
    </row>
    <row r="583" spans="1:5" x14ac:dyDescent="0.2">
      <c r="A583" s="1">
        <f>Acciones!A584</f>
        <v>45847</v>
      </c>
      <c r="B583" s="4">
        <f>Acciones!B584/Acciones!B583 -1</f>
        <v>-1.0948768655674734E-2</v>
      </c>
      <c r="C583" s="4">
        <f>Acciones!C584/Acciones!C583 -1</f>
        <v>6.5125994908004525E-2</v>
      </c>
      <c r="D583" s="4">
        <f>Acciones!D584/Acciones!D583 -1</f>
        <v>-3.5278532152820397E-3</v>
      </c>
      <c r="E583" s="4">
        <f>Acciones!E584/Acciones!E583 -1</f>
        <v>1.0563348874266021E-2</v>
      </c>
    </row>
    <row r="584" spans="1:5" x14ac:dyDescent="0.2">
      <c r="A584" s="1">
        <f>Acciones!A585</f>
        <v>45848</v>
      </c>
      <c r="B584" s="4">
        <f>Acciones!B585/Acciones!B584 -1</f>
        <v>-2.2140304509302045E-2</v>
      </c>
      <c r="C584" s="4">
        <f>Acciones!C585/Acciones!C584 -1</f>
        <v>2.5761732486011324E-2</v>
      </c>
      <c r="D584" s="4">
        <f>Acciones!D585/Acciones!D584 -1</f>
        <v>1.5146535076133283E-2</v>
      </c>
      <c r="E584" s="4">
        <f>Acciones!E585/Acciones!E584 -1</f>
        <v>-3.1358896595494512E-2</v>
      </c>
    </row>
    <row r="585" spans="1:5" x14ac:dyDescent="0.2">
      <c r="A585" s="1">
        <f>Acciones!A586</f>
        <v>45849</v>
      </c>
      <c r="B585" s="4">
        <f>Acciones!B586/Acciones!B585 -1</f>
        <v>3.0188153295678255E-3</v>
      </c>
      <c r="C585" s="4">
        <f>Acciones!C586/Acciones!C585 -1</f>
        <v>1.2685599877580778E-2</v>
      </c>
      <c r="D585" s="4">
        <f>Acciones!D586/Acciones!D585 -1</f>
        <v>-2.5670503066648087E-2</v>
      </c>
      <c r="E585" s="4">
        <f>Acciones!E586/Acciones!E585 -1</f>
        <v>-2.8776929829037567E-2</v>
      </c>
    </row>
    <row r="586" spans="1:5" x14ac:dyDescent="0.2">
      <c r="A586" s="1">
        <f>Acciones!A587</f>
        <v>45852</v>
      </c>
      <c r="B586" s="4">
        <f>Acciones!B587/Acciones!B586 -1</f>
        <v>-6.7719098606626726E-3</v>
      </c>
      <c r="C586" s="4">
        <f>Acciones!C587/Acciones!C586 -1</f>
        <v>7.0938509191698085E-3</v>
      </c>
      <c r="D586" s="4">
        <f>Acciones!D587/Acciones!D586 -1</f>
        <v>-3.6900545369500382E-3</v>
      </c>
      <c r="E586" s="4">
        <f>Acciones!E587/Acciones!E586 -1</f>
        <v>-2.5925922246629707E-2</v>
      </c>
    </row>
    <row r="587" spans="1:5" x14ac:dyDescent="0.2">
      <c r="A587" s="1">
        <f>Acciones!A588</f>
        <v>45853</v>
      </c>
      <c r="B587" s="4">
        <f>Acciones!B588/Acciones!B587 -1</f>
        <v>1.8181723569503205E-2</v>
      </c>
      <c r="C587" s="4">
        <f>Acciones!C588/Acciones!C587 -1</f>
        <v>-1.1655895890842705E-2</v>
      </c>
      <c r="D587" s="4">
        <f>Acciones!D588/Acciones!D587 -1</f>
        <v>5.1851557515356639E-3</v>
      </c>
      <c r="E587" s="4">
        <f>Acciones!E588/Acciones!E587 -1</f>
        <v>4.5627353590149689E-2</v>
      </c>
    </row>
    <row r="588" spans="1:5" x14ac:dyDescent="0.2">
      <c r="A588" s="1">
        <f>Acciones!A589</f>
        <v>45854</v>
      </c>
      <c r="B588" s="4">
        <f>Acciones!B589/Acciones!B588 -1</f>
        <v>8.1846553810505096E-3</v>
      </c>
      <c r="C588" s="4">
        <f>Acciones!C589/Acciones!C588 -1</f>
        <v>3.1844819939037317E-2</v>
      </c>
      <c r="D588" s="4">
        <f>Acciones!D589/Acciones!D588 -1</f>
        <v>-3.684526115891873E-3</v>
      </c>
      <c r="E588" s="4">
        <f>Acciones!E589/Acciones!E588 -1</f>
        <v>0</v>
      </c>
    </row>
    <row r="589" spans="1:5" x14ac:dyDescent="0.2">
      <c r="A589" s="1">
        <f>Acciones!A590</f>
        <v>45855</v>
      </c>
      <c r="B589" s="4">
        <f>Acciones!B590/Acciones!B589 -1</f>
        <v>-3.1734395426422313E-2</v>
      </c>
      <c r="C589" s="4">
        <f>Acciones!C590/Acciones!C589 -1</f>
        <v>2.453057842875217E-2</v>
      </c>
      <c r="D589" s="4">
        <f>Acciones!D590/Acciones!D589 -1</f>
        <v>1.4053303170651565E-2</v>
      </c>
      <c r="E589" s="4">
        <f>Acciones!E590/Acciones!E589 -1</f>
        <v>3.6363167408104413E-3</v>
      </c>
    </row>
    <row r="590" spans="1:5" x14ac:dyDescent="0.2">
      <c r="A590" s="1">
        <f>Acciones!A591</f>
        <v>45856</v>
      </c>
      <c r="B590" s="4">
        <f>Acciones!B591/Acciones!B590 -1</f>
        <v>1.5244758665284852E-3</v>
      </c>
      <c r="C590" s="4">
        <f>Acciones!C591/Acciones!C590 -1</f>
        <v>-2.3033669429466941E-2</v>
      </c>
      <c r="D590" s="4">
        <f>Acciones!D591/Acciones!D590 -1</f>
        <v>-1.1663077965591184E-2</v>
      </c>
      <c r="E590" s="4">
        <f>Acciones!E591/Acciones!E590 -1</f>
        <v>-1.8115925206105055E-2</v>
      </c>
    </row>
    <row r="591" spans="1:5" x14ac:dyDescent="0.2">
      <c r="A591" s="1">
        <f>Acciones!A592</f>
        <v>45859</v>
      </c>
      <c r="B591" s="4">
        <f>Acciones!B592/Acciones!B591 -1</f>
        <v>-1.1415605247755312E-2</v>
      </c>
      <c r="C591" s="4">
        <f>Acciones!C592/Acciones!C591 -1</f>
        <v>-4.0499489159194768E-2</v>
      </c>
      <c r="D591" s="4">
        <f>Acciones!D592/Acciones!D591 -1</f>
        <v>2.2125283995656053E-2</v>
      </c>
      <c r="E591" s="4">
        <f>Acciones!E592/Acciones!E591 -1</f>
        <v>0.16236162402203824</v>
      </c>
    </row>
    <row r="592" spans="1:5" x14ac:dyDescent="0.2">
      <c r="A592" s="1">
        <f>Acciones!A593</f>
        <v>45860</v>
      </c>
      <c r="B592" s="4">
        <f>Acciones!B593/Acciones!B592 -1</f>
        <v>2.3094625591530971E-2</v>
      </c>
      <c r="C592" s="4">
        <f>Acciones!C593/Acciones!C592 -1</f>
        <v>5.4651810017272373E-2</v>
      </c>
      <c r="D592" s="4">
        <f>Acciones!D593/Acciones!D592 -1</f>
        <v>1.7328710132415326E-2</v>
      </c>
      <c r="E592" s="4">
        <f>Acciones!E593/Acciones!E592 -1</f>
        <v>-7.6190441950470311E-2</v>
      </c>
    </row>
    <row r="593" spans="1:5" x14ac:dyDescent="0.2">
      <c r="A593" s="1">
        <f>Acciones!A594</f>
        <v>45861</v>
      </c>
      <c r="B593" s="4">
        <f>Acciones!B594/Acciones!B593 -1</f>
        <v>8.2769592037370554E-3</v>
      </c>
      <c r="C593" s="4">
        <f>Acciones!C594/Acciones!C593 -1</f>
        <v>-0.12374504662240493</v>
      </c>
      <c r="D593" s="4">
        <f>Acciones!D594/Acciones!D593 -1</f>
        <v>9.8367525413192158E-3</v>
      </c>
      <c r="E593" s="4">
        <f>Acciones!E594/Acciones!E593 -1</f>
        <v>2.7491361423301663E-2</v>
      </c>
    </row>
    <row r="594" spans="1:5" x14ac:dyDescent="0.2">
      <c r="A594" s="1">
        <f>Acciones!A595</f>
        <v>45862</v>
      </c>
      <c r="B594" s="4">
        <f>Acciones!B595/Acciones!B594 -1</f>
        <v>7.4626663472960875E-3</v>
      </c>
      <c r="C594" s="4">
        <f>Acciones!C595/Acciones!C594 -1</f>
        <v>-7.2571368363971711E-3</v>
      </c>
      <c r="D594" s="4">
        <f>Acciones!D595/Acciones!D594 -1</f>
        <v>-1.6783199006824345E-2</v>
      </c>
      <c r="E594" s="4">
        <f>Acciones!E595/Acciones!E594 -1</f>
        <v>0</v>
      </c>
    </row>
    <row r="595" spans="1:5" x14ac:dyDescent="0.2">
      <c r="A595" s="1">
        <f>Acciones!A596</f>
        <v>45863</v>
      </c>
      <c r="B595" s="4">
        <f>Acciones!B596/Acciones!B595 -1</f>
        <v>7.4074601722773359E-4</v>
      </c>
      <c r="C595" s="4">
        <f>Acciones!C596/Acciones!C595 -1</f>
        <v>-8.3989554135046607E-3</v>
      </c>
      <c r="D595" s="4">
        <f>Acciones!D596/Acciones!D595 -1</f>
        <v>1.2888035080595106E-2</v>
      </c>
      <c r="E595" s="4">
        <f>Acciones!E596/Acciones!E595 -1</f>
        <v>0</v>
      </c>
    </row>
    <row r="596" spans="1:5" x14ac:dyDescent="0.2">
      <c r="A596" s="1">
        <f>Acciones!A597</f>
        <v>45866</v>
      </c>
      <c r="B596" s="4">
        <f>Acciones!B597/Acciones!B596 -1</f>
        <v>1.0362695429518398E-2</v>
      </c>
      <c r="C596" s="4">
        <f>Acciones!C597/Acciones!C596 -1</f>
        <v>5.270330493025055E-3</v>
      </c>
      <c r="D596" s="4">
        <f>Acciones!D597/Acciones!D596 -1</f>
        <v>4.9739017896000215E-2</v>
      </c>
      <c r="E596" s="4">
        <f>Acciones!E597/Acciones!E596 -1</f>
        <v>-5.3511715352929645E-2</v>
      </c>
    </row>
    <row r="597" spans="1:5" x14ac:dyDescent="0.2">
      <c r="A597" s="1">
        <f>Acciones!A598</f>
        <v>45867</v>
      </c>
      <c r="B597" s="4">
        <f>Acciones!B598/Acciones!B597 -1</f>
        <v>-1.2454229201638634E-2</v>
      </c>
      <c r="C597" s="4">
        <f>Acciones!C598/Acciones!C597 -1</f>
        <v>-2.4528056076536964E-2</v>
      </c>
      <c r="D597" s="4">
        <f>Acciones!D598/Acciones!D597 -1</f>
        <v>-1.7795265034235119E-2</v>
      </c>
      <c r="E597" s="4">
        <f>Acciones!E598/Acciones!E597 -1</f>
        <v>3.1802132793254501E-2</v>
      </c>
    </row>
    <row r="598" spans="1:5" x14ac:dyDescent="0.2">
      <c r="A598" s="1">
        <f>Acciones!A599</f>
        <v>45868</v>
      </c>
      <c r="B598" s="4">
        <f>Acciones!B599/Acciones!B598 -1</f>
        <v>1.4836901095331756E-2</v>
      </c>
      <c r="C598" s="4">
        <f>Acciones!C599/Acciones!C598 -1</f>
        <v>-5.7581073575518893E-4</v>
      </c>
      <c r="D598" s="4">
        <f>Acciones!D599/Acciones!D598 -1</f>
        <v>-1.2197073120633339E-2</v>
      </c>
      <c r="E598" s="4">
        <f>Acciones!E599/Acciones!E598 -1</f>
        <v>-2.0547885086325324E-2</v>
      </c>
    </row>
    <row r="599" spans="1:5" x14ac:dyDescent="0.2">
      <c r="A599" s="1">
        <f>Acciones!A600</f>
        <v>45869</v>
      </c>
      <c r="B599" s="4">
        <f>Acciones!B600/Acciones!B599 -1</f>
        <v>2.1929261418882628E-3</v>
      </c>
      <c r="C599" s="4">
        <f>Acciones!C600/Acciones!C599 -1</f>
        <v>-2.2982595280612639E-2</v>
      </c>
      <c r="D599" s="4">
        <f>Acciones!D600/Acciones!D599 -1</f>
        <v>-2.4383437354630777E-2</v>
      </c>
      <c r="E599" s="4">
        <f>Acciones!E600/Acciones!E599 -1</f>
        <v>6.9929166343618565E-3</v>
      </c>
    </row>
    <row r="600" spans="1:5" x14ac:dyDescent="0.2">
      <c r="A600" s="1">
        <f>Acciones!A601</f>
        <v>45870</v>
      </c>
      <c r="B600" s="4">
        <f>Acciones!B601/Acciones!B600 -1</f>
        <v>1.8234922696222178E-2</v>
      </c>
      <c r="C600" s="4">
        <f>Acciones!C601/Acciones!C600 -1</f>
        <v>-3.6923038776009554E-2</v>
      </c>
      <c r="D600" s="4">
        <f>Acciones!D601/Acciones!D600 -1</f>
        <v>-9.6449315509788969E-3</v>
      </c>
      <c r="E600" s="4">
        <f>Acciones!E601/Acciones!E600 -1</f>
        <v>6.9444588167075771E-3</v>
      </c>
    </row>
    <row r="601" spans="1:5" x14ac:dyDescent="0.2">
      <c r="A601" s="1">
        <f>Acciones!A602</f>
        <v>45873</v>
      </c>
      <c r="B601" s="4">
        <f>Acciones!B602/Acciones!B601 -1</f>
        <v>-1.9341039870845789E-2</v>
      </c>
      <c r="C601" s="4">
        <f>Acciones!C602/Acciones!C601 -1</f>
        <v>3.6399552721670725E-2</v>
      </c>
      <c r="D601" s="4">
        <f>Acciones!D602/Acciones!D601 -1</f>
        <v>1.6910249220090101E-2</v>
      </c>
      <c r="E601" s="4">
        <f>Acciones!E602/Acciones!E601 -1</f>
        <v>3.4483343327385008E-3</v>
      </c>
    </row>
    <row r="602" spans="1:5" x14ac:dyDescent="0.2">
      <c r="A602" s="1">
        <f>Acciones!A603</f>
        <v>45874</v>
      </c>
      <c r="B602" s="4">
        <f>Acciones!B603/Acciones!B602 -1</f>
        <v>0</v>
      </c>
      <c r="C602" s="4">
        <f>Acciones!C603/Acciones!C602 -1</f>
        <v>-4.4738412390783244E-2</v>
      </c>
      <c r="D602" s="4">
        <f>Acciones!D603/Acciones!D602 -1</f>
        <v>-1.6925224219800361E-2</v>
      </c>
      <c r="E602" s="4">
        <f>Acciones!E603/Acciones!E602 -1</f>
        <v>-3.4364841863347984E-3</v>
      </c>
    </row>
    <row r="603" spans="1:5" x14ac:dyDescent="0.2">
      <c r="A603" s="1">
        <f>Acciones!A604</f>
        <v>45875</v>
      </c>
      <c r="B603" s="4">
        <f>Acciones!B604/Acciones!B603 -1</f>
        <v>-7.3045820556860708E-3</v>
      </c>
      <c r="C603" s="4">
        <f>Acciones!C604/Acciones!C603 -1</f>
        <v>2.5529989028438838E-2</v>
      </c>
      <c r="D603" s="4">
        <f>Acciones!D604/Acciones!D603 -1</f>
        <v>9.325778392195172E-3</v>
      </c>
      <c r="E603" s="4">
        <f>Acciones!E604/Acciones!E603 -1</f>
        <v>0</v>
      </c>
    </row>
    <row r="604" spans="1:5" x14ac:dyDescent="0.2">
      <c r="A604" s="1">
        <f>Acciones!A605</f>
        <v>45876</v>
      </c>
      <c r="B604" s="4">
        <f>Acciones!B605/Acciones!B604 -1</f>
        <v>-8.8300123520935747E-3</v>
      </c>
      <c r="C604" s="4">
        <f>Acciones!C605/Acciones!C604 -1</f>
        <v>-5.2602588339795142E-3</v>
      </c>
      <c r="D604" s="4">
        <f>Acciones!D605/Acciones!D604 -1</f>
        <v>-1.5636212712729747E-2</v>
      </c>
      <c r="E604" s="4">
        <f>Acciones!E605/Acciones!E604 -1</f>
        <v>-1.0344797464950872E-2</v>
      </c>
    </row>
    <row r="605" spans="1:5" x14ac:dyDescent="0.2">
      <c r="A605" s="1">
        <f>Acciones!A606</f>
        <v>45877</v>
      </c>
      <c r="B605" s="4">
        <f>Acciones!B606/Acciones!B605 -1</f>
        <v>5.9391659466863089E-3</v>
      </c>
      <c r="C605" s="4">
        <f>Acciones!C606/Acciones!C605 -1</f>
        <v>-3.1830010242079765E-2</v>
      </c>
      <c r="D605" s="4">
        <f>Acciones!D606/Acciones!D605 -1</f>
        <v>-7.220162778994621E-3</v>
      </c>
      <c r="E605" s="4">
        <f>Acciones!E606/Acciones!E605 -1</f>
        <v>-6.9686552257599566E-3</v>
      </c>
    </row>
    <row r="606" spans="1:5" x14ac:dyDescent="0.2">
      <c r="A606" s="1">
        <f>Acciones!A607</f>
        <v>45880</v>
      </c>
      <c r="B606" s="4">
        <f>Acciones!B607/Acciones!B606 -1</f>
        <v>2.9519778389064388E-3</v>
      </c>
      <c r="C606" s="4">
        <f>Acciones!C607/Acciones!C606 -1</f>
        <v>1.5377062596069857E-2</v>
      </c>
      <c r="D606" s="4">
        <f>Acciones!D607/Acciones!D606 -1</f>
        <v>4.3634969543215885E-3</v>
      </c>
      <c r="E606" s="4">
        <f>Acciones!E607/Acciones!E606 -1</f>
        <v>1.7543843138139392E-2</v>
      </c>
    </row>
    <row r="607" spans="1:5" x14ac:dyDescent="0.2">
      <c r="A607" s="1">
        <f>Acciones!A608</f>
        <v>45881</v>
      </c>
      <c r="B607" s="4">
        <f>Acciones!B608/Acciones!B607 -1</f>
        <v>-8.0942441772643425E-3</v>
      </c>
      <c r="C607" s="4">
        <f>Acciones!C608/Acciones!C607 -1</f>
        <v>7.6749841169723165E-3</v>
      </c>
      <c r="D607" s="4">
        <f>Acciones!D608/Acciones!D607 -1</f>
        <v>1.0854491591719251E-2</v>
      </c>
      <c r="E607" s="4">
        <f>Acciones!E608/Acciones!E607 -1</f>
        <v>1.0344900231584742E-2</v>
      </c>
    </row>
    <row r="608" spans="1:5" x14ac:dyDescent="0.2">
      <c r="A608" s="1">
        <f>Acciones!A609</f>
        <v>45882</v>
      </c>
      <c r="B608" s="4">
        <f>Acciones!B609/Acciones!B608 -1</f>
        <v>1.4836901095338639E-3</v>
      </c>
      <c r="C608" s="4">
        <f>Acciones!C609/Acciones!C608 -1</f>
        <v>9.0105196922447561E-3</v>
      </c>
      <c r="D608" s="4">
        <f>Acciones!D609/Acciones!D608 -1</f>
        <v>3.5071978970008688E-2</v>
      </c>
      <c r="E608" s="4">
        <f>Acciones!E609/Acciones!E608 -1</f>
        <v>-0.10238907815114595</v>
      </c>
    </row>
    <row r="609" spans="1:5" x14ac:dyDescent="0.2">
      <c r="A609" s="1">
        <f>Acciones!A610</f>
        <v>45883</v>
      </c>
      <c r="B609" s="4">
        <f>Acciones!B610/Acciones!B609 -1</f>
        <v>2.8888949299274103E-2</v>
      </c>
      <c r="C609" s="4">
        <f>Acciones!C610/Acciones!C609 -1</f>
        <v>-6.1331333587834047E-3</v>
      </c>
      <c r="D609" s="4">
        <f>Acciones!D610/Acciones!D609 -1</f>
        <v>-4.1179265235753437E-3</v>
      </c>
      <c r="E609" s="4">
        <f>Acciones!E610/Acciones!E609 -1</f>
        <v>9.5056939430804954E-2</v>
      </c>
    </row>
    <row r="610" spans="1:5" x14ac:dyDescent="0.2">
      <c r="A610" s="1">
        <f>Acciones!A611</f>
        <v>45884</v>
      </c>
      <c r="B610" s="4">
        <f>Acciones!B611/Acciones!B610 -1</f>
        <v>-5.0396324346996257E-3</v>
      </c>
      <c r="C610" s="4">
        <f>Acciones!C611/Acciones!C610 -1</f>
        <v>2.9160000355930027E-3</v>
      </c>
      <c r="D610" s="4">
        <f>Acciones!D611/Acciones!D610 -1</f>
        <v>4.2878016268275143E-3</v>
      </c>
      <c r="E610" s="4">
        <f>Acciones!E611/Acciones!E610 -1</f>
        <v>-0.15972219060324477</v>
      </c>
    </row>
    <row r="611" spans="1:5" x14ac:dyDescent="0.2">
      <c r="A611" s="1">
        <f>Acciones!A612</f>
        <v>45887</v>
      </c>
      <c r="B611" s="4">
        <f>Acciones!B612/Acciones!B611 -1</f>
        <v>5.065158974152606E-3</v>
      </c>
      <c r="C611" s="4">
        <f>Acciones!C612/Acciones!C611 -1</f>
        <v>1.7647659048332098E-2</v>
      </c>
      <c r="D611" s="4">
        <f>Acciones!D612/Acciones!D611 -1</f>
        <v>5.8954456973840941E-3</v>
      </c>
      <c r="E611" s="4">
        <f>Acciones!E612/Acciones!E611 -1</f>
        <v>7.4380131702867391E-2</v>
      </c>
    </row>
    <row r="612" spans="1:5" x14ac:dyDescent="0.2">
      <c r="A612" s="1">
        <f>Acciones!A613</f>
        <v>45888</v>
      </c>
      <c r="B612" s="4">
        <f>Acciones!B613/Acciones!B612 -1</f>
        <v>-5.0396324346996257E-3</v>
      </c>
      <c r="C612" s="4">
        <f>Acciones!C613/Acciones!C612 -1</f>
        <v>-4.9300673919268845E-2</v>
      </c>
      <c r="D612" s="4">
        <f>Acciones!D613/Acciones!D612 -1</f>
        <v>-5.9709240861112178E-3</v>
      </c>
      <c r="E612" s="4">
        <f>Acciones!E613/Acciones!E612 -1</f>
        <v>1.1538542657212103E-2</v>
      </c>
    </row>
    <row r="613" spans="1:5" x14ac:dyDescent="0.2">
      <c r="A613" s="1">
        <f>Acciones!A614</f>
        <v>45889</v>
      </c>
      <c r="B613" s="4">
        <f>Acciones!B614/Acciones!B613 -1</f>
        <v>1.1053786241300489E-2</v>
      </c>
      <c r="C613" s="4">
        <f>Acciones!C614/Acciones!C613 -1</f>
        <v>5.276511085003488E-3</v>
      </c>
      <c r="D613" s="4">
        <f>Acciones!D614/Acciones!D613 -1</f>
        <v>-1.0373665915276997E-2</v>
      </c>
      <c r="E613" s="4">
        <f>Acciones!E614/Acciones!E613 -1</f>
        <v>0</v>
      </c>
    </row>
    <row r="614" spans="1:5" x14ac:dyDescent="0.2">
      <c r="A614" s="1">
        <f>Acciones!A615</f>
        <v>45890</v>
      </c>
      <c r="B614" s="4">
        <f>Acciones!B615/Acciones!B614 -1</f>
        <v>-5.8308757402454336E-3</v>
      </c>
      <c r="C614" s="4">
        <f>Acciones!C615/Acciones!C614 -1</f>
        <v>1.4600022192274853E-3</v>
      </c>
      <c r="D614" s="4">
        <f>Acciones!D615/Acciones!D614 -1</f>
        <v>-4.5523595690725172E-3</v>
      </c>
      <c r="E614" s="4">
        <f>Acciones!E615/Acciones!E614 -1</f>
        <v>1.5209042318845345E-2</v>
      </c>
    </row>
    <row r="615" spans="1:5" x14ac:dyDescent="0.2">
      <c r="A615" s="1">
        <f>Acciones!A616</f>
        <v>45891</v>
      </c>
      <c r="B615" s="4">
        <f>Acciones!B616/Acciones!B615 -1</f>
        <v>1.099705838578191E-2</v>
      </c>
      <c r="C615" s="4">
        <f>Acciones!C616/Acciones!C615 -1</f>
        <v>5.2308250624626185E-2</v>
      </c>
      <c r="D615" s="4">
        <f>Acciones!D616/Acciones!D615 -1</f>
        <v>2.7038715101360022E-2</v>
      </c>
      <c r="E615" s="4">
        <f>Acciones!E616/Acciones!E615 -1</f>
        <v>-7.49065217194822E-3</v>
      </c>
    </row>
    <row r="616" spans="1:5" x14ac:dyDescent="0.2">
      <c r="A616" s="1">
        <f>Acciones!A617</f>
        <v>45894</v>
      </c>
      <c r="B616" s="4">
        <f>Acciones!B617/Acciones!B616 -1</f>
        <v>0</v>
      </c>
      <c r="C616" s="4">
        <f>Acciones!C617/Acciones!C616 -1</f>
        <v>-4.8421751964787374E-2</v>
      </c>
      <c r="D616" s="4">
        <f>Acciones!D617/Acciones!D616 -1</f>
        <v>1.3679956418311434E-2</v>
      </c>
      <c r="E616" s="4">
        <f>Acciones!E617/Acciones!E616 -1</f>
        <v>0</v>
      </c>
    </row>
    <row r="617" spans="1:5" x14ac:dyDescent="0.2">
      <c r="A617" s="1">
        <f>Acciones!A618</f>
        <v>45895</v>
      </c>
      <c r="B617" s="4">
        <f>Acciones!B618/Acciones!B617 -1</f>
        <v>-1.0877438558862251E-2</v>
      </c>
      <c r="C617" s="4">
        <f>Acciones!C618/Acciones!C617 -1</f>
        <v>2.9082515624270888E-2</v>
      </c>
      <c r="D617" s="4">
        <f>Acciones!D618/Acciones!D617 -1</f>
        <v>-1.112691982262537E-2</v>
      </c>
      <c r="E617" s="4">
        <f>Acciones!E618/Acciones!E617 -1</f>
        <v>-3.7735365259540243E-3</v>
      </c>
    </row>
    <row r="618" spans="1:5" x14ac:dyDescent="0.2">
      <c r="A618" s="1">
        <f>Acciones!A619</f>
        <v>45896</v>
      </c>
      <c r="B618" s="4">
        <f>Acciones!B619/Acciones!B618 -1</f>
        <v>0</v>
      </c>
      <c r="C618" s="4">
        <f>Acciones!C619/Acciones!C618 -1</f>
        <v>-5.5914970183466028E-3</v>
      </c>
      <c r="D618" s="4">
        <f>Acciones!D619/Acciones!D618 -1</f>
        <v>-7.8470770090457442E-3</v>
      </c>
      <c r="E618" s="4">
        <f>Acciones!E619/Acciones!E618 -1</f>
        <v>2.651514894952367E-2</v>
      </c>
    </row>
    <row r="619" spans="1:5" x14ac:dyDescent="0.2">
      <c r="A619" s="1">
        <f>Acciones!A620</f>
        <v>45897</v>
      </c>
      <c r="B619" s="4">
        <f>Acciones!B620/Acciones!B619 -1</f>
        <v>-2.1994823160165211E-3</v>
      </c>
      <c r="C619" s="4">
        <f>Acciones!C620/Acciones!C619 -1</f>
        <v>1.0466758096040918E-2</v>
      </c>
      <c r="D619" s="4">
        <f>Acciones!D620/Acciones!D619 -1</f>
        <v>-1.1209931365554482E-3</v>
      </c>
      <c r="E619" s="4">
        <f>Acciones!E620/Acciones!E619 -1</f>
        <v>-1.8450167052464272E-2</v>
      </c>
    </row>
    <row r="620" spans="1:5" x14ac:dyDescent="0.2">
      <c r="A620" s="1">
        <f>Acciones!A621</f>
        <v>45898</v>
      </c>
      <c r="B620" s="4">
        <f>Acciones!B621/Acciones!B620 -1</f>
        <v>0</v>
      </c>
      <c r="C620" s="4">
        <f>Acciones!C621/Acciones!C620 -1</f>
        <v>-3.7880221650634649E-3</v>
      </c>
      <c r="D620" s="4">
        <f>Acciones!D621/Acciones!D620 -1</f>
        <v>-8.0626414540013736E-3</v>
      </c>
      <c r="E620" s="4">
        <f>Acciones!E621/Acciones!E620 -1</f>
        <v>-3.7594620972158932E-3</v>
      </c>
    </row>
    <row r="621" spans="1:5" x14ac:dyDescent="0.2">
      <c r="A621" s="1">
        <f>Acciones!A622</f>
        <v>45901</v>
      </c>
      <c r="B621" s="4">
        <f>Acciones!B622/Acciones!B621 -1</f>
        <v>-7.3470610623305177E-4</v>
      </c>
      <c r="C621" s="4">
        <f>Acciones!C622/Acciones!C621 -1</f>
        <v>-1.4065525199542406E-2</v>
      </c>
      <c r="D621" s="4">
        <f>Acciones!D622/Acciones!D621 -1</f>
        <v>6.4691568747641259E-3</v>
      </c>
      <c r="E621" s="4">
        <f>Acciones!E622/Acciones!E621 -1</f>
        <v>3.7736489875528356E-3</v>
      </c>
    </row>
    <row r="622" spans="1:5" x14ac:dyDescent="0.2">
      <c r="A622" s="1">
        <f>Acciones!A623</f>
        <v>45902</v>
      </c>
      <c r="B622" s="4">
        <f>Acciones!B623/Acciones!B622 -1</f>
        <v>1.8382361797006475E-2</v>
      </c>
      <c r="C622" s="4">
        <f>Acciones!C623/Acciones!C622 -1</f>
        <v>2.6348127033116064E-2</v>
      </c>
      <c r="D622" s="4">
        <f>Acciones!D623/Acciones!D622 -1</f>
        <v>-4.2115318996852724E-2</v>
      </c>
      <c r="E622" s="4">
        <f>Acciones!E623/Acciones!E622 -1</f>
        <v>7.5188121556284404E-3</v>
      </c>
    </row>
    <row r="623" spans="1:5" x14ac:dyDescent="0.2">
      <c r="A623" s="1">
        <f>Acciones!A624</f>
        <v>45903</v>
      </c>
      <c r="B623" s="4">
        <f>Acciones!B624/Acciones!B623 -1</f>
        <v>-4.3321264478328736E-3</v>
      </c>
      <c r="C623" s="4">
        <f>Acciones!C624/Acciones!C623 -1</f>
        <v>-1.7192116941834756E-2</v>
      </c>
      <c r="D623" s="4">
        <f>Acciones!D624/Acciones!D623 -1</f>
        <v>8.2532046699936856E-3</v>
      </c>
      <c r="E623" s="4">
        <f>Acciones!E624/Acciones!E623 -1</f>
        <v>-1.4925403009679705E-2</v>
      </c>
    </row>
    <row r="624" spans="1:5" x14ac:dyDescent="0.2">
      <c r="A624" s="1">
        <f>Acciones!A625</f>
        <v>45904</v>
      </c>
      <c r="B624" s="4">
        <f>Acciones!B625/Acciones!B624 -1</f>
        <v>4.3509754235391274E-3</v>
      </c>
      <c r="C624" s="4">
        <f>Acciones!C625/Acciones!C624 -1</f>
        <v>-4.0771403453445543E-2</v>
      </c>
      <c r="D624" s="4">
        <f>Acciones!D625/Acciones!D624 -1</f>
        <v>1.071434866382992E-2</v>
      </c>
      <c r="E624" s="4">
        <f>Acciones!E625/Acciones!E624 -1</f>
        <v>3.7878300409677212E-3</v>
      </c>
    </row>
    <row r="625" spans="1:5" x14ac:dyDescent="0.2">
      <c r="A625" s="1">
        <f>Acciones!A626</f>
        <v>45905</v>
      </c>
      <c r="B625" s="4">
        <f>Acciones!B626/Acciones!B625 -1</f>
        <v>-8.6643224634783689E-3</v>
      </c>
      <c r="C625" s="4">
        <f>Acciones!C626/Acciones!C625 -1</f>
        <v>2.8571342454779547E-3</v>
      </c>
      <c r="D625" s="4">
        <f>Acciones!D626/Acciones!D625 -1</f>
        <v>-2.4735011007738228E-2</v>
      </c>
      <c r="E625" s="4">
        <f>Acciones!E626/Acciones!E625 -1</f>
        <v>-1.1320722039461106E-2</v>
      </c>
    </row>
    <row r="626" spans="1:5" x14ac:dyDescent="0.2">
      <c r="A626" s="1">
        <f>Acciones!A627</f>
        <v>45908</v>
      </c>
      <c r="B626" s="4">
        <f>Acciones!B627/Acciones!B626 -1</f>
        <v>-2.1849245469441891E-3</v>
      </c>
      <c r="C626" s="4">
        <f>Acciones!C627/Acciones!C626 -1</f>
        <v>-3.6580090529797493E-3</v>
      </c>
      <c r="D626" s="4">
        <f>Acciones!D627/Acciones!D626 -1</f>
        <v>7.3189476649204721E-4</v>
      </c>
      <c r="E626" s="4">
        <f>Acciones!E627/Acciones!E626 -1</f>
        <v>-7.6336034159383281E-3</v>
      </c>
    </row>
    <row r="627" spans="1:5" x14ac:dyDescent="0.2">
      <c r="A627" s="1">
        <f>Acciones!A628</f>
        <v>45909</v>
      </c>
      <c r="B627" s="4">
        <f>Acciones!B628/Acciones!B627 -1</f>
        <v>-4.3795584503213414E-3</v>
      </c>
      <c r="C627" s="4">
        <f>Acciones!C628/Acciones!C627 -1</f>
        <v>4.9528715795656986E-2</v>
      </c>
      <c r="D627" s="4">
        <f>Acciones!D628/Acciones!D627 -1</f>
        <v>-8.6964375150248019E-3</v>
      </c>
      <c r="E627" s="4">
        <f>Acciones!E628/Acciones!E627 -1</f>
        <v>-3.8461503192513513E-2</v>
      </c>
    </row>
    <row r="628" spans="1:5" x14ac:dyDescent="0.2">
      <c r="A628" s="1">
        <f>Acciones!A629</f>
        <v>45910</v>
      </c>
      <c r="B628" s="4">
        <f>Acciones!B629/Acciones!B628 -1</f>
        <v>3.6656625823061617E-3</v>
      </c>
      <c r="C628" s="4">
        <f>Acciones!C629/Acciones!C628 -1</f>
        <v>-7.5007755139999688E-3</v>
      </c>
      <c r="D628" s="4">
        <f>Acciones!D629/Acciones!D628 -1</f>
        <v>8.0276364208768936E-3</v>
      </c>
      <c r="E628" s="4">
        <f>Acciones!E629/Acciones!E628 -1</f>
        <v>8.0000162124600482E-3</v>
      </c>
    </row>
    <row r="629" spans="1:5" x14ac:dyDescent="0.2">
      <c r="A629" s="1">
        <f>Acciones!A630</f>
        <v>45911</v>
      </c>
      <c r="B629" s="4">
        <f>Acciones!B630/Acciones!B629 -1</f>
        <v>3.6522745760525499E-3</v>
      </c>
      <c r="C629" s="4">
        <f>Acciones!C630/Acciones!C629 -1</f>
        <v>-9.7264887855358362E-3</v>
      </c>
      <c r="D629" s="4">
        <f>Acciones!D630/Acciones!D629 -1</f>
        <v>-3.6159475609703895E-3</v>
      </c>
      <c r="E629" s="4">
        <f>Acciones!E630/Acciones!E629 -1</f>
        <v>0</v>
      </c>
    </row>
    <row r="630" spans="1:5" x14ac:dyDescent="0.2">
      <c r="A630" s="1">
        <f>Acciones!A631</f>
        <v>45912</v>
      </c>
      <c r="B630" s="4">
        <f>Acciones!B631/Acciones!B630 -1</f>
        <v>-3.6389840072800217E-3</v>
      </c>
      <c r="C630" s="4">
        <f>Acciones!C631/Acciones!C630 -1</f>
        <v>3.4770611636156801E-2</v>
      </c>
      <c r="D630" s="4">
        <f>Acciones!D631/Acciones!D630 -1</f>
        <v>-1.8909136073786637E-2</v>
      </c>
      <c r="E630" s="4">
        <f>Acciones!E631/Acciones!E630 -1</f>
        <v>-3.9683210779164479E-3</v>
      </c>
    </row>
    <row r="631" spans="1:5" x14ac:dyDescent="0.2">
      <c r="A631" s="1">
        <f>Acciones!A632</f>
        <v>45915</v>
      </c>
      <c r="B631" s="4">
        <f>Acciones!B632/Acciones!B631 -1</f>
        <v>-5.1132407111655898E-3</v>
      </c>
      <c r="C631" s="4">
        <f>Acciones!C632/Acciones!C631 -1</f>
        <v>-1.6834226036797517E-2</v>
      </c>
      <c r="D631" s="4">
        <f>Acciones!D632/Acciones!D631 -1</f>
        <v>-4.981373165239833E-3</v>
      </c>
      <c r="E631" s="4">
        <f>Acciones!E632/Acciones!E631 -1</f>
        <v>3.9841313904904752E-3</v>
      </c>
    </row>
    <row r="632" spans="1:5" x14ac:dyDescent="0.2">
      <c r="A632" s="1">
        <f>Acciones!A633</f>
        <v>45917</v>
      </c>
      <c r="B632" s="4">
        <f>Acciones!B633/Acciones!B632 -1</f>
        <v>8.8105658311141699E-3</v>
      </c>
      <c r="C632" s="4">
        <f>Acciones!C633/Acciones!C632 -1</f>
        <v>7.2459411783849514E-2</v>
      </c>
      <c r="D632" s="4">
        <f>Acciones!D633/Acciones!D632 -1</f>
        <v>-9.1485839462027707E-3</v>
      </c>
      <c r="E632" s="4">
        <f>Acciones!E633/Acciones!E632 -1</f>
        <v>7.9365238926523141E-3</v>
      </c>
    </row>
    <row r="633" spans="1:5" x14ac:dyDescent="0.2">
      <c r="A633" s="1">
        <f>Acciones!A634</f>
        <v>45918</v>
      </c>
      <c r="B633" s="4">
        <f>Acciones!B634/Acciones!B633 -1</f>
        <v>7.2782485135980401E-4</v>
      </c>
      <c r="C633" s="4">
        <f>Acciones!C634/Acciones!C633 -1</f>
        <v>7.1735501685403769E-2</v>
      </c>
      <c r="D633" s="4">
        <f>Acciones!D634/Acciones!D633 -1</f>
        <v>-3.7669211564260729E-3</v>
      </c>
      <c r="E633" s="4">
        <f>Acciones!E634/Acciones!E633 -1</f>
        <v>0</v>
      </c>
    </row>
    <row r="634" spans="1:5" x14ac:dyDescent="0.2">
      <c r="A634" s="1">
        <f>Acciones!A635</f>
        <v>45919</v>
      </c>
      <c r="B634" s="4">
        <f>Acciones!B635/Acciones!B634 -1</f>
        <v>-4.1454512532623E-2</v>
      </c>
      <c r="C634" s="4">
        <f>Acciones!C635/Acciones!C634 -1</f>
        <v>-1.3638503166709781E-2</v>
      </c>
      <c r="D634" s="4">
        <f>Acciones!D635/Acciones!D634 -1</f>
        <v>-1.3577507879579231E-2</v>
      </c>
      <c r="E634" s="4">
        <f>Acciones!E635/Acciones!E634 -1</f>
        <v>1.1810988514843856E-2</v>
      </c>
    </row>
    <row r="635" spans="1:5" x14ac:dyDescent="0.2">
      <c r="A635" s="1">
        <f>Acciones!A636</f>
        <v>45922</v>
      </c>
      <c r="B635" s="4">
        <f>Acciones!B636/Acciones!B635 -1</f>
        <v>3.8694960353366614E-2</v>
      </c>
      <c r="C635" s="4">
        <f>Acciones!C636/Acciones!C635 -1</f>
        <v>-9.7026559856020489E-3</v>
      </c>
      <c r="D635" s="4">
        <f>Acciones!D636/Acciones!D635 -1</f>
        <v>1.7674339224162949E-3</v>
      </c>
      <c r="E635" s="4">
        <f>Acciones!E636/Acciones!E635 -1</f>
        <v>7.7821169598530915E-3</v>
      </c>
    </row>
    <row r="636" spans="1:5" x14ac:dyDescent="0.2">
      <c r="A636" s="1">
        <f>Acciones!A637</f>
        <v>45923</v>
      </c>
      <c r="B636" s="4">
        <f>Acciones!B637/Acciones!B636 -1</f>
        <v>-1.3878755998383618E-2</v>
      </c>
      <c r="C636" s="4">
        <f>Acciones!C637/Acciones!C636 -1</f>
        <v>-2.426968120903672E-2</v>
      </c>
      <c r="D636" s="4">
        <f>Acciones!D637/Acciones!D636 -1</f>
        <v>-7.1029797713929588E-3</v>
      </c>
      <c r="E636" s="4">
        <f>Acciones!E637/Acciones!E636 -1</f>
        <v>-7.7220232715867754E-3</v>
      </c>
    </row>
    <row r="637" spans="1:5" x14ac:dyDescent="0.2">
      <c r="A637" s="1">
        <f>Acciones!A638</f>
        <v>45924</v>
      </c>
      <c r="B637" s="4">
        <f>Acciones!B638/Acciones!B637 -1</f>
        <v>9.6296458600202417E-3</v>
      </c>
      <c r="C637" s="4">
        <f>Acciones!C638/Acciones!C637 -1</f>
        <v>7.3705130186274559E-4</v>
      </c>
      <c r="D637" s="4">
        <f>Acciones!D638/Acciones!D637 -1</f>
        <v>7.6845249634338586E-3</v>
      </c>
      <c r="E637" s="4">
        <f>Acciones!E638/Acciones!E637 -1</f>
        <v>3.8910004987551261E-3</v>
      </c>
    </row>
    <row r="638" spans="1:5" x14ac:dyDescent="0.2">
      <c r="A638" s="1">
        <f>Acciones!A639</f>
        <v>45925</v>
      </c>
      <c r="B638" s="4">
        <f>Acciones!B639/Acciones!B638 -1</f>
        <v>1.2472524295324083E-2</v>
      </c>
      <c r="C638" s="4">
        <f>Acciones!C639/Acciones!C638 -1</f>
        <v>-8.9876974526265863E-2</v>
      </c>
      <c r="D638" s="4">
        <f>Acciones!D639/Acciones!D638 -1</f>
        <v>-2.2381578720372719E-2</v>
      </c>
      <c r="E638" s="4">
        <f>Acciones!E639/Acciones!E638 -1</f>
        <v>-1.162787339741933E-2</v>
      </c>
    </row>
    <row r="639" spans="1:5" x14ac:dyDescent="0.2">
      <c r="A639" s="1">
        <f>Acciones!A640</f>
        <v>45926</v>
      </c>
      <c r="B639" s="4">
        <f>Acciones!B640/Acciones!B639 -1</f>
        <v>-1.086962593031171E-2</v>
      </c>
      <c r="C639" s="4">
        <f>Acciones!C640/Acciones!C639 -1</f>
        <v>-5.3607427686129805E-3</v>
      </c>
      <c r="D639" s="4">
        <f>Acciones!D640/Acciones!D639 -1</f>
        <v>-1.2235693753106736E-2</v>
      </c>
      <c r="E639" s="4">
        <f>Acciones!E640/Acciones!E639 -1</f>
        <v>1.9607824804413365E-2</v>
      </c>
    </row>
    <row r="640" spans="1:5" x14ac:dyDescent="0.2">
      <c r="A640" s="1">
        <f>Acciones!A641</f>
        <v>45929</v>
      </c>
      <c r="B640" s="4">
        <f>Acciones!B641/Acciones!B640 -1</f>
        <v>-1.0256378763693008E-2</v>
      </c>
      <c r="C640" s="4">
        <f>Acciones!C641/Acciones!C640 -1</f>
        <v>0.15887594849552245</v>
      </c>
      <c r="D640" s="4">
        <f>Acciones!D641/Acciones!D640 -1</f>
        <v>1.1059160744871344E-2</v>
      </c>
      <c r="E640" s="4">
        <f>Acciones!E641/Acciones!E640 -1</f>
        <v>-2.6923075159624887E-2</v>
      </c>
    </row>
    <row r="641" spans="1:5" x14ac:dyDescent="0.2">
      <c r="A641" s="1">
        <f>Acciones!A642</f>
        <v>45930</v>
      </c>
      <c r="B641" s="4">
        <f>Acciones!B642/Acciones!B641 -1</f>
        <v>1.7764604442149556E-2</v>
      </c>
      <c r="C641" s="4">
        <f>Acciones!C642/Acciones!C641 -1</f>
        <v>-2.1440321121899308E-2</v>
      </c>
      <c r="D641" s="4">
        <f>Acciones!D642/Acciones!D641 -1</f>
        <v>7.8969092311020894E-4</v>
      </c>
      <c r="E641" s="4">
        <f>Acciones!E642/Acciones!E641 -1</f>
        <v>-3.9525184200162045E-3</v>
      </c>
    </row>
    <row r="642" spans="1:5" x14ac:dyDescent="0.2">
      <c r="A642" s="1">
        <f>Acciones!A643</f>
        <v>45931</v>
      </c>
      <c r="B642" s="4">
        <f>Acciones!B643/Acciones!B642 -1</f>
        <v>2.1818164490834402E-3</v>
      </c>
      <c r="C642" s="4">
        <f>Acciones!C643/Acciones!C642 -1</f>
        <v>2.0774211509859475E-2</v>
      </c>
      <c r="D642" s="4">
        <f>Acciones!D643/Acciones!D642 -1</f>
        <v>6.1155713292773362E-2</v>
      </c>
      <c r="E642" s="4">
        <f>Acciones!E643/Acciones!E642 -1</f>
        <v>-3.9683210779164479E-3</v>
      </c>
    </row>
    <row r="643" spans="1:5" x14ac:dyDescent="0.2">
      <c r="A643" s="1">
        <f>Acciones!A644</f>
        <v>45932</v>
      </c>
      <c r="B643" s="4">
        <f>Acciones!B644/Acciones!B643 -1</f>
        <v>-1.5965107642993082E-2</v>
      </c>
      <c r="C643" s="4">
        <f>Acciones!C644/Acciones!C643 -1</f>
        <v>1.859445418306005E-2</v>
      </c>
      <c r="D643" s="4">
        <f>Acciones!D644/Acciones!D643 -1</f>
        <v>9.4751428817045902E-3</v>
      </c>
      <c r="E643" s="4">
        <f>Acciones!E644/Acciones!E643 -1</f>
        <v>2.7888444796006606E-2</v>
      </c>
    </row>
    <row r="644" spans="1:5" x14ac:dyDescent="0.2">
      <c r="A644" s="1">
        <f>Acciones!A645</f>
        <v>45933</v>
      </c>
      <c r="B644" s="4">
        <f>Acciones!B645/Acciones!B644 -1</f>
        <v>3.6872177493540992E-3</v>
      </c>
      <c r="C644" s="4">
        <f>Acciones!C645/Acciones!C644 -1</f>
        <v>-4.5134606775075747E-3</v>
      </c>
      <c r="D644" s="4">
        <f>Acciones!D645/Acciones!D644 -1</f>
        <v>-3.0018329804989974E-2</v>
      </c>
      <c r="E644" s="4">
        <f>Acciones!E645/Acciones!E644 -1</f>
        <v>-3.8759192948457644E-3</v>
      </c>
    </row>
    <row r="645" spans="1:5" x14ac:dyDescent="0.2">
      <c r="A645" s="1">
        <f>Acciones!A646</f>
        <v>45936</v>
      </c>
      <c r="B645" s="4">
        <f>Acciones!B646/Acciones!B645 -1</f>
        <v>-8.0822627305623396E-3</v>
      </c>
      <c r="C645" s="4">
        <f>Acciones!C646/Acciones!C645 -1</f>
        <v>8.7241514270460341E-2</v>
      </c>
      <c r="D645" s="4">
        <f>Acciones!D646/Acciones!D645 -1</f>
        <v>-1.6541405730619463E-2</v>
      </c>
      <c r="E645" s="4">
        <f>Acciones!E646/Acciones!E645 -1</f>
        <v>3.8910004987551261E-3</v>
      </c>
    </row>
    <row r="646" spans="1:5" x14ac:dyDescent="0.2">
      <c r="A646" s="1">
        <f>Acciones!A647</f>
        <v>45937</v>
      </c>
      <c r="B646" s="4">
        <f>Acciones!B647/Acciones!B646 -1</f>
        <v>1.4814850764861776E-2</v>
      </c>
      <c r="C646" s="4">
        <f>Acciones!C647/Acciones!C646 -1</f>
        <v>-1.0730638614930954E-2</v>
      </c>
      <c r="D646" s="4">
        <f>Acciones!D647/Acciones!D646 -1</f>
        <v>-2.9052013329579518E-2</v>
      </c>
      <c r="E646" s="4">
        <f>Acciones!E647/Acciones!E646 -1</f>
        <v>-3.1007700897408008E-2</v>
      </c>
    </row>
    <row r="647" spans="1:5" x14ac:dyDescent="0.2">
      <c r="A647" s="1">
        <f>Acciones!A648</f>
        <v>45938</v>
      </c>
      <c r="B647" s="4">
        <f>Acciones!B648/Acciones!B647 -1</f>
        <v>-5.8394581534209067E-3</v>
      </c>
      <c r="C647" s="4">
        <f>Acciones!C648/Acciones!C647 -1</f>
        <v>-1.5304263808217922E-3</v>
      </c>
      <c r="D647" s="4">
        <f>Acciones!D648/Acciones!D647 -1</f>
        <v>-5.1653270161801101E-3</v>
      </c>
      <c r="E647" s="4">
        <f>Acciones!E648/Acciones!E647 -1</f>
        <v>3.1999945640563965E-2</v>
      </c>
    </row>
    <row r="648" spans="1:5" x14ac:dyDescent="0.2">
      <c r="A648" s="1">
        <f>Acciones!A649</f>
        <v>45939</v>
      </c>
      <c r="B648" s="4">
        <f>Acciones!B649/Acciones!B648 -1</f>
        <v>-6.6079243733374593E-3</v>
      </c>
      <c r="C648" s="4">
        <f>Acciones!C649/Acciones!C648 -1</f>
        <v>3.5226351010908541E-3</v>
      </c>
      <c r="D648" s="4">
        <f>Acciones!D649/Acciones!D648 -1</f>
        <v>-9.9569312927264564E-3</v>
      </c>
      <c r="E648" s="4">
        <f>Acciones!E649/Acciones!E648 -1</f>
        <v>-1.162787339741933E-2</v>
      </c>
    </row>
    <row r="649" spans="1:5" x14ac:dyDescent="0.2">
      <c r="A649" s="1">
        <f>Acciones!A650</f>
        <v>45940</v>
      </c>
      <c r="B649" s="4">
        <f>Acciones!B650/Acciones!B649 -1</f>
        <v>-2.9564146221422449E-3</v>
      </c>
      <c r="C649" s="4">
        <f>Acciones!C650/Acciones!C649 -1</f>
        <v>-8.2263758423837152E-2</v>
      </c>
      <c r="D649" s="4">
        <f>Acciones!D650/Acciones!D649 -1</f>
        <v>-3.2657542840693221E-2</v>
      </c>
      <c r="E649" s="4">
        <f>Acciones!E650/Acciones!E649 -1</f>
        <v>3.9216350839954561E-3</v>
      </c>
    </row>
    <row r="650" spans="1:5" x14ac:dyDescent="0.2">
      <c r="A650" s="1">
        <f>Acciones!A651</f>
        <v>45943</v>
      </c>
      <c r="B650" s="4">
        <f>Acciones!B651/Acciones!B650 -1</f>
        <v>4.447807101751966E-3</v>
      </c>
      <c r="C650" s="4">
        <f>Acciones!C651/Acciones!C650 -1</f>
        <v>9.4455333078134807E-2</v>
      </c>
      <c r="D650" s="4">
        <f>Acciones!D651/Acciones!D650 -1</f>
        <v>2.9503799280476528E-2</v>
      </c>
      <c r="E650" s="4">
        <f>Acciones!E651/Acciones!E650 -1</f>
        <v>-1.5625030922819527E-2</v>
      </c>
    </row>
    <row r="651" spans="1:5" x14ac:dyDescent="0.2">
      <c r="A651" s="1">
        <f>Acciones!A652</f>
        <v>45944</v>
      </c>
      <c r="B651" s="4">
        <f>Acciones!B652/Acciones!B651 -1</f>
        <v>1.1070101517408393E-2</v>
      </c>
      <c r="C651" s="4">
        <f>Acciones!C652/Acciones!C651 -1</f>
        <v>9.6948022337331574E-2</v>
      </c>
      <c r="D651" s="4">
        <f>Acciones!D652/Acciones!D651 -1</f>
        <v>8.2604348851518239E-3</v>
      </c>
      <c r="E651" s="4">
        <f>Acciones!E652/Acciones!E651 -1</f>
        <v>3.9682028147358661E-3</v>
      </c>
    </row>
    <row r="652" spans="1:5" x14ac:dyDescent="0.2">
      <c r="A652" s="1">
        <f>Acciones!A653</f>
        <v>45945</v>
      </c>
      <c r="B652" s="4">
        <f>Acciones!B653/Acciones!B652 -1</f>
        <v>-3.6496789282639552E-3</v>
      </c>
      <c r="C652" s="4">
        <f>Acciones!C653/Acciones!C652 -1</f>
        <v>2.7968286893442995E-2</v>
      </c>
      <c r="D652" s="4">
        <f>Acciones!D653/Acciones!D652 -1</f>
        <v>8.7579413400935557E-3</v>
      </c>
      <c r="E652" s="4">
        <f>Acciones!E653/Acciones!E652 -1</f>
        <v>0</v>
      </c>
    </row>
    <row r="653" spans="1:5" x14ac:dyDescent="0.2">
      <c r="A653" s="1">
        <f>Acciones!A654</f>
        <v>45946</v>
      </c>
      <c r="B653" s="4">
        <f>Acciones!B654/Acciones!B653 -1</f>
        <v>3.6630478769135166E-3</v>
      </c>
      <c r="C653" s="4">
        <f>Acciones!C654/Acciones!C653 -1</f>
        <v>-0.11592694437653617</v>
      </c>
      <c r="D653" s="4">
        <f>Acciones!D654/Acciones!D653 -1</f>
        <v>-2.6834981313549333E-2</v>
      </c>
      <c r="E653" s="4">
        <f>Acciones!E654/Acciones!E653 -1</f>
        <v>1.5810309271551137E-2</v>
      </c>
    </row>
    <row r="654" spans="1:5" x14ac:dyDescent="0.2">
      <c r="A654" s="1">
        <f>Acciones!A655</f>
        <v>45947</v>
      </c>
      <c r="B654" s="4">
        <f>Acciones!B655/Acciones!B654 -1</f>
        <v>-1.4598575054056262E-2</v>
      </c>
      <c r="C654" s="4">
        <f>Acciones!C655/Acciones!C654 -1</f>
        <v>-4.1987804401985351E-2</v>
      </c>
      <c r="D654" s="4">
        <f>Acciones!D655/Acciones!D654 -1</f>
        <v>5.3122041991600089E-3</v>
      </c>
      <c r="E654" s="4">
        <f>Acciones!E655/Acciones!E654 -1</f>
        <v>-1.5564233919705739E-2</v>
      </c>
    </row>
    <row r="655" spans="1:5" x14ac:dyDescent="0.2">
      <c r="A655" s="1">
        <f>Acciones!A656</f>
        <v>45950</v>
      </c>
      <c r="B655" s="4">
        <f>Acciones!B656/Acciones!B655 -1</f>
        <v>2.9629844272558437E-3</v>
      </c>
      <c r="C655" s="4">
        <f>Acciones!C656/Acciones!C655 -1</f>
        <v>6.8940539865935957E-2</v>
      </c>
      <c r="D655" s="4">
        <f>Acciones!D656/Acciones!D655 -1</f>
        <v>1.326286244773911E-2</v>
      </c>
      <c r="E655" s="4">
        <f>Acciones!E656/Acciones!E655 -1</f>
        <v>0</v>
      </c>
    </row>
    <row r="656" spans="1:5" x14ac:dyDescent="0.2">
      <c r="A656" s="1">
        <f>Acciones!A657</f>
        <v>45951</v>
      </c>
      <c r="B656" s="4">
        <f>Acciones!B657/Acciones!B656 -1</f>
        <v>1.2555357586850668E-2</v>
      </c>
      <c r="C656" s="4">
        <f>Acciones!C657/Acciones!C656 -1</f>
        <v>-4.079236763109706E-2</v>
      </c>
      <c r="D656" s="4">
        <f>Acciones!D657/Acciones!D656 -1</f>
        <v>3.1927067862711489E-3</v>
      </c>
      <c r="E656" s="4">
        <f>Acciones!E657/Acciones!E656 -1</f>
        <v>-3.9525184200162045E-3</v>
      </c>
    </row>
    <row r="657" spans="1:5" x14ac:dyDescent="0.2">
      <c r="A657" s="1">
        <f>Acciones!A658</f>
        <v>45952</v>
      </c>
      <c r="B657" s="4">
        <f>Acciones!B658/Acciones!B657 -1</f>
        <v>-1.458764651164457E-3</v>
      </c>
      <c r="C657" s="4">
        <f>Acciones!C658/Acciones!C657 -1</f>
        <v>-3.9720990217512409E-2</v>
      </c>
      <c r="D657" s="4">
        <f>Acciones!D658/Acciones!D657 -1</f>
        <v>1.0642904123012942E-2</v>
      </c>
      <c r="E657" s="4">
        <f>Acciones!E658/Acciones!E657 -1</f>
        <v>3.9682028147358661E-3</v>
      </c>
    </row>
    <row r="658" spans="1:5" x14ac:dyDescent="0.2">
      <c r="A658" s="1">
        <f>Acciones!A659</f>
        <v>45953</v>
      </c>
      <c r="B658" s="4">
        <f>Acciones!B659/Acciones!B658 -1</f>
        <v>-5.1132407111655898E-3</v>
      </c>
      <c r="C658" s="4">
        <f>Acciones!C659/Acciones!C658 -1</f>
        <v>9.4473061406996628E-3</v>
      </c>
      <c r="D658" s="4">
        <f>Acciones!D659/Acciones!D658 -1</f>
        <v>5.1829600833985801E-3</v>
      </c>
      <c r="E658" s="4">
        <f>Acciones!E659/Acciones!E658 -1</f>
        <v>-7.9051546357756797E-3</v>
      </c>
    </row>
    <row r="659" spans="1:5" x14ac:dyDescent="0.2">
      <c r="A659" s="1">
        <f>Acciones!A660</f>
        <v>45954</v>
      </c>
      <c r="B659" s="4">
        <f>Acciones!B660/Acciones!B659 -1</f>
        <v>5.1395203156794356E-3</v>
      </c>
      <c r="C659" s="4">
        <f>Acciones!C660/Acciones!C659 -1</f>
        <v>4.5529780734203662E-3</v>
      </c>
      <c r="D659" s="4">
        <f>Acciones!D660/Acciones!D659 -1</f>
        <v>-3.0703784920044219E-3</v>
      </c>
      <c r="E659" s="4">
        <f>Acciones!E660/Acciones!E659 -1</f>
        <v>3.9841313904904752E-3</v>
      </c>
    </row>
    <row r="660" spans="1:5" x14ac:dyDescent="0.2">
      <c r="A660" s="1">
        <f>Acciones!A661</f>
        <v>45957</v>
      </c>
      <c r="B660" s="4">
        <f>Acciones!B661/Acciones!B660 -1</f>
        <v>-1.0226411041460493E-2</v>
      </c>
      <c r="C660" s="4">
        <f>Acciones!C661/Acciones!C660 -1</f>
        <v>1.1135078387051189E-2</v>
      </c>
      <c r="D660" s="4">
        <f>Acciones!D661/Acciones!D660 -1</f>
        <v>-1.2601073232226812E-2</v>
      </c>
      <c r="E660" s="4">
        <f>Acciones!E661/Acciones!E660 -1</f>
        <v>7.9365238926523141E-3</v>
      </c>
    </row>
    <row r="661" spans="1:5" x14ac:dyDescent="0.2">
      <c r="A661" s="1">
        <f>Acciones!A662</f>
        <v>45958</v>
      </c>
      <c r="B661" s="4">
        <f>Acciones!B662/Acciones!B661 -1</f>
        <v>3.6900101364476523E-3</v>
      </c>
      <c r="C661" s="4">
        <f>Acciones!C662/Acciones!C661 -1</f>
        <v>-4.1670118164946923E-2</v>
      </c>
      <c r="D661" s="4">
        <f>Acciones!D662/Acciones!D661 -1</f>
        <v>-1.4237980668549866E-2</v>
      </c>
      <c r="E661" s="4">
        <f>Acciones!E662/Acciones!E661 -1</f>
        <v>2.362197702968416E-2</v>
      </c>
    </row>
    <row r="662" spans="1:5" x14ac:dyDescent="0.2">
      <c r="A662" s="1">
        <f>Acciones!A663</f>
        <v>45959</v>
      </c>
      <c r="B662" s="4">
        <f>Acciones!B663/Acciones!B662 -1</f>
        <v>-6.617641745320979E-3</v>
      </c>
      <c r="C662" s="4">
        <f>Acciones!C663/Acciones!C662 -1</f>
        <v>6.2075757430257728E-3</v>
      </c>
      <c r="D662" s="4">
        <f>Acciones!D663/Acciones!D662 -1</f>
        <v>-1.6408314784085221E-2</v>
      </c>
      <c r="E662" s="4">
        <f>Acciones!E663/Acciones!E662 -1</f>
        <v>-3.8461044695204949E-3</v>
      </c>
    </row>
    <row r="663" spans="1:5" x14ac:dyDescent="0.2">
      <c r="A663" s="1">
        <f>Acciones!A664</f>
        <v>45960</v>
      </c>
      <c r="B663" s="4">
        <f>Acciones!B664/Acciones!B663 -1</f>
        <v>2.2205755552668904E-3</v>
      </c>
      <c r="C663" s="4">
        <f>Acciones!C664/Acciones!C663 -1</f>
        <v>-4.5451926364106221E-2</v>
      </c>
      <c r="D663" s="4">
        <f>Acciones!D664/Acciones!D663 -1</f>
        <v>-1.4946559719443475E-2</v>
      </c>
      <c r="E663" s="4">
        <f>Acciones!E664/Acciones!E663 -1</f>
        <v>-3.4749047188697091E-2</v>
      </c>
    </row>
    <row r="664" spans="1:5" x14ac:dyDescent="0.2">
      <c r="A664" s="1">
        <f>Acciones!A665</f>
        <v>45961</v>
      </c>
      <c r="B664" s="4">
        <f>Acciones!B665/Acciones!B664 -1</f>
        <v>-9.6011976608680882E-3</v>
      </c>
      <c r="C664" s="4">
        <f>Acciones!C665/Acciones!C664 -1</f>
        <v>1.4880002509952472E-2</v>
      </c>
      <c r="D664" s="4">
        <f>Acciones!D665/Acciones!D664 -1</f>
        <v>-4.5039091604960335E-3</v>
      </c>
      <c r="E664" s="4">
        <f>Acciones!E665/Acciones!E664 -1</f>
        <v>0</v>
      </c>
    </row>
    <row r="665" spans="1:5" x14ac:dyDescent="0.2">
      <c r="A665" s="1">
        <f>Acciones!A666</f>
        <v>45964</v>
      </c>
      <c r="B665" s="4">
        <f>Acciones!B666/Acciones!B665 -1</f>
        <v>8.9485387887728862E-3</v>
      </c>
      <c r="C665" s="4">
        <f>Acciones!C666/Acciones!C665 -1</f>
        <v>-2.1474483322672988E-2</v>
      </c>
      <c r="D665" s="4">
        <f>Acciones!D666/Acciones!D665 -1</f>
        <v>-3.0267208097682019E-2</v>
      </c>
      <c r="E665" s="4">
        <f>Acciones!E666/Acciones!E665 -1</f>
        <v>-4.0000081062320225E-3</v>
      </c>
    </row>
    <row r="666" spans="1:5" x14ac:dyDescent="0.2">
      <c r="A666" s="1">
        <f>Acciones!A667</f>
        <v>45965</v>
      </c>
      <c r="B666" s="4">
        <f>Acciones!B667/Acciones!B666 -1</f>
        <v>-7.390929735603291E-3</v>
      </c>
      <c r="C666" s="4">
        <f>Acciones!C667/Acciones!C666 -1</f>
        <v>-5.5424380586253097E-2</v>
      </c>
      <c r="D666" s="4">
        <f>Acciones!D667/Acciones!D666 -1</f>
        <v>-1.4409320690532357E-2</v>
      </c>
      <c r="E666" s="4">
        <f>Acciones!E667/Acciones!E666 -1</f>
        <v>0</v>
      </c>
    </row>
    <row r="667" spans="1:5" x14ac:dyDescent="0.2">
      <c r="A667" s="1">
        <f>Acciones!A668</f>
        <v>45966</v>
      </c>
      <c r="B667" s="4">
        <f>Acciones!B668/Acciones!B667 -1</f>
        <v>7.4455318593735775E-4</v>
      </c>
      <c r="C667" s="4">
        <f>Acciones!C668/Acciones!C667 -1</f>
        <v>2.5540783632367114E-2</v>
      </c>
      <c r="D667" s="4">
        <f>Acciones!D668/Acciones!D667 -1</f>
        <v>1.2366808805551077E-2</v>
      </c>
      <c r="E667" s="4">
        <f>Acciones!E668/Acciones!E667 -1</f>
        <v>-8.0321448570023213E-3</v>
      </c>
    </row>
    <row r="668" spans="1:5" x14ac:dyDescent="0.2">
      <c r="A668" s="1">
        <f>Acciones!A669</f>
        <v>45967</v>
      </c>
      <c r="B668" s="4">
        <f>Acciones!B669/Acciones!B668 -1</f>
        <v>2.9761403358357086E-3</v>
      </c>
      <c r="C668" s="4">
        <f>Acciones!C669/Acciones!C668 -1</f>
        <v>-6.402721997937344E-2</v>
      </c>
      <c r="D668" s="4">
        <f>Acciones!D669/Acciones!D668 -1</f>
        <v>-7.0395891791908971E-3</v>
      </c>
      <c r="E668" s="4">
        <f>Acciones!E669/Acciones!E668 -1</f>
        <v>1.21457739008759E-2</v>
      </c>
    </row>
    <row r="669" spans="1:5" x14ac:dyDescent="0.2">
      <c r="A669" s="1">
        <f>Acciones!A670</f>
        <v>45968</v>
      </c>
      <c r="B669" s="4">
        <f>Acciones!B670/Acciones!B669 -1</f>
        <v>-7.4183444953469513E-3</v>
      </c>
      <c r="C669" s="4">
        <f>Acciones!C670/Acciones!C669 -1</f>
        <v>-3.0213961305546433E-2</v>
      </c>
      <c r="D669" s="4">
        <f>Acciones!D670/Acciones!D669 -1</f>
        <v>-2.0616830119124185E-2</v>
      </c>
      <c r="E669" s="4">
        <f>Acciones!E670/Acciones!E669 -1</f>
        <v>-8.000016212464045E-3</v>
      </c>
    </row>
    <row r="670" spans="1:5" x14ac:dyDescent="0.2">
      <c r="A670" s="1">
        <f>Acciones!A671</f>
        <v>45971</v>
      </c>
      <c r="B670" s="4">
        <f>Acciones!B671/Acciones!B670 -1</f>
        <v>1.4947431230225572E-3</v>
      </c>
      <c r="C670" s="4">
        <f>Acciones!C671/Acciones!C670 -1</f>
        <v>-1.1601575004500542E-2</v>
      </c>
      <c r="D670" s="4">
        <f>Acciones!D671/Acciones!D670 -1</f>
        <v>-6.360525426600705E-3</v>
      </c>
      <c r="E670" s="4">
        <f>Acciones!E671/Acciones!E670 -1</f>
        <v>4.0322663020211369E-3</v>
      </c>
    </row>
    <row r="671" spans="1:5" x14ac:dyDescent="0.2">
      <c r="A671" s="1">
        <f>Acciones!A672</f>
        <v>45972</v>
      </c>
      <c r="B671" s="4">
        <f>Acciones!B672/Acciones!B671 -1</f>
        <v>3.7313883577587692E-3</v>
      </c>
      <c r="C671" s="4">
        <f>Acciones!C672/Acciones!C671 -1</f>
        <v>-6.9206910699592949E-2</v>
      </c>
      <c r="D671" s="4">
        <f>Acciones!D672/Acciones!D671 -1</f>
        <v>3.2943475738235639E-2</v>
      </c>
      <c r="E671" s="4">
        <f>Acciones!E672/Acciones!E671 -1</f>
        <v>0</v>
      </c>
    </row>
    <row r="672" spans="1:5" x14ac:dyDescent="0.2">
      <c r="A672" s="1">
        <f>Acciones!A673</f>
        <v>45973</v>
      </c>
      <c r="B672" s="4">
        <f>Acciones!B673/Acciones!B672 -1</f>
        <v>-1.7843851683871703E-2</v>
      </c>
      <c r="C672" s="4">
        <f>Acciones!C673/Acciones!C672 -1</f>
        <v>-1.5042617724040364E-2</v>
      </c>
      <c r="D672" s="4">
        <f>Acciones!D673/Acciones!D672 -1</f>
        <v>1.6681159689596381E-2</v>
      </c>
      <c r="E672" s="4">
        <f>Acciones!E673/Acciones!E672 -1</f>
        <v>0</v>
      </c>
    </row>
    <row r="673" spans="1:5" x14ac:dyDescent="0.2">
      <c r="A673" s="1">
        <f>Acciones!A674</f>
        <v>45974</v>
      </c>
      <c r="B673" s="4">
        <f>Acciones!B674/Acciones!B673 -1</f>
        <v>8.3269937849312914E-3</v>
      </c>
      <c r="C673" s="4">
        <f>Acciones!C674/Acciones!C673 -1</f>
        <v>-0.10941418934045966</v>
      </c>
      <c r="D673" s="4">
        <f>Acciones!D674/Acciones!D673 -1</f>
        <v>3.0884968297004711E-2</v>
      </c>
      <c r="E673" s="4">
        <f>Acciones!E674/Acciones!E673 -1</f>
        <v>-1.2048157441483021E-2</v>
      </c>
    </row>
    <row r="674" spans="1:5" x14ac:dyDescent="0.2">
      <c r="A674" s="1">
        <f>Acciones!A675</f>
        <v>45975</v>
      </c>
      <c r="B674" s="4">
        <f>Acciones!B675/Acciones!B674 -1</f>
        <v>-8.2582275752378642E-3</v>
      </c>
      <c r="C674" s="4">
        <f>Acciones!C675/Acciones!C674 -1</f>
        <v>-5.7418273015160892E-2</v>
      </c>
      <c r="D674" s="4">
        <f>Acciones!D675/Acciones!D674 -1</f>
        <v>-3.4165429839968731E-2</v>
      </c>
      <c r="E674" s="4">
        <f>Acciones!E675/Acciones!E674 -1</f>
        <v>1.6260134530831527E-2</v>
      </c>
    </row>
    <row r="675" spans="1:5" x14ac:dyDescent="0.2">
      <c r="A675" s="1">
        <f>Acciones!A676</f>
        <v>45979</v>
      </c>
      <c r="B675" s="4">
        <f>Acciones!B676/Acciones!B675 -1</f>
        <v>-2.2710049357286266E-3</v>
      </c>
      <c r="C675" s="4">
        <f>Acciones!C676/Acciones!C675 -1</f>
        <v>-5.7929670492070651E-3</v>
      </c>
      <c r="D675" s="4">
        <f>Acciones!D676/Acciones!D675 -1</f>
        <v>-2.4931718141164794E-2</v>
      </c>
      <c r="E675" s="4">
        <f>Acciones!E676/Acciones!E675 -1</f>
        <v>-1.9999980926516003E-2</v>
      </c>
    </row>
    <row r="676" spans="1:5" x14ac:dyDescent="0.2">
      <c r="A676" s="1">
        <f>Acciones!A677</f>
        <v>45980</v>
      </c>
      <c r="B676" s="4">
        <f>Acciones!B677/Acciones!B676 -1</f>
        <v>7.5867597664269759E-4</v>
      </c>
      <c r="C676" s="4">
        <f>Acciones!C677/Acciones!C676 -1</f>
        <v>-6.8190077508093916E-2</v>
      </c>
      <c r="D676" s="4">
        <f>Acciones!D677/Acciones!D676 -1</f>
        <v>9.4832995558444821E-3</v>
      </c>
      <c r="E676" s="4">
        <f>Acciones!E677/Acciones!E676 -1</f>
        <v>2.0408143405368895E-2</v>
      </c>
    </row>
    <row r="677" spans="1:5" x14ac:dyDescent="0.2">
      <c r="A677" s="1">
        <f>Acciones!A678</f>
        <v>45981</v>
      </c>
      <c r="B677" s="4">
        <f>Acciones!B678/Acciones!B677 -1</f>
        <v>4.5488971378844223E-3</v>
      </c>
      <c r="C677" s="4">
        <f>Acciones!C678/Acciones!C677 -1</f>
        <v>-6.6634096692721578E-2</v>
      </c>
      <c r="D677" s="4">
        <f>Acciones!D678/Acciones!D677 -1</f>
        <v>-1.1129174592842683E-2</v>
      </c>
      <c r="E677" s="4">
        <f>Acciones!E678/Acciones!E677 -1</f>
        <v>-4.0000081062320225E-3</v>
      </c>
    </row>
    <row r="678" spans="1:5" x14ac:dyDescent="0.2">
      <c r="A678" s="1">
        <f>Acciones!A679</f>
        <v>45982</v>
      </c>
      <c r="B678" s="4">
        <f>Acciones!B679/Acciones!B678 -1</f>
        <v>-2.7924458163272825E-2</v>
      </c>
      <c r="C678" s="4">
        <f>Acciones!C679/Acciones!C678 -1</f>
        <v>-2.4651897389633248E-2</v>
      </c>
      <c r="D678" s="4">
        <f>Acciones!D679/Acciones!D678 -1</f>
        <v>2.6307050500422147E-2</v>
      </c>
      <c r="E678" s="4">
        <f>Acciones!E679/Acciones!E678 -1</f>
        <v>8.0320850129778076E-3</v>
      </c>
    </row>
    <row r="679" spans="1:5" x14ac:dyDescent="0.2">
      <c r="A679" s="1">
        <f>Acciones!A680</f>
        <v>45985</v>
      </c>
      <c r="B679" s="4">
        <f>Acciones!B680/Acciones!B679 -1</f>
        <v>2.6397518083472349E-2</v>
      </c>
      <c r="C679" s="4">
        <f>Acciones!C680/Acciones!C679 -1</f>
        <v>0.11183254980047952</v>
      </c>
      <c r="D679" s="4">
        <f>Acciones!D680/Acciones!D679 -1</f>
        <v>-1.7512915606899937E-2</v>
      </c>
      <c r="E679" s="4">
        <f>Acciones!E680/Acciones!E679 -1</f>
        <v>-3.9840126561297984E-3</v>
      </c>
    </row>
    <row r="680" spans="1:5" x14ac:dyDescent="0.2">
      <c r="A680" s="1">
        <f>Acciones!A681</f>
        <v>45986</v>
      </c>
      <c r="B680" s="4">
        <f>Acciones!B681/Acciones!B680 -1</f>
        <v>-1.8154369095423117E-2</v>
      </c>
      <c r="C680" s="4">
        <f>Acciones!C681/Acciones!C680 -1</f>
        <v>-1.3079814093025055E-2</v>
      </c>
      <c r="D680" s="4">
        <f>Acciones!D681/Acciones!D680 -1</f>
        <v>2.1322385348341744E-2</v>
      </c>
      <c r="E680" s="4">
        <f>Acciones!E681/Acciones!E680 -1</f>
        <v>3.6000013351439986E-2</v>
      </c>
    </row>
    <row r="681" spans="1:5" x14ac:dyDescent="0.2">
      <c r="A681" s="1">
        <f>Acciones!A682</f>
        <v>45987</v>
      </c>
      <c r="B681" s="4">
        <f>Acciones!B682/Acciones!B681 -1</f>
        <v>-6.1633728042558289E-3</v>
      </c>
      <c r="C681" s="4">
        <f>Acciones!C682/Acciones!C681 -1</f>
        <v>2.8364722377383078E-3</v>
      </c>
      <c r="D681" s="4">
        <f>Acciones!D682/Acciones!D681 -1</f>
        <v>9.3524051739806158E-3</v>
      </c>
      <c r="E681" s="4">
        <f>Acciones!E682/Acciones!E681 -1</f>
        <v>-2.3166069814760104E-2</v>
      </c>
    </row>
    <row r="682" spans="1:5" x14ac:dyDescent="0.2">
      <c r="A682" s="1">
        <f>Acciones!A683</f>
        <v>45988</v>
      </c>
      <c r="B682" s="4">
        <f>Acciones!B683/Acciones!B682 -1</f>
        <v>6.9768136660675051E-3</v>
      </c>
      <c r="C682" s="4">
        <f>Acciones!C683/Acciones!C682 -1</f>
        <v>3.3551179970374934E-2</v>
      </c>
      <c r="D682" s="4">
        <f>Acciones!D683/Acciones!D682 -1</f>
        <v>-5.6540227929877673E-3</v>
      </c>
      <c r="E682" s="4">
        <f>Acciones!E683/Acciones!E682 -1</f>
        <v>-7.9051546357756797E-3</v>
      </c>
    </row>
    <row r="683" spans="1:5" x14ac:dyDescent="0.2">
      <c r="A683" s="1">
        <f>Acciones!A684</f>
        <v>45989</v>
      </c>
      <c r="B683" s="4">
        <f>Acciones!B684/Acciones!B683 -1</f>
        <v>-6.9284749870925921E-3</v>
      </c>
      <c r="C683" s="4">
        <f>Acciones!C684/Acciones!C683 -1</f>
        <v>1.9439440736658709E-2</v>
      </c>
      <c r="D683" s="4">
        <f>Acciones!D684/Acciones!D683 -1</f>
        <v>1.4682488338566557E-3</v>
      </c>
      <c r="E683" s="4">
        <f>Acciones!E684/Acciones!E683 -1</f>
        <v>-2.3904313405512245E-2</v>
      </c>
    </row>
    <row r="684" spans="1:5" x14ac:dyDescent="0.2">
      <c r="A684" s="1">
        <f>Acciones!A685</f>
        <v>45992</v>
      </c>
      <c r="B684" s="4">
        <f>Acciones!B685/Acciones!B684 -1</f>
        <v>7.7521811645042682E-4</v>
      </c>
      <c r="C684" s="4">
        <f>Acciones!C685/Acciones!C684 -1</f>
        <v>-2.9482528877005754E-2</v>
      </c>
      <c r="D684" s="4">
        <f>Acciones!D685/Acciones!D684 -1</f>
        <v>1.7285380260561922E-2</v>
      </c>
      <c r="E684" s="4">
        <f>Acciones!E685/Acciones!E684 -1</f>
        <v>1.6326502560082279E-2</v>
      </c>
    </row>
    <row r="685" spans="1:5" x14ac:dyDescent="0.2">
      <c r="A685" s="1">
        <f>Acciones!A686</f>
        <v>45993</v>
      </c>
      <c r="B685" s="4">
        <f>Acciones!B686/Acciones!B685 -1</f>
        <v>2.3237782233767046E-3</v>
      </c>
      <c r="C685" s="4">
        <f>Acciones!C686/Acciones!C685 -1</f>
        <v>4.5495699246790755E-2</v>
      </c>
      <c r="D685" s="4">
        <f>Acciones!D686/Acciones!D685 -1</f>
        <v>-2.7491602671396276E-2</v>
      </c>
      <c r="E685" s="4">
        <f>Acciones!E686/Acciones!E685 -1</f>
        <v>-4.0160724285012162E-3</v>
      </c>
    </row>
    <row r="686" spans="1:5" x14ac:dyDescent="0.2">
      <c r="A686" s="1">
        <f>Acciones!A687</f>
        <v>45994</v>
      </c>
      <c r="B686" s="4">
        <f>Acciones!B687/Acciones!B686 -1</f>
        <v>-1.0046310481644505E-2</v>
      </c>
      <c r="C686" s="4">
        <f>Acciones!C687/Acciones!C686 -1</f>
        <v>4.1554535364188849E-2</v>
      </c>
      <c r="D686" s="4">
        <f>Acciones!D687/Acciones!D686 -1</f>
        <v>2.8268756081606394E-2</v>
      </c>
      <c r="E686" s="4">
        <f>Acciones!E687/Acciones!E686 -1</f>
        <v>2.4193597812123047E-2</v>
      </c>
    </row>
    <row r="687" spans="1:5" x14ac:dyDescent="0.2">
      <c r="A687" s="1">
        <f>Acciones!A688</f>
        <v>45995</v>
      </c>
      <c r="B687" s="4">
        <f>Acciones!B688/Acciones!B687 -1</f>
        <v>1.405151062238974E-2</v>
      </c>
      <c r="C687" s="4">
        <f>Acciones!C688/Acciones!C687 -1</f>
        <v>3.9413304429514184E-4</v>
      </c>
      <c r="D687" s="4">
        <f>Acciones!D688/Acciones!D687 -1</f>
        <v>-1.6666943126159017E-3</v>
      </c>
      <c r="E687" s="4">
        <f>Acciones!E688/Acciones!E687 -1</f>
        <v>-7.8740314538869871E-3</v>
      </c>
    </row>
    <row r="688" spans="1:5" x14ac:dyDescent="0.2">
      <c r="A688" s="1">
        <f>Acciones!A689</f>
        <v>45996</v>
      </c>
      <c r="B688" s="4">
        <f>Acciones!B689/Acciones!B688 -1</f>
        <v>-2.3094669378608268E-3</v>
      </c>
      <c r="C688" s="4">
        <f>Acciones!C689/Acciones!C688 -1</f>
        <v>-6.5972037598492572E-2</v>
      </c>
      <c r="D688" s="4">
        <f>Acciones!D689/Acciones!D688 -1</f>
        <v>-1.6693748860228119E-3</v>
      </c>
      <c r="E688" s="4">
        <f>Acciones!E689/Acciones!E688 -1</f>
        <v>3.9682028147358661E-3</v>
      </c>
    </row>
    <row r="689" spans="1:5" x14ac:dyDescent="0.2">
      <c r="A689" s="1">
        <f>Acciones!A690</f>
        <v>45999</v>
      </c>
      <c r="B689" s="4">
        <f>Acciones!B690/Acciones!B689 -1</f>
        <v>-3.2407455249931494E-2</v>
      </c>
      <c r="C689" s="4">
        <f>Acciones!C690/Acciones!C689 -1</f>
        <v>2.5075019161096002E-2</v>
      </c>
      <c r="D689" s="4">
        <f>Acciones!D690/Acciones!D689 -1</f>
        <v>-3.0100321813150477E-2</v>
      </c>
      <c r="E689" s="4">
        <f>Acciones!E690/Acciones!E689 -1</f>
        <v>3.9526362157593642E-3</v>
      </c>
    </row>
    <row r="690" spans="1:5" x14ac:dyDescent="0.2">
      <c r="A690" s="1">
        <f>Acciones!A691</f>
        <v>46000</v>
      </c>
      <c r="B690" s="4">
        <f>Acciones!B691/Acciones!B690 -1</f>
        <v>-2.3923426594439356E-2</v>
      </c>
      <c r="C690" s="4">
        <f>Acciones!C691/Acciones!C690 -1</f>
        <v>1.7831803652158751E-2</v>
      </c>
      <c r="D690" s="4">
        <f>Acciones!D691/Acciones!D690 -1</f>
        <v>-6.0345824960091887E-3</v>
      </c>
      <c r="E690" s="4">
        <f>Acciones!E691/Acciones!E690 -1</f>
        <v>1.574794557580117E-2</v>
      </c>
    </row>
    <row r="691" spans="1:5" x14ac:dyDescent="0.2">
      <c r="A691" s="1">
        <f>Acciones!A692</f>
        <v>46001</v>
      </c>
      <c r="B691" s="4">
        <f>Acciones!B692/Acciones!B691 -1</f>
        <v>2.5326803688241695E-2</v>
      </c>
      <c r="C691" s="4">
        <f>Acciones!C692/Acciones!C691 -1</f>
        <v>-2.2056527777937984E-2</v>
      </c>
      <c r="D691" s="4">
        <f>Acciones!D692/Acciones!D691 -1</f>
        <v>4.0815377641454598E-2</v>
      </c>
      <c r="E691" s="4">
        <f>Acciones!E692/Acciones!E691 -1</f>
        <v>-3.1007700897408008E-2</v>
      </c>
    </row>
    <row r="692" spans="1:5" x14ac:dyDescent="0.2">
      <c r="A692" s="1">
        <f>Acciones!A693</f>
        <v>46002</v>
      </c>
      <c r="B692" s="4">
        <f>Acciones!B693/Acciones!B692 -1</f>
        <v>-1.992032851301806E-2</v>
      </c>
      <c r="C692" s="4">
        <f>Acciones!C693/Acciones!C692 -1</f>
        <v>-2.5493813181253655E-2</v>
      </c>
      <c r="D692" s="4">
        <f>Acciones!D693/Acciones!D692 -1</f>
        <v>1.7449043357419924E-2</v>
      </c>
      <c r="E692" s="4">
        <f>Acciones!E693/Acciones!E692 -1</f>
        <v>-4.7999978065492055E-2</v>
      </c>
    </row>
    <row r="693" spans="1:5" x14ac:dyDescent="0.2">
      <c r="A693" s="1">
        <f>Acciones!A694</f>
        <v>46006</v>
      </c>
      <c r="B693" s="4">
        <f>Acciones!B694/Acciones!B693 -1</f>
        <v>4.0650896890681576E-3</v>
      </c>
      <c r="C693" s="4">
        <f>Acciones!C694/Acciones!C693 -1</f>
        <v>-9.2953107650453837E-2</v>
      </c>
      <c r="D693" s="4">
        <f>Acciones!D694/Acciones!D693 -1</f>
        <v>8.1901441632004079E-4</v>
      </c>
      <c r="E693" s="4">
        <f>Acciones!E694/Acciones!E693 -1</f>
        <v>-8.4033781808192654E-3</v>
      </c>
    </row>
    <row r="694" spans="1:5" x14ac:dyDescent="0.2">
      <c r="A694" s="1">
        <f>Acciones!A695</f>
        <v>46007</v>
      </c>
      <c r="B694" s="4">
        <f>Acciones!B695/Acciones!B694 -1</f>
        <v>4.8582955521339066E-3</v>
      </c>
      <c r="C694" s="4">
        <f>Acciones!C695/Acciones!C694 -1</f>
        <v>-2.2864792358969765E-3</v>
      </c>
      <c r="D694" s="4">
        <f>Acciones!D695/Acciones!D694 -1</f>
        <v>-1.2274962845241655E-2</v>
      </c>
      <c r="E694" s="4">
        <f>Acciones!E695/Acciones!E694 -1</f>
        <v>-8.8983041215855097E-2</v>
      </c>
    </row>
    <row r="695" spans="1:5" x14ac:dyDescent="0.2">
      <c r="A695" s="1">
        <f>Acciones!A696</f>
        <v>46008</v>
      </c>
      <c r="B695" s="4">
        <f>Acciones!B696/Acciones!B695 -1</f>
        <v>-3.2232070097242382E-2</v>
      </c>
      <c r="C695" s="4">
        <f>Acciones!C696/Acciones!C695 -1</f>
        <v>-6.1201102473109614E-2</v>
      </c>
      <c r="D695" s="4">
        <f>Acciones!D696/Acciones!D695 -1</f>
        <v>-1.8450703812102009E-2</v>
      </c>
      <c r="E695" s="4">
        <f>Acciones!E696/Acciones!E695 -1</f>
        <v>-0.13953488694454619</v>
      </c>
    </row>
    <row r="696" spans="1:5" x14ac:dyDescent="0.2">
      <c r="A696" s="1">
        <f>Acciones!A697</f>
        <v>46009</v>
      </c>
      <c r="B696" s="4">
        <f>Acciones!B697/Acciones!B696 -1</f>
        <v>1.9150665125577282E-2</v>
      </c>
      <c r="C696" s="4">
        <f>Acciones!C697/Acciones!C696 -1</f>
        <v>-2.635374975163407E-2</v>
      </c>
      <c r="D696" s="4">
        <f>Acciones!D697/Acciones!D696 -1</f>
        <v>6.0182899859868577E-3</v>
      </c>
      <c r="E696" s="4">
        <f>Acciones!E697/Acciones!E696 -1</f>
        <v>-0.10810808416175854</v>
      </c>
    </row>
    <row r="697" spans="1:5" x14ac:dyDescent="0.2">
      <c r="A697" s="1">
        <f>Acciones!A698</f>
        <v>46010</v>
      </c>
      <c r="B697" s="4">
        <f>Acciones!B698/Acciones!B697 -1</f>
        <v>2.3524544184601037E-2</v>
      </c>
      <c r="C697" s="4">
        <f>Acciones!C698/Acciones!C697 -1</f>
        <v>3.2879302712744751E-2</v>
      </c>
      <c r="D697" s="4">
        <f>Acciones!D698/Acciones!D697 -1</f>
        <v>-0.11687616163148506</v>
      </c>
      <c r="E697" s="4">
        <f>Acciones!E698/Acciones!E697 -1</f>
        <v>-0.12121218141883106</v>
      </c>
    </row>
    <row r="698" spans="1:5" x14ac:dyDescent="0.2">
      <c r="A698" s="1">
        <f>Acciones!A699</f>
        <v>46013</v>
      </c>
      <c r="B698" s="4">
        <f>Acciones!B699/Acciones!B698 -1</f>
        <v>-3.1451564648888874E-2</v>
      </c>
      <c r="C698" s="4">
        <f>Acciones!C699/Acciones!C698 -1</f>
        <v>-6.0685803710786024E-3</v>
      </c>
      <c r="D698" s="4">
        <f>Acciones!D699/Acciones!D698 -1</f>
        <v>-2.1034377501296886E-2</v>
      </c>
      <c r="E698" s="4">
        <f>Acciones!E699/Acciones!E698 -1</f>
        <v>-0.158620655990242</v>
      </c>
    </row>
    <row r="699" spans="1:5" x14ac:dyDescent="0.2">
      <c r="A699" s="1">
        <f>Acciones!A700</f>
        <v>46014</v>
      </c>
      <c r="B699" s="4">
        <f>Acciones!B700/Acciones!B699 -1</f>
        <v>1.6652773143512212E-2</v>
      </c>
      <c r="C699" s="4">
        <f>Acciones!C700/Acciones!C699 -1</f>
        <v>-1.7539984446467982E-2</v>
      </c>
      <c r="D699" s="4">
        <f>Acciones!D700/Acciones!D699 -1</f>
        <v>-3.8043510465171071E-3</v>
      </c>
      <c r="E699" s="4">
        <f>Acciones!E700/Acciones!E699 -1</f>
        <v>-0.15573771342782983</v>
      </c>
    </row>
    <row r="700" spans="1:5" x14ac:dyDescent="0.2">
      <c r="A700" s="1">
        <f>Acciones!A701</f>
        <v>46015</v>
      </c>
      <c r="B700" s="4">
        <f>Acciones!B701/Acciones!B700 -1</f>
        <v>-2.4569805796457178E-3</v>
      </c>
      <c r="C700" s="4">
        <f>Acciones!C701/Acciones!C700 -1</f>
        <v>5.6497175141243527E-3</v>
      </c>
      <c r="D700" s="4">
        <f>Acciones!D701/Acciones!D700 -1</f>
        <v>4.988800087177192E-2</v>
      </c>
      <c r="E700" s="4">
        <f>Acciones!E701/Acciones!E700 -1</f>
        <v>-0.15533983110763283</v>
      </c>
    </row>
    <row r="701" spans="1:5" x14ac:dyDescent="0.2">
      <c r="A701" s="1">
        <f>Acciones!A702</f>
        <v>46017</v>
      </c>
      <c r="B701" s="4">
        <f>Acciones!B702/Acciones!B701 -1</f>
        <v>-9.0312485710495327E-3</v>
      </c>
      <c r="C701" s="4">
        <f>Acciones!C702/Acciones!C701 -1</f>
        <v>-3.4101164742803447E-2</v>
      </c>
      <c r="D701" s="4">
        <f>Acciones!D702/Acciones!D701 -1</f>
        <v>6.7643631813842919E-3</v>
      </c>
      <c r="E701" s="4">
        <f>Acciones!E702/Acciones!E701 -1</f>
        <v>-0.14942525191955225</v>
      </c>
    </row>
    <row r="702" spans="1:5" x14ac:dyDescent="0.2">
      <c r="A702" s="1">
        <f>Acciones!A703</f>
        <v>46020</v>
      </c>
      <c r="B702" s="4">
        <f>Acciones!B703/Acciones!B702 -1</f>
        <v>-9.941995740940901E-3</v>
      </c>
      <c r="C702" s="4">
        <f>Acciones!C703/Acciones!C702 -1</f>
        <v>-1.0469306518051003E-2</v>
      </c>
      <c r="D702" s="4">
        <f>Acciones!D703/Acciones!D702 -1</f>
        <v>1.3824888423278558E-2</v>
      </c>
      <c r="E702" s="4">
        <f>Acciones!E703/Acciones!E702 -1</f>
        <v>-0.13513510520219763</v>
      </c>
    </row>
    <row r="703" spans="1:5" x14ac:dyDescent="0.2">
      <c r="A703" s="1">
        <f>Acciones!A704</f>
        <v>46021</v>
      </c>
      <c r="B703" s="4">
        <f>Acciones!B704/Acciones!B703 -1</f>
        <v>-8.3683925032740358E-4</v>
      </c>
      <c r="C703" s="4">
        <f>Acciones!C704/Acciones!C703 -1</f>
        <v>-1.2696194675341443E-2</v>
      </c>
      <c r="D703" s="4">
        <f>Acciones!D704/Acciones!D703 -1</f>
        <v>8.1818425043511667E-4</v>
      </c>
      <c r="E703" s="4">
        <f>Acciones!E704/Acciones!E703 -1</f>
        <v>-0.15625001818989293</v>
      </c>
    </row>
    <row r="704" spans="1:5" x14ac:dyDescent="0.2">
      <c r="A704" s="1">
        <f>Acciones!A705</f>
        <v>46022</v>
      </c>
      <c r="B704" s="4">
        <f>Acciones!B705/Acciones!B704 -1</f>
        <v>-2.3450564724576961E-2</v>
      </c>
      <c r="C704" s="4">
        <f>Acciones!C705/Acciones!C704 -1</f>
        <v>-3.5422973775091293E-2</v>
      </c>
      <c r="D704" s="4">
        <f>Acciones!D705/Acciones!D704 -1</f>
        <v>4.8214993453776334E-2</v>
      </c>
      <c r="E704" s="4">
        <f>Acciones!E705/Acciones!E704 -1</f>
        <v>-1.8518555567014539E-2</v>
      </c>
    </row>
    <row r="705" spans="1:5" x14ac:dyDescent="0.2">
      <c r="A705" s="1">
        <f>Acciones!A706</f>
        <v>46024</v>
      </c>
      <c r="B705" s="4">
        <f>Acciones!B706/Acciones!B705 -1</f>
        <v>8.5765257398517925E-4</v>
      </c>
      <c r="C705" s="4">
        <f>Acciones!C706/Acciones!C705 -1</f>
        <v>9.2766315164526603E-2</v>
      </c>
      <c r="D705" s="4">
        <f>Acciones!D706/Acciones!D705 -1</f>
        <v>-1.4592924600930091E-2</v>
      </c>
      <c r="E705" s="4">
        <f>Acciones!E706/Acciones!E705 -1</f>
        <v>0.71698111748729376</v>
      </c>
    </row>
    <row r="706" spans="1:5" x14ac:dyDescent="0.2">
      <c r="A706" s="1">
        <f>Acciones!A707</f>
        <v>46027</v>
      </c>
      <c r="B706" s="4">
        <f>Acciones!B707/Acciones!B706 -1</f>
        <v>-2.0565532951942966E-2</v>
      </c>
      <c r="C706" s="4">
        <f>Acciones!C707/Acciones!C706 -1</f>
        <v>7.1448707587918214E-2</v>
      </c>
      <c r="D706" s="4">
        <f>Acciones!D707/Acciones!D706 -1</f>
        <v>1.5706057366470905E-2</v>
      </c>
      <c r="E706" s="4">
        <f>Acciones!E707/Acciones!E706 -1</f>
        <v>1.0439561339280292</v>
      </c>
    </row>
    <row r="707" spans="1:5" x14ac:dyDescent="0.2">
      <c r="A707" s="1">
        <f>Acciones!A708</f>
        <v>46028</v>
      </c>
      <c r="B707" s="4">
        <f>Acciones!B708/Acciones!B707 -1</f>
        <v>2.6246651710477575E-2</v>
      </c>
      <c r="C707" s="4">
        <f>Acciones!C708/Acciones!C707 -1</f>
        <v>-1.9240874829749566E-2</v>
      </c>
      <c r="D707" s="4">
        <f>Acciones!D708/Acciones!D707 -1</f>
        <v>1.2987017106324661E-2</v>
      </c>
      <c r="E707" s="4">
        <f>Acciones!E708/Acciones!E707 -1</f>
        <v>2.6881694156240643E-2</v>
      </c>
    </row>
    <row r="708" spans="1:5" x14ac:dyDescent="0.2">
      <c r="A708" s="1">
        <f>Acciones!A709</f>
        <v>46029</v>
      </c>
      <c r="B708" s="4">
        <f>Acciones!B709/Acciones!B708 -1</f>
        <v>0</v>
      </c>
      <c r="C708" s="4">
        <f>Acciones!C709/Acciones!C708 -1</f>
        <v>-3.2625677101060679E-2</v>
      </c>
      <c r="D708" s="4">
        <f>Acciones!D709/Acciones!D708 -1</f>
        <v>-2.7350359373798372E-2</v>
      </c>
      <c r="E708" s="4">
        <f>Acciones!E709/Acciones!E708 -1</f>
        <v>-0.26701570231318472</v>
      </c>
    </row>
    <row r="709" spans="1:5" x14ac:dyDescent="0.2">
      <c r="A709" s="1">
        <f>Acciones!A710</f>
        <v>46030</v>
      </c>
      <c r="B709" s="4">
        <f>Acciones!B710/Acciones!B709 -1</f>
        <v>-2.5575220922371411E-3</v>
      </c>
      <c r="C709" s="4">
        <f>Acciones!C710/Acciones!C709 -1</f>
        <v>3.90043584793065E-2</v>
      </c>
      <c r="D709" s="4">
        <f>Acciones!D710/Acciones!D709 -1</f>
        <v>2.3725797645387736E-2</v>
      </c>
      <c r="E709" s="4">
        <f>Acciones!E710/Acciones!E709 -1</f>
        <v>0.15714285562233288</v>
      </c>
    </row>
    <row r="710" spans="1:5" x14ac:dyDescent="0.2">
      <c r="A710" s="1">
        <f>Acciones!A711</f>
        <v>46031</v>
      </c>
      <c r="B710" s="4">
        <f>Acciones!B711/Acciones!B710 -1</f>
        <v>8.5470412905914728E-3</v>
      </c>
      <c r="C710" s="4">
        <f>Acciones!C711/Acciones!C710 -1</f>
        <v>-2.0802135773524077E-2</v>
      </c>
      <c r="D710" s="4">
        <f>Acciones!D711/Acciones!D710 -1</f>
        <v>1.440341835511183E-2</v>
      </c>
      <c r="E710" s="4">
        <f>Acciones!E711/Acciones!E710 -1</f>
        <v>0.13580246800021212</v>
      </c>
    </row>
    <row r="711" spans="1:5" x14ac:dyDescent="0.2">
      <c r="A711" s="1">
        <f>Acciones!A712</f>
        <v>46034</v>
      </c>
      <c r="B711" s="4">
        <f>Acciones!B712/Acciones!B711 -1</f>
        <v>-4.2373042310676068E-3</v>
      </c>
      <c r="C711" s="4">
        <f>Acciones!C712/Acciones!C711 -1</f>
        <v>4.636560245133925E-2</v>
      </c>
      <c r="D711" s="4">
        <f>Acciones!D712/Acciones!D711 -1</f>
        <v>-5.7286868133274993E-3</v>
      </c>
      <c r="E711" s="4">
        <f>Acciones!E712/Acciones!E711 -1</f>
        <v>5.434793612034694E-3</v>
      </c>
    </row>
    <row r="712" spans="1:5" x14ac:dyDescent="0.2">
      <c r="A712" s="1">
        <f>Acciones!A713</f>
        <v>46035</v>
      </c>
      <c r="B712" s="4">
        <f>Acciones!B713/Acciones!B712 -1</f>
        <v>0</v>
      </c>
      <c r="C712" s="4">
        <f>Acciones!C713/Acciones!C712 -1</f>
        <v>1.3569889153982162E-2</v>
      </c>
      <c r="D712" s="4">
        <f>Acciones!D713/Acciones!D712 -1</f>
        <v>8.5020812207716734E-3</v>
      </c>
      <c r="E712" s="4">
        <f>Acciones!E713/Acciones!E712 -1</f>
        <v>-3.7837833483954642E-2</v>
      </c>
    </row>
    <row r="713" spans="1:5" x14ac:dyDescent="0.2">
      <c r="A713" s="1">
        <f>Acciones!A714</f>
        <v>46036</v>
      </c>
      <c r="B713" s="4">
        <f>Acciones!B714/Acciones!B713 -1</f>
        <v>-2.5531687635064193E-3</v>
      </c>
      <c r="C713" s="4">
        <f>Acciones!C714/Acciones!C713 -1</f>
        <v>1.2924870262968957E-2</v>
      </c>
      <c r="D713" s="4">
        <f>Acciones!D714/Acciones!D713 -1</f>
        <v>-1.5189816282359048E-2</v>
      </c>
      <c r="E713" s="4">
        <f>Acciones!E714/Acciones!E713 -1</f>
        <v>-4.4943826808995779E-2</v>
      </c>
    </row>
    <row r="714" spans="1:5" x14ac:dyDescent="0.2">
      <c r="A714" s="1">
        <f>Acciones!A715</f>
        <v>46037</v>
      </c>
      <c r="B714" s="4">
        <f>Acciones!B715/Acciones!B714 -1</f>
        <v>2.5597041201097515E-3</v>
      </c>
      <c r="C714" s="4">
        <f>Acciones!C715/Acciones!C714 -1</f>
        <v>-3.8076382682752263E-2</v>
      </c>
      <c r="D714" s="4">
        <f>Acciones!D715/Acciones!D714 -1</f>
        <v>-1.6623929186757924E-2</v>
      </c>
      <c r="E714" s="4">
        <f>Acciones!E715/Acciones!E714 -1</f>
        <v>2.3529371547036604E-2</v>
      </c>
    </row>
    <row r="715" spans="1:5" x14ac:dyDescent="0.2">
      <c r="A715" s="1">
        <f>Acciones!A716</f>
        <v>46038</v>
      </c>
      <c r="B715" s="4">
        <f>Acciones!B716/Acciones!B715 -1</f>
        <v>1.7021260362987123E-2</v>
      </c>
      <c r="C715" s="4">
        <f>Acciones!C716/Acciones!C715 -1</f>
        <v>5.6072299661258596E-2</v>
      </c>
      <c r="D715" s="4">
        <f>Acciones!D716/Acciones!D715 -1</f>
        <v>-1.0238743330703626E-2</v>
      </c>
      <c r="E715" s="4">
        <f>Acciones!E716/Acciones!E715 -1</f>
        <v>-2.2988467357289877E-2</v>
      </c>
    </row>
    <row r="716" spans="1:5" x14ac:dyDescent="0.2">
      <c r="A716" s="1">
        <f>Acciones!A717</f>
        <v>46041</v>
      </c>
      <c r="B716" s="4">
        <f>Acciones!B717/Acciones!B716 -1</f>
        <v>8.3683925032751461E-4</v>
      </c>
      <c r="C716" s="4">
        <f>Acciones!C717/Acciones!C716 -1</f>
        <v>-1.4112031718856555E-2</v>
      </c>
      <c r="D716" s="4">
        <f>Acciones!D717/Acciones!D716 -1</f>
        <v>3.653674569450871E-3</v>
      </c>
      <c r="E716" s="4">
        <f>Acciones!E717/Acciones!E716 -1</f>
        <v>-5.882356034843117E-2</v>
      </c>
    </row>
    <row r="717" spans="1:5" x14ac:dyDescent="0.2">
      <c r="A717" s="1">
        <f>Acciones!A718</f>
        <v>46042</v>
      </c>
      <c r="B717" s="4">
        <f>Acciones!B718/Acciones!B717 -1</f>
        <v>-3.3444784051354093E-3</v>
      </c>
      <c r="C717" s="4">
        <f>Acciones!C718/Acciones!C717 -1</f>
        <v>-6.9285794005798151E-2</v>
      </c>
      <c r="D717" s="4">
        <f>Acciones!D718/Acciones!D717 -1</f>
        <v>-1.9447356031754848E-2</v>
      </c>
      <c r="E717" s="4">
        <f>Acciones!E718/Acciones!E717 -1</f>
        <v>-4.3749996507538746E-2</v>
      </c>
    </row>
    <row r="718" spans="1:5" x14ac:dyDescent="0.2">
      <c r="A718" s="1">
        <f>Acciones!A719</f>
        <v>46043</v>
      </c>
      <c r="B718" s="4">
        <f>Acciones!B719/Acciones!B718 -1</f>
        <v>-1.0067104428778673E-2</v>
      </c>
      <c r="C718" s="4">
        <f>Acciones!C719/Acciones!C718 -1</f>
        <v>1.1016602670904208E-2</v>
      </c>
      <c r="D718" s="4">
        <f>Acciones!D719/Acciones!D718 -1</f>
        <v>1.536013951865689E-2</v>
      </c>
      <c r="E718" s="4">
        <f>Acciones!E719/Acciones!E718 -1</f>
        <v>1.3071922160222682E-2</v>
      </c>
    </row>
    <row r="719" spans="1:5" x14ac:dyDescent="0.2">
      <c r="A719" s="1">
        <f>Acciones!A720</f>
        <v>46044</v>
      </c>
      <c r="B719" s="4">
        <f>Acciones!B720/Acciones!B719 -1</f>
        <v>4.2373042310761555E-3</v>
      </c>
      <c r="C719" s="4">
        <f>Acciones!C720/Acciones!C719 -1</f>
        <v>-3.8353654240361967E-2</v>
      </c>
      <c r="D719" s="4">
        <f>Acciones!D720/Acciones!D719 -1</f>
        <v>8.3083710649909381E-3</v>
      </c>
      <c r="E719" s="4">
        <f>Acciones!E720/Acciones!E719 -1</f>
        <v>0</v>
      </c>
    </row>
    <row r="720" spans="1:5" x14ac:dyDescent="0.2">
      <c r="A720" s="1">
        <f>Acciones!A721</f>
        <v>46045</v>
      </c>
      <c r="B720" s="4">
        <f>Acciones!B721/Acciones!B720 -1</f>
        <v>-8.4390114430188401E-4</v>
      </c>
      <c r="C720" s="4">
        <f>Acciones!C721/Acciones!C720 -1</f>
        <v>2.2718365146657815E-2</v>
      </c>
      <c r="D720" s="4">
        <f>Acciones!D721/Acciones!D720 -1</f>
        <v>-1.87254403792253E-2</v>
      </c>
      <c r="E720" s="4">
        <f>Acciones!E721/Acciones!E720 -1</f>
        <v>-3.2258033504344863E-2</v>
      </c>
    </row>
    <row r="721" spans="1:5" x14ac:dyDescent="0.2">
      <c r="A721" s="1">
        <f>Acciones!A722</f>
        <v>46048</v>
      </c>
      <c r="B721" s="4">
        <f>Acciones!B722/Acciones!B721 -1</f>
        <v>2.5337611980218444E-3</v>
      </c>
      <c r="C721" s="4">
        <f>Acciones!C722/Acciones!C721 -1</f>
        <v>-4.8376519141607233E-2</v>
      </c>
      <c r="D721" s="4">
        <f>Acciones!D722/Acciones!D721 -1</f>
        <v>6.2422147661589378E-3</v>
      </c>
      <c r="E721" s="4">
        <f>Acciones!E722/Acciones!E721 -1</f>
        <v>-1.3333359824286628E-2</v>
      </c>
    </row>
    <row r="722" spans="1:5" x14ac:dyDescent="0.2">
      <c r="A722" s="1">
        <f>Acciones!A723</f>
        <v>46049</v>
      </c>
      <c r="B722" s="4">
        <f>Acciones!B723/Acciones!B722 -1</f>
        <v>-8.4247927364911046E-4</v>
      </c>
      <c r="C722" s="4">
        <f>Acciones!C723/Acciones!C722 -1</f>
        <v>3.1469779330645542E-2</v>
      </c>
      <c r="D722" s="4">
        <f>Acciones!D723/Acciones!D722 -1</f>
        <v>-3.5406822867758647E-2</v>
      </c>
      <c r="E722" s="4">
        <f>Acciones!E723/Acciones!E722 -1</f>
        <v>8.1081042984616492E-2</v>
      </c>
    </row>
    <row r="723" spans="1:5" x14ac:dyDescent="0.2">
      <c r="A723" s="1">
        <f>Acciones!A724</f>
        <v>46050</v>
      </c>
      <c r="B723" s="4">
        <f>Acciones!B724/Acciones!B723 -1</f>
        <v>-8.4310923245856095E-4</v>
      </c>
      <c r="C723" s="4">
        <f>Acciones!C724/Acciones!C723 -1</f>
        <v>-9.2758359400607615E-3</v>
      </c>
      <c r="D723" s="4">
        <f>Acciones!D724/Acciones!D723 -1</f>
        <v>-1.5596364810482322E-2</v>
      </c>
      <c r="E723" s="4">
        <f>Acciones!E724/Acciones!E723 -1</f>
        <v>6.2500128056861559E-3</v>
      </c>
    </row>
    <row r="724" spans="1:5" x14ac:dyDescent="0.2">
      <c r="A724" s="1">
        <f>Acciones!A725</f>
        <v>46051</v>
      </c>
      <c r="B724" s="4">
        <f>Acciones!B725/Acciones!B724 -1</f>
        <v>-8.4388504852771495E-3</v>
      </c>
      <c r="C724" s="4">
        <f>Acciones!C725/Acciones!C724 -1</f>
        <v>-5.5950355319786316E-2</v>
      </c>
      <c r="D724" s="4">
        <f>Acciones!D725/Acciones!D724 -1</f>
        <v>5.8715203323793652E-3</v>
      </c>
      <c r="E724" s="4">
        <f>Acciones!E725/Acciones!E724 -1</f>
        <v>-6.8322935376996852E-2</v>
      </c>
    </row>
    <row r="725" spans="1:5" x14ac:dyDescent="0.2">
      <c r="A725" s="1">
        <f>Acciones!A726</f>
        <v>46052</v>
      </c>
      <c r="B725" s="4">
        <f>Acciones!B726/Acciones!B725 -1</f>
        <v>3.4042520725958703E-3</v>
      </c>
      <c r="C725" s="4">
        <f>Acciones!C726/Acciones!C725 -1</f>
        <v>-1.4159459354994741E-2</v>
      </c>
      <c r="D725" s="4">
        <f>Acciones!D726/Acciones!D725 -1</f>
        <v>-3.9748855032506469E-3</v>
      </c>
      <c r="E725" s="4">
        <f>Acciones!E726/Acciones!E725 -1</f>
        <v>-6.6666699780356886E-2</v>
      </c>
    </row>
    <row r="726" spans="1:5" x14ac:dyDescent="0.2">
      <c r="A726" s="1">
        <f>Acciones!A727</f>
        <v>46056</v>
      </c>
      <c r="B726" s="4">
        <f>Acciones!B727/Acciones!B726 -1</f>
        <v>6.7854049164413066E-3</v>
      </c>
      <c r="C726" s="4">
        <f>Acciones!C727/Acciones!C726 -1</f>
        <v>-6.1571957708896008E-2</v>
      </c>
      <c r="D726" s="4">
        <f>Acciones!D727/Acciones!D726 -1</f>
        <v>-2.3255642238290575E-2</v>
      </c>
      <c r="E726" s="4">
        <f>Acciones!E727/Acciones!E726 -1</f>
        <v>-6.4285737853876701E-2</v>
      </c>
    </row>
    <row r="727" spans="1:5" x14ac:dyDescent="0.2">
      <c r="A727" s="1">
        <f>Acciones!A728</f>
        <v>46057</v>
      </c>
      <c r="B727" s="4">
        <f>Acciones!B728/Acciones!B727 -1</f>
        <v>-2.8643652558206223E-2</v>
      </c>
      <c r="C727" s="4">
        <f>Acciones!C728/Acciones!C727 -1</f>
        <v>-7.6654891237402101E-2</v>
      </c>
      <c r="D727" s="4">
        <f>Acciones!D728/Acciones!D727 -1</f>
        <v>5.8085183166290966E-2</v>
      </c>
      <c r="E727" s="4">
        <f>Acciones!E728/Acciones!E727 -1</f>
        <v>-2.2900696498492135E-2</v>
      </c>
    </row>
    <row r="728" spans="1:5" x14ac:dyDescent="0.2">
      <c r="A728" s="1">
        <f>Acciones!A729</f>
        <v>46058</v>
      </c>
      <c r="B728" s="4">
        <f>Acciones!B729/Acciones!B728 -1</f>
        <v>0</v>
      </c>
      <c r="C728" s="4">
        <f>Acciones!C729/Acciones!C728 -1</f>
        <v>-0.18072455665148712</v>
      </c>
      <c r="D728" s="4">
        <f>Acciones!D729/Acciones!D728 -1</f>
        <v>-1.8901874161617593E-2</v>
      </c>
      <c r="E728" s="4">
        <f>Acciones!E729/Acciones!E728 -1</f>
        <v>7.0312406322051269E-2</v>
      </c>
    </row>
    <row r="729" spans="1:5" x14ac:dyDescent="0.2">
      <c r="A729" s="1">
        <f>Acciones!A730</f>
        <v>46059</v>
      </c>
      <c r="B729" s="4">
        <f>Acciones!B730/Acciones!B729 -1</f>
        <v>2.7753742923646962E-2</v>
      </c>
      <c r="C729" s="4">
        <f>Acciones!C730/Acciones!C729 -1</f>
        <v>0.22579816532404262</v>
      </c>
      <c r="D729" s="4">
        <f>Acciones!D730/Acciones!D729 -1</f>
        <v>1.0091798416784981E-2</v>
      </c>
      <c r="E729" s="4">
        <f>Acciones!E730/Acciones!E729 -1</f>
        <v>0.167883232320863</v>
      </c>
    </row>
    <row r="730" spans="1:5" x14ac:dyDescent="0.2">
      <c r="A730" s="1">
        <f>Acciones!A731</f>
        <v>46062</v>
      </c>
      <c r="B730" s="4">
        <f>Acciones!B731/Acciones!B730 -1</f>
        <v>-1.3502176872213334E-2</v>
      </c>
      <c r="C730" s="4">
        <f>Acciones!C731/Acciones!C730 -1</f>
        <v>-4.3248078650722444E-2</v>
      </c>
      <c r="D730" s="4">
        <f>Acciones!D731/Acciones!D730 -1</f>
        <v>-2.392373951024751E-2</v>
      </c>
      <c r="E730" s="4">
        <f>Acciones!E731/Acciones!E730 -1</f>
        <v>-8.7499993015083599E-2</v>
      </c>
    </row>
    <row r="731" spans="1:5" x14ac:dyDescent="0.2">
      <c r="A731" s="1">
        <f>Acciones!A732</f>
        <v>46063</v>
      </c>
      <c r="B731" s="4">
        <f>Acciones!B732/Acciones!B731 -1</f>
        <v>2.566297703194298E-2</v>
      </c>
      <c r="C731" s="4">
        <f>Acciones!C732/Acciones!C731 -1</f>
        <v>-3.9307096836102895E-2</v>
      </c>
      <c r="D731" s="4">
        <f>Acciones!D732/Acciones!D731 -1</f>
        <v>1.4274261682484912E-2</v>
      </c>
      <c r="E731" s="4">
        <f>Acciones!E732/Acciones!E731 -1</f>
        <v>-4.1095872235398678E-2</v>
      </c>
    </row>
    <row r="732" spans="1:5" x14ac:dyDescent="0.2">
      <c r="A732" s="1">
        <f>Acciones!A733</f>
        <v>46064</v>
      </c>
      <c r="B732" s="4">
        <f>Acciones!B733/Acciones!B732 -1</f>
        <v>-8.3404746227677684E-4</v>
      </c>
      <c r="C732" s="4">
        <f>Acciones!C733/Acciones!C732 -1</f>
        <v>-2.3715636652130168E-2</v>
      </c>
      <c r="D732" s="4">
        <f>Acciones!D733/Acciones!D732 -1</f>
        <v>-1.7605470485651753E-2</v>
      </c>
      <c r="E732" s="4">
        <f>Acciones!E733/Acciones!E732 -1</f>
        <v>1.428574317572151E-2</v>
      </c>
    </row>
    <row r="733" spans="1:5" x14ac:dyDescent="0.2">
      <c r="A733" s="1">
        <f>Acciones!A734</f>
        <v>46065</v>
      </c>
      <c r="B733" s="4">
        <f>Acciones!B734/Acciones!B733 -1</f>
        <v>-1.7529139607420974E-2</v>
      </c>
      <c r="C733" s="4">
        <f>Acciones!C734/Acciones!C733 -1</f>
        <v>-3.1897617734252259E-2</v>
      </c>
      <c r="D733" s="4">
        <f>Acciones!D734/Acciones!D733 -1</f>
        <v>-1.5035379174011543E-2</v>
      </c>
      <c r="E733" s="4">
        <f>Acciones!E734/Acciones!E733 -1</f>
        <v>4.9295767996901496E-2</v>
      </c>
    </row>
    <row r="734" spans="1:5" x14ac:dyDescent="0.2">
      <c r="A734" s="1">
        <f>Acciones!A735</f>
        <v>46066</v>
      </c>
      <c r="B734" s="4">
        <f>Acciones!B735/Acciones!B734 -1</f>
        <v>1.5293062404493796E-2</v>
      </c>
      <c r="C734" s="4">
        <f>Acciones!C735/Acciones!C734 -1</f>
        <v>8.4335392201586368E-2</v>
      </c>
      <c r="D734" s="4">
        <f>Acciones!D735/Acciones!D734 -1</f>
        <v>2.7059549418147366E-2</v>
      </c>
      <c r="E734" s="4">
        <f>Acciones!E735/Acciones!E734 -1</f>
        <v>6.7114228198381642E-3</v>
      </c>
    </row>
    <row r="735" spans="1:5" x14ac:dyDescent="0.2">
      <c r="A735" s="1">
        <f>Acciones!A736</f>
        <v>46069</v>
      </c>
      <c r="B735" s="4">
        <f>Acciones!B736/Acciones!B735 -1</f>
        <v>8.3682328925367422E-3</v>
      </c>
      <c r="C735" s="4">
        <f>Acciones!C736/Acciones!C735 -1</f>
        <v>1.6560739199585006E-2</v>
      </c>
      <c r="D735" s="4">
        <f>Acciones!D736/Acciones!D735 -1</f>
        <v>4.3849409289442587E-3</v>
      </c>
      <c r="E735" s="4">
        <f>Acciones!E736/Acciones!E735 -1</f>
        <v>0</v>
      </c>
    </row>
    <row r="736" spans="1:5" x14ac:dyDescent="0.2">
      <c r="A736" s="1">
        <f>Acciones!A737</f>
        <v>46070</v>
      </c>
      <c r="B736" s="4">
        <f>Acciones!B737/Acciones!B736 -1</f>
        <v>-4.1493933562959384E-3</v>
      </c>
      <c r="C736" s="4">
        <f>Acciones!C737/Acciones!C736 -1</f>
        <v>-5.6654496626421857E-2</v>
      </c>
      <c r="D736" s="4">
        <f>Acciones!D737/Acciones!D736 -1</f>
        <v>7.3713584310761693E-3</v>
      </c>
      <c r="E736" s="4">
        <f>Acciones!E737/Acciones!E736 -1</f>
        <v>0</v>
      </c>
    </row>
    <row r="737" spans="1:5" x14ac:dyDescent="0.2">
      <c r="A737" s="1">
        <f>Acciones!A738</f>
        <v>46071</v>
      </c>
      <c r="B737" s="4">
        <f>Acciones!B738/Acciones!B737 -1</f>
        <v>1.4166673024491594E-2</v>
      </c>
      <c r="C737" s="4">
        <f>Acciones!C738/Acciones!C737 -1</f>
        <v>1.1563787581545526E-3</v>
      </c>
      <c r="D737" s="4">
        <f>Acciones!D738/Acciones!D737 -1</f>
        <v>3.0090720398386672E-2</v>
      </c>
      <c r="E737" s="4">
        <f>Acciones!E738/Acciones!E737 -1</f>
        <v>-6.666679912143314E-3</v>
      </c>
    </row>
    <row r="738" spans="1:5" x14ac:dyDescent="0.2">
      <c r="A738" s="1">
        <f>Acciones!A739</f>
        <v>46072</v>
      </c>
      <c r="B738" s="4">
        <f>Acciones!B739/Acciones!B738 -1</f>
        <v>5.1766648355909606E-2</v>
      </c>
      <c r="C738" s="4">
        <f>Acciones!C739/Acciones!C738 -1</f>
        <v>6.3221982714303238E-2</v>
      </c>
      <c r="D738" s="4">
        <f>Acciones!D739/Acciones!D738 -1</f>
        <v>4.9158333358572115E-3</v>
      </c>
      <c r="E738" s="4">
        <f>Acciones!E739/Acciones!E738 -1</f>
        <v>-2.6845691279352768E-2</v>
      </c>
    </row>
    <row r="739" spans="1:5" x14ac:dyDescent="0.2">
      <c r="A739" s="1">
        <f>Acciones!A740</f>
        <v>46073</v>
      </c>
      <c r="B739" s="4">
        <f>Acciones!B740/Acciones!B739 -1</f>
        <v>2.7343704889063014E-2</v>
      </c>
      <c r="C739" s="4">
        <f>Acciones!C740/Acciones!C739 -1</f>
        <v>-1.1950525586620908E-2</v>
      </c>
      <c r="D739" s="4">
        <f>Acciones!D740/Acciones!D739 -1</f>
        <v>-1.2639446257738607E-2</v>
      </c>
      <c r="E739" s="4">
        <f>Acciones!E740/Acciones!E739 -1</f>
        <v>-3.4482726727594337E-2</v>
      </c>
    </row>
    <row r="740" spans="1:5" x14ac:dyDescent="0.2">
      <c r="A740" s="1">
        <f>Acciones!A741</f>
        <v>46076</v>
      </c>
      <c r="B740" s="4">
        <f>Acciones!B741/Acciones!B740 -1</f>
        <v>-5.7034222186831407E-2</v>
      </c>
      <c r="C740" s="4">
        <f>Acciones!C741/Acciones!C740 -1</f>
        <v>-6.6706030957648377E-3</v>
      </c>
      <c r="D740" s="4">
        <f>Acciones!D741/Acciones!D740 -1</f>
        <v>-3.0529865815229984E-2</v>
      </c>
      <c r="E740" s="4">
        <f>Acciones!E741/Acciones!E740 -1</f>
        <v>0</v>
      </c>
    </row>
    <row r="741" spans="1:5" x14ac:dyDescent="0.2">
      <c r="A741" s="1">
        <f>Acciones!A742</f>
        <v>46077</v>
      </c>
      <c r="B741" s="4">
        <f>Acciones!B742/Acciones!B741 -1</f>
        <v>-1.9354820846885445E-2</v>
      </c>
      <c r="C741" s="4">
        <f>Acciones!C742/Acciones!C741 -1</f>
        <v>1.9039199584093058E-2</v>
      </c>
      <c r="D741" s="4">
        <f>Acciones!D742/Acciones!D741 -1</f>
        <v>1.7476745405950567E-2</v>
      </c>
      <c r="E741" s="4">
        <f>Acciones!E742/Acciones!E741 -1</f>
        <v>-7.1428715878608662E-3</v>
      </c>
    </row>
    <row r="742" spans="1:5" x14ac:dyDescent="0.2">
      <c r="A742" s="1">
        <f>Acciones!A743</f>
        <v>46078</v>
      </c>
      <c r="B742" s="4">
        <f>Acciones!B743/Acciones!B742 -1</f>
        <v>-4.1118421568599794E-2</v>
      </c>
      <c r="C742" s="4">
        <f>Acciones!C743/Acciones!C742 -1</f>
        <v>6.4088683744049524E-2</v>
      </c>
      <c r="D742" s="4">
        <f>Acciones!D743/Acciones!D742 -1</f>
        <v>-1.5828171676700142E-2</v>
      </c>
      <c r="E742" s="4">
        <f>Acciones!E743/Acciones!E742 -1</f>
        <v>7.1942592579099518E-3</v>
      </c>
    </row>
    <row r="743" spans="1:5" x14ac:dyDescent="0.2">
      <c r="A743" s="1">
        <f>Acciones!A744</f>
        <v>46079</v>
      </c>
      <c r="B743" s="4">
        <f>Acciones!B744/Acciones!B743 -1</f>
        <v>-1.1149238091101021E-2</v>
      </c>
      <c r="C743" s="4">
        <f>Acciones!C744/Acciones!C743 -1</f>
        <v>-1.0004091440580787E-2</v>
      </c>
      <c r="D743" s="4">
        <f>Acciones!D744/Acciones!D743 -1</f>
        <v>2.160916029506188E-2</v>
      </c>
      <c r="E743" s="4">
        <f>Acciones!E744/Acciones!E743 -1</f>
        <v>-1.4285743175721843E-2</v>
      </c>
    </row>
    <row r="744" spans="1:5" x14ac:dyDescent="0.2">
      <c r="A744" s="1">
        <f>Acciones!A745</f>
        <v>46080</v>
      </c>
      <c r="B744" s="4">
        <f>Acciones!B745/Acciones!B744 -1</f>
        <v>-1.4744152665309262E-2</v>
      </c>
      <c r="C744" s="4">
        <f>Acciones!C745/Acciones!C744 -1</f>
        <v>6.8398961055524676E-2</v>
      </c>
      <c r="D744" s="4">
        <f>Acciones!D745/Acciones!D744 -1</f>
        <v>-3.5868561155480316E-2</v>
      </c>
      <c r="E744" s="4">
        <f>Acciones!E745/Acciones!E744 -1</f>
        <v>0</v>
      </c>
    </row>
    <row r="745" spans="1:5" x14ac:dyDescent="0.2">
      <c r="A745" s="1">
        <f>Acciones!A746</f>
        <v>46083</v>
      </c>
      <c r="B745" s="4">
        <f>Acciones!B746/Acciones!B745 -1</f>
        <v>-1.8485919409651164E-2</v>
      </c>
      <c r="C745" s="4">
        <f>Acciones!C746/Acciones!C745 -1</f>
        <v>6.5950328920078904E-2</v>
      </c>
      <c r="D745" s="4">
        <f>Acciones!D746/Acciones!D745 -1</f>
        <v>-1.1291224695608615E-2</v>
      </c>
      <c r="E745" s="4">
        <f>Acciones!E746/Acciones!E745 -1</f>
        <v>3.6231958391640617E-2</v>
      </c>
    </row>
    <row r="746" spans="1:5" x14ac:dyDescent="0.2">
      <c r="A746" s="1">
        <f>Acciones!A747</f>
        <v>46084</v>
      </c>
      <c r="B746" s="4">
        <f>Acciones!B747/Acciones!B746 -1</f>
        <v>-7.1748812953364993E-3</v>
      </c>
      <c r="C746" s="4">
        <f>Acciones!C747/Acciones!C746 -1</f>
        <v>-6.4646535724327769E-2</v>
      </c>
      <c r="D746" s="4">
        <f>Acciones!D747/Acciones!D746 -1</f>
        <v>-7.037333462787676E-3</v>
      </c>
      <c r="E746" s="4">
        <f>Acciones!E747/Acciones!E746 -1</f>
        <v>2.7971979149209014E-2</v>
      </c>
    </row>
    <row r="747" spans="1:5" x14ac:dyDescent="0.2">
      <c r="A747" s="1">
        <f>Acciones!A748</f>
        <v>46085</v>
      </c>
      <c r="B747" s="4">
        <f>Acciones!B748/Acciones!B747 -1</f>
        <v>-1.8066399856135895E-3</v>
      </c>
      <c r="C747" s="4">
        <f>Acciones!C748/Acciones!C747 -1</f>
        <v>6.220959584396657E-2</v>
      </c>
      <c r="D747" s="4">
        <f>Acciones!D748/Acciones!D747 -1</f>
        <v>-1.9111460001414393E-2</v>
      </c>
      <c r="E747" s="4">
        <f>Acciones!E748/Acciones!E747 -1</f>
        <v>-1.3605469760121669E-2</v>
      </c>
    </row>
    <row r="748" spans="1:5" x14ac:dyDescent="0.2">
      <c r="A748" s="1">
        <f>Acciones!A749</f>
        <v>46086</v>
      </c>
      <c r="B748" s="4">
        <f>Acciones!B749/Acciones!B748 -1</f>
        <v>-4.5249040607912017E-3</v>
      </c>
      <c r="C748" s="4">
        <f>Acciones!C749/Acciones!C748 -1</f>
        <v>-6.1360909653692342E-2</v>
      </c>
      <c r="D748" s="4">
        <f>Acciones!D749/Acciones!D748 -1</f>
        <v>-1.0764955895384842E-3</v>
      </c>
      <c r="E748" s="4">
        <f>Acciones!E749/Acciones!E748 -1</f>
        <v>0</v>
      </c>
    </row>
    <row r="749" spans="1:5" x14ac:dyDescent="0.2">
      <c r="A749" s="1">
        <f>Acciones!A750</f>
        <v>46087</v>
      </c>
      <c r="B749" s="4">
        <f>Acciones!B750/Acciones!B749 -1</f>
        <v>-4.5454718849909925E-3</v>
      </c>
      <c r="C749" s="4">
        <f>Acciones!C750/Acciones!C749 -1</f>
        <v>-8.1423960071553392E-2</v>
      </c>
      <c r="D749" s="4">
        <f>Acciones!D750/Acciones!D749 -1</f>
        <v>-1.4126201740747524E-2</v>
      </c>
      <c r="E749" s="4">
        <f>Acciones!E750/Acciones!E749 -1</f>
        <v>-5.5172424424133504E-2</v>
      </c>
    </row>
    <row r="750" spans="1:5" x14ac:dyDescent="0.2">
      <c r="A750" s="1">
        <f>Acciones!A751</f>
        <v>46090</v>
      </c>
      <c r="B750" s="4">
        <f>Acciones!B751/Acciones!B750 -1</f>
        <v>-3.6529646164151774E-3</v>
      </c>
      <c r="C750" s="4">
        <f>Acciones!C751/Acciones!C750 -1</f>
        <v>7.2082834410418739E-2</v>
      </c>
      <c r="D750" s="4">
        <f>Acciones!D751/Acciones!D750 -1</f>
        <v>-1.6830003102096258E-2</v>
      </c>
      <c r="E750" s="4">
        <f>Acciones!E751/Acciones!E750 -1</f>
        <v>-5.1094887335250694E-2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90C7-C953-A348-955A-1C566048B6FF}">
  <dimension ref="B2:H13"/>
  <sheetViews>
    <sheetView tabSelected="1" topLeftCell="A2" zoomScale="206" workbookViewId="0">
      <selection activeCell="C15" sqref="C15"/>
    </sheetView>
  </sheetViews>
  <sheetFormatPr baseColWidth="10" defaultRowHeight="16" x14ac:dyDescent="0.2"/>
  <cols>
    <col min="1" max="1" width="10.83203125" style="64"/>
    <col min="2" max="2" width="17.6640625" style="64" bestFit="1" customWidth="1"/>
    <col min="3" max="3" width="17.83203125" style="64" bestFit="1" customWidth="1"/>
    <col min="4" max="4" width="10.5" style="64" bestFit="1" customWidth="1"/>
    <col min="5" max="5" width="11.1640625" style="64" bestFit="1" customWidth="1"/>
    <col min="6" max="6" width="11" style="64" bestFit="1" customWidth="1"/>
    <col min="7" max="7" width="10.83203125" style="64"/>
    <col min="8" max="8" width="13.5" style="64" customWidth="1"/>
    <col min="9" max="16384" width="10.83203125" style="64"/>
  </cols>
  <sheetData>
    <row r="2" spans="2:8" x14ac:dyDescent="0.2">
      <c r="B2" s="62" t="s">
        <v>39</v>
      </c>
      <c r="C2" s="63">
        <f>'VAR PARAMETRICO'!H15</f>
        <v>0.97499999999999998</v>
      </c>
    </row>
    <row r="3" spans="2:8" x14ac:dyDescent="0.2">
      <c r="B3" s="62" t="s">
        <v>40</v>
      </c>
      <c r="C3" s="65">
        <f>'VAR HIST'!E3</f>
        <v>18.750000000000018</v>
      </c>
    </row>
    <row r="4" spans="2:8" x14ac:dyDescent="0.2">
      <c r="B4" s="66" t="s">
        <v>65</v>
      </c>
      <c r="C4" s="67">
        <f>'VAR PARAMETRICO'!M8</f>
        <v>28500</v>
      </c>
    </row>
    <row r="7" spans="2:8" ht="17" thickBot="1" x14ac:dyDescent="0.25">
      <c r="B7" s="68" t="s">
        <v>69</v>
      </c>
      <c r="C7" s="68"/>
      <c r="D7" s="68"/>
      <c r="E7" s="68"/>
      <c r="F7" s="68"/>
      <c r="G7" s="68"/>
      <c r="H7" s="68"/>
    </row>
    <row r="8" spans="2:8" ht="51" x14ac:dyDescent="0.2">
      <c r="B8" s="69" t="s">
        <v>66</v>
      </c>
      <c r="C8" s="70" t="s">
        <v>73</v>
      </c>
      <c r="D8" s="70" t="s">
        <v>67</v>
      </c>
      <c r="E8" s="70" t="s">
        <v>74</v>
      </c>
      <c r="F8" s="70" t="s">
        <v>68</v>
      </c>
      <c r="G8" s="70" t="s">
        <v>75</v>
      </c>
      <c r="H8" s="71" t="s">
        <v>81</v>
      </c>
    </row>
    <row r="9" spans="2:8" ht="17" x14ac:dyDescent="0.25">
      <c r="B9" s="72" t="s">
        <v>70</v>
      </c>
      <c r="C9" s="73">
        <f>'VAR HIST'!E4</f>
        <v>1380.0026214536447</v>
      </c>
      <c r="D9" s="74">
        <f>'VAR HIST'!E5</f>
        <v>4.8421144612408588E-2</v>
      </c>
      <c r="E9" s="73">
        <f>'VAR SM'!Y7</f>
        <v>6710.4163276430736</v>
      </c>
      <c r="F9" s="74">
        <f>'VAR SM'!Z7</f>
        <v>0.23545320447870433</v>
      </c>
      <c r="G9" s="73">
        <f>'VAR PARAMETRICO'!H19</f>
        <v>1518.3391127690218</v>
      </c>
      <c r="H9" s="75">
        <f>'VAR PARAMETRICO'!H20</f>
        <v>5.3275056588386729E-2</v>
      </c>
    </row>
    <row r="10" spans="2:8" ht="17" x14ac:dyDescent="0.25">
      <c r="B10" s="72" t="s">
        <v>71</v>
      </c>
      <c r="C10" s="73">
        <f>'VAR HIST'!E6</f>
        <v>1670.9708433239769</v>
      </c>
      <c r="D10" s="74">
        <f>'VAR HIST'!E7</f>
        <v>5.8630555906104449E-2</v>
      </c>
      <c r="E10" s="73">
        <f>'VAR SM'!Y8</f>
        <v>6864.8264152834081</v>
      </c>
      <c r="F10" s="74">
        <f>'VAR SM'!Z8</f>
        <v>0.2408711022906459</v>
      </c>
      <c r="G10" s="73">
        <f>'VAR PARAMETRICO'!K15</f>
        <v>1564.7760913516563</v>
      </c>
      <c r="H10" s="75">
        <f>'VAR PARAMETRICO'!L15</f>
        <v>5.4904424257952854E-2</v>
      </c>
    </row>
    <row r="11" spans="2:8" x14ac:dyDescent="0.2">
      <c r="B11" s="72"/>
      <c r="C11" s="73"/>
      <c r="D11" s="73"/>
      <c r="E11" s="73"/>
      <c r="F11" s="73"/>
      <c r="G11" s="73"/>
      <c r="H11" s="75"/>
    </row>
    <row r="12" spans="2:8" ht="17" x14ac:dyDescent="0.25">
      <c r="B12" s="72" t="s">
        <v>72</v>
      </c>
      <c r="C12" s="73">
        <f>'VAR HIST'!E9</f>
        <v>4363.9514607966612</v>
      </c>
      <c r="D12" s="74">
        <f>'VAR HIST'!E10</f>
        <v>0.15312110388760214</v>
      </c>
      <c r="E12" s="73">
        <f>'VAR SM'!Y10</f>
        <v>21220.199643334829</v>
      </c>
      <c r="F12" s="74">
        <f>'VAR SM'!Z10</f>
        <v>0.74456840853806416</v>
      </c>
      <c r="G12" s="73">
        <f>'VAR PARAMETRICO'!H22</f>
        <v>4801.4098568693553</v>
      </c>
      <c r="H12" s="75">
        <f>'VAR PARAMETRICO'!H23</f>
        <v>0.16847052129366158</v>
      </c>
    </row>
    <row r="13" spans="2:8" ht="18" thickBot="1" x14ac:dyDescent="0.3">
      <c r="B13" s="76" t="s">
        <v>52</v>
      </c>
      <c r="C13" s="77">
        <f>'VAR HIST'!E13</f>
        <v>13091.854382389984</v>
      </c>
      <c r="D13" s="78">
        <f>'VAR HIST'!E14</f>
        <v>0.45936331166280642</v>
      </c>
      <c r="E13" s="77">
        <f>'VAR SM'!Y11</f>
        <v>63660.598930004489</v>
      </c>
      <c r="F13" s="78">
        <f>'VAR SM'!Z11</f>
        <v>2.2337052256141927</v>
      </c>
      <c r="G13" s="77">
        <f>'VAR PARAMETRICO'!K17</f>
        <v>14404.229570608066</v>
      </c>
      <c r="H13" s="79">
        <f>'VAR PARAMETRICO'!K18</f>
        <v>0.50541156388098474</v>
      </c>
    </row>
  </sheetData>
  <mergeCells count="1">
    <mergeCell ref="B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Acciones</vt:lpstr>
      <vt:lpstr>Rendimientos</vt:lpstr>
      <vt:lpstr>Estadísticas Descriptivas</vt:lpstr>
      <vt:lpstr>Portafolio</vt:lpstr>
      <vt:lpstr>VAR HIST</vt:lpstr>
      <vt:lpstr>VAR SM</vt:lpstr>
      <vt:lpstr>VAR PARAMETRICO</vt:lpstr>
      <vt:lpstr>Resumen 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Paredes Conde</cp:lastModifiedBy>
  <dcterms:created xsi:type="dcterms:W3CDTF">2026-03-10T18:56:45Z</dcterms:created>
  <dcterms:modified xsi:type="dcterms:W3CDTF">2026-03-11T01:57:28Z</dcterms:modified>
</cp:coreProperties>
</file>