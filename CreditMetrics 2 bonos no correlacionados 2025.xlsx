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/10 Semestre Primavera/Admin Actuarial de Riesgos/"/>
    </mc:Choice>
  </mc:AlternateContent>
  <xr:revisionPtr revIDLastSave="204" documentId="8_{90A614AB-5846-4111-99B3-1726B71C6D3B}" xr6:coauthVersionLast="47" xr6:coauthVersionMax="47" xr10:uidLastSave="{8DE56A5C-FB54-944B-8667-ED4BFE8EBC8F}"/>
  <bookViews>
    <workbookView xWindow="0" yWindow="780" windowWidth="34200" windowHeight="21460" firstSheet="1" activeTab="1" xr2:uid="{404E209C-44A9-4C0F-8E42-1616997A9F7D}"/>
  </bookViews>
  <sheets>
    <sheet name="Hoja1" sheetId="1" r:id="rId1"/>
    <sheet name="Ejemplo Indp Nvidia Henkel" sheetId="2" r:id="rId2"/>
    <sheet name="CreditMetrics Correlacionado" sheetId="5" r:id="rId3"/>
    <sheet name="NVIDIA" sheetId="6" r:id="rId4"/>
    <sheet name="Henkel ST Stock Price History (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5" i="2" l="1"/>
  <c r="CS91" i="2"/>
  <c r="BN95" i="2"/>
  <c r="BS77" i="2" s="1"/>
  <c r="AW77" i="2"/>
  <c r="BA76" i="2"/>
  <c r="AV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A7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A97" i="2"/>
  <c r="Z77" i="2" a="1"/>
  <c r="Z77" i="2" s="1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A76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S78" i="2"/>
  <c r="T78" i="2"/>
  <c r="U78" i="2"/>
  <c r="V78" i="2"/>
  <c r="G78" i="2"/>
  <c r="H78" i="2"/>
  <c r="I78" i="2"/>
  <c r="J78" i="2"/>
  <c r="K78" i="2"/>
  <c r="L78" i="2"/>
  <c r="M78" i="2"/>
  <c r="N78" i="2"/>
  <c r="O78" i="2"/>
  <c r="P78" i="2"/>
  <c r="Q78" i="2"/>
  <c r="R78" i="2"/>
  <c r="F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78" i="2"/>
  <c r="Q77" i="2"/>
  <c r="R77" i="2"/>
  <c r="S77" i="2"/>
  <c r="T77" i="2"/>
  <c r="U77" i="2"/>
  <c r="V77" i="2"/>
  <c r="G77" i="2"/>
  <c r="H77" i="2"/>
  <c r="I77" i="2"/>
  <c r="J77" i="2"/>
  <c r="K77" i="2"/>
  <c r="L77" i="2"/>
  <c r="M77" i="2"/>
  <c r="N77" i="2"/>
  <c r="O77" i="2"/>
  <c r="P77" i="2"/>
  <c r="F77" i="2"/>
  <c r="E77" i="2"/>
  <c r="E97" i="2" a="1"/>
  <c r="E97" i="2" s="1"/>
  <c r="D78" i="2"/>
  <c r="AJ53" i="2" a="1"/>
  <c r="AJ53" i="2" s="1"/>
  <c r="AA47" i="2"/>
  <c r="AB47" i="2"/>
  <c r="AB50" i="2"/>
  <c r="AC53" i="2"/>
  <c r="AH53" i="2" s="1"/>
  <c r="AK53" i="2" s="1"/>
  <c r="AD53" i="2"/>
  <c r="AE53" i="2"/>
  <c r="AF53" i="2"/>
  <c r="AG53" i="2"/>
  <c r="AC54" i="2"/>
  <c r="AH54" i="2" s="1"/>
  <c r="AK54" i="2" s="1"/>
  <c r="AD54" i="2"/>
  <c r="AE54" i="2"/>
  <c r="AF54" i="2"/>
  <c r="AG54" i="2"/>
  <c r="AC55" i="2"/>
  <c r="AH55" i="2" s="1"/>
  <c r="AD55" i="2"/>
  <c r="AE55" i="2"/>
  <c r="AF55" i="2"/>
  <c r="AG55" i="2"/>
  <c r="AC56" i="2"/>
  <c r="AD56" i="2"/>
  <c r="AE56" i="2"/>
  <c r="AF56" i="2"/>
  <c r="AH56" i="2" s="1"/>
  <c r="AK56" i="2" s="1"/>
  <c r="AG56" i="2"/>
  <c r="AC57" i="2"/>
  <c r="AD57" i="2"/>
  <c r="AE57" i="2"/>
  <c r="AH57" i="2" s="1"/>
  <c r="AK57" i="2" s="1"/>
  <c r="AF57" i="2"/>
  <c r="AG57" i="2"/>
  <c r="AC58" i="2"/>
  <c r="AD58" i="2"/>
  <c r="AE58" i="2"/>
  <c r="AF58" i="2"/>
  <c r="AG58" i="2"/>
  <c r="AH58" i="2"/>
  <c r="AK58" i="2" s="1"/>
  <c r="AC59" i="2"/>
  <c r="AH59" i="2" s="1"/>
  <c r="AK59" i="2" s="1"/>
  <c r="AD59" i="2"/>
  <c r="AE59" i="2"/>
  <c r="AF59" i="2"/>
  <c r="AG59" i="2"/>
  <c r="AC60" i="2"/>
  <c r="AD60" i="2"/>
  <c r="AH60" i="2" s="1"/>
  <c r="AK60" i="2" s="1"/>
  <c r="AE60" i="2"/>
  <c r="AF60" i="2"/>
  <c r="AG60" i="2"/>
  <c r="AC61" i="2"/>
  <c r="AH61" i="2" s="1"/>
  <c r="AK61" i="2" s="1"/>
  <c r="AD61" i="2"/>
  <c r="AE61" i="2"/>
  <c r="AF61" i="2"/>
  <c r="AG61" i="2"/>
  <c r="AC62" i="2"/>
  <c r="AH62" i="2" s="1"/>
  <c r="AK62" i="2" s="1"/>
  <c r="AD62" i="2"/>
  <c r="AE62" i="2"/>
  <c r="AF62" i="2"/>
  <c r="AG62" i="2"/>
  <c r="AC63" i="2"/>
  <c r="AH63" i="2" s="1"/>
  <c r="AK63" i="2" s="1"/>
  <c r="AD63" i="2"/>
  <c r="AE63" i="2"/>
  <c r="AF63" i="2"/>
  <c r="AG63" i="2"/>
  <c r="AC64" i="2"/>
  <c r="AD64" i="2"/>
  <c r="AE64" i="2"/>
  <c r="AF64" i="2"/>
  <c r="AH64" i="2" s="1"/>
  <c r="AK64" i="2" s="1"/>
  <c r="AG64" i="2"/>
  <c r="AC65" i="2"/>
  <c r="AD65" i="2"/>
  <c r="AE65" i="2"/>
  <c r="AH65" i="2" s="1"/>
  <c r="AK65" i="2" s="1"/>
  <c r="AF65" i="2"/>
  <c r="AG65" i="2"/>
  <c r="AC66" i="2"/>
  <c r="AD66" i="2"/>
  <c r="AE66" i="2"/>
  <c r="AF66" i="2"/>
  <c r="AG66" i="2"/>
  <c r="AH66" i="2"/>
  <c r="AK66" i="2" s="1"/>
  <c r="AC67" i="2"/>
  <c r="AH67" i="2" s="1"/>
  <c r="AK67" i="2" s="1"/>
  <c r="AD67" i="2"/>
  <c r="AE67" i="2"/>
  <c r="AF67" i="2"/>
  <c r="AG67" i="2"/>
  <c r="AC68" i="2"/>
  <c r="AD68" i="2"/>
  <c r="AH68" i="2" s="1"/>
  <c r="AK68" i="2" s="1"/>
  <c r="AE68" i="2"/>
  <c r="AF68" i="2"/>
  <c r="AG68" i="2"/>
  <c r="AC69" i="2"/>
  <c r="AH69" i="2" s="1"/>
  <c r="AK69" i="2" s="1"/>
  <c r="AD69" i="2"/>
  <c r="AE69" i="2"/>
  <c r="AF69" i="2"/>
  <c r="AG69" i="2"/>
  <c r="AK70" i="2"/>
  <c r="F36" i="2"/>
  <c r="F26" i="2"/>
  <c r="B17" i="5"/>
  <c r="B16" i="5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3" i="5"/>
  <c r="A3" i="5"/>
  <c r="B2" i="5"/>
  <c r="A2" i="5"/>
  <c r="CL77" i="2"/>
  <c r="CO74" i="2"/>
  <c r="BS74" i="2"/>
  <c r="BP77" i="2"/>
  <c r="AT77" i="2"/>
  <c r="AW74" i="2"/>
  <c r="X77" i="2"/>
  <c r="AA74" i="2"/>
  <c r="W53" i="2" a="1"/>
  <c r="W53" i="2" s="1"/>
  <c r="K70" i="2"/>
  <c r="J53" i="2" a="1"/>
  <c r="J53" i="2" s="1"/>
  <c r="C14" i="5"/>
  <c r="C15" i="5"/>
  <c r="AK71" i="2" l="1"/>
  <c r="T11" i="5"/>
  <c r="T12" i="5" s="1"/>
  <c r="CN94" i="2"/>
  <c r="CN93" i="2"/>
  <c r="CN92" i="2"/>
  <c r="CN91" i="2"/>
  <c r="CN90" i="2"/>
  <c r="CN89" i="2"/>
  <c r="CN88" i="2"/>
  <c r="CN87" i="2"/>
  <c r="CN86" i="2"/>
  <c r="CN85" i="2"/>
  <c r="CN84" i="2"/>
  <c r="CN83" i="2"/>
  <c r="CN82" i="2"/>
  <c r="CN81" i="2"/>
  <c r="CN80" i="2"/>
  <c r="CN79" i="2"/>
  <c r="CN78" i="2"/>
  <c r="CN77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T7" i="5" l="1"/>
  <c r="T8" i="5" s="1"/>
  <c r="S11" i="5"/>
  <c r="S12" i="5" s="1"/>
  <c r="R11" i="5"/>
  <c r="R12" i="5" s="1"/>
  <c r="Q11" i="5"/>
  <c r="Q12" i="5" s="1"/>
  <c r="P11" i="5"/>
  <c r="P12" i="5" s="1"/>
  <c r="O11" i="5"/>
  <c r="O12" i="5" s="1"/>
  <c r="N11" i="5"/>
  <c r="N12" i="5" s="1"/>
  <c r="M11" i="5"/>
  <c r="M12" i="5" s="1"/>
  <c r="L11" i="5"/>
  <c r="L12" i="5" s="1"/>
  <c r="K11" i="5"/>
  <c r="K12" i="5" s="1"/>
  <c r="J11" i="5"/>
  <c r="J12" i="5" s="1"/>
  <c r="I11" i="5"/>
  <c r="I12" i="5" s="1"/>
  <c r="H11" i="5"/>
  <c r="H12" i="5" s="1"/>
  <c r="G11" i="5"/>
  <c r="G12" i="5" s="1"/>
  <c r="F11" i="5"/>
  <c r="F12" i="5" s="1"/>
  <c r="E11" i="5"/>
  <c r="E12" i="5" s="1"/>
  <c r="D11" i="5"/>
  <c r="D12" i="5" s="1"/>
  <c r="C11" i="5"/>
  <c r="C12" i="5" s="1"/>
  <c r="S7" i="5"/>
  <c r="S8" i="5" s="1"/>
  <c r="R7" i="5"/>
  <c r="R8" i="5" s="1"/>
  <c r="Q7" i="5"/>
  <c r="Q8" i="5" s="1"/>
  <c r="P7" i="5"/>
  <c r="P8" i="5" s="1"/>
  <c r="O7" i="5"/>
  <c r="O8" i="5" s="1"/>
  <c r="N7" i="5"/>
  <c r="N8" i="5" s="1"/>
  <c r="M7" i="5"/>
  <c r="M8" i="5" s="1"/>
  <c r="L7" i="5"/>
  <c r="L8" i="5" s="1"/>
  <c r="K7" i="5"/>
  <c r="K8" i="5" s="1"/>
  <c r="J7" i="5"/>
  <c r="J8" i="5" s="1"/>
  <c r="I7" i="5"/>
  <c r="I8" i="5" s="1"/>
  <c r="H7" i="5"/>
  <c r="H8" i="5" s="1"/>
  <c r="G7" i="5"/>
  <c r="G8" i="5" s="1"/>
  <c r="F7" i="5"/>
  <c r="F8" i="5" s="1"/>
  <c r="E7" i="5"/>
  <c r="E8" i="5" s="1"/>
  <c r="D7" i="5"/>
  <c r="D8" i="5" s="1"/>
  <c r="C7" i="5"/>
  <c r="C8" i="5" s="1"/>
  <c r="B7" i="5"/>
  <c r="B8" i="5" s="1"/>
  <c r="U10" i="5"/>
  <c r="B11" i="5" s="1"/>
  <c r="B12" i="5" s="1"/>
  <c r="U6" i="5"/>
  <c r="O47" i="2"/>
  <c r="N47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D94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O50" i="2"/>
  <c r="B50" i="2"/>
  <c r="G45" i="2"/>
  <c r="E45" i="2"/>
  <c r="D45" i="2"/>
  <c r="C45" i="2"/>
  <c r="G44" i="2"/>
  <c r="E44" i="2"/>
  <c r="D44" i="2"/>
  <c r="C44" i="2"/>
  <c r="G43" i="2"/>
  <c r="E43" i="2"/>
  <c r="D43" i="2"/>
  <c r="C43" i="2"/>
  <c r="G42" i="2"/>
  <c r="E42" i="2"/>
  <c r="D42" i="2"/>
  <c r="C42" i="2"/>
  <c r="G40" i="2"/>
  <c r="E40" i="2"/>
  <c r="D40" i="2"/>
  <c r="C40" i="2"/>
  <c r="G39" i="2"/>
  <c r="E39" i="2"/>
  <c r="D39" i="2"/>
  <c r="C39" i="2"/>
  <c r="G37" i="2"/>
  <c r="E37" i="2"/>
  <c r="D37" i="2"/>
  <c r="C37" i="2"/>
  <c r="G35" i="2"/>
  <c r="E35" i="2"/>
  <c r="D35" i="2"/>
  <c r="C35" i="2"/>
  <c r="G34" i="2"/>
  <c r="E34" i="2"/>
  <c r="D34" i="2"/>
  <c r="C34" i="2"/>
  <c r="G33" i="2"/>
  <c r="E33" i="2"/>
  <c r="D33" i="2"/>
  <c r="C33" i="2"/>
  <c r="G31" i="2"/>
  <c r="E31" i="2"/>
  <c r="D31" i="2"/>
  <c r="C31" i="2"/>
  <c r="G29" i="2"/>
  <c r="E29" i="2"/>
  <c r="D29" i="2"/>
  <c r="C29" i="2"/>
  <c r="F44" i="2"/>
  <c r="E32" i="2" l="1"/>
  <c r="R56" i="2" s="1"/>
  <c r="G32" i="2"/>
  <c r="G56" i="2" s="1"/>
  <c r="G41" i="2"/>
  <c r="G36" i="2"/>
  <c r="T60" i="2" s="1"/>
  <c r="G30" i="2"/>
  <c r="AW76" i="2"/>
  <c r="AX76" i="2"/>
  <c r="AY76" i="2"/>
  <c r="AZ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D30" i="2"/>
  <c r="D54" i="2" s="1"/>
  <c r="C36" i="2"/>
  <c r="C60" i="2" s="1"/>
  <c r="D41" i="2"/>
  <c r="Q65" i="2" s="1"/>
  <c r="G38" i="2"/>
  <c r="G62" i="2" s="1"/>
  <c r="E41" i="2"/>
  <c r="E65" i="2" s="1"/>
  <c r="C41" i="2"/>
  <c r="C65" i="2" s="1"/>
  <c r="E53" i="2"/>
  <c r="E38" i="2"/>
  <c r="R62" i="2" s="1"/>
  <c r="C32" i="2"/>
  <c r="P56" i="2" s="1"/>
  <c r="E36" i="2"/>
  <c r="E60" i="2" s="1"/>
  <c r="R53" i="2"/>
  <c r="E30" i="2"/>
  <c r="E54" i="2" s="1"/>
  <c r="D38" i="2"/>
  <c r="Q62" i="2" s="1"/>
  <c r="D32" i="2"/>
  <c r="D56" i="2" s="1"/>
  <c r="D36" i="2"/>
  <c r="D60" i="2" s="1"/>
  <c r="C30" i="2"/>
  <c r="P54" i="2" s="1"/>
  <c r="C38" i="2"/>
  <c r="C62" i="2" s="1"/>
  <c r="F29" i="2"/>
  <c r="S53" i="2" s="1"/>
  <c r="F33" i="2"/>
  <c r="F57" i="2" s="1"/>
  <c r="F37" i="2"/>
  <c r="F61" i="2" s="1"/>
  <c r="F45" i="2"/>
  <c r="S69" i="2" s="1"/>
  <c r="C53" i="2"/>
  <c r="F34" i="2"/>
  <c r="S58" i="2" s="1"/>
  <c r="F42" i="2"/>
  <c r="F66" i="2" s="1"/>
  <c r="F31" i="2"/>
  <c r="F55" i="2" s="1"/>
  <c r="F35" i="2"/>
  <c r="S59" i="2" s="1"/>
  <c r="F39" i="2"/>
  <c r="S63" i="2" s="1"/>
  <c r="F43" i="2"/>
  <c r="S67" i="2" s="1"/>
  <c r="Q69" i="2"/>
  <c r="G69" i="2"/>
  <c r="C69" i="2"/>
  <c r="S68" i="2"/>
  <c r="E68" i="2"/>
  <c r="Q67" i="2"/>
  <c r="G67" i="2"/>
  <c r="C67" i="2"/>
  <c r="E66" i="2"/>
  <c r="G65" i="2"/>
  <c r="E64" i="2"/>
  <c r="Q63" i="2"/>
  <c r="G63" i="2"/>
  <c r="C63" i="2"/>
  <c r="Q61" i="2"/>
  <c r="G61" i="2"/>
  <c r="C61" i="2"/>
  <c r="Q59" i="2"/>
  <c r="G59" i="2"/>
  <c r="C59" i="2"/>
  <c r="E58" i="2"/>
  <c r="Q57" i="2"/>
  <c r="G57" i="2"/>
  <c r="C57" i="2"/>
  <c r="Q55" i="2"/>
  <c r="G55" i="2"/>
  <c r="C55" i="2"/>
  <c r="T53" i="2"/>
  <c r="P53" i="2"/>
  <c r="T69" i="2"/>
  <c r="P69" i="2"/>
  <c r="R68" i="2"/>
  <c r="D68" i="2"/>
  <c r="T67" i="2"/>
  <c r="P67" i="2"/>
  <c r="R66" i="2"/>
  <c r="D66" i="2"/>
  <c r="T65" i="2"/>
  <c r="R64" i="2"/>
  <c r="D64" i="2"/>
  <c r="T63" i="2"/>
  <c r="P63" i="2"/>
  <c r="T61" i="2"/>
  <c r="P61" i="2"/>
  <c r="T59" i="2"/>
  <c r="P59" i="2"/>
  <c r="R58" i="2"/>
  <c r="D58" i="2"/>
  <c r="T57" i="2"/>
  <c r="P57" i="2"/>
  <c r="T55" i="2"/>
  <c r="P55" i="2"/>
  <c r="D53" i="2"/>
  <c r="E69" i="2"/>
  <c r="Q68" i="2"/>
  <c r="G68" i="2"/>
  <c r="C68" i="2"/>
  <c r="E67" i="2"/>
  <c r="Q66" i="2"/>
  <c r="G66" i="2"/>
  <c r="C66" i="2"/>
  <c r="Q64" i="2"/>
  <c r="G64" i="2"/>
  <c r="C64" i="2"/>
  <c r="E63" i="2"/>
  <c r="E61" i="2"/>
  <c r="G60" i="2"/>
  <c r="E59" i="2"/>
  <c r="Q58" i="2"/>
  <c r="G58" i="2"/>
  <c r="C58" i="2"/>
  <c r="E57" i="2"/>
  <c r="E55" i="2"/>
  <c r="G54" i="2"/>
  <c r="R69" i="2"/>
  <c r="D69" i="2"/>
  <c r="T68" i="2"/>
  <c r="P68" i="2"/>
  <c r="F68" i="2"/>
  <c r="R67" i="2"/>
  <c r="D67" i="2"/>
  <c r="T66" i="2"/>
  <c r="P66" i="2"/>
  <c r="T64" i="2"/>
  <c r="P64" i="2"/>
  <c r="R63" i="2"/>
  <c r="D63" i="2"/>
  <c r="R61" i="2"/>
  <c r="D61" i="2"/>
  <c r="P60" i="2"/>
  <c r="R59" i="2"/>
  <c r="D59" i="2"/>
  <c r="T58" i="2"/>
  <c r="P58" i="2"/>
  <c r="R57" i="2"/>
  <c r="D57" i="2"/>
  <c r="R55" i="2"/>
  <c r="D55" i="2"/>
  <c r="T54" i="2"/>
  <c r="Q53" i="2"/>
  <c r="F40" i="2"/>
  <c r="G53" i="2"/>
  <c r="T56" i="2" l="1"/>
  <c r="Q54" i="2"/>
  <c r="E56" i="2"/>
  <c r="P62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D65" i="2"/>
  <c r="T62" i="2"/>
  <c r="S55" i="2"/>
  <c r="U55" i="2" s="1"/>
  <c r="R65" i="2"/>
  <c r="Q56" i="2"/>
  <c r="P65" i="2"/>
  <c r="S57" i="2"/>
  <c r="U57" i="2" s="1"/>
  <c r="C56" i="2"/>
  <c r="R54" i="2"/>
  <c r="F59" i="2"/>
  <c r="H59" i="2" s="1"/>
  <c r="D62" i="2"/>
  <c r="F53" i="2"/>
  <c r="H53" i="2" s="1"/>
  <c r="C54" i="2"/>
  <c r="E62" i="2"/>
  <c r="F63" i="2"/>
  <c r="H63" i="2" s="1"/>
  <c r="S61" i="2"/>
  <c r="U61" i="2" s="1"/>
  <c r="F58" i="2"/>
  <c r="H58" i="2" s="1"/>
  <c r="R60" i="2"/>
  <c r="F41" i="2"/>
  <c r="F65" i="2" s="1"/>
  <c r="S66" i="2"/>
  <c r="U66" i="2" s="1"/>
  <c r="Q60" i="2"/>
  <c r="U58" i="2"/>
  <c r="F67" i="2"/>
  <c r="H67" i="2" s="1"/>
  <c r="F69" i="2"/>
  <c r="H69" i="2" s="1"/>
  <c r="F32" i="2"/>
  <c r="F64" i="2"/>
  <c r="H64" i="2" s="1"/>
  <c r="U63" i="2"/>
  <c r="H61" i="2"/>
  <c r="F38" i="2"/>
  <c r="H66" i="2"/>
  <c r="U53" i="2"/>
  <c r="H55" i="2"/>
  <c r="S64" i="2"/>
  <c r="U64" i="2" s="1"/>
  <c r="H68" i="2"/>
  <c r="U59" i="2"/>
  <c r="U67" i="2"/>
  <c r="H57" i="2"/>
  <c r="F30" i="2"/>
  <c r="U68" i="2"/>
  <c r="U69" i="2"/>
  <c r="H65" i="2" l="1"/>
  <c r="D89" i="2" s="1"/>
  <c r="AV77" i="2"/>
  <c r="S65" i="2"/>
  <c r="U65" i="2" s="1"/>
  <c r="X53" i="2"/>
  <c r="F60" i="2"/>
  <c r="H60" i="2" s="1"/>
  <c r="D84" i="2" s="1"/>
  <c r="S60" i="2"/>
  <c r="U60" i="2" s="1"/>
  <c r="S56" i="2"/>
  <c r="U56" i="2" s="1"/>
  <c r="F56" i="2"/>
  <c r="H56" i="2" s="1"/>
  <c r="D81" i="2"/>
  <c r="D82" i="2"/>
  <c r="D93" i="2"/>
  <c r="F54" i="2"/>
  <c r="H54" i="2" s="1"/>
  <c r="S54" i="2"/>
  <c r="U54" i="2" s="1"/>
  <c r="D85" i="2"/>
  <c r="D88" i="2"/>
  <c r="D91" i="2"/>
  <c r="D77" i="2"/>
  <c r="K53" i="2"/>
  <c r="D87" i="2"/>
  <c r="D83" i="2"/>
  <c r="D92" i="2"/>
  <c r="D79" i="2"/>
  <c r="D90" i="2"/>
  <c r="F62" i="2"/>
  <c r="H62" i="2" s="1"/>
  <c r="S62" i="2"/>
  <c r="U62" i="2" s="1"/>
  <c r="B28" i="5" l="1" a="1"/>
  <c r="B28" i="5" s="1"/>
  <c r="B23" i="5" a="1"/>
  <c r="B23" i="5" s="1"/>
  <c r="E76" i="2" a="1"/>
  <c r="E76" i="2" s="1"/>
  <c r="D80" i="2"/>
  <c r="D86" i="2"/>
  <c r="K59" i="2" l="1"/>
  <c r="K56" i="2"/>
  <c r="K60" i="2"/>
  <c r="K64" i="2"/>
  <c r="K68" i="2"/>
  <c r="K55" i="2"/>
  <c r="K63" i="2"/>
  <c r="K67" i="2"/>
  <c r="K57" i="2"/>
  <c r="K61" i="2"/>
  <c r="K65" i="2"/>
  <c r="K69" i="2"/>
  <c r="K54" i="2"/>
  <c r="K58" i="2"/>
  <c r="K62" i="2"/>
  <c r="K66" i="2"/>
  <c r="K71" i="2" l="1"/>
  <c r="AW83" i="2" l="1"/>
  <c r="AW80" i="2"/>
  <c r="AW88" i="2"/>
  <c r="AW87" i="2"/>
  <c r="AW90" i="2"/>
  <c r="AW94" i="2"/>
  <c r="AW81" i="2"/>
  <c r="AW89" i="2"/>
  <c r="AW82" i="2"/>
  <c r="AW85" i="2"/>
  <c r="AW93" i="2"/>
  <c r="AW86" i="2"/>
  <c r="AW84" i="2"/>
  <c r="AW92" i="2"/>
  <c r="AW79" i="2"/>
  <c r="AW91" i="2"/>
  <c r="AW78" i="2"/>
  <c r="B18" i="5" l="1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B14" i="5" l="1"/>
  <c r="B15" i="5"/>
  <c r="X71" i="2"/>
  <c r="B19" i="5"/>
  <c r="D19" i="5" s="1"/>
  <c r="D27" i="5" l="1"/>
  <c r="S27" i="5"/>
  <c r="G27" i="5"/>
  <c r="R27" i="5"/>
  <c r="R29" i="5" s="1"/>
  <c r="F27" i="5"/>
  <c r="Q27" i="5"/>
  <c r="E27" i="5"/>
  <c r="P27" i="5"/>
  <c r="P29" i="5" s="1"/>
  <c r="O27" i="5"/>
  <c r="O29" i="5" s="1"/>
  <c r="N27" i="5"/>
  <c r="N29" i="5" s="1"/>
  <c r="M27" i="5"/>
  <c r="L27" i="5"/>
  <c r="L29" i="5" s="1"/>
  <c r="K27" i="5"/>
  <c r="J27" i="5"/>
  <c r="J29" i="5" s="1"/>
  <c r="I27" i="5"/>
  <c r="I29" i="5" s="1"/>
  <c r="H27" i="5"/>
  <c r="B27" i="5"/>
  <c r="B29" i="5" s="1"/>
  <c r="C27" i="5"/>
  <c r="S22" i="5"/>
  <c r="G22" i="5"/>
  <c r="E22" i="5"/>
  <c r="R22" i="5"/>
  <c r="F22" i="5"/>
  <c r="F24" i="5" s="1"/>
  <c r="Q22" i="5"/>
  <c r="Q24" i="5" s="1"/>
  <c r="P22" i="5"/>
  <c r="M22" i="5"/>
  <c r="N22" i="5"/>
  <c r="N24" i="5" s="1"/>
  <c r="O22" i="5"/>
  <c r="L22" i="5"/>
  <c r="K22" i="5"/>
  <c r="K24" i="5" s="1"/>
  <c r="J22" i="5"/>
  <c r="I22" i="5"/>
  <c r="H22" i="5"/>
  <c r="C22" i="5"/>
  <c r="C24" i="5" s="1"/>
  <c r="D22" i="5"/>
  <c r="B22" i="5"/>
  <c r="B24" i="5" s="1"/>
  <c r="S24" i="5" l="1"/>
  <c r="R24" i="5" s="1"/>
  <c r="P24" i="5"/>
  <c r="O24" i="5" s="1"/>
  <c r="M24" i="5" s="1"/>
  <c r="L24" i="5" s="1"/>
  <c r="J24" i="5" s="1"/>
  <c r="I24" i="5" s="1"/>
  <c r="H24" i="5" s="1"/>
  <c r="G24" i="5" s="1"/>
  <c r="E24" i="5" s="1"/>
  <c r="D24" i="5" s="1"/>
  <c r="S29" i="5" s="1"/>
  <c r="Q29" i="5" s="1"/>
  <c r="M29" i="5" s="1"/>
  <c r="K29" i="5" s="1"/>
  <c r="H29" i="5" s="1"/>
  <c r="G29" i="5" s="1"/>
  <c r="F29" i="5" s="1"/>
  <c r="E29" i="5" s="1"/>
  <c r="D29" i="5" s="1"/>
  <c r="C29" i="5" s="1"/>
  <c r="BB80" i="2"/>
  <c r="W94" i="2" l="1"/>
  <c r="B35" i="5"/>
  <c r="BH82" i="2"/>
  <c r="AX91" i="2"/>
  <c r="BI88" i="2"/>
  <c r="BG79" i="2"/>
  <c r="BL77" i="2"/>
  <c r="BD90" i="2"/>
  <c r="BK87" i="2"/>
  <c r="BC83" i="2"/>
  <c r="BA84" i="2"/>
  <c r="BH79" i="2"/>
  <c r="AZ92" i="2"/>
  <c r="AY93" i="2"/>
  <c r="BN81" i="2"/>
  <c r="BF90" i="2"/>
  <c r="AX89" i="2"/>
  <c r="BM93" i="2"/>
  <c r="BM87" i="2"/>
  <c r="BE83" i="2"/>
  <c r="BI85" i="2"/>
  <c r="BL78" i="2"/>
  <c r="BL81" i="2"/>
  <c r="BD85" i="2"/>
  <c r="BK77" i="2"/>
  <c r="BC90" i="2"/>
  <c r="BJ77" i="2"/>
  <c r="BJ84" i="2"/>
  <c r="BB86" i="2"/>
  <c r="BB81" i="2"/>
  <c r="BA88" i="2"/>
  <c r="BH92" i="2"/>
  <c r="BH87" i="2"/>
  <c r="AZ83" i="2"/>
  <c r="AZ89" i="2"/>
  <c r="AY84" i="2"/>
  <c r="AY87" i="2"/>
  <c r="AY91" i="2"/>
  <c r="BN88" i="2"/>
  <c r="BN78" i="2"/>
  <c r="BF86" i="2"/>
  <c r="BF80" i="2"/>
  <c r="AX87" i="2"/>
  <c r="AX81" i="2"/>
  <c r="BM94" i="2"/>
  <c r="BM83" i="2"/>
  <c r="BM77" i="2"/>
  <c r="BE86" i="2"/>
  <c r="BE93" i="2"/>
  <c r="BI83" i="2"/>
  <c r="BI93" i="2"/>
  <c r="BG93" i="2"/>
  <c r="BG77" i="2"/>
  <c r="BL84" i="2"/>
  <c r="BL91" i="2"/>
  <c r="BL94" i="2"/>
  <c r="BD89" i="2"/>
  <c r="BD93" i="2"/>
  <c r="BK88" i="2"/>
  <c r="BK91" i="2"/>
  <c r="BC80" i="2"/>
  <c r="BC87" i="2"/>
  <c r="BJ79" i="2"/>
  <c r="BJ88" i="2"/>
  <c r="BJ93" i="2"/>
  <c r="BB79" i="2"/>
  <c r="BB83" i="2"/>
  <c r="BA93" i="2"/>
  <c r="BA89" i="2"/>
  <c r="AZ93" i="2"/>
  <c r="AY85" i="2"/>
  <c r="BF77" i="2"/>
  <c r="BM91" i="2"/>
  <c r="BE80" i="2"/>
  <c r="BG84" i="2"/>
  <c r="BL86" i="2"/>
  <c r="BD87" i="2"/>
  <c r="BC88" i="2"/>
  <c r="BJ92" i="2"/>
  <c r="BB87" i="2"/>
  <c r="BB77" i="2"/>
  <c r="BA85" i="2"/>
  <c r="BH90" i="2"/>
  <c r="AZ88" i="2"/>
  <c r="AY90" i="2"/>
  <c r="AY88" i="2"/>
  <c r="BN82" i="2"/>
  <c r="BF84" i="2"/>
  <c r="AX79" i="2"/>
  <c r="BM88" i="2"/>
  <c r="BE87" i="2"/>
  <c r="BI82" i="2"/>
  <c r="BG83" i="2"/>
  <c r="BG91" i="2"/>
  <c r="BL83" i="2"/>
  <c r="BD79" i="2"/>
  <c r="BK86" i="2"/>
  <c r="BC82" i="2"/>
  <c r="BJ89" i="2"/>
  <c r="BA91" i="2"/>
  <c r="BH83" i="2"/>
  <c r="BH80" i="2"/>
  <c r="AZ77" i="2"/>
  <c r="AZ81" i="2"/>
  <c r="AY80" i="2"/>
  <c r="AY79" i="2"/>
  <c r="BN80" i="2"/>
  <c r="BN84" i="2"/>
  <c r="BN90" i="2"/>
  <c r="BF87" i="2"/>
  <c r="BF89" i="2"/>
  <c r="AX82" i="2"/>
  <c r="AX78" i="2"/>
  <c r="BM84" i="2"/>
  <c r="BM89" i="2"/>
  <c r="BE92" i="2"/>
  <c r="BE90" i="2"/>
  <c r="BE89" i="2"/>
  <c r="BI86" i="2"/>
  <c r="BI91" i="2"/>
  <c r="BG85" i="2"/>
  <c r="BG87" i="2"/>
  <c r="BL90" i="2"/>
  <c r="BL88" i="2"/>
  <c r="BD80" i="2"/>
  <c r="BD83" i="2"/>
  <c r="BD91" i="2"/>
  <c r="BK84" i="2"/>
  <c r="BK93" i="2"/>
  <c r="BC86" i="2"/>
  <c r="BC85" i="2"/>
  <c r="BJ83" i="2"/>
  <c r="BJ80" i="2"/>
  <c r="BB88" i="2"/>
  <c r="BB94" i="2"/>
  <c r="BB84" i="2"/>
  <c r="BA78" i="2"/>
  <c r="BA83" i="2"/>
  <c r="AZ85" i="2"/>
  <c r="AX84" i="2"/>
  <c r="BK82" i="2"/>
  <c r="BH78" i="2"/>
  <c r="AY86" i="2"/>
  <c r="BN91" i="2"/>
  <c r="BF94" i="2"/>
  <c r="AX90" i="2"/>
  <c r="BE94" i="2"/>
  <c r="BL87" i="2"/>
  <c r="BB92" i="2"/>
  <c r="BH86" i="2"/>
  <c r="AZ84" i="2"/>
  <c r="AY77" i="2"/>
  <c r="BN92" i="2"/>
  <c r="BN79" i="2"/>
  <c r="BF83" i="2"/>
  <c r="BF93" i="2"/>
  <c r="AX93" i="2"/>
  <c r="BM86" i="2"/>
  <c r="BM85" i="2"/>
  <c r="BE88" i="2"/>
  <c r="BE77" i="2"/>
  <c r="BI78" i="2"/>
  <c r="BI94" i="2"/>
  <c r="BI84" i="2"/>
  <c r="BG81" i="2"/>
  <c r="BG86" i="2"/>
  <c r="BL82" i="2"/>
  <c r="BL92" i="2"/>
  <c r="BD86" i="2"/>
  <c r="BD92" i="2"/>
  <c r="BK81" i="2"/>
  <c r="BK80" i="2"/>
  <c r="BK79" i="2"/>
  <c r="BC93" i="2"/>
  <c r="BC84" i="2"/>
  <c r="BJ94" i="2"/>
  <c r="BJ82" i="2"/>
  <c r="BB89" i="2"/>
  <c r="BB91" i="2"/>
  <c r="BA81" i="2"/>
  <c r="BA94" i="2"/>
  <c r="BA92" i="2"/>
  <c r="BH85" i="2"/>
  <c r="BN77" i="2"/>
  <c r="BM79" i="2"/>
  <c r="BC79" i="2"/>
  <c r="AZ78" i="2"/>
  <c r="BN94" i="2"/>
  <c r="BM92" i="2"/>
  <c r="BE81" i="2"/>
  <c r="BG80" i="2"/>
  <c r="BD84" i="2"/>
  <c r="BA79" i="2"/>
  <c r="AZ80" i="2"/>
  <c r="AX77" i="2"/>
  <c r="BH77" i="2"/>
  <c r="BH81" i="2"/>
  <c r="BH91" i="2"/>
  <c r="AZ94" i="2"/>
  <c r="AZ90" i="2"/>
  <c r="AY78" i="2"/>
  <c r="AY81" i="2"/>
  <c r="BN89" i="2"/>
  <c r="BN86" i="2"/>
  <c r="BF92" i="2"/>
  <c r="BF91" i="2"/>
  <c r="BF88" i="2"/>
  <c r="AX83" i="2"/>
  <c r="AX86" i="2"/>
  <c r="BM80" i="2"/>
  <c r="BM90" i="2"/>
  <c r="BE91" i="2"/>
  <c r="BE78" i="2"/>
  <c r="BI77" i="2"/>
  <c r="BI89" i="2"/>
  <c r="BI79" i="2"/>
  <c r="BG89" i="2"/>
  <c r="BG78" i="2"/>
  <c r="BL89" i="2"/>
  <c r="BL93" i="2"/>
  <c r="BD88" i="2"/>
  <c r="BD82" i="2"/>
  <c r="BK83" i="2"/>
  <c r="BK85" i="2"/>
  <c r="BK89" i="2"/>
  <c r="BC77" i="2"/>
  <c r="BC78" i="2"/>
  <c r="BJ87" i="2"/>
  <c r="BJ90" i="2"/>
  <c r="BB82" i="2"/>
  <c r="BB78" i="2"/>
  <c r="BA80" i="2"/>
  <c r="BA77" i="2"/>
  <c r="BA90" i="2"/>
  <c r="AZ87" i="2"/>
  <c r="AY94" i="2"/>
  <c r="BN93" i="2"/>
  <c r="BF82" i="2"/>
  <c r="AX94" i="2"/>
  <c r="BE79" i="2"/>
  <c r="BI81" i="2"/>
  <c r="BG94" i="2"/>
  <c r="BJ81" i="2"/>
  <c r="BH93" i="2"/>
  <c r="AZ79" i="2"/>
  <c r="AY89" i="2"/>
  <c r="BN85" i="2"/>
  <c r="BF79" i="2"/>
  <c r="AX88" i="2"/>
  <c r="BM78" i="2"/>
  <c r="BE84" i="2"/>
  <c r="BI92" i="2"/>
  <c r="BI80" i="2"/>
  <c r="BG88" i="2"/>
  <c r="BL80" i="2"/>
  <c r="BD94" i="2"/>
  <c r="BD77" i="2"/>
  <c r="BK92" i="2"/>
  <c r="BK78" i="2"/>
  <c r="BC91" i="2"/>
  <c r="BC92" i="2"/>
  <c r="BJ78" i="2"/>
  <c r="BJ86" i="2"/>
  <c r="BB93" i="2"/>
  <c r="BB85" i="2"/>
  <c r="BA87" i="2"/>
  <c r="BH89" i="2"/>
  <c r="BH84" i="2"/>
  <c r="AY92" i="2"/>
  <c r="BF81" i="2"/>
  <c r="BH88" i="2"/>
  <c r="BH94" i="2"/>
  <c r="AZ86" i="2"/>
  <c r="AZ91" i="2"/>
  <c r="AZ82" i="2"/>
  <c r="AY83" i="2"/>
  <c r="AY82" i="2"/>
  <c r="BN87" i="2"/>
  <c r="BN83" i="2"/>
  <c r="BF78" i="2"/>
  <c r="BF85" i="2"/>
  <c r="AX80" i="2"/>
  <c r="AX92" i="2"/>
  <c r="AX85" i="2"/>
  <c r="BM81" i="2"/>
  <c r="BM82" i="2"/>
  <c r="BE82" i="2"/>
  <c r="BE85" i="2"/>
  <c r="BI90" i="2"/>
  <c r="BI87" i="2"/>
  <c r="BG90" i="2"/>
  <c r="BG82" i="2"/>
  <c r="BG92" i="2"/>
  <c r="BL79" i="2"/>
  <c r="BL85" i="2"/>
  <c r="BD78" i="2"/>
  <c r="BD81" i="2"/>
  <c r="BK90" i="2"/>
  <c r="BK94" i="2"/>
  <c r="BC94" i="2"/>
  <c r="BC89" i="2"/>
  <c r="BC81" i="2"/>
  <c r="BJ91" i="2"/>
  <c r="BJ85" i="2"/>
  <c r="BB90" i="2"/>
  <c r="BA82" i="2"/>
  <c r="BA86" i="2"/>
  <c r="BO94" i="2" l="1"/>
  <c r="CK94" i="2" s="1"/>
  <c r="BS94" i="2"/>
  <c r="CO94" i="2" s="1"/>
  <c r="CF77" i="2"/>
  <c r="DB77" i="2" s="1"/>
  <c r="CH91" i="2"/>
  <c r="DD91" i="2" s="1"/>
  <c r="CG88" i="2"/>
  <c r="DC88" i="2" s="1"/>
  <c r="CA87" i="2"/>
  <c r="CW87" i="2" s="1"/>
  <c r="CE86" i="2"/>
  <c r="DA86" i="2" s="1"/>
  <c r="BZ91" i="2"/>
  <c r="CV91" i="2" s="1"/>
  <c r="BV85" i="2"/>
  <c r="CR85" i="2" s="1"/>
  <c r="BX91" i="2"/>
  <c r="CT91" i="2" s="1"/>
  <c r="CD85" i="2"/>
  <c r="CZ85" i="2" s="1"/>
  <c r="CF84" i="2"/>
  <c r="DB84" i="2" s="1"/>
  <c r="BU84" i="2"/>
  <c r="CQ84" i="2" s="1"/>
  <c r="CJ84" i="2"/>
  <c r="DF84" i="2" s="1"/>
  <c r="CE91" i="2"/>
  <c r="DA91" i="2" s="1"/>
  <c r="CB93" i="2"/>
  <c r="CX93" i="2" s="1"/>
  <c r="CG80" i="2"/>
  <c r="DC80" i="2" s="1"/>
  <c r="CA80" i="2"/>
  <c r="CW80" i="2" s="1"/>
  <c r="CJ89" i="2"/>
  <c r="DF89" i="2" s="1"/>
  <c r="CI90" i="2"/>
  <c r="DE90" i="2" s="1"/>
  <c r="CE89" i="2"/>
  <c r="DA89" i="2" s="1"/>
  <c r="CF81" i="2"/>
  <c r="DB81" i="2" s="1"/>
  <c r="CJ85" i="2"/>
  <c r="DF85" i="2" s="1"/>
  <c r="CG78" i="2"/>
  <c r="DC78" i="2" s="1"/>
  <c r="CF86" i="2"/>
  <c r="DB86" i="2" s="1"/>
  <c r="CC90" i="2"/>
  <c r="CY90" i="2" s="1"/>
  <c r="CH85" i="2"/>
  <c r="DD85" i="2" s="1"/>
  <c r="CF91" i="2"/>
  <c r="DB91" i="2" s="1"/>
  <c r="BT91" i="2"/>
  <c r="CP91" i="2" s="1"/>
  <c r="CF88" i="2"/>
  <c r="DB88" i="2" s="1"/>
  <c r="CB77" i="2"/>
  <c r="CX77" i="2" s="1"/>
  <c r="CA92" i="2"/>
  <c r="CW92" i="2" s="1"/>
  <c r="CH88" i="2"/>
  <c r="DD88" i="2" s="1"/>
  <c r="CJ94" i="2"/>
  <c r="DF94" i="2" s="1"/>
  <c r="BU93" i="2"/>
  <c r="CQ93" i="2" s="1"/>
  <c r="BY88" i="2"/>
  <c r="CU88" i="2" s="1"/>
  <c r="BV90" i="2"/>
  <c r="CR90" i="2" s="1"/>
  <c r="CH93" i="2"/>
  <c r="DD93" i="2" s="1"/>
  <c r="CG85" i="2"/>
  <c r="DC85" i="2" s="1"/>
  <c r="CA79" i="2"/>
  <c r="CW79" i="2" s="1"/>
  <c r="CB79" i="2"/>
  <c r="CX79" i="2" s="1"/>
  <c r="CD84" i="2"/>
  <c r="CZ84" i="2" s="1"/>
  <c r="CD94" i="2"/>
  <c r="CZ94" i="2" s="1"/>
  <c r="CA85" i="2"/>
  <c r="CW85" i="2" s="1"/>
  <c r="BZ78" i="2"/>
  <c r="CV78" i="2" s="1"/>
  <c r="CE88" i="2"/>
  <c r="DA88" i="2" s="1"/>
  <c r="CE85" i="2"/>
  <c r="DA85" i="2" s="1"/>
  <c r="BX86" i="2"/>
  <c r="CT86" i="2" s="1"/>
  <c r="CD87" i="2"/>
  <c r="CZ87" i="2" s="1"/>
  <c r="BZ89" i="2"/>
  <c r="CV89" i="2" s="1"/>
  <c r="BY80" i="2"/>
  <c r="CU80" i="2" s="1"/>
  <c r="BW89" i="2"/>
  <c r="CS89" i="2" s="1"/>
  <c r="CI91" i="2"/>
  <c r="DE91" i="2" s="1"/>
  <c r="CG86" i="2"/>
  <c r="DC86" i="2" s="1"/>
  <c r="CD83" i="2"/>
  <c r="CZ83" i="2" s="1"/>
  <c r="BT78" i="2"/>
  <c r="CP78" i="2" s="1"/>
  <c r="CA90" i="2"/>
  <c r="CW90" i="2" s="1"/>
  <c r="BW78" i="2"/>
  <c r="CS78" i="2" s="1"/>
  <c r="CB94" i="2"/>
  <c r="CX94" i="2" s="1"/>
  <c r="CJ92" i="2"/>
  <c r="DF92" i="2" s="1"/>
  <c r="BT93" i="2"/>
  <c r="CP93" i="2" s="1"/>
  <c r="BW94" i="2"/>
  <c r="CS94" i="2" s="1"/>
  <c r="CI79" i="2"/>
  <c r="DE79" i="2" s="1"/>
  <c r="BW79" i="2"/>
  <c r="CS79" i="2" s="1"/>
  <c r="BU78" i="2"/>
  <c r="CQ78" i="2" s="1"/>
  <c r="BZ88" i="2"/>
  <c r="CV88" i="2" s="1"/>
  <c r="CG89" i="2"/>
  <c r="DC89" i="2" s="1"/>
  <c r="CE81" i="2"/>
  <c r="DA81" i="2" s="1"/>
  <c r="BV79" i="2"/>
  <c r="CR79" i="2" s="1"/>
  <c r="BY92" i="2"/>
  <c r="CU92" i="2" s="1"/>
  <c r="BX85" i="2"/>
  <c r="CT85" i="2" s="1"/>
  <c r="CB85" i="2"/>
  <c r="CX85" i="2" s="1"/>
  <c r="CI81" i="2"/>
  <c r="DE81" i="2" s="1"/>
  <c r="BY90" i="2"/>
  <c r="CU90" i="2" s="1"/>
  <c r="BV83" i="2"/>
  <c r="CR83" i="2" s="1"/>
  <c r="CB80" i="2"/>
  <c r="CX80" i="2" s="1"/>
  <c r="CI83" i="2"/>
  <c r="DE83" i="2" s="1"/>
  <c r="BZ83" i="2"/>
  <c r="CV83" i="2" s="1"/>
  <c r="CI86" i="2"/>
  <c r="DE86" i="2" s="1"/>
  <c r="BW85" i="2"/>
  <c r="CS85" i="2" s="1"/>
  <c r="BT90" i="2"/>
  <c r="CP90" i="2" s="1"/>
  <c r="BW83" i="2"/>
  <c r="CS83" i="2" s="1"/>
  <c r="CI88" i="2"/>
  <c r="DE88" i="2" s="1"/>
  <c r="BY79" i="2"/>
  <c r="CU79" i="2" s="1"/>
  <c r="BZ92" i="2"/>
  <c r="CV92" i="2" s="1"/>
  <c r="CD86" i="2"/>
  <c r="CZ86" i="2" s="1"/>
  <c r="BU79" i="2"/>
  <c r="CQ79" i="2" s="1"/>
  <c r="BY86" i="2"/>
  <c r="CU86" i="2" s="1"/>
  <c r="CE78" i="2"/>
  <c r="DA78" i="2" s="1"/>
  <c r="CG92" i="2" l="1"/>
  <c r="DC92" i="2" s="1"/>
  <c r="BW84" i="2"/>
  <c r="CS84" i="2" s="1"/>
  <c r="BY93" i="2"/>
  <c r="CU93" i="2" s="1"/>
  <c r="CC86" i="2"/>
  <c r="CY86" i="2" s="1"/>
  <c r="BV93" i="2"/>
  <c r="CR93" i="2" s="1"/>
  <c r="BZ81" i="2"/>
  <c r="CV81" i="2" s="1"/>
  <c r="BZ77" i="2"/>
  <c r="CV77" i="2" s="1"/>
  <c r="CC89" i="2"/>
  <c r="CY89" i="2" s="1"/>
  <c r="CF82" i="2"/>
  <c r="DB82" i="2" s="1"/>
  <c r="CF80" i="2"/>
  <c r="DB80" i="2" s="1"/>
  <c r="CC83" i="2"/>
  <c r="CY83" i="2" s="1"/>
  <c r="CA93" i="2"/>
  <c r="CW93" i="2" s="1"/>
  <c r="BW86" i="2"/>
  <c r="CS86" i="2" s="1"/>
  <c r="BX93" i="2"/>
  <c r="CT93" i="2" s="1"/>
  <c r="CE79" i="2"/>
  <c r="DA79" i="2" s="1"/>
  <c r="CH92" i="2"/>
  <c r="DD92" i="2" s="1"/>
  <c r="CH94" i="2"/>
  <c r="DD94" i="2" s="1"/>
  <c r="CA82" i="2"/>
  <c r="CW82" i="2" s="1"/>
  <c r="BX78" i="2"/>
  <c r="CT78" i="2" s="1"/>
  <c r="CI93" i="2"/>
  <c r="DE93" i="2" s="1"/>
  <c r="CE82" i="2"/>
  <c r="DA82" i="2" s="1"/>
  <c r="CG81" i="2"/>
  <c r="DC81" i="2" s="1"/>
  <c r="CJ82" i="2"/>
  <c r="DF82" i="2" s="1"/>
  <c r="CD79" i="2"/>
  <c r="CZ79" i="2" s="1"/>
  <c r="CD78" i="2"/>
  <c r="CZ78" i="2" s="1"/>
  <c r="CD80" i="2"/>
  <c r="CZ80" i="2" s="1"/>
  <c r="BX79" i="2"/>
  <c r="CT79" i="2" s="1"/>
  <c r="CC92" i="2"/>
  <c r="CY92" i="2" s="1"/>
  <c r="CE80" i="2"/>
  <c r="DA80" i="2" s="1"/>
  <c r="CA78" i="2"/>
  <c r="CW78" i="2" s="1"/>
  <c r="BZ86" i="2"/>
  <c r="CV86" i="2" s="1"/>
  <c r="CG93" i="2"/>
  <c r="DC93" i="2" s="1"/>
  <c r="BU90" i="2"/>
  <c r="CQ90" i="2" s="1"/>
  <c r="CB86" i="2"/>
  <c r="CX86" i="2" s="1"/>
  <c r="CF85" i="2"/>
  <c r="DB85" i="2" s="1"/>
  <c r="BZ94" i="2"/>
  <c r="CV94" i="2" s="1"/>
  <c r="CA91" i="2"/>
  <c r="CW91" i="2" s="1"/>
  <c r="CH87" i="2"/>
  <c r="DD87" i="2" s="1"/>
  <c r="CA86" i="2"/>
  <c r="CW86" i="2" s="1"/>
  <c r="BV82" i="2"/>
  <c r="CR82" i="2" s="1"/>
  <c r="BY78" i="2"/>
  <c r="CU78" i="2" s="1"/>
  <c r="BY89" i="2"/>
  <c r="CU89" i="2" s="1"/>
  <c r="CG91" i="2"/>
  <c r="DC91" i="2" s="1"/>
  <c r="CB83" i="2"/>
  <c r="CX83" i="2" s="1"/>
  <c r="CD90" i="2"/>
  <c r="CZ90" i="2" s="1"/>
  <c r="CE87" i="2"/>
  <c r="DA87" i="2" s="1"/>
  <c r="CA89" i="2"/>
  <c r="CW89" i="2" s="1"/>
  <c r="CH78" i="2"/>
  <c r="DD78" i="2" s="1"/>
  <c r="BX89" i="2"/>
  <c r="CT89" i="2" s="1"/>
  <c r="CE83" i="2"/>
  <c r="DA83" i="2" s="1"/>
  <c r="CE90" i="2"/>
  <c r="DA90" i="2" s="1"/>
  <c r="BT88" i="2"/>
  <c r="CP88" i="2" s="1"/>
  <c r="BT86" i="2"/>
  <c r="CP86" i="2" s="1"/>
  <c r="CC81" i="2"/>
  <c r="CY81" i="2" s="1"/>
  <c r="CC85" i="2"/>
  <c r="CY85" i="2" s="1"/>
  <c r="BX77" i="2"/>
  <c r="CT77" i="2" s="1"/>
  <c r="BU87" i="2"/>
  <c r="CQ87" i="2" s="1"/>
  <c r="BY94" i="2"/>
  <c r="CU94" i="2" s="1"/>
  <c r="CE92" i="2"/>
  <c r="DA92" i="2" s="1"/>
  <c r="CJ86" i="2"/>
  <c r="DF86" i="2" s="1"/>
  <c r="BT84" i="2"/>
  <c r="CP84" i="2" s="1"/>
  <c r="CD92" i="2"/>
  <c r="CZ92" i="2" s="1"/>
  <c r="CD89" i="2"/>
  <c r="CZ89" i="2" s="1"/>
  <c r="CG83" i="2"/>
  <c r="DC83" i="2" s="1"/>
  <c r="CJ77" i="2"/>
  <c r="DF77" i="2" s="1"/>
  <c r="CC93" i="2"/>
  <c r="CY93" i="2" s="1"/>
  <c r="BU86" i="2"/>
  <c r="CQ86" i="2" s="1"/>
  <c r="CC84" i="2"/>
  <c r="CY84" i="2" s="1"/>
  <c r="BV91" i="2"/>
  <c r="CR91" i="2" s="1"/>
  <c r="BY82" i="2"/>
  <c r="CU82" i="2" s="1"/>
  <c r="CJ79" i="2"/>
  <c r="DF79" i="2" s="1"/>
  <c r="CA81" i="2"/>
  <c r="CW81" i="2" s="1"/>
  <c r="BU91" i="2"/>
  <c r="CQ91" i="2" s="1"/>
  <c r="BU82" i="2"/>
  <c r="CQ82" i="2" s="1"/>
  <c r="CF90" i="2"/>
  <c r="DB90" i="2" s="1"/>
  <c r="CI92" i="2"/>
  <c r="DE92" i="2" s="1"/>
  <c r="BX92" i="2"/>
  <c r="CT92" i="2" s="1"/>
  <c r="BU80" i="2"/>
  <c r="CQ80" i="2" s="1"/>
  <c r="CF93" i="2"/>
  <c r="DB93" i="2" s="1"/>
  <c r="CG77" i="2"/>
  <c r="DC77" i="2" s="1"/>
  <c r="BT85" i="2"/>
  <c r="CP85" i="2" s="1"/>
  <c r="BW80" i="2"/>
  <c r="CS80" i="2" s="1"/>
  <c r="BY87" i="2"/>
  <c r="CU87" i="2" s="1"/>
  <c r="BV81" i="2"/>
  <c r="CR81" i="2" s="1"/>
  <c r="CG94" i="2"/>
  <c r="DC94" i="2" s="1"/>
  <c r="CH80" i="2"/>
  <c r="DD80" i="2" s="1"/>
  <c r="CB88" i="2"/>
  <c r="CX88" i="2" s="1"/>
  <c r="CG84" i="2"/>
  <c r="DC84" i="2" s="1"/>
  <c r="BV78" i="2"/>
  <c r="CR78" i="2" s="1"/>
  <c r="CH90" i="2"/>
  <c r="DD90" i="2" s="1"/>
  <c r="CI77" i="2"/>
  <c r="DE77" i="2" s="1"/>
  <c r="BZ84" i="2"/>
  <c r="CV84" i="2" s="1"/>
  <c r="BW93" i="2"/>
  <c r="CS93" i="2" s="1"/>
  <c r="BY84" i="2"/>
  <c r="CU84" i="2" s="1"/>
  <c r="CI89" i="2"/>
  <c r="DE89" i="2" s="1"/>
  <c r="BW88" i="2"/>
  <c r="CS88" i="2" s="1"/>
  <c r="CC94" i="2"/>
  <c r="CY94" i="2" s="1"/>
  <c r="CJ81" i="2"/>
  <c r="DF81" i="2" s="1"/>
  <c r="BW81" i="2"/>
  <c r="CS81" i="2" s="1"/>
  <c r="CC78" i="2"/>
  <c r="CY78" i="2" s="1"/>
  <c r="BT82" i="2"/>
  <c r="CP82" i="2" s="1"/>
  <c r="CB91" i="2"/>
  <c r="CX91" i="2" s="1"/>
  <c r="BV80" i="2"/>
  <c r="CR80" i="2" s="1"/>
  <c r="CB87" i="2"/>
  <c r="CX87" i="2" s="1"/>
  <c r="BX88" i="2"/>
  <c r="CT88" i="2" s="1"/>
  <c r="CC91" i="2"/>
  <c r="CY91" i="2" s="1"/>
  <c r="BX81" i="2"/>
  <c r="CT81" i="2" s="1"/>
  <c r="BV86" i="2"/>
  <c r="CR86" i="2" s="1"/>
  <c r="BW77" i="2"/>
  <c r="CS77" i="2" s="1"/>
  <c r="CD81" i="2"/>
  <c r="CZ81" i="2" s="1"/>
  <c r="CA77" i="2"/>
  <c r="CW77" i="2" s="1"/>
  <c r="BZ80" i="2"/>
  <c r="CV80" i="2" s="1"/>
  <c r="BT79" i="2"/>
  <c r="CP79" i="2" s="1"/>
  <c r="CC77" i="2"/>
  <c r="CY77" i="2" s="1"/>
  <c r="BV92" i="2"/>
  <c r="CR92" i="2" s="1"/>
  <c r="BU83" i="2"/>
  <c r="CQ83" i="2" s="1"/>
  <c r="BU94" i="2"/>
  <c r="CQ94" i="2" s="1"/>
  <c r="CC79" i="2"/>
  <c r="CY79" i="2" s="1"/>
  <c r="CF83" i="2"/>
  <c r="DB83" i="2" s="1"/>
  <c r="CJ78" i="2"/>
  <c r="DF78" i="2" s="1"/>
  <c r="CJ83" i="2"/>
  <c r="DF83" i="2" s="1"/>
  <c r="BT94" i="2"/>
  <c r="CP94" i="2" s="1"/>
  <c r="BT77" i="2"/>
  <c r="CP77" i="2" s="1"/>
  <c r="BX84" i="2"/>
  <c r="CT84" i="2" s="1"/>
  <c r="BT81" i="2"/>
  <c r="CP81" i="2" s="1"/>
  <c r="CI85" i="2"/>
  <c r="DE85" i="2" s="1"/>
  <c r="CJ80" i="2"/>
  <c r="DF80" i="2" s="1"/>
  <c r="BT87" i="2"/>
  <c r="CP87" i="2" s="1"/>
  <c r="CH79" i="2"/>
  <c r="DD79" i="2" s="1"/>
  <c r="BS90" i="2"/>
  <c r="CO90" i="2" s="1"/>
  <c r="CF92" i="2"/>
  <c r="DB92" i="2" s="1"/>
  <c r="CI87" i="2"/>
  <c r="DE87" i="2" s="1"/>
  <c r="BT80" i="2"/>
  <c r="CP80" i="2" s="1"/>
  <c r="BS89" i="2"/>
  <c r="CO89" i="2" s="1"/>
  <c r="BW91" i="2"/>
  <c r="CA83" i="2"/>
  <c r="CW83" i="2" s="1"/>
  <c r="CA94" i="2"/>
  <c r="CW94" i="2" s="1"/>
  <c r="CH83" i="2"/>
  <c r="DD83" i="2" s="1"/>
  <c r="CE93" i="2"/>
  <c r="DA93" i="2" s="1"/>
  <c r="BX90" i="2"/>
  <c r="CT90" i="2" s="1"/>
  <c r="CF78" i="2"/>
  <c r="DB78" i="2" s="1"/>
  <c r="BS88" i="2"/>
  <c r="CO88" i="2" s="1"/>
  <c r="CC88" i="2"/>
  <c r="CY88" i="2" s="1"/>
  <c r="BX87" i="2"/>
  <c r="CT87" i="2" s="1"/>
  <c r="BW82" i="2"/>
  <c r="CS82" i="2" s="1"/>
  <c r="CD88" i="2"/>
  <c r="CZ88" i="2" s="1"/>
  <c r="BV87" i="2"/>
  <c r="CR87" i="2" s="1"/>
  <c r="BV94" i="2"/>
  <c r="CR94" i="2" s="1"/>
  <c r="CE84" i="2"/>
  <c r="DA84" i="2" s="1"/>
  <c r="BV88" i="2"/>
  <c r="CR88" i="2" s="1"/>
  <c r="CC80" i="2"/>
  <c r="CY80" i="2" s="1"/>
  <c r="BV84" i="2"/>
  <c r="CR84" i="2" s="1"/>
  <c r="CB89" i="2"/>
  <c r="CX89" i="2" s="1"/>
  <c r="CF79" i="2"/>
  <c r="DB79" i="2" s="1"/>
  <c r="CH81" i="2"/>
  <c r="DD81" i="2" s="1"/>
  <c r="BX80" i="2"/>
  <c r="CT80" i="2" s="1"/>
  <c r="CI78" i="2"/>
  <c r="DE78" i="2" s="1"/>
  <c r="CI82" i="2"/>
  <c r="DE82" i="2" s="1"/>
  <c r="BU89" i="2"/>
  <c r="CQ89" i="2" s="1"/>
  <c r="BS78" i="2"/>
  <c r="CO78" i="2" s="1"/>
  <c r="BU77" i="2"/>
  <c r="CQ77" i="2" s="1"/>
  <c r="CJ87" i="2"/>
  <c r="DF87" i="2" s="1"/>
  <c r="BX82" i="2"/>
  <c r="CT82" i="2" s="1"/>
  <c r="BY77" i="2"/>
  <c r="CU77" i="2" s="1"/>
  <c r="BZ82" i="2"/>
  <c r="CV82" i="2" s="1"/>
  <c r="BS80" i="2"/>
  <c r="CO80" i="2" s="1"/>
  <c r="CI80" i="2"/>
  <c r="DE80" i="2" s="1"/>
  <c r="BS92" i="2"/>
  <c r="CO92" i="2" s="1"/>
  <c r="BS82" i="2"/>
  <c r="CO82" i="2" s="1"/>
  <c r="BS81" i="2"/>
  <c r="CO81" i="2" s="1"/>
  <c r="BS91" i="2"/>
  <c r="CO91" i="2" s="1"/>
  <c r="BS93" i="2"/>
  <c r="CO93" i="2" s="1"/>
  <c r="BS79" i="2"/>
  <c r="CO79" i="2" s="1"/>
  <c r="BX94" i="2"/>
  <c r="CT94" i="2" s="1"/>
  <c r="BV77" i="2"/>
  <c r="CR77" i="2" s="1"/>
  <c r="BU85" i="2"/>
  <c r="CQ85" i="2" s="1"/>
  <c r="CJ88" i="2"/>
  <c r="DF88" i="2" s="1"/>
  <c r="CH77" i="2"/>
  <c r="DD77" i="2" s="1"/>
  <c r="BY81" i="2"/>
  <c r="CU81" i="2" s="1"/>
  <c r="CB81" i="2"/>
  <c r="CX81" i="2" s="1"/>
  <c r="CB82" i="2"/>
  <c r="CX82" i="2" s="1"/>
  <c r="BU81" i="2"/>
  <c r="CQ81" i="2" s="1"/>
  <c r="BS83" i="2"/>
  <c r="CO83" i="2" s="1"/>
  <c r="CH82" i="2"/>
  <c r="DD82" i="2" s="1"/>
  <c r="BW92" i="2"/>
  <c r="CS92" i="2" s="1"/>
  <c r="BU88" i="2"/>
  <c r="CQ88" i="2" s="1"/>
  <c r="CC87" i="2"/>
  <c r="CY87" i="2" s="1"/>
  <c r="CI84" i="2"/>
  <c r="DE84" i="2" s="1"/>
  <c r="BZ93" i="2"/>
  <c r="CV93" i="2" s="1"/>
  <c r="BY83" i="2"/>
  <c r="CU83" i="2" s="1"/>
  <c r="BU92" i="2"/>
  <c r="CQ92" i="2" s="1"/>
  <c r="CJ93" i="2"/>
  <c r="DF93" i="2" s="1"/>
  <c r="CB92" i="2"/>
  <c r="CX92" i="2" s="1"/>
  <c r="CG79" i="2"/>
  <c r="DC79" i="2" s="1"/>
  <c r="CG82" i="2"/>
  <c r="DC82" i="2" s="1"/>
  <c r="CJ90" i="2"/>
  <c r="DF90" i="2" s="1"/>
  <c r="BZ87" i="2"/>
  <c r="CV87" i="2" s="1"/>
  <c r="CI94" i="2"/>
  <c r="DE94" i="2" s="1"/>
  <c r="CG87" i="2"/>
  <c r="DC87" i="2" s="1"/>
  <c r="CB78" i="2"/>
  <c r="CX78" i="2" s="1"/>
  <c r="CD93" i="2"/>
  <c r="CZ93" i="2" s="1"/>
  <c r="BT83" i="2"/>
  <c r="CP83" i="2" s="1"/>
  <c r="CF94" i="2"/>
  <c r="DB94" i="2" s="1"/>
  <c r="BZ79" i="2"/>
  <c r="CV79" i="2" s="1"/>
  <c r="CB90" i="2"/>
  <c r="CX90" i="2" s="1"/>
  <c r="BT92" i="2"/>
  <c r="CP92" i="2" s="1"/>
  <c r="CA84" i="2"/>
  <c r="CW84" i="2" s="1"/>
  <c r="CH89" i="2"/>
  <c r="DD89" i="2" s="1"/>
  <c r="CH84" i="2"/>
  <c r="DD84" i="2" s="1"/>
  <c r="CJ91" i="2"/>
  <c r="DF91" i="2" s="1"/>
  <c r="CH86" i="2"/>
  <c r="DD86" i="2" s="1"/>
  <c r="BZ90" i="2"/>
  <c r="CV90" i="2" s="1"/>
  <c r="CE94" i="2"/>
  <c r="DA94" i="2" s="1"/>
  <c r="BY85" i="2"/>
  <c r="CU85" i="2" s="1"/>
  <c r="CF89" i="2"/>
  <c r="DB89" i="2" s="1"/>
  <c r="BX83" i="2"/>
  <c r="CT83" i="2" s="1"/>
  <c r="BV89" i="2"/>
  <c r="CR89" i="2" s="1"/>
  <c r="CD82" i="2"/>
  <c r="CZ82" i="2" s="1"/>
  <c r="CG90" i="2"/>
  <c r="DC90" i="2" s="1"/>
  <c r="BW87" i="2"/>
  <c r="CS87" i="2" s="1"/>
  <c r="BW90" i="2"/>
  <c r="CS90" i="2" s="1"/>
  <c r="CD91" i="2"/>
  <c r="CZ91" i="2" s="1"/>
  <c r="BS85" i="2"/>
  <c r="CO85" i="2" s="1"/>
  <c r="BT89" i="2"/>
  <c r="CP89" i="2" s="1"/>
  <c r="CC82" i="2"/>
  <c r="CY82" i="2" s="1"/>
  <c r="BY91" i="2"/>
  <c r="CU91" i="2" s="1"/>
  <c r="CF87" i="2"/>
  <c r="DB87" i="2" s="1"/>
  <c r="CD77" i="2"/>
  <c r="CZ77" i="2" s="1"/>
  <c r="CA88" i="2"/>
  <c r="CW88" i="2" s="1"/>
  <c r="CB84" i="2"/>
  <c r="CX84" i="2" s="1"/>
  <c r="BZ85" i="2"/>
  <c r="CV85" i="2" s="1"/>
  <c r="BS84" i="2"/>
  <c r="CO84" i="2" s="1"/>
  <c r="BS86" i="2"/>
  <c r="CO86" i="2" s="1"/>
  <c r="CO77" i="2"/>
  <c r="CE77" i="2"/>
  <c r="DA77" i="2" s="1"/>
  <c r="BS87" i="2"/>
  <c r="CO87" i="2" s="1"/>
  <c r="DF95" i="2" l="1"/>
  <c r="DF96" i="2" s="1"/>
  <c r="DF101" i="2" s="1"/>
  <c r="DD101" i="2" l="1"/>
  <c r="DE10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<sst xmlns="http://schemas.openxmlformats.org/spreadsheetml/2006/main" count="2261" uniqueCount="1551">
  <si>
    <r>
      <t>Table 23</t>
    </r>
    <r>
      <rPr>
        <sz val="10"/>
        <color rgb="FF000000"/>
        <rFont val="Calibri"/>
        <family val="2"/>
      </rPr>
      <t xml:space="preserve"> Average One-Year Transition Rates For Global Corporates By Rating Modifier (1981-2021)</t>
    </r>
  </si>
  <si>
    <t>From/to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</si>
  <si>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</si>
  <si>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</si>
  <si>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</si>
  <si>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</si>
  <si>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</si>
  <si>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</si>
  <si>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</si>
  <si>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</si>
  <si>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</si>
  <si>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</si>
  <si>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</si>
  <si>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</si>
  <si>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</si>
  <si>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</si>
  <si>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</si>
  <si>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</si>
  <si>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</t>
  </si>
  <si>
    <t>D</t>
  </si>
  <si>
    <t>NR</t>
  </si>
  <si>
    <t>CCC/C</t>
  </si>
  <si>
    <t>Nvidia</t>
  </si>
  <si>
    <t>Henkel</t>
  </si>
  <si>
    <t>For large manufacturing firms</t>
  </si>
  <si>
    <t>Treasury Yield Curve</t>
  </si>
  <si>
    <t>If interest coverage ratio is</t>
  </si>
  <si>
    <t>Credit Rating</t>
  </si>
  <si>
    <t>&gt;</t>
  </si>
  <si>
    <t>≤ to</t>
  </si>
  <si>
    <t>Rating is</t>
  </si>
  <si>
    <t>Spread is</t>
  </si>
  <si>
    <t>Aaa/AAA</t>
  </si>
  <si>
    <t>Aa2/AA</t>
  </si>
  <si>
    <t>A1/A+</t>
  </si>
  <si>
    <t>A2/A</t>
  </si>
  <si>
    <t>A3/A-</t>
  </si>
  <si>
    <t>Baa2/BBB</t>
  </si>
  <si>
    <t>Ba1/BB+</t>
  </si>
  <si>
    <t>Ba2/BB</t>
  </si>
  <si>
    <t>B1/B+</t>
  </si>
  <si>
    <t>B2/B</t>
  </si>
  <si>
    <t>B3/B-</t>
  </si>
  <si>
    <t>Caa/CCC</t>
  </si>
  <si>
    <t>Ca2/CC</t>
  </si>
  <si>
    <t>C2/C</t>
  </si>
  <si>
    <t>D2/D</t>
  </si>
  <si>
    <t>VN =</t>
  </si>
  <si>
    <t>Cupón % =</t>
  </si>
  <si>
    <t>Cupón $ =</t>
  </si>
  <si>
    <t>New Bond</t>
  </si>
  <si>
    <t>Value</t>
  </si>
  <si>
    <t>1. Se obtiene el valor del portafolio para cada posible estado de la naturaleza</t>
  </si>
  <si>
    <t>2. Se obtienen las probabilidades conjuntas de migración (asumiendo independencia)</t>
  </si>
  <si>
    <t>3. Se obtiene el valor esperado del portafolio en cada estado de la naturaleza</t>
  </si>
  <si>
    <t>4. Se obtienen las desviaciones con respecto al valor esperado del portafolio en cada estado de la naturaleza</t>
  </si>
  <si>
    <t>5. Se obtiene la varianza del portafolio</t>
  </si>
  <si>
    <t>Valor esperado del portafolio de bonos =</t>
  </si>
  <si>
    <t>Varianza del valor del portafolio =</t>
  </si>
  <si>
    <t>Desviación del valor del portafolio =</t>
  </si>
  <si>
    <t>VaR</t>
  </si>
  <si>
    <t>Paramétrico</t>
  </si>
  <si>
    <t>Prob Acumulada</t>
  </si>
  <si>
    <r>
      <t>N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()</t>
    </r>
  </si>
  <si>
    <r>
      <t>x</t>
    </r>
    <r>
      <rPr>
        <vertAlign val="subscript"/>
        <sz val="11"/>
        <color theme="1"/>
        <rFont val="Calibri"/>
        <family val="2"/>
        <scheme val="minor"/>
      </rPr>
      <t>Nvidia</t>
    </r>
    <r>
      <rPr>
        <sz val="11"/>
        <color theme="1"/>
        <rFont val="Calibri"/>
        <family val="2"/>
        <scheme val="minor"/>
      </rPr>
      <t xml:space="preserve"> =</t>
    </r>
  </si>
  <si>
    <r>
      <t>x</t>
    </r>
    <r>
      <rPr>
        <vertAlign val="subscript"/>
        <sz val="11"/>
        <color theme="1"/>
        <rFont val="Calibri"/>
        <family val="2"/>
        <scheme val="minor"/>
      </rPr>
      <t>Henhel</t>
    </r>
    <r>
      <rPr>
        <sz val="11"/>
        <color theme="1"/>
        <rFont val="Calibri"/>
        <family val="2"/>
        <scheme val="minor"/>
      </rPr>
      <t xml:space="preserve"> =</t>
    </r>
  </si>
  <si>
    <t>F =</t>
  </si>
  <si>
    <r>
      <t>a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=</t>
    </r>
  </si>
  <si>
    <t>La proxy de ai es la correlación de los rendimientos de las acciones de las dos empresas</t>
  </si>
  <si>
    <r>
      <t>raiz(1-a</t>
    </r>
    <r>
      <rPr>
        <vertAlign val="subscript"/>
        <sz val="11"/>
        <color theme="1"/>
        <rFont val="Calibri"/>
        <family val="2"/>
        <scheme val="minor"/>
      </rPr>
      <t>i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</si>
  <si>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r =</t>
  </si>
  <si>
    <t>1-r =</t>
  </si>
  <si>
    <r>
      <t>I</t>
    </r>
    <r>
      <rPr>
        <vertAlign val="subscript"/>
        <sz val="11"/>
        <color theme="1"/>
        <rFont val="Calibri"/>
        <family val="2"/>
        <scheme val="minor"/>
      </rPr>
      <t>Nvidia</t>
    </r>
    <r>
      <rPr>
        <sz val="11"/>
        <color theme="1"/>
        <rFont val="Calibri"/>
        <family val="2"/>
        <scheme val="minor"/>
      </rPr>
      <t xml:space="preserve"> =</t>
    </r>
  </si>
  <si>
    <r>
      <t>I</t>
    </r>
    <r>
      <rPr>
        <vertAlign val="subscript"/>
        <sz val="11"/>
        <color theme="1"/>
        <rFont val="Calibri"/>
        <family val="2"/>
        <scheme val="minor"/>
      </rPr>
      <t>Henkel</t>
    </r>
    <r>
      <rPr>
        <sz val="11"/>
        <color theme="1"/>
        <rFont val="Calibri"/>
        <family val="2"/>
        <scheme val="minor"/>
      </rPr>
      <t xml:space="preserve"> =</t>
    </r>
  </si>
  <si>
    <t>Portafolio =</t>
  </si>
  <si>
    <t>Date</t>
  </si>
  <si>
    <t>Price</t>
  </si>
  <si>
    <t>Open</t>
  </si>
  <si>
    <t>High</t>
  </si>
  <si>
    <t>Low</t>
  </si>
  <si>
    <t>Vol.</t>
  </si>
  <si>
    <t>401.28M</t>
  </si>
  <si>
    <t>431.32M</t>
  </si>
  <si>
    <t>389.17M</t>
  </si>
  <si>
    <t>405.04M</t>
  </si>
  <si>
    <t>504.23M</t>
  </si>
  <si>
    <t>384.10M</t>
  </si>
  <si>
    <t>353.28M</t>
  </si>
  <si>
    <t>551.41M</t>
  </si>
  <si>
    <t>01/13/2023</t>
  </si>
  <si>
    <t>447.29M</t>
  </si>
  <si>
    <t>01/17/2023</t>
  </si>
  <si>
    <t>511.10M</t>
  </si>
  <si>
    <t>01/18/2023</t>
  </si>
  <si>
    <t>439.62M</t>
  </si>
  <si>
    <t>01/19/2023</t>
  </si>
  <si>
    <t>452.93M</t>
  </si>
  <si>
    <t>01/20/2023</t>
  </si>
  <si>
    <t>564.97M</t>
  </si>
  <si>
    <t>01/23/2023</t>
  </si>
  <si>
    <t>655.16M</t>
  </si>
  <si>
    <t>01/24/2023</t>
  </si>
  <si>
    <t>496.20M</t>
  </si>
  <si>
    <t>01/25/2023</t>
  </si>
  <si>
    <t>449.54M</t>
  </si>
  <si>
    <t>01/26/2023</t>
  </si>
  <si>
    <t>489.54M</t>
  </si>
  <si>
    <t>01/27/2023</t>
  </si>
  <si>
    <t>542.14M</t>
  </si>
  <si>
    <t>01/30/2023</t>
  </si>
  <si>
    <t>488.61M</t>
  </si>
  <si>
    <t>01/31/2023</t>
  </si>
  <si>
    <t>498.02M</t>
  </si>
  <si>
    <t>660.48M</t>
  </si>
  <si>
    <t>564.28M</t>
  </si>
  <si>
    <t>429.37M</t>
  </si>
  <si>
    <t>452.20M</t>
  </si>
  <si>
    <t>664.15M</t>
  </si>
  <si>
    <t>559.65M</t>
  </si>
  <si>
    <t>523.88M</t>
  </si>
  <si>
    <t>550.74M</t>
  </si>
  <si>
    <t>02/13/2023</t>
  </si>
  <si>
    <t>474.92M</t>
  </si>
  <si>
    <t>02/14/2023</t>
  </si>
  <si>
    <t>675.47M</t>
  </si>
  <si>
    <t>02/15/2023</t>
  </si>
  <si>
    <t>421.19M</t>
  </si>
  <si>
    <t>02/16/2023</t>
  </si>
  <si>
    <t>412.03M</t>
  </si>
  <si>
    <t>02/17/2023</t>
  </si>
  <si>
    <t>465.89M</t>
  </si>
  <si>
    <t>02/21/2023</t>
  </si>
  <si>
    <t>410.02M</t>
  </si>
  <si>
    <t>02/22/2023</t>
  </si>
  <si>
    <t>513.18M</t>
  </si>
  <si>
    <t>02/23/2023</t>
  </si>
  <si>
    <t>1.12B</t>
  </si>
  <si>
    <t>02/24/2023</t>
  </si>
  <si>
    <t>589.72M</t>
  </si>
  <si>
    <t>02/27/2023</t>
  </si>
  <si>
    <t>452.99M</t>
  </si>
  <si>
    <t>02/28/2023</t>
  </si>
  <si>
    <t>455.96M</t>
  </si>
  <si>
    <t>460.03M</t>
  </si>
  <si>
    <t>390.08M</t>
  </si>
  <si>
    <t>412.39M</t>
  </si>
  <si>
    <t>437.43M</t>
  </si>
  <si>
    <t>515.15M</t>
  </si>
  <si>
    <t>513.57M</t>
  </si>
  <si>
    <t>501.26M</t>
  </si>
  <si>
    <t>474.87M</t>
  </si>
  <si>
    <t>03/13/2023</t>
  </si>
  <si>
    <t>421.89M</t>
  </si>
  <si>
    <t>03/14/2023</t>
  </si>
  <si>
    <t>474.91M</t>
  </si>
  <si>
    <t>03/15/2023</t>
  </si>
  <si>
    <t>524.49M</t>
  </si>
  <si>
    <t>03/16/2023</t>
  </si>
  <si>
    <t>584.95M</t>
  </si>
  <si>
    <t>03/17/2023</t>
  </si>
  <si>
    <t>848.55M</t>
  </si>
  <si>
    <t>03/20/2023</t>
  </si>
  <si>
    <t>432.75M</t>
  </si>
  <si>
    <t>03/21/2023</t>
  </si>
  <si>
    <t>547.41M</t>
  </si>
  <si>
    <t>03/22/2023</t>
  </si>
  <si>
    <t>797.29M</t>
  </si>
  <si>
    <t>03/23/2023</t>
  </si>
  <si>
    <t>564.89M</t>
  </si>
  <si>
    <t>03/24/2023</t>
  </si>
  <si>
    <t>455.41M</t>
  </si>
  <si>
    <t>03/27/2023</t>
  </si>
  <si>
    <t>361.03M</t>
  </si>
  <si>
    <t>03/28/2023</t>
  </si>
  <si>
    <t>356.10M</t>
  </si>
  <si>
    <t>03/29/2023</t>
  </si>
  <si>
    <t>393.69M</t>
  </si>
  <si>
    <t>03/30/2023</t>
  </si>
  <si>
    <t>364.52M</t>
  </si>
  <si>
    <t>03/31/2023</t>
  </si>
  <si>
    <t>433.93M</t>
  </si>
  <si>
    <t>398.72M</t>
  </si>
  <si>
    <t>368.59M</t>
  </si>
  <si>
    <t>515.02M</t>
  </si>
  <si>
    <t>397.65M</t>
  </si>
  <si>
    <t>395.28M</t>
  </si>
  <si>
    <t>314.38M</t>
  </si>
  <si>
    <t>446.26M</t>
  </si>
  <si>
    <t>04/13/2023</t>
  </si>
  <si>
    <t>353.62M</t>
  </si>
  <si>
    <t>04/14/2023</t>
  </si>
  <si>
    <t>395.66M</t>
  </si>
  <si>
    <t>04/17/2023</t>
  </si>
  <si>
    <t>321.47M</t>
  </si>
  <si>
    <t>04/18/2023</t>
  </si>
  <si>
    <t>604.81M</t>
  </si>
  <si>
    <t>04/19/2023</t>
  </si>
  <si>
    <t>358.66M</t>
  </si>
  <si>
    <t>04/20/2023</t>
  </si>
  <si>
    <t>427.71M</t>
  </si>
  <si>
    <t>04/21/2023</t>
  </si>
  <si>
    <t>345.10M</t>
  </si>
  <si>
    <t>04/24/2023</t>
  </si>
  <si>
    <t>339.28M</t>
  </si>
  <si>
    <t>04/25/2023</t>
  </si>
  <si>
    <t>378.53M</t>
  </si>
  <si>
    <t>04/26/2023</t>
  </si>
  <si>
    <t>406.34M</t>
  </si>
  <si>
    <t>04/27/2023</t>
  </si>
  <si>
    <t>377.16M</t>
  </si>
  <si>
    <t>04/28/2023</t>
  </si>
  <si>
    <t>292.22M</t>
  </si>
  <si>
    <t>570.33M</t>
  </si>
  <si>
    <t>402.73M</t>
  </si>
  <si>
    <t>383.39M</t>
  </si>
  <si>
    <t>321.85M</t>
  </si>
  <si>
    <t>361.49M</t>
  </si>
  <si>
    <t>344.98M</t>
  </si>
  <si>
    <t>314.87M</t>
  </si>
  <si>
    <t>369.35M</t>
  </si>
  <si>
    <t>322.15M</t>
  </si>
  <si>
    <t>274.22M</t>
  </si>
  <si>
    <t>05/15/2023</t>
  </si>
  <si>
    <t>293.93M</t>
  </si>
  <si>
    <t>05/16/2023</t>
  </si>
  <si>
    <t>449.40M</t>
  </si>
  <si>
    <t>05/17/2023</t>
  </si>
  <si>
    <t>432.54M</t>
  </si>
  <si>
    <t>05/18/2023</t>
  </si>
  <si>
    <t>748.72M</t>
  </si>
  <si>
    <t>05/19/2023</t>
  </si>
  <si>
    <t>473.91M</t>
  </si>
  <si>
    <t>05/22/2023</t>
  </si>
  <si>
    <t>372.00M</t>
  </si>
  <si>
    <t>05/23/2023</t>
  </si>
  <si>
    <t>356.25M</t>
  </si>
  <si>
    <t>05/24/2023</t>
  </si>
  <si>
    <t>721.42M</t>
  </si>
  <si>
    <t>05/25/2023</t>
  </si>
  <si>
    <t>1.54B</t>
  </si>
  <si>
    <t>05/26/2023</t>
  </si>
  <si>
    <t>714.40M</t>
  </si>
  <si>
    <t>05/30/2023</t>
  </si>
  <si>
    <t>923.40M</t>
  </si>
  <si>
    <t>05/31/2023</t>
  </si>
  <si>
    <t>1.00B</t>
  </si>
  <si>
    <t>635.87M</t>
  </si>
  <si>
    <t>482.73M</t>
  </si>
  <si>
    <t>396.09M</t>
  </si>
  <si>
    <t>388.73M</t>
  </si>
  <si>
    <t>512.00M</t>
  </si>
  <si>
    <t>417.77M</t>
  </si>
  <si>
    <t>427.72M</t>
  </si>
  <si>
    <t>389.67M</t>
  </si>
  <si>
    <t>06/13/2023</t>
  </si>
  <si>
    <t>613.21M</t>
  </si>
  <si>
    <t>06/14/2023</t>
  </si>
  <si>
    <t>740.47M</t>
  </si>
  <si>
    <t>06/15/2023</t>
  </si>
  <si>
    <t>568.62M</t>
  </si>
  <si>
    <t>06/16/2023</t>
  </si>
  <si>
    <t>655.71M</t>
  </si>
  <si>
    <t>06/20/2023</t>
  </si>
  <si>
    <t>451.15M</t>
  </si>
  <si>
    <t>06/21/2023</t>
  </si>
  <si>
    <t>551.60M</t>
  </si>
  <si>
    <t>06/22/2023</t>
  </si>
  <si>
    <t>417.74M</t>
  </si>
  <si>
    <t>06/23/2023</t>
  </si>
  <si>
    <t>358.14M</t>
  </si>
  <si>
    <t>06/26/2023</t>
  </si>
  <si>
    <t>594.32M</t>
  </si>
  <si>
    <t>06/27/2023</t>
  </si>
  <si>
    <t>462.18M</t>
  </si>
  <si>
    <t>06/28/2023</t>
  </si>
  <si>
    <t>582.64M</t>
  </si>
  <si>
    <t>06/29/2023</t>
  </si>
  <si>
    <t>380.51M</t>
  </si>
  <si>
    <t>06/30/2023</t>
  </si>
  <si>
    <t>501.15M</t>
  </si>
  <si>
    <t>198.21M</t>
  </si>
  <si>
    <t>323.62M</t>
  </si>
  <si>
    <t>304.14M</t>
  </si>
  <si>
    <t>355.88M</t>
  </si>
  <si>
    <t>353.91M</t>
  </si>
  <si>
    <t>298.24M</t>
  </si>
  <si>
    <t>481.28M</t>
  </si>
  <si>
    <t>07/13/2023</t>
  </si>
  <si>
    <t>478.20M</t>
  </si>
  <si>
    <t>07/14/2023</t>
  </si>
  <si>
    <t>772.08M</t>
  </si>
  <si>
    <t>07/17/2023</t>
  </si>
  <si>
    <t>510.49M</t>
  </si>
  <si>
    <t>07/18/2023</t>
  </si>
  <si>
    <t>570.19M</t>
  </si>
  <si>
    <t>07/19/2023</t>
  </si>
  <si>
    <t>427.50M</t>
  </si>
  <si>
    <t>07/20/2023</t>
  </si>
  <si>
    <t>537.87M</t>
  </si>
  <si>
    <t>07/21/2023</t>
  </si>
  <si>
    <t>963.77M</t>
  </si>
  <si>
    <t>07/24/2023</t>
  </si>
  <si>
    <t>383.10M</t>
  </si>
  <si>
    <t>07/25/2023</t>
  </si>
  <si>
    <t>348.08M</t>
  </si>
  <si>
    <t>07/26/2023</t>
  </si>
  <si>
    <t>364.24M</t>
  </si>
  <si>
    <t>07/27/2023</t>
  </si>
  <si>
    <t>455.98M</t>
  </si>
  <si>
    <t>07/28/2023</t>
  </si>
  <si>
    <t>331.19M</t>
  </si>
  <si>
    <t>07/31/2023</t>
  </si>
  <si>
    <t>251.06M</t>
  </si>
  <si>
    <t>239.28M</t>
  </si>
  <si>
    <t>530.14M</t>
  </si>
  <si>
    <t>325.08M</t>
  </si>
  <si>
    <t>362.67M</t>
  </si>
  <si>
    <t>353.84M</t>
  </si>
  <si>
    <t>586.45M</t>
  </si>
  <si>
    <t>492.70M</t>
  </si>
  <si>
    <t>533.08M</t>
  </si>
  <si>
    <t>08/14/2023</t>
  </si>
  <si>
    <t>690.29M</t>
  </si>
  <si>
    <t>08/15/2023</t>
  </si>
  <si>
    <t>676.51M</t>
  </si>
  <si>
    <t>08/16/2023</t>
  </si>
  <si>
    <t>527.45M</t>
  </si>
  <si>
    <t>08/17/2023</t>
  </si>
  <si>
    <t>452.40M</t>
  </si>
  <si>
    <t>08/18/2023</t>
  </si>
  <si>
    <t>583.77M</t>
  </si>
  <si>
    <t>08/21/2023</t>
  </si>
  <si>
    <t>692.57M</t>
  </si>
  <si>
    <t>08/22/2023</t>
  </si>
  <si>
    <t>757.21M</t>
  </si>
  <si>
    <t>08/23/2023</t>
  </si>
  <si>
    <t>779.05M</t>
  </si>
  <si>
    <t>08/24/2023</t>
  </si>
  <si>
    <t>1.16B</t>
  </si>
  <si>
    <t>08/25/2023</t>
  </si>
  <si>
    <t>925.34M</t>
  </si>
  <si>
    <t>08/28/2023</t>
  </si>
  <si>
    <t>685.19M</t>
  </si>
  <si>
    <t>08/29/2023</t>
  </si>
  <si>
    <t>701.40M</t>
  </si>
  <si>
    <t>08/30/2023</t>
  </si>
  <si>
    <t>735.21M</t>
  </si>
  <si>
    <t>08/31/2023</t>
  </si>
  <si>
    <t>528.57M</t>
  </si>
  <si>
    <t>463.83M</t>
  </si>
  <si>
    <t>382.65M</t>
  </si>
  <si>
    <t>468.67M</t>
  </si>
  <si>
    <t>433.33M</t>
  </si>
  <si>
    <t>473.90M</t>
  </si>
  <si>
    <t>473.97M</t>
  </si>
  <si>
    <t>349.26M</t>
  </si>
  <si>
    <t>09/13/2023</t>
  </si>
  <si>
    <t>398.36M</t>
  </si>
  <si>
    <t>09/14/2023</t>
  </si>
  <si>
    <t>370.10M</t>
  </si>
  <si>
    <t>09/15/2023</t>
  </si>
  <si>
    <t>506.83M</t>
  </si>
  <si>
    <t>09/18/2023</t>
  </si>
  <si>
    <t>500.27M</t>
  </si>
  <si>
    <t>09/19/2023</t>
  </si>
  <si>
    <t>373.06M</t>
  </si>
  <si>
    <t>09/20/2023</t>
  </si>
  <si>
    <t>367.11M</t>
  </si>
  <si>
    <t>09/21/2023</t>
  </si>
  <si>
    <t>450.74M</t>
  </si>
  <si>
    <t>09/22/2023</t>
  </si>
  <si>
    <t>479.24M</t>
  </si>
  <si>
    <t>09/25/2023</t>
  </si>
  <si>
    <t>419.09M</t>
  </si>
  <si>
    <t>09/26/2023</t>
  </si>
  <si>
    <t>402.28M</t>
  </si>
  <si>
    <t>09/27/2023</t>
  </si>
  <si>
    <t>444.94M</t>
  </si>
  <si>
    <t>09/28/2023</t>
  </si>
  <si>
    <t>424.66M</t>
  </si>
  <si>
    <t>09/29/2023</t>
  </si>
  <si>
    <t>397.83M</t>
  </si>
  <si>
    <t>433.30M</t>
  </si>
  <si>
    <t>470.85M</t>
  </si>
  <si>
    <t>361.82M</t>
  </si>
  <si>
    <t>393.48M</t>
  </si>
  <si>
    <t>434.44M</t>
  </si>
  <si>
    <t>409.68M</t>
  </si>
  <si>
    <t>368.58M</t>
  </si>
  <si>
    <t>378.14M</t>
  </si>
  <si>
    <t>481.32M</t>
  </si>
  <si>
    <t>10/13/2023</t>
  </si>
  <si>
    <t>475.43M</t>
  </si>
  <si>
    <t>10/16/2023</t>
  </si>
  <si>
    <t>375.10M</t>
  </si>
  <si>
    <t>10/17/2023</t>
  </si>
  <si>
    <t>812.33M</t>
  </si>
  <si>
    <t>10/18/2023</t>
  </si>
  <si>
    <t>627.29M</t>
  </si>
  <si>
    <t>10/19/2023</t>
  </si>
  <si>
    <t>501.23M</t>
  </si>
  <si>
    <t>10/20/2023</t>
  </si>
  <si>
    <t>477.27M</t>
  </si>
  <si>
    <t>10/23/2023</t>
  </si>
  <si>
    <t>478.53M</t>
  </si>
  <si>
    <t>10/24/2023</t>
  </si>
  <si>
    <t>401.46M</t>
  </si>
  <si>
    <t>10/25/2023</t>
  </si>
  <si>
    <t>398.38M</t>
  </si>
  <si>
    <t>10/26/2023</t>
  </si>
  <si>
    <t>541.00M</t>
  </si>
  <si>
    <t>10/27/2023</t>
  </si>
  <si>
    <t>416.78M</t>
  </si>
  <si>
    <t>10/30/2023</t>
  </si>
  <si>
    <t>388.03M</t>
  </si>
  <si>
    <t>10/31/2023</t>
  </si>
  <si>
    <t>517.97M</t>
  </si>
  <si>
    <t>437.59M</t>
  </si>
  <si>
    <t>409.17M</t>
  </si>
  <si>
    <t>424.61M</t>
  </si>
  <si>
    <t>400.73M</t>
  </si>
  <si>
    <t>343.16M</t>
  </si>
  <si>
    <t>346.72M</t>
  </si>
  <si>
    <t>540.50M</t>
  </si>
  <si>
    <t>422.44M</t>
  </si>
  <si>
    <t>11/13/2023</t>
  </si>
  <si>
    <t>384.14M</t>
  </si>
  <si>
    <t>11/14/2023</t>
  </si>
  <si>
    <t>416.95M</t>
  </si>
  <si>
    <t>11/15/2023</t>
  </si>
  <si>
    <t>475.50M</t>
  </si>
  <si>
    <t>11/16/2023</t>
  </si>
  <si>
    <t>339.76M</t>
  </si>
  <si>
    <t>11/17/2023</t>
  </si>
  <si>
    <t>325.90M</t>
  </si>
  <si>
    <t>11/20/2023</t>
  </si>
  <si>
    <t>416.14M</t>
  </si>
  <si>
    <t>11/21/2023</t>
  </si>
  <si>
    <t>565.75M</t>
  </si>
  <si>
    <t>11/22/2023</t>
  </si>
  <si>
    <t>900.64M</t>
  </si>
  <si>
    <t>11/24/2023</t>
  </si>
  <si>
    <t>294.64M</t>
  </si>
  <si>
    <t>11/27/2023</t>
  </si>
  <si>
    <t>11/28/2023</t>
  </si>
  <si>
    <t>401.49M</t>
  </si>
  <si>
    <t>11/29/2023</t>
  </si>
  <si>
    <t>382.00M</t>
  </si>
  <si>
    <t>11/30/2023</t>
  </si>
  <si>
    <t>526.25M</t>
  </si>
  <si>
    <t>369.32M</t>
  </si>
  <si>
    <t>437.54M</t>
  </si>
  <si>
    <t>371.72M</t>
  </si>
  <si>
    <t>380.59M</t>
  </si>
  <si>
    <t>350.82M</t>
  </si>
  <si>
    <t>359.22M</t>
  </si>
  <si>
    <t>509.73M</t>
  </si>
  <si>
    <t>372.39M</t>
  </si>
  <si>
    <t>12/13/2023</t>
  </si>
  <si>
    <t>447.79M</t>
  </si>
  <si>
    <t>12/14/2023</t>
  </si>
  <si>
    <t>391.23M</t>
  </si>
  <si>
    <t>12/15/2023</t>
  </si>
  <si>
    <t>479.95M</t>
  </si>
  <si>
    <t>12/18/2023</t>
  </si>
  <si>
    <t>412.59M</t>
  </si>
  <si>
    <t>12/19/2023</t>
  </si>
  <si>
    <t>464.44M</t>
  </si>
  <si>
    <t>12/20/2023</t>
  </si>
  <si>
    <t>397.89M</t>
  </si>
  <si>
    <t>12/21/2023</t>
  </si>
  <si>
    <t>300.42M</t>
  </si>
  <si>
    <t>12/22/2023</t>
  </si>
  <si>
    <t>252.51M</t>
  </si>
  <si>
    <t>12/26/2023</t>
  </si>
  <si>
    <t>244.20M</t>
  </si>
  <si>
    <t>12/27/2023</t>
  </si>
  <si>
    <t>233.65M</t>
  </si>
  <si>
    <t>12/28/2023</t>
  </si>
  <si>
    <t>246.59M</t>
  </si>
  <si>
    <t>12/29/2023</t>
  </si>
  <si>
    <t>389.29M</t>
  </si>
  <si>
    <t>411.25M</t>
  </si>
  <si>
    <t>320.90M</t>
  </si>
  <si>
    <t>306.54M</t>
  </si>
  <si>
    <t>415.04M</t>
  </si>
  <si>
    <t>642.51M</t>
  </si>
  <si>
    <t>773.10M</t>
  </si>
  <si>
    <t>533.80M</t>
  </si>
  <si>
    <t>596.76M</t>
  </si>
  <si>
    <t>352.99M</t>
  </si>
  <si>
    <t>01/16/2024</t>
  </si>
  <si>
    <t>449.58M</t>
  </si>
  <si>
    <t>01/17/2024</t>
  </si>
  <si>
    <t>474.39M</t>
  </si>
  <si>
    <t>01/18/2024</t>
  </si>
  <si>
    <t>491.65M</t>
  </si>
  <si>
    <t>01/19/2024</t>
  </si>
  <si>
    <t>543.50M</t>
  </si>
  <si>
    <t>01/22/2024</t>
  </si>
  <si>
    <t>452.96M</t>
  </si>
  <si>
    <t>01/23/2024</t>
  </si>
  <si>
    <t>294.65M</t>
  </si>
  <si>
    <t>01/24/2024</t>
  </si>
  <si>
    <t>560.27M</t>
  </si>
  <si>
    <t>01/25/2024</t>
  </si>
  <si>
    <t>482.78M</t>
  </si>
  <si>
    <t>01/26/2024</t>
  </si>
  <si>
    <t>390.31M</t>
  </si>
  <si>
    <t>01/29/2024</t>
  </si>
  <si>
    <t>348.73M</t>
  </si>
  <si>
    <t>01/30/2024</t>
  </si>
  <si>
    <t>410.74M</t>
  </si>
  <si>
    <t>01/31/2024</t>
  </si>
  <si>
    <t>453.80M</t>
  </si>
  <si>
    <t>369.15M</t>
  </si>
  <si>
    <t>476.58M</t>
  </si>
  <si>
    <t>680.08M</t>
  </si>
  <si>
    <t>683.11M</t>
  </si>
  <si>
    <t>495.58M</t>
  </si>
  <si>
    <t>414.42M</t>
  </si>
  <si>
    <t>436.64M</t>
  </si>
  <si>
    <t>613.71M</t>
  </si>
  <si>
    <t>02/13/2024</t>
  </si>
  <si>
    <t>602.58M</t>
  </si>
  <si>
    <t>02/14/2024</t>
  </si>
  <si>
    <t>504.92M</t>
  </si>
  <si>
    <t>02/15/2024</t>
  </si>
  <si>
    <t>420.12M</t>
  </si>
  <si>
    <t>02/16/2024</t>
  </si>
  <si>
    <t>495.33M</t>
  </si>
  <si>
    <t>02/20/2024</t>
  </si>
  <si>
    <t>704.83M</t>
  </si>
  <si>
    <t>02/21/2024</t>
  </si>
  <si>
    <t>690.30M</t>
  </si>
  <si>
    <t>02/22/2024</t>
  </si>
  <si>
    <t>865.10M</t>
  </si>
  <si>
    <t>02/23/2024</t>
  </si>
  <si>
    <t>829.39M</t>
  </si>
  <si>
    <t>02/26/2024</t>
  </si>
  <si>
    <t>503.97M</t>
  </si>
  <si>
    <t>02/27/2024</t>
  </si>
  <si>
    <t>391.70M</t>
  </si>
  <si>
    <t>02/28/2024</t>
  </si>
  <si>
    <t>393.11M</t>
  </si>
  <si>
    <t>02/29/2024</t>
  </si>
  <si>
    <t>507.29M</t>
  </si>
  <si>
    <t>479.14M</t>
  </si>
  <si>
    <t>615.62M</t>
  </si>
  <si>
    <t>520.64M</t>
  </si>
  <si>
    <t>582.52M</t>
  </si>
  <si>
    <t>608.12M</t>
  </si>
  <si>
    <t>1.14B</t>
  </si>
  <si>
    <t>678.36M</t>
  </si>
  <si>
    <t>668.08M</t>
  </si>
  <si>
    <t>03/13/2024</t>
  </si>
  <si>
    <t>635.71M</t>
  </si>
  <si>
    <t>03/14/2024</t>
  </si>
  <si>
    <t>602.32M</t>
  </si>
  <si>
    <t>03/15/2024</t>
  </si>
  <si>
    <t>642.09M</t>
  </si>
  <si>
    <t>03/18/2024</t>
  </si>
  <si>
    <t>668.98M</t>
  </si>
  <si>
    <t>03/19/2024</t>
  </si>
  <si>
    <t>672.17M</t>
  </si>
  <si>
    <t>03/20/2024</t>
  </si>
  <si>
    <t>479.06M</t>
  </si>
  <si>
    <t>03/21/2024</t>
  </si>
  <si>
    <t>480.37M</t>
  </si>
  <si>
    <t>03/22/2024</t>
  </si>
  <si>
    <t>586.72M</t>
  </si>
  <si>
    <t>03/25/2024</t>
  </si>
  <si>
    <t>552.14M</t>
  </si>
  <si>
    <t>03/26/2024</t>
  </si>
  <si>
    <t>513.65M</t>
  </si>
  <si>
    <t>03/27/2024</t>
  </si>
  <si>
    <t>586.07M</t>
  </si>
  <si>
    <t>03/28/2024</t>
  </si>
  <si>
    <t>435.21M</t>
  </si>
  <si>
    <t>452.44M</t>
  </si>
  <si>
    <t>433.06M</t>
  </si>
  <si>
    <t>370.07M</t>
  </si>
  <si>
    <t>434.96M</t>
  </si>
  <si>
    <t>399.68M</t>
  </si>
  <si>
    <t>283.22M</t>
  </si>
  <si>
    <t>503.55M</t>
  </si>
  <si>
    <t>431.93M</t>
  </si>
  <si>
    <t>431.64M</t>
  </si>
  <si>
    <t>426.80M</t>
  </si>
  <si>
    <t>04/15/2024</t>
  </si>
  <si>
    <t>443.08M</t>
  </si>
  <si>
    <t>04/16/2024</t>
  </si>
  <si>
    <t>370.45M</t>
  </si>
  <si>
    <t>04/17/2024</t>
  </si>
  <si>
    <t>495.40M</t>
  </si>
  <si>
    <t>04/18/2024</t>
  </si>
  <si>
    <t>447.26M</t>
  </si>
  <si>
    <t>04/19/2024</t>
  </si>
  <si>
    <t>875.20M</t>
  </si>
  <si>
    <t>04/22/2024</t>
  </si>
  <si>
    <t>596.34M</t>
  </si>
  <si>
    <t>04/23/2024</t>
  </si>
  <si>
    <t>438.56M</t>
  </si>
  <si>
    <t>04/24/2024</t>
  </si>
  <si>
    <t>512.21M</t>
  </si>
  <si>
    <t>04/25/2024</t>
  </si>
  <si>
    <t>424.64M</t>
  </si>
  <si>
    <t>04/26/2024</t>
  </si>
  <si>
    <t>551.01M</t>
  </si>
  <si>
    <t>04/29/2024</t>
  </si>
  <si>
    <t>388.97M</t>
  </si>
  <si>
    <t>04/30/2024</t>
  </si>
  <si>
    <t>363.71M</t>
  </si>
  <si>
    <t>559.86M</t>
  </si>
  <si>
    <t>377.90M</t>
  </si>
  <si>
    <t>398.34M</t>
  </si>
  <si>
    <t>376.20M</t>
  </si>
  <si>
    <t>437.34M</t>
  </si>
  <si>
    <t>325.72M</t>
  </si>
  <si>
    <t>378.01M</t>
  </si>
  <si>
    <t>335.32M</t>
  </si>
  <si>
    <t>05/13/2024</t>
  </si>
  <si>
    <t>289.68M</t>
  </si>
  <si>
    <t>05/14/2024</t>
  </si>
  <si>
    <t>296.51M</t>
  </si>
  <si>
    <t>05/15/2024</t>
  </si>
  <si>
    <t>05/16/2024</t>
  </si>
  <si>
    <t>323.95M</t>
  </si>
  <si>
    <t>05/17/2024</t>
  </si>
  <si>
    <t>359.69M</t>
  </si>
  <si>
    <t>05/20/2024</t>
  </si>
  <si>
    <t>318.76M</t>
  </si>
  <si>
    <t>05/21/2024</t>
  </si>
  <si>
    <t>328.95M</t>
  </si>
  <si>
    <t>05/22/2024</t>
  </si>
  <si>
    <t>548.65M</t>
  </si>
  <si>
    <t>05/23/2024</t>
  </si>
  <si>
    <t>835.07M</t>
  </si>
  <si>
    <t>05/24/2024</t>
  </si>
  <si>
    <t>429.49M</t>
  </si>
  <si>
    <t>05/28/2024</t>
  </si>
  <si>
    <t>652.73M</t>
  </si>
  <si>
    <t>05/29/2024</t>
  </si>
  <si>
    <t>557.44M</t>
  </si>
  <si>
    <t>05/30/2024</t>
  </si>
  <si>
    <t>487.35M</t>
  </si>
  <si>
    <t>05/31/2024</t>
  </si>
  <si>
    <t>613.26M</t>
  </si>
  <si>
    <t>438.39M</t>
  </si>
  <si>
    <t>403.32M</t>
  </si>
  <si>
    <t>528.40M</t>
  </si>
  <si>
    <t>664.70M</t>
  </si>
  <si>
    <t>314.16M</t>
  </si>
  <si>
    <t>222.55M</t>
  </si>
  <si>
    <t>299.60M</t>
  </si>
  <si>
    <t>06/13/2024</t>
  </si>
  <si>
    <t>260.70M</t>
  </si>
  <si>
    <t>06/14/2024</t>
  </si>
  <si>
    <t>309.32M</t>
  </si>
  <si>
    <t>06/17/2024</t>
  </si>
  <si>
    <t>288.50M</t>
  </si>
  <si>
    <t>06/18/2024</t>
  </si>
  <si>
    <t>294.34M</t>
  </si>
  <si>
    <t>06/20/2024</t>
  </si>
  <si>
    <t>517.77M</t>
  </si>
  <si>
    <t>06/21/2024</t>
  </si>
  <si>
    <t>655.48M</t>
  </si>
  <si>
    <t>06/24/2024</t>
  </si>
  <si>
    <t>476.06M</t>
  </si>
  <si>
    <t>06/25/2024</t>
  </si>
  <si>
    <t>425.79M</t>
  </si>
  <si>
    <t>06/26/2024</t>
  </si>
  <si>
    <t>362.98M</t>
  </si>
  <si>
    <t>06/27/2024</t>
  </si>
  <si>
    <t>252.57M</t>
  </si>
  <si>
    <t>06/28/2024</t>
  </si>
  <si>
    <t>315.52M</t>
  </si>
  <si>
    <t>284.89M</t>
  </si>
  <si>
    <t>218.37M</t>
  </si>
  <si>
    <t>215.75M</t>
  </si>
  <si>
    <t>214.18M</t>
  </si>
  <si>
    <t>237.68M</t>
  </si>
  <si>
    <t>287.02M</t>
  </si>
  <si>
    <t>248.98M</t>
  </si>
  <si>
    <t>374.78M</t>
  </si>
  <si>
    <t>252.68M</t>
  </si>
  <si>
    <t>07/15/2024</t>
  </si>
  <si>
    <t>208.33M</t>
  </si>
  <si>
    <t>07/16/2024</t>
  </si>
  <si>
    <t>214.77M</t>
  </si>
  <si>
    <t>07/17/2024</t>
  </si>
  <si>
    <t>390.09M</t>
  </si>
  <si>
    <t>07/18/2024</t>
  </si>
  <si>
    <t>320.98M</t>
  </si>
  <si>
    <t>07/19/2024</t>
  </si>
  <si>
    <t>217.22M</t>
  </si>
  <si>
    <t>07/22/2024</t>
  </si>
  <si>
    <t>258.07M</t>
  </si>
  <si>
    <t>07/23/2024</t>
  </si>
  <si>
    <t>173.91M</t>
  </si>
  <si>
    <t>07/24/2024</t>
  </si>
  <si>
    <t>327.78M</t>
  </si>
  <si>
    <t>07/25/2024</t>
  </si>
  <si>
    <t>460.07M</t>
  </si>
  <si>
    <t>07/26/2024</t>
  </si>
  <si>
    <t>293.40M</t>
  </si>
  <si>
    <t>07/29/2024</t>
  </si>
  <si>
    <t>248.15M</t>
  </si>
  <si>
    <t>07/30/2024</t>
  </si>
  <si>
    <t>486.83M</t>
  </si>
  <si>
    <t>07/31/2024</t>
  </si>
  <si>
    <t>473.17M</t>
  </si>
  <si>
    <t>523.46M</t>
  </si>
  <si>
    <t>482.03M</t>
  </si>
  <si>
    <t>552.84M</t>
  </si>
  <si>
    <t>409.01M</t>
  </si>
  <si>
    <t>411.44M</t>
  </si>
  <si>
    <t>391.91M</t>
  </si>
  <si>
    <t>290.84M</t>
  </si>
  <si>
    <t>325.56M</t>
  </si>
  <si>
    <t>08/13/2024</t>
  </si>
  <si>
    <t>312.65M</t>
  </si>
  <si>
    <t>08/14/2024</t>
  </si>
  <si>
    <t>339.25M</t>
  </si>
  <si>
    <t>08/15/2024</t>
  </si>
  <si>
    <t>318.09M</t>
  </si>
  <si>
    <t>08/16/2024</t>
  </si>
  <si>
    <t>302.59M</t>
  </si>
  <si>
    <t>08/19/2024</t>
  </si>
  <si>
    <t>318.33M</t>
  </si>
  <si>
    <t>08/20/2024</t>
  </si>
  <si>
    <t>300.09M</t>
  </si>
  <si>
    <t>08/21/2024</t>
  </si>
  <si>
    <t>257.88M</t>
  </si>
  <si>
    <t>08/22/2024</t>
  </si>
  <si>
    <t>376.19M</t>
  </si>
  <si>
    <t>08/23/2024</t>
  </si>
  <si>
    <t>323.23M</t>
  </si>
  <si>
    <t>08/26/2024</t>
  </si>
  <si>
    <t>331.96M</t>
  </si>
  <si>
    <t>08/27/2024</t>
  </si>
  <si>
    <t>303.14M</t>
  </si>
  <si>
    <t>08/28/2024</t>
  </si>
  <si>
    <t>448.10M</t>
  </si>
  <si>
    <t>08/29/2024</t>
  </si>
  <si>
    <t>453.02M</t>
  </si>
  <si>
    <t>08/30/2024</t>
  </si>
  <si>
    <t>333.75M</t>
  </si>
  <si>
    <t>477.16M</t>
  </si>
  <si>
    <t>372.47M</t>
  </si>
  <si>
    <t>306.85M</t>
  </si>
  <si>
    <t>413.64M</t>
  </si>
  <si>
    <t>273.91M</t>
  </si>
  <si>
    <t>268.28M</t>
  </si>
  <si>
    <t>441.42M</t>
  </si>
  <si>
    <t>367.10M</t>
  </si>
  <si>
    <t>09/13/2024</t>
  </si>
  <si>
    <t>238.36M</t>
  </si>
  <si>
    <t>09/16/2024</t>
  </si>
  <si>
    <t>248.77M</t>
  </si>
  <si>
    <t>09/17/2024</t>
  </si>
  <si>
    <t>231.93M</t>
  </si>
  <si>
    <t>09/18/2024</t>
  </si>
  <si>
    <t>310.32M</t>
  </si>
  <si>
    <t>09/19/2024</t>
  </si>
  <si>
    <t>293.51M</t>
  </si>
  <si>
    <t>09/20/2024</t>
  </si>
  <si>
    <t>382.46M</t>
  </si>
  <si>
    <t>09/23/2024</t>
  </si>
  <si>
    <t>206.23M</t>
  </si>
  <si>
    <t>09/24/2024</t>
  </si>
  <si>
    <t>354.97M</t>
  </si>
  <si>
    <t>09/25/2024</t>
  </si>
  <si>
    <t>284.69M</t>
  </si>
  <si>
    <t>09/26/2024</t>
  </si>
  <si>
    <t>302.58M</t>
  </si>
  <si>
    <t>09/27/2024</t>
  </si>
  <si>
    <t>271.01M</t>
  </si>
  <si>
    <t>09/30/2024</t>
  </si>
  <si>
    <t>227.05M</t>
  </si>
  <si>
    <t>302.09M</t>
  </si>
  <si>
    <t>221.85M</t>
  </si>
  <si>
    <t>277.12M</t>
  </si>
  <si>
    <t>244.47M</t>
  </si>
  <si>
    <t>346.25M</t>
  </si>
  <si>
    <t>285.72M</t>
  </si>
  <si>
    <t>246.19M</t>
  </si>
  <si>
    <t>242.31M</t>
  </si>
  <si>
    <t>170.21M</t>
  </si>
  <si>
    <t>10/14/2024</t>
  </si>
  <si>
    <t>232.35M</t>
  </si>
  <si>
    <t>10/15/2024</t>
  </si>
  <si>
    <t>377.83M</t>
  </si>
  <si>
    <t>10/16/2024</t>
  </si>
  <si>
    <t>264.88M</t>
  </si>
  <si>
    <t>10/17/2024</t>
  </si>
  <si>
    <t>306.44M</t>
  </si>
  <si>
    <t>10/18/2024</t>
  </si>
  <si>
    <t>176.09M</t>
  </si>
  <si>
    <t>10/21/2024</t>
  </si>
  <si>
    <t>264.56M</t>
  </si>
  <si>
    <t>10/22/2024</t>
  </si>
  <si>
    <t>226.31M</t>
  </si>
  <si>
    <t>10/23/2024</t>
  </si>
  <si>
    <t>285.93M</t>
  </si>
  <si>
    <t>10/24/2024</t>
  </si>
  <si>
    <t>172.36M</t>
  </si>
  <si>
    <t>10/25/2024</t>
  </si>
  <si>
    <t>205.12M</t>
  </si>
  <si>
    <t>10/28/2024</t>
  </si>
  <si>
    <t>173.59M</t>
  </si>
  <si>
    <t>10/29/2024</t>
  </si>
  <si>
    <t>157.59M</t>
  </si>
  <si>
    <t>10/30/2024</t>
  </si>
  <si>
    <t>179.42M</t>
  </si>
  <si>
    <t>10/31/2024</t>
  </si>
  <si>
    <t>270.04M</t>
  </si>
  <si>
    <t>207.13M</t>
  </si>
  <si>
    <t>187.53M</t>
  </si>
  <si>
    <t>160.54M</t>
  </si>
  <si>
    <t>242.04M</t>
  </si>
  <si>
    <t>207.32M</t>
  </si>
  <si>
    <t>175.67M</t>
  </si>
  <si>
    <t>182.33M</t>
  </si>
  <si>
    <t>198.64M</t>
  </si>
  <si>
    <t>11/13/2024</t>
  </si>
  <si>
    <t>191.90M</t>
  </si>
  <si>
    <t>11/14/2024</t>
  </si>
  <si>
    <t>194.46M</t>
  </si>
  <si>
    <t>11/15/2024</t>
  </si>
  <si>
    <t>250.13M</t>
  </si>
  <si>
    <t>11/18/2024</t>
  </si>
  <si>
    <t>221.87M</t>
  </si>
  <si>
    <t>11/19/2024</t>
  </si>
  <si>
    <t>227.84M</t>
  </si>
  <si>
    <t>11/20/2024</t>
  </si>
  <si>
    <t>309.87M</t>
  </si>
  <si>
    <t>11/21/2024</t>
  </si>
  <si>
    <t>400.95M</t>
  </si>
  <si>
    <t>11/22/2024</t>
  </si>
  <si>
    <t>236.41M</t>
  </si>
  <si>
    <t>11/25/2024</t>
  </si>
  <si>
    <t>344.94M</t>
  </si>
  <si>
    <t>11/26/2024</t>
  </si>
  <si>
    <t>190.29M</t>
  </si>
  <si>
    <t>11/27/2024</t>
  </si>
  <si>
    <t>226.37M</t>
  </si>
  <si>
    <t>11/29/2024</t>
  </si>
  <si>
    <t>141.86M</t>
  </si>
  <si>
    <t>171.68M</t>
  </si>
  <si>
    <t>164.41M</t>
  </si>
  <si>
    <t>231.22M</t>
  </si>
  <si>
    <t>172.62M</t>
  </si>
  <si>
    <t>188.51M</t>
  </si>
  <si>
    <t>189.31M</t>
  </si>
  <si>
    <t>210.02M</t>
  </si>
  <si>
    <t>184.90M</t>
  </si>
  <si>
    <t>159.21M</t>
  </si>
  <si>
    <t>12/13/2024</t>
  </si>
  <si>
    <t>231.52M</t>
  </si>
  <si>
    <t>12/16/2024</t>
  </si>
  <si>
    <t>237.95M</t>
  </si>
  <si>
    <t>12/17/2024</t>
  </si>
  <si>
    <t>259.41M</t>
  </si>
  <si>
    <t>12/18/2024</t>
  </si>
  <si>
    <t>277.44M</t>
  </si>
  <si>
    <t>12/19/2024</t>
  </si>
  <si>
    <t>209.72M</t>
  </si>
  <si>
    <t>12/20/2024</t>
  </si>
  <si>
    <t>306.53M</t>
  </si>
  <si>
    <t>12/23/2024</t>
  </si>
  <si>
    <t>176.05M</t>
  </si>
  <si>
    <t>12/24/2024</t>
  </si>
  <si>
    <t>105.16M</t>
  </si>
  <si>
    <t>12/26/2024</t>
  </si>
  <si>
    <t>116.52M</t>
  </si>
  <si>
    <t>12/27/2024</t>
  </si>
  <si>
    <t>170.58M</t>
  </si>
  <si>
    <t>12/30/2024</t>
  </si>
  <si>
    <t>167.74M</t>
  </si>
  <si>
    <t>12/31/2024</t>
  </si>
  <si>
    <t>155.66M</t>
  </si>
  <si>
    <t>198.25M</t>
  </si>
  <si>
    <t>229.32M</t>
  </si>
  <si>
    <t>265.38M</t>
  </si>
  <si>
    <t>351.78M</t>
  </si>
  <si>
    <t>227.35M</t>
  </si>
  <si>
    <t>207.60M</t>
  </si>
  <si>
    <t>01/13/2025</t>
  </si>
  <si>
    <t>204.81M</t>
  </si>
  <si>
    <t>01/14/2025</t>
  </si>
  <si>
    <t>195.59M</t>
  </si>
  <si>
    <t>01/15/2025</t>
  </si>
  <si>
    <t>185.22M</t>
  </si>
  <si>
    <t>01/16/2025</t>
  </si>
  <si>
    <t>209.24M</t>
  </si>
  <si>
    <t>01/17/2025</t>
  </si>
  <si>
    <t>201.19M</t>
  </si>
  <si>
    <t>01/21/2025</t>
  </si>
  <si>
    <t>197.75M</t>
  </si>
  <si>
    <t>01/22/2025</t>
  </si>
  <si>
    <t>237.65M</t>
  </si>
  <si>
    <t>01/23/2025</t>
  </si>
  <si>
    <t>155.92M</t>
  </si>
  <si>
    <t>01/24/2025</t>
  </si>
  <si>
    <t>234.66M</t>
  </si>
  <si>
    <t>01/27/2025</t>
  </si>
  <si>
    <t>818.83M</t>
  </si>
  <si>
    <t>01/28/2025</t>
  </si>
  <si>
    <t>579.67M</t>
  </si>
  <si>
    <t>01/29/2025</t>
  </si>
  <si>
    <t>467.12M</t>
  </si>
  <si>
    <t>01/30/2025</t>
  </si>
  <si>
    <t>392.93M</t>
  </si>
  <si>
    <t>01/31/2025</t>
  </si>
  <si>
    <t>390.37M</t>
  </si>
  <si>
    <t>371.24M</t>
  </si>
  <si>
    <t>256.55M</t>
  </si>
  <si>
    <t>263.11M</t>
  </si>
  <si>
    <t>251.48M</t>
  </si>
  <si>
    <t>228.19M</t>
  </si>
  <si>
    <t>216.99M</t>
  </si>
  <si>
    <t>178.90M</t>
  </si>
  <si>
    <t>160.28M</t>
  </si>
  <si>
    <t>02/13/2025</t>
  </si>
  <si>
    <t>197.43M</t>
  </si>
  <si>
    <t>02/14/2025</t>
  </si>
  <si>
    <t>195.48M</t>
  </si>
  <si>
    <t>02/18/2025</t>
  </si>
  <si>
    <t>219.18M</t>
  </si>
  <si>
    <t>02/19/2025</t>
  </si>
  <si>
    <t>167.54M</t>
  </si>
  <si>
    <t>02/20/2025</t>
  </si>
  <si>
    <t>143.90M</t>
  </si>
  <si>
    <t>02/21/2025</t>
  </si>
  <si>
    <t>228.22M</t>
  </si>
  <si>
    <t>02/24/2025</t>
  </si>
  <si>
    <t>251.38M</t>
  </si>
  <si>
    <t>02/25/2025</t>
  </si>
  <si>
    <t>271.43M</t>
  </si>
  <si>
    <t>02/26/2025</t>
  </si>
  <si>
    <t>322.55M</t>
  </si>
  <si>
    <t>02/27/2025</t>
  </si>
  <si>
    <t>443.18M</t>
  </si>
  <si>
    <t>02/28/2025</t>
  </si>
  <si>
    <t>389.09M</t>
  </si>
  <si>
    <t>411.38M</t>
  </si>
  <si>
    <t>398.16M</t>
  </si>
  <si>
    <t>284.34M</t>
  </si>
  <si>
    <t>321.18M</t>
  </si>
  <si>
    <t>341.76M</t>
  </si>
  <si>
    <t>366.49M</t>
  </si>
  <si>
    <t>354.87M</t>
  </si>
  <si>
    <t>323.86M</t>
  </si>
  <si>
    <t>03/13/2025</t>
  </si>
  <si>
    <t>299.03M</t>
  </si>
  <si>
    <t>03/14/2025</t>
  </si>
  <si>
    <t>277.59M</t>
  </si>
  <si>
    <t>03/17/2025</t>
  </si>
  <si>
    <t>255.50M</t>
  </si>
  <si>
    <t>03/18/2025</t>
  </si>
  <si>
    <t>299.69M</t>
  </si>
  <si>
    <t>03/19/2025</t>
  </si>
  <si>
    <t>273.43M</t>
  </si>
  <si>
    <t>03/20/2025</t>
  </si>
  <si>
    <t>248.83M</t>
  </si>
  <si>
    <t>03/21/2025</t>
  </si>
  <si>
    <t>266.50M</t>
  </si>
  <si>
    <t>03/24/2025</t>
  </si>
  <si>
    <t>228.45M</t>
  </si>
  <si>
    <t>03/25/2025</t>
  </si>
  <si>
    <t>167.45M</t>
  </si>
  <si>
    <t>03/26/2025</t>
  </si>
  <si>
    <t>296.43M</t>
  </si>
  <si>
    <t>03/27/2025</t>
  </si>
  <si>
    <t>236.90M</t>
  </si>
  <si>
    <t>03/28/2025</t>
  </si>
  <si>
    <t>229.87M</t>
  </si>
  <si>
    <t>03/31/2025</t>
  </si>
  <si>
    <t>299.21M</t>
  </si>
  <si>
    <t>154.25M</t>
  </si>
  <si>
    <t>30.97K</t>
  </si>
  <si>
    <t>60.27K</t>
  </si>
  <si>
    <t>82.24K</t>
  </si>
  <si>
    <t>69.40K</t>
  </si>
  <si>
    <t>85.30K</t>
  </si>
  <si>
    <t>112.86K</t>
  </si>
  <si>
    <t>91.14K</t>
  </si>
  <si>
    <t>111.23K</t>
  </si>
  <si>
    <t>117.27K</t>
  </si>
  <si>
    <t>96.86K</t>
  </si>
  <si>
    <t>01/16/2023</t>
  </si>
  <si>
    <t>52.49K</t>
  </si>
  <si>
    <t>129.83K</t>
  </si>
  <si>
    <t>133.93K</t>
  </si>
  <si>
    <t>114.77K</t>
  </si>
  <si>
    <t>83.94K</t>
  </si>
  <si>
    <t>41.19K</t>
  </si>
  <si>
    <t>48.84K</t>
  </si>
  <si>
    <t>49.85K</t>
  </si>
  <si>
    <t>92.69K</t>
  </si>
  <si>
    <t>93.72K</t>
  </si>
  <si>
    <t>86.43K</t>
  </si>
  <si>
    <t>91.28K</t>
  </si>
  <si>
    <t>64.35K</t>
  </si>
  <si>
    <t>62.26K</t>
  </si>
  <si>
    <t>88.97K</t>
  </si>
  <si>
    <t>49.25K</t>
  </si>
  <si>
    <t>90.42K</t>
  </si>
  <si>
    <t>105.74K</t>
  </si>
  <si>
    <t>97.74K</t>
  </si>
  <si>
    <t>94.90K</t>
  </si>
  <si>
    <t>71.15K</t>
  </si>
  <si>
    <t>89.48K</t>
  </si>
  <si>
    <t>55.63K</t>
  </si>
  <si>
    <t>51.02K</t>
  </si>
  <si>
    <t>54.00K</t>
  </si>
  <si>
    <t>02/20/2023</t>
  </si>
  <si>
    <t>27.25K</t>
  </si>
  <si>
    <t>55.57K</t>
  </si>
  <si>
    <t>65.73K</t>
  </si>
  <si>
    <t>57.58K</t>
  </si>
  <si>
    <t>75.31K</t>
  </si>
  <si>
    <t>51.06K</t>
  </si>
  <si>
    <t>420.41K</t>
  </si>
  <si>
    <t>63.70K</t>
  </si>
  <si>
    <t>114.17K</t>
  </si>
  <si>
    <t>81.15K</t>
  </si>
  <si>
    <t>73.26K</t>
  </si>
  <si>
    <t>155.09K</t>
  </si>
  <si>
    <t>157.98K</t>
  </si>
  <si>
    <t>97.79K</t>
  </si>
  <si>
    <t>64.76K</t>
  </si>
  <si>
    <t>118.68K</t>
  </si>
  <si>
    <t>87.02K</t>
  </si>
  <si>
    <t>118.27K</t>
  </si>
  <si>
    <t>104.55K</t>
  </si>
  <si>
    <t>138.93K</t>
  </si>
  <si>
    <t>87.30K</t>
  </si>
  <si>
    <t>55.21K</t>
  </si>
  <si>
    <t>74.89K</t>
  </si>
  <si>
    <t>118.40K</t>
  </si>
  <si>
    <t>72.96K</t>
  </si>
  <si>
    <t>80.26K</t>
  </si>
  <si>
    <t>119.24K</t>
  </si>
  <si>
    <t>71.47K</t>
  </si>
  <si>
    <t>164.42K</t>
  </si>
  <si>
    <t>59.82K</t>
  </si>
  <si>
    <t>97.25K</t>
  </si>
  <si>
    <t>62.03K</t>
  </si>
  <si>
    <t>52.40K</t>
  </si>
  <si>
    <t>74.05K</t>
  </si>
  <si>
    <t>134.82K</t>
  </si>
  <si>
    <t>67.95K</t>
  </si>
  <si>
    <t>55.26K</t>
  </si>
  <si>
    <t>77.76K</t>
  </si>
  <si>
    <t>99.95K</t>
  </si>
  <si>
    <t>81.27K</t>
  </si>
  <si>
    <t>108.66K</t>
  </si>
  <si>
    <t>87.24K</t>
  </si>
  <si>
    <t>83.08K</t>
  </si>
  <si>
    <t>89.55K</t>
  </si>
  <si>
    <t>57.00K</t>
  </si>
  <si>
    <t>94.88K</t>
  </si>
  <si>
    <t>71.02K</t>
  </si>
  <si>
    <t>119.87K</t>
  </si>
  <si>
    <t>82.27K</t>
  </si>
  <si>
    <t>83.72K</t>
  </si>
  <si>
    <t>33.29K</t>
  </si>
  <si>
    <t>80.84K</t>
  </si>
  <si>
    <t>95.97K</t>
  </si>
  <si>
    <t>83.75K</t>
  </si>
  <si>
    <t>47.90K</t>
  </si>
  <si>
    <t>163.44K</t>
  </si>
  <si>
    <t>116.90K</t>
  </si>
  <si>
    <t>76.48K</t>
  </si>
  <si>
    <t>113.64K</t>
  </si>
  <si>
    <t>54.38K</t>
  </si>
  <si>
    <t>61.88K</t>
  </si>
  <si>
    <t>56.09K</t>
  </si>
  <si>
    <t>72.49K</t>
  </si>
  <si>
    <t>50.13K</t>
  </si>
  <si>
    <t>62.58K</t>
  </si>
  <si>
    <t>05/29/2023</t>
  </si>
  <si>
    <t>35.66K</t>
  </si>
  <si>
    <t>77.72K</t>
  </si>
  <si>
    <t>1.19M</t>
  </si>
  <si>
    <t>83.05K</t>
  </si>
  <si>
    <t>90.85K</t>
  </si>
  <si>
    <t>62.41K</t>
  </si>
  <si>
    <t>125.71K</t>
  </si>
  <si>
    <t>133.15K</t>
  </si>
  <si>
    <t>142.40K</t>
  </si>
  <si>
    <t>95.18K</t>
  </si>
  <si>
    <t>84.30K</t>
  </si>
  <si>
    <t>77.34K</t>
  </si>
  <si>
    <t>68.07K</t>
  </si>
  <si>
    <t>59.09K</t>
  </si>
  <si>
    <t>245.49K</t>
  </si>
  <si>
    <t>06/19/2023</t>
  </si>
  <si>
    <t>28.59K</t>
  </si>
  <si>
    <t>77.46K</t>
  </si>
  <si>
    <t>53.16K</t>
  </si>
  <si>
    <t>55.94K</t>
  </si>
  <si>
    <t>52.97K</t>
  </si>
  <si>
    <t>74.15K</t>
  </si>
  <si>
    <t>55.29K</t>
  </si>
  <si>
    <t>69.52K</t>
  </si>
  <si>
    <t>56.22K</t>
  </si>
  <si>
    <t>93.83K</t>
  </si>
  <si>
    <t>34.16K</t>
  </si>
  <si>
    <t>29.51K</t>
  </si>
  <si>
    <t>67.68K</t>
  </si>
  <si>
    <t>99.08K</t>
  </si>
  <si>
    <t>52.07K</t>
  </si>
  <si>
    <t>43.88K</t>
  </si>
  <si>
    <t>62.91K</t>
  </si>
  <si>
    <t>54.79K</t>
  </si>
  <si>
    <t>49.18K</t>
  </si>
  <si>
    <t>33.86K</t>
  </si>
  <si>
    <t>33.88K</t>
  </si>
  <si>
    <t>43.95K</t>
  </si>
  <si>
    <t>58.71K</t>
  </si>
  <si>
    <t>68.58K</t>
  </si>
  <si>
    <t>44.31K</t>
  </si>
  <si>
    <t>76.61K</t>
  </si>
  <si>
    <t>43.21K</t>
  </si>
  <si>
    <t>53.93K</t>
  </si>
  <si>
    <t>51.00K</t>
  </si>
  <si>
    <t>76.34K</t>
  </si>
  <si>
    <t>94.39K</t>
  </si>
  <si>
    <t>40.26K</t>
  </si>
  <si>
    <t>92.16K</t>
  </si>
  <si>
    <t>44.26K</t>
  </si>
  <si>
    <t>44.85K</t>
  </si>
  <si>
    <t>37.43K</t>
  </si>
  <si>
    <t>55.43K</t>
  </si>
  <si>
    <t>56.23K</t>
  </si>
  <si>
    <t>62.50K</t>
  </si>
  <si>
    <t>56.60K</t>
  </si>
  <si>
    <t>39.23K</t>
  </si>
  <si>
    <t>75.54K</t>
  </si>
  <si>
    <t>64.82K</t>
  </si>
  <si>
    <t>60.94K</t>
  </si>
  <si>
    <t>63.53K</t>
  </si>
  <si>
    <t>48.87K</t>
  </si>
  <si>
    <t>46.64K</t>
  </si>
  <si>
    <t>53.79K</t>
  </si>
  <si>
    <t>39.95K</t>
  </si>
  <si>
    <t>34.07K</t>
  </si>
  <si>
    <t>68.63K</t>
  </si>
  <si>
    <t>47.20K</t>
  </si>
  <si>
    <t>287.02K</t>
  </si>
  <si>
    <t>44.48K</t>
  </si>
  <si>
    <t>37.65K</t>
  </si>
  <si>
    <t>32.28K</t>
  </si>
  <si>
    <t>67.34K</t>
  </si>
  <si>
    <t>112.19K</t>
  </si>
  <si>
    <t>61.14K</t>
  </si>
  <si>
    <t>71.85K</t>
  </si>
  <si>
    <t>84.96K</t>
  </si>
  <si>
    <t>52.68K</t>
  </si>
  <si>
    <t>99.42K</t>
  </si>
  <si>
    <t>297.14K</t>
  </si>
  <si>
    <t>37.34K</t>
  </si>
  <si>
    <t>56.49K</t>
  </si>
  <si>
    <t>60.28K</t>
  </si>
  <si>
    <t>88.85K</t>
  </si>
  <si>
    <t>66.30K</t>
  </si>
  <si>
    <t>60.35K</t>
  </si>
  <si>
    <t>39.75K</t>
  </si>
  <si>
    <t>53.91K</t>
  </si>
  <si>
    <t>66.23K</t>
  </si>
  <si>
    <t>120.90K</t>
  </si>
  <si>
    <t>110.88K</t>
  </si>
  <si>
    <t>54.26K</t>
  </si>
  <si>
    <t>94.61K</t>
  </si>
  <si>
    <t>88.09K</t>
  </si>
  <si>
    <t>83.95K</t>
  </si>
  <si>
    <t>59.07K</t>
  </si>
  <si>
    <t>63.68K</t>
  </si>
  <si>
    <t>70.97K</t>
  </si>
  <si>
    <t>63.07K</t>
  </si>
  <si>
    <t>72.98K</t>
  </si>
  <si>
    <t>131.13K</t>
  </si>
  <si>
    <t>35.42K</t>
  </si>
  <si>
    <t>99.77K</t>
  </si>
  <si>
    <t>68.53K</t>
  </si>
  <si>
    <t>64.67K</t>
  </si>
  <si>
    <t>95.15K</t>
  </si>
  <si>
    <t>47.81K</t>
  </si>
  <si>
    <t>46.70K</t>
  </si>
  <si>
    <t>60.59K</t>
  </si>
  <si>
    <t>51.58K</t>
  </si>
  <si>
    <t>50.19K</t>
  </si>
  <si>
    <t>70.28K</t>
  </si>
  <si>
    <t>50.94K</t>
  </si>
  <si>
    <t>57.99K</t>
  </si>
  <si>
    <t>35.60K</t>
  </si>
  <si>
    <t>56.53K</t>
  </si>
  <si>
    <t>86.33K</t>
  </si>
  <si>
    <t>125.94K</t>
  </si>
  <si>
    <t>117.08K</t>
  </si>
  <si>
    <t>111.50K</t>
  </si>
  <si>
    <t>64.64K</t>
  </si>
  <si>
    <t>228.93K</t>
  </si>
  <si>
    <t>159.87K</t>
  </si>
  <si>
    <t>109.40K</t>
  </si>
  <si>
    <t>100.48K</t>
  </si>
  <si>
    <t>114.69K</t>
  </si>
  <si>
    <t>125.26K</t>
  </si>
  <si>
    <t>103.03K</t>
  </si>
  <si>
    <t>11/23/2023</t>
  </si>
  <si>
    <t>57.73K</t>
  </si>
  <si>
    <t>73.25K</t>
  </si>
  <si>
    <t>91.88K</t>
  </si>
  <si>
    <t>64.40K</t>
  </si>
  <si>
    <t>78.87K</t>
  </si>
  <si>
    <t>1.43M</t>
  </si>
  <si>
    <t>172.26K</t>
  </si>
  <si>
    <t>109.19K</t>
  </si>
  <si>
    <t>131.37K</t>
  </si>
  <si>
    <t>75.75K</t>
  </si>
  <si>
    <t>83.50K</t>
  </si>
  <si>
    <t>114.00K</t>
  </si>
  <si>
    <t>125.41K</t>
  </si>
  <si>
    <t>107.57K</t>
  </si>
  <si>
    <t>98.73K</t>
  </si>
  <si>
    <t>134.42K</t>
  </si>
  <si>
    <t>187.66K</t>
  </si>
  <si>
    <t>60.03K</t>
  </si>
  <si>
    <t>87.43K</t>
  </si>
  <si>
    <t>90.29K</t>
  </si>
  <si>
    <t>122.07K</t>
  </si>
  <si>
    <t>80.52K</t>
  </si>
  <si>
    <t>57.78K</t>
  </si>
  <si>
    <t>41.54K</t>
  </si>
  <si>
    <t>55.00K</t>
  </si>
  <si>
    <t>61.56K</t>
  </si>
  <si>
    <t>58.98K</t>
  </si>
  <si>
    <t>47.79K</t>
  </si>
  <si>
    <t>45.46K</t>
  </si>
  <si>
    <t>109.09K</t>
  </si>
  <si>
    <t>122.90K</t>
  </si>
  <si>
    <t>91.53K</t>
  </si>
  <si>
    <t>81.45K</t>
  </si>
  <si>
    <t>01/15/2024</t>
  </si>
  <si>
    <t>61.93K</t>
  </si>
  <si>
    <t>59.95K</t>
  </si>
  <si>
    <t>111.80K</t>
  </si>
  <si>
    <t>97.90K</t>
  </si>
  <si>
    <t>46.18K</t>
  </si>
  <si>
    <t>50.34K</t>
  </si>
  <si>
    <t>80.20K</t>
  </si>
  <si>
    <t>91.11K</t>
  </si>
  <si>
    <t>70.33K</t>
  </si>
  <si>
    <t>44.00K</t>
  </si>
  <si>
    <t>66.01K</t>
  </si>
  <si>
    <t>63.56K</t>
  </si>
  <si>
    <t>82.36K</t>
  </si>
  <si>
    <t>41.01K</t>
  </si>
  <si>
    <t>58.81K</t>
  </si>
  <si>
    <t>58.41K</t>
  </si>
  <si>
    <t>59.23K</t>
  </si>
  <si>
    <t>49.30K</t>
  </si>
  <si>
    <t>71.97K</t>
  </si>
  <si>
    <t>32.06K</t>
  </si>
  <si>
    <t>48.78K</t>
  </si>
  <si>
    <t>51.48K</t>
  </si>
  <si>
    <t>55.67K</t>
  </si>
  <si>
    <t>42.50K</t>
  </si>
  <si>
    <t>02/19/2024</t>
  </si>
  <si>
    <t>18.00K</t>
  </si>
  <si>
    <t>85.28K</t>
  </si>
  <si>
    <t>61.46K</t>
  </si>
  <si>
    <t>75.70K</t>
  </si>
  <si>
    <t>49.55K</t>
  </si>
  <si>
    <t>56.77K</t>
  </si>
  <si>
    <t>58.16K</t>
  </si>
  <si>
    <t>70.69K</t>
  </si>
  <si>
    <t>656.64K</t>
  </si>
  <si>
    <t>95.31K</t>
  </si>
  <si>
    <t>117.72K</t>
  </si>
  <si>
    <t>105.47K</t>
  </si>
  <si>
    <t>129.48K</t>
  </si>
  <si>
    <t>87.99K</t>
  </si>
  <si>
    <t>116.67K</t>
  </si>
  <si>
    <t>113.05K</t>
  </si>
  <si>
    <t>129.26K</t>
  </si>
  <si>
    <t>113.87K</t>
  </si>
  <si>
    <t>267.09K</t>
  </si>
  <si>
    <t>114.28K</t>
  </si>
  <si>
    <t>137.46K</t>
  </si>
  <si>
    <t>70.94K</t>
  </si>
  <si>
    <t>110.64K</t>
  </si>
  <si>
    <t>72.22K</t>
  </si>
  <si>
    <t>112.15K</t>
  </si>
  <si>
    <t>78.81K</t>
  </si>
  <si>
    <t>99.61K</t>
  </si>
  <si>
    <t>91.43K</t>
  </si>
  <si>
    <t>95.55K</t>
  </si>
  <si>
    <t>76.20K</t>
  </si>
  <si>
    <t>116.25K</t>
  </si>
  <si>
    <t>70.14K</t>
  </si>
  <si>
    <t>51.27K</t>
  </si>
  <si>
    <t>53.41K</t>
  </si>
  <si>
    <t>90.82K</t>
  </si>
  <si>
    <t>83.11K</t>
  </si>
  <si>
    <t>57.22K</t>
  </si>
  <si>
    <t>48.67K</t>
  </si>
  <si>
    <t>107.74K</t>
  </si>
  <si>
    <t>96.68K</t>
  </si>
  <si>
    <t>60.95K</t>
  </si>
  <si>
    <t>58.89K</t>
  </si>
  <si>
    <t>91.67K</t>
  </si>
  <si>
    <t>73.77K</t>
  </si>
  <si>
    <t>71.54K</t>
  </si>
  <si>
    <t>94.58K</t>
  </si>
  <si>
    <t>64.99K</t>
  </si>
  <si>
    <t>118.93K</t>
  </si>
  <si>
    <t>88.61K</t>
  </si>
  <si>
    <t>186.41K</t>
  </si>
  <si>
    <t>78.23K</t>
  </si>
  <si>
    <t>133.57K</t>
  </si>
  <si>
    <t>151.01K</t>
  </si>
  <si>
    <t>52.64K</t>
  </si>
  <si>
    <t>81.58K</t>
  </si>
  <si>
    <t>75.89K</t>
  </si>
  <si>
    <t>83.47K</t>
  </si>
  <si>
    <t>131.92K</t>
  </si>
  <si>
    <t>118.15K</t>
  </si>
  <si>
    <t>71.61K</t>
  </si>
  <si>
    <t>36.10K</t>
  </si>
  <si>
    <t>70.55K</t>
  </si>
  <si>
    <t>117.16K</t>
  </si>
  <si>
    <t>131.80K</t>
  </si>
  <si>
    <t>53.03K</t>
  </si>
  <si>
    <t>05/27/2024</t>
  </si>
  <si>
    <t>66.07K</t>
  </si>
  <si>
    <t>59.53K</t>
  </si>
  <si>
    <t>60.00K</t>
  </si>
  <si>
    <t>563.52K</t>
  </si>
  <si>
    <t>67.40K</t>
  </si>
  <si>
    <t>100.16K</t>
  </si>
  <si>
    <t>69.41K</t>
  </si>
  <si>
    <t>51.62K</t>
  </si>
  <si>
    <t>60.72K</t>
  </si>
  <si>
    <t>94.81K</t>
  </si>
  <si>
    <t>95.83K</t>
  </si>
  <si>
    <t>130.22K</t>
  </si>
  <si>
    <t>85.49K</t>
  </si>
  <si>
    <t>83.34K</t>
  </si>
  <si>
    <t>131.02K</t>
  </si>
  <si>
    <t>68.74K</t>
  </si>
  <si>
    <t>06/19/2024</t>
  </si>
  <si>
    <t>33.34K</t>
  </si>
  <si>
    <t>71.62K</t>
  </si>
  <si>
    <t>211.55K</t>
  </si>
  <si>
    <t>75.46K</t>
  </si>
  <si>
    <t>101.82K</t>
  </si>
  <si>
    <t>102.18K</t>
  </si>
  <si>
    <t>96.12K</t>
  </si>
  <si>
    <t>95.27K</t>
  </si>
  <si>
    <t>91.06K</t>
  </si>
  <si>
    <t>54.85K</t>
  </si>
  <si>
    <t>115.85K</t>
  </si>
  <si>
    <t>27.41K</t>
  </si>
  <si>
    <t>40.35K</t>
  </si>
  <si>
    <t>62.69K</t>
  </si>
  <si>
    <t>48.09K</t>
  </si>
  <si>
    <t>78.55K</t>
  </si>
  <si>
    <t>62.81K</t>
  </si>
  <si>
    <t>59.56K</t>
  </si>
  <si>
    <t>79.56K</t>
  </si>
  <si>
    <t>182.54K</t>
  </si>
  <si>
    <t>77.08K</t>
  </si>
  <si>
    <t>47.15K</t>
  </si>
  <si>
    <t>58.90K</t>
  </si>
  <si>
    <t>102.79K</t>
  </si>
  <si>
    <t>94.33K</t>
  </si>
  <si>
    <t>50.93K</t>
  </si>
  <si>
    <t>32.97K</t>
  </si>
  <si>
    <t>64.06K</t>
  </si>
  <si>
    <t>104.13K</t>
  </si>
  <si>
    <t>50.42K</t>
  </si>
  <si>
    <t>59.99K</t>
  </si>
  <si>
    <t>74.73K</t>
  </si>
  <si>
    <t>56.57K</t>
  </si>
  <si>
    <t>62.67K</t>
  </si>
  <si>
    <t>83.14K</t>
  </si>
  <si>
    <t>30.78K</t>
  </si>
  <si>
    <t>101.36K</t>
  </si>
  <si>
    <t>43.32K</t>
  </si>
  <si>
    <t>29.01K</t>
  </si>
  <si>
    <t>25.76K</t>
  </si>
  <si>
    <t>76.13K</t>
  </si>
  <si>
    <t>44.89K</t>
  </si>
  <si>
    <t>50.88K</t>
  </si>
  <si>
    <t>84.57K</t>
  </si>
  <si>
    <t>37.07K</t>
  </si>
  <si>
    <t>36.04K</t>
  </si>
  <si>
    <t>28.18K</t>
  </si>
  <si>
    <t>55.25K</t>
  </si>
  <si>
    <t>49.84K</t>
  </si>
  <si>
    <t>26.38K</t>
  </si>
  <si>
    <t>356.48K</t>
  </si>
  <si>
    <t>35.88K</t>
  </si>
  <si>
    <t>59.18K</t>
  </si>
  <si>
    <t>79.46K</t>
  </si>
  <si>
    <t>72.33K</t>
  </si>
  <si>
    <t>48.48K</t>
  </si>
  <si>
    <t>35.47K</t>
  </si>
  <si>
    <t>48.19K</t>
  </si>
  <si>
    <t>54.76K</t>
  </si>
  <si>
    <t>30.98K</t>
  </si>
  <si>
    <t>56.14K</t>
  </si>
  <si>
    <t>63.02K</t>
  </si>
  <si>
    <t>68.00K</t>
  </si>
  <si>
    <t>210.41K</t>
  </si>
  <si>
    <t>43.05K</t>
  </si>
  <si>
    <t>45.78K</t>
  </si>
  <si>
    <t>63.12K</t>
  </si>
  <si>
    <t>91.63K</t>
  </si>
  <si>
    <t>69.34K</t>
  </si>
  <si>
    <t>122.99K</t>
  </si>
  <si>
    <t>66.79K</t>
  </si>
  <si>
    <t>45.20K</t>
  </si>
  <si>
    <t>56.21K</t>
  </si>
  <si>
    <t>40.71K</t>
  </si>
  <si>
    <t>101.07K</t>
  </si>
  <si>
    <t>69.30K</t>
  </si>
  <si>
    <t>33.78K</t>
  </si>
  <si>
    <t>34.74K</t>
  </si>
  <si>
    <t>31.57K</t>
  </si>
  <si>
    <t>33.46K</t>
  </si>
  <si>
    <t>69.67K</t>
  </si>
  <si>
    <t>67.77K</t>
  </si>
  <si>
    <t>66.35K</t>
  </si>
  <si>
    <t>43.28K</t>
  </si>
  <si>
    <t>46.14K</t>
  </si>
  <si>
    <t>52.45K</t>
  </si>
  <si>
    <t>62.62K</t>
  </si>
  <si>
    <t>52.05K</t>
  </si>
  <si>
    <t>63.21K</t>
  </si>
  <si>
    <t>52.33K</t>
  </si>
  <si>
    <t>126.46K</t>
  </si>
  <si>
    <t>73.55K</t>
  </si>
  <si>
    <t>41.23K</t>
  </si>
  <si>
    <t>94.02K</t>
  </si>
  <si>
    <t>70.00K</t>
  </si>
  <si>
    <t>83.90K</t>
  </si>
  <si>
    <t>63.17K</t>
  </si>
  <si>
    <t>51.28K</t>
  </si>
  <si>
    <t>65.42K</t>
  </si>
  <si>
    <t>58.40K</t>
  </si>
  <si>
    <t>87.67K</t>
  </si>
  <si>
    <t>94.26K</t>
  </si>
  <si>
    <t>110.87K</t>
  </si>
  <si>
    <t>42.69K</t>
  </si>
  <si>
    <t>78.56K</t>
  </si>
  <si>
    <t>57.66K</t>
  </si>
  <si>
    <t>34.38K</t>
  </si>
  <si>
    <t>71.52K</t>
  </si>
  <si>
    <t>505.14K</t>
  </si>
  <si>
    <t>92.01K</t>
  </si>
  <si>
    <t>94.55K</t>
  </si>
  <si>
    <t>11/28/2024</t>
  </si>
  <si>
    <t>79.45K</t>
  </si>
  <si>
    <t>105.62K</t>
  </si>
  <si>
    <t>100.89K</t>
  </si>
  <si>
    <t>110.99K</t>
  </si>
  <si>
    <t>90.02K</t>
  </si>
  <si>
    <t>52.76K</t>
  </si>
  <si>
    <t>90.90K</t>
  </si>
  <si>
    <t>89.41K</t>
  </si>
  <si>
    <t>86.76K</t>
  </si>
  <si>
    <t>91.52K</t>
  </si>
  <si>
    <t>53.71K</t>
  </si>
  <si>
    <t>81.66K</t>
  </si>
  <si>
    <t>64.39K</t>
  </si>
  <si>
    <t>79.71K</t>
  </si>
  <si>
    <t>130.34K</t>
  </si>
  <si>
    <t>85.07K</t>
  </si>
  <si>
    <t>126.66K</t>
  </si>
  <si>
    <t>37.06K</t>
  </si>
  <si>
    <t>30.83K</t>
  </si>
  <si>
    <t>50.98K</t>
  </si>
  <si>
    <t>52.63K</t>
  </si>
  <si>
    <t>41.96K</t>
  </si>
  <si>
    <t>45.37K</t>
  </si>
  <si>
    <t>58.57K</t>
  </si>
  <si>
    <t>112.92K</t>
  </si>
  <si>
    <t>35.48K</t>
  </si>
  <si>
    <t>45.72K</t>
  </si>
  <si>
    <t>100.64K</t>
  </si>
  <si>
    <t>117.45K</t>
  </si>
  <si>
    <t>68.19K</t>
  </si>
  <si>
    <t>57.77K</t>
  </si>
  <si>
    <t>01/20/2025</t>
  </si>
  <si>
    <t>70.51K</t>
  </si>
  <si>
    <t>101.95K</t>
  </si>
  <si>
    <t>83.27K</t>
  </si>
  <si>
    <t>74.63K</t>
  </si>
  <si>
    <t>50.40K</t>
  </si>
  <si>
    <t>39.17K</t>
  </si>
  <si>
    <t>82.38K</t>
  </si>
  <si>
    <t>64.77K</t>
  </si>
  <si>
    <t>101.60K</t>
  </si>
  <si>
    <t>48.29K</t>
  </si>
  <si>
    <t>84.24K</t>
  </si>
  <si>
    <t>107.66K</t>
  </si>
  <si>
    <t>71.38K</t>
  </si>
  <si>
    <t>71.29K</t>
  </si>
  <si>
    <t>46.68K</t>
  </si>
  <si>
    <t>72.79K</t>
  </si>
  <si>
    <t>82.50K</t>
  </si>
  <si>
    <t>59.89K</t>
  </si>
  <si>
    <t>02/17/2025</t>
  </si>
  <si>
    <t>66.03K</t>
  </si>
  <si>
    <t>94.68K</t>
  </si>
  <si>
    <t>95.66K</t>
  </si>
  <si>
    <t>59.57K</t>
  </si>
  <si>
    <t>63.28K</t>
  </si>
  <si>
    <t>79.62K</t>
  </si>
  <si>
    <t>89.23K</t>
  </si>
  <si>
    <t>137.04K</t>
  </si>
  <si>
    <t>656.14K</t>
  </si>
  <si>
    <t>100.60K</t>
  </si>
  <si>
    <t>98.82K</t>
  </si>
  <si>
    <t>109.71K</t>
  </si>
  <si>
    <t>168.47K</t>
  </si>
  <si>
    <t>81.30K</t>
  </si>
  <si>
    <t>97.33K</t>
  </si>
  <si>
    <t>277.34K</t>
  </si>
  <si>
    <t>183.90K</t>
  </si>
  <si>
    <t>106.90K</t>
  </si>
  <si>
    <t>81.10K</t>
  </si>
  <si>
    <t>69.29K</t>
  </si>
  <si>
    <t>162.97K</t>
  </si>
  <si>
    <t>119.93K</t>
  </si>
  <si>
    <t>77.54K</t>
  </si>
  <si>
    <t>229.26K</t>
  </si>
  <si>
    <t>77.12K</t>
  </si>
  <si>
    <t>109.76K</t>
  </si>
  <si>
    <t>77.75K</t>
  </si>
  <si>
    <t>96.16K</t>
  </si>
  <si>
    <t>97.73K</t>
  </si>
  <si>
    <t>139.10K</t>
  </si>
  <si>
    <t>73.03K</t>
  </si>
  <si>
    <t>a-</t>
  </si>
  <si>
    <t>wnj ewjne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</si>
</sst>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Year &quot;0"/>
    <numFmt numFmtId="167" formatCode="0.000%"/>
    <numFmt numFmtId="168" formatCode="&quot;$&quot;#,##0.00;[Red]&quot;$&quot;#,##0.00"/>
    <numFmt numFmtId="169" formatCode="0.0000%"/>
    <numFmt numFmtId="170" formatCode="_-* #,##0.0000_-;\-* #,##0.0000_-;_-* &quot;-&quot;??_-;_-@_-"/>
    <numFmt numFmtId="171" formatCode="_(* #,##0.0000_);_(* \(#,##0.000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Times"/>
      <family val="1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i/>
      <sz val="10"/>
      <name val="Times"/>
      <family val="1"/>
    </font>
    <font>
      <sz val="10"/>
      <name val="Times Roman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i/>
      <sz val="10"/>
      <name val="Times"/>
      <family val="1"/>
    </font>
    <font>
      <b/>
      <sz val="10"/>
      <name val="Times Roman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4" fillId="0" borderId="6" xfId="0" applyFont="1" applyBorder="1" applyAlignment="1">
      <alignment horizontal="center" wrapText="1" readingOrder="1"/>
    </xf>
    <xf numFmtId="10" fontId="5" fillId="2" borderId="7" xfId="0" applyNumberFormat="1" applyFont="1" applyFill="1" applyBorder="1" applyAlignment="1">
      <alignment horizontal="right" wrapText="1" readingOrder="1"/>
    </xf>
    <xf numFmtId="10" fontId="5" fillId="0" borderId="8" xfId="0" applyNumberFormat="1" applyFont="1" applyBorder="1" applyAlignment="1">
      <alignment horizontal="right" wrapText="1" readingOrder="1"/>
    </xf>
    <xf numFmtId="10" fontId="5" fillId="0" borderId="9" xfId="0" applyNumberFormat="1" applyFont="1" applyBorder="1" applyAlignment="1">
      <alignment horizontal="right" wrapText="1" readingOrder="1"/>
    </xf>
    <xf numFmtId="0" fontId="4" fillId="3" borderId="10" xfId="0" applyFont="1" applyFill="1" applyBorder="1" applyAlignment="1">
      <alignment horizontal="center" wrapText="1" readingOrder="1"/>
    </xf>
    <xf numFmtId="10" fontId="5" fillId="3" borderId="11" xfId="0" applyNumberFormat="1" applyFont="1" applyFill="1" applyBorder="1" applyAlignment="1">
      <alignment horizontal="right" wrapText="1" readingOrder="1"/>
    </xf>
    <xf numFmtId="10" fontId="5" fillId="2" borderId="0" xfId="0" applyNumberFormat="1" applyFont="1" applyFill="1" applyAlignment="1">
      <alignment horizontal="right" wrapText="1" readingOrder="1"/>
    </xf>
    <xf numFmtId="10" fontId="5" fillId="3" borderId="0" xfId="0" applyNumberFormat="1" applyFont="1" applyFill="1" applyAlignment="1">
      <alignment horizontal="right" wrapText="1" readingOrder="1"/>
    </xf>
    <xf numFmtId="10" fontId="5" fillId="3" borderId="12" xfId="0" applyNumberFormat="1" applyFont="1" applyFill="1" applyBorder="1" applyAlignment="1">
      <alignment horizontal="right" wrapText="1" readingOrder="1"/>
    </xf>
    <xf numFmtId="0" fontId="4" fillId="0" borderId="10" xfId="0" applyFont="1" applyBorder="1" applyAlignment="1">
      <alignment horizontal="center" wrapText="1" readingOrder="1"/>
    </xf>
    <xf numFmtId="10" fontId="5" fillId="0" borderId="11" xfId="0" applyNumberFormat="1" applyFont="1" applyBorder="1" applyAlignment="1">
      <alignment horizontal="right" wrapText="1" readingOrder="1"/>
    </xf>
    <xf numFmtId="10" fontId="5" fillId="0" borderId="0" xfId="0" applyNumberFormat="1" applyFont="1" applyAlignment="1">
      <alignment horizontal="right" wrapText="1" readingOrder="1"/>
    </xf>
    <xf numFmtId="10" fontId="5" fillId="0" borderId="12" xfId="0" applyNumberFormat="1" applyFont="1" applyBorder="1" applyAlignment="1">
      <alignment horizontal="right" wrapText="1" readingOrder="1"/>
    </xf>
    <xf numFmtId="0" fontId="4" fillId="0" borderId="13" xfId="0" applyFont="1" applyBorder="1" applyAlignment="1">
      <alignment horizontal="center" wrapText="1" readingOrder="1"/>
    </xf>
    <xf numFmtId="10" fontId="5" fillId="0" borderId="14" xfId="0" applyNumberFormat="1" applyFont="1" applyBorder="1" applyAlignment="1">
      <alignment horizontal="right" wrapText="1" readingOrder="1"/>
    </xf>
    <xf numFmtId="10" fontId="5" fillId="0" borderId="1" xfId="0" applyNumberFormat="1" applyFont="1" applyBorder="1" applyAlignment="1">
      <alignment horizontal="right" wrapText="1" readingOrder="1"/>
    </xf>
    <xf numFmtId="10" fontId="5" fillId="2" borderId="1" xfId="0" applyNumberFormat="1" applyFont="1" applyFill="1" applyBorder="1" applyAlignment="1">
      <alignment horizontal="right" wrapText="1" readingOrder="1"/>
    </xf>
    <xf numFmtId="10" fontId="5" fillId="0" borderId="15" xfId="0" applyNumberFormat="1" applyFont="1" applyBorder="1" applyAlignment="1">
      <alignment horizontal="right" wrapText="1" readingOrder="1"/>
    </xf>
    <xf numFmtId="0" fontId="0" fillId="2" borderId="16" xfId="0" applyFill="1" applyBorder="1"/>
    <xf numFmtId="0" fontId="0" fillId="2" borderId="17" xfId="0" applyFill="1" applyBorder="1"/>
    <xf numFmtId="10" fontId="0" fillId="0" borderId="0" xfId="3" applyNumberFormat="1" applyFont="1" applyFill="1"/>
    <xf numFmtId="0" fontId="0" fillId="2" borderId="0" xfId="0" applyFill="1"/>
    <xf numFmtId="10" fontId="0" fillId="2" borderId="0" xfId="3" applyNumberFormat="1" applyFont="1" applyFill="1"/>
    <xf numFmtId="166" fontId="2" fillId="0" borderId="20" xfId="0" applyNumberFormat="1" applyFont="1" applyBorder="1"/>
    <xf numFmtId="0" fontId="6" fillId="0" borderId="0" xfId="0" applyFont="1" applyAlignment="1">
      <alignment horizontal="left"/>
    </xf>
    <xf numFmtId="49" fontId="7" fillId="4" borderId="0" xfId="0" applyNumberFormat="1" applyFont="1" applyFill="1"/>
    <xf numFmtId="167" fontId="1" fillId="5" borderId="0" xfId="3" applyNumberFormat="1" applyFont="1" applyFill="1"/>
    <xf numFmtId="10" fontId="1" fillId="5" borderId="0" xfId="3" applyNumberFormat="1" applyFont="1" applyFill="1"/>
    <xf numFmtId="0" fontId="8" fillId="6" borderId="0" xfId="0" applyFont="1" applyFill="1" applyAlignment="1">
      <alignment horizontal="center"/>
    </xf>
    <xf numFmtId="0" fontId="9" fillId="6" borderId="0" xfId="0" applyFont="1" applyFill="1"/>
    <xf numFmtId="0" fontId="10" fillId="6" borderId="21" xfId="0" applyFont="1" applyFill="1" applyBorder="1"/>
    <xf numFmtId="0" fontId="10" fillId="6" borderId="21" xfId="0" applyFont="1" applyFill="1" applyBorder="1" applyAlignment="1">
      <alignment horizontal="center"/>
    </xf>
    <xf numFmtId="167" fontId="0" fillId="0" borderId="0" xfId="0" applyNumberFormat="1"/>
    <xf numFmtId="0" fontId="11" fillId="0" borderId="21" xfId="0" applyFont="1" applyBorder="1" applyAlignment="1">
      <alignment horizontal="center"/>
    </xf>
    <xf numFmtId="167" fontId="0" fillId="0" borderId="0" xfId="3" applyNumberFormat="1" applyFont="1" applyFill="1"/>
    <xf numFmtId="167" fontId="0" fillId="0" borderId="0" xfId="3" applyNumberFormat="1" applyFont="1"/>
    <xf numFmtId="0" fontId="0" fillId="2" borderId="23" xfId="0" applyFill="1" applyBorder="1"/>
    <xf numFmtId="0" fontId="0" fillId="2" borderId="24" xfId="0" applyFill="1" applyBorder="1"/>
    <xf numFmtId="9" fontId="0" fillId="0" borderId="0" xfId="0" applyNumberFormat="1"/>
    <xf numFmtId="164" fontId="0" fillId="0" borderId="0" xfId="2" applyFont="1"/>
    <xf numFmtId="0" fontId="2" fillId="7" borderId="0" xfId="0" applyFont="1" applyFill="1" applyAlignment="1">
      <alignment horizontal="right"/>
    </xf>
    <xf numFmtId="43" fontId="0" fillId="0" borderId="0" xfId="4" applyFont="1"/>
    <xf numFmtId="10" fontId="0" fillId="0" borderId="0" xfId="3" applyNumberFormat="1" applyFont="1"/>
    <xf numFmtId="165" fontId="0" fillId="0" borderId="0" xfId="0" applyNumberFormat="1"/>
    <xf numFmtId="43" fontId="0" fillId="0" borderId="0" xfId="4" applyFont="1" applyFill="1"/>
    <xf numFmtId="43" fontId="0" fillId="2" borderId="0" xfId="4" applyFont="1" applyFill="1"/>
    <xf numFmtId="165" fontId="0" fillId="2" borderId="0" xfId="0" applyNumberFormat="1" applyFill="1"/>
    <xf numFmtId="43" fontId="0" fillId="0" borderId="0" xfId="0" applyNumberFormat="1"/>
    <xf numFmtId="165" fontId="0" fillId="0" borderId="16" xfId="0" applyNumberFormat="1" applyBorder="1"/>
    <xf numFmtId="165" fontId="0" fillId="0" borderId="25" xfId="0" applyNumberFormat="1" applyBorder="1"/>
    <xf numFmtId="165" fontId="0" fillId="0" borderId="17" xfId="0" applyNumberFormat="1" applyBorder="1"/>
    <xf numFmtId="10" fontId="0" fillId="0" borderId="25" xfId="3" applyNumberFormat="1" applyFont="1" applyBorder="1"/>
    <xf numFmtId="43" fontId="0" fillId="0" borderId="16" xfId="4" applyFont="1" applyBorder="1"/>
    <xf numFmtId="43" fontId="0" fillId="0" borderId="25" xfId="4" applyFont="1" applyBorder="1"/>
    <xf numFmtId="43" fontId="0" fillId="0" borderId="17" xfId="4" applyFont="1" applyBorder="1"/>
    <xf numFmtId="165" fontId="0" fillId="0" borderId="26" xfId="0" applyNumberFormat="1" applyBorder="1"/>
    <xf numFmtId="165" fontId="0" fillId="0" borderId="27" xfId="0" applyNumberFormat="1" applyBorder="1"/>
    <xf numFmtId="10" fontId="0" fillId="0" borderId="26" xfId="3" applyNumberFormat="1" applyFont="1" applyBorder="1"/>
    <xf numFmtId="10" fontId="0" fillId="0" borderId="0" xfId="3" applyNumberFormat="1" applyFont="1" applyBorder="1"/>
    <xf numFmtId="10" fontId="0" fillId="0" borderId="27" xfId="3" applyNumberFormat="1" applyFont="1" applyBorder="1"/>
    <xf numFmtId="43" fontId="0" fillId="0" borderId="26" xfId="4" applyFont="1" applyBorder="1"/>
    <xf numFmtId="43" fontId="0" fillId="0" borderId="0" xfId="4" applyFont="1" applyBorder="1"/>
    <xf numFmtId="43" fontId="0" fillId="0" borderId="27" xfId="4" applyFont="1" applyBorder="1"/>
    <xf numFmtId="165" fontId="0" fillId="0" borderId="18" xfId="0" applyNumberFormat="1" applyBorder="1"/>
    <xf numFmtId="165" fontId="0" fillId="0" borderId="28" xfId="0" applyNumberFormat="1" applyBorder="1"/>
    <xf numFmtId="165" fontId="0" fillId="0" borderId="19" xfId="0" applyNumberFormat="1" applyBorder="1"/>
    <xf numFmtId="10" fontId="0" fillId="0" borderId="18" xfId="3" applyNumberFormat="1" applyFont="1" applyBorder="1"/>
    <xf numFmtId="10" fontId="0" fillId="0" borderId="28" xfId="3" applyNumberFormat="1" applyFont="1" applyBorder="1"/>
    <xf numFmtId="10" fontId="0" fillId="0" borderId="19" xfId="3" applyNumberFormat="1" applyFont="1" applyBorder="1"/>
    <xf numFmtId="43" fontId="0" fillId="0" borderId="18" xfId="4" applyFont="1" applyBorder="1"/>
    <xf numFmtId="43" fontId="0" fillId="0" borderId="28" xfId="4" applyFont="1" applyBorder="1"/>
    <xf numFmtId="43" fontId="0" fillId="0" borderId="19" xfId="4" applyFont="1" applyBorder="1"/>
    <xf numFmtId="0" fontId="0" fillId="0" borderId="0" xfId="0" applyAlignment="1">
      <alignment horizontal="right"/>
    </xf>
    <xf numFmtId="14" fontId="0" fillId="0" borderId="0" xfId="0" applyNumberFormat="1"/>
    <xf numFmtId="0" fontId="0" fillId="8" borderId="18" xfId="0" applyFill="1" applyBorder="1"/>
    <xf numFmtId="0" fontId="0" fillId="8" borderId="19" xfId="0" applyFill="1" applyBorder="1"/>
    <xf numFmtId="0" fontId="0" fillId="8" borderId="0" xfId="0" applyFill="1"/>
    <xf numFmtId="10" fontId="0" fillId="8" borderId="0" xfId="3" applyNumberFormat="1" applyFont="1" applyFill="1"/>
    <xf numFmtId="0" fontId="0" fillId="8" borderId="23" xfId="0" applyFill="1" applyBorder="1"/>
    <xf numFmtId="0" fontId="0" fillId="8" borderId="24" xfId="0" applyFill="1" applyBorder="1"/>
    <xf numFmtId="43" fontId="0" fillId="8" borderId="0" xfId="4" applyFont="1" applyFill="1"/>
    <xf numFmtId="165" fontId="0" fillId="8" borderId="0" xfId="0" applyNumberFormat="1" applyFill="1"/>
    <xf numFmtId="165" fontId="0" fillId="0" borderId="0" xfId="1" applyFont="1" applyFill="1"/>
    <xf numFmtId="169" fontId="0" fillId="0" borderId="0" xfId="3" applyNumberFormat="1" applyFont="1"/>
    <xf numFmtId="165" fontId="0" fillId="0" borderId="0" xfId="1" applyFont="1"/>
    <xf numFmtId="170" fontId="0" fillId="0" borderId="0" xfId="1" applyNumberFormat="1" applyFont="1"/>
    <xf numFmtId="165" fontId="0" fillId="2" borderId="24" xfId="1" applyFont="1" applyFill="1" applyBorder="1"/>
    <xf numFmtId="10" fontId="0" fillId="2" borderId="17" xfId="0" applyNumberFormat="1" applyFill="1" applyBorder="1"/>
    <xf numFmtId="0" fontId="2" fillId="9" borderId="23" xfId="0" applyFont="1" applyFill="1" applyBorder="1"/>
    <xf numFmtId="0" fontId="0" fillId="9" borderId="29" xfId="0" applyFill="1" applyBorder="1"/>
    <xf numFmtId="0" fontId="2" fillId="10" borderId="23" xfId="0" applyFont="1" applyFill="1" applyBorder="1"/>
    <xf numFmtId="0" fontId="0" fillId="10" borderId="29" xfId="0" applyFill="1" applyBorder="1"/>
    <xf numFmtId="0" fontId="0" fillId="10" borderId="24" xfId="0" applyFill="1" applyBorder="1"/>
    <xf numFmtId="43" fontId="0" fillId="0" borderId="0" xfId="4" applyFont="1" applyFill="1" applyBorder="1"/>
    <xf numFmtId="0" fontId="0" fillId="2" borderId="29" xfId="0" applyFill="1" applyBorder="1"/>
    <xf numFmtId="0" fontId="0" fillId="2" borderId="29" xfId="0" applyFill="1" applyBorder="1" applyAlignment="1">
      <alignment horizontal="right"/>
    </xf>
    <xf numFmtId="0" fontId="2" fillId="11" borderId="23" xfId="0" applyFont="1" applyFill="1" applyBorder="1"/>
    <xf numFmtId="0" fontId="0" fillId="11" borderId="29" xfId="0" applyFill="1" applyBorder="1"/>
    <xf numFmtId="0" fontId="0" fillId="11" borderId="24" xfId="0" applyFill="1" applyBorder="1"/>
    <xf numFmtId="43" fontId="0" fillId="2" borderId="24" xfId="0" applyNumberFormat="1" applyFill="1" applyBorder="1"/>
    <xf numFmtId="9" fontId="0" fillId="2" borderId="25" xfId="0" applyNumberFormat="1" applyFill="1" applyBorder="1"/>
    <xf numFmtId="0" fontId="0" fillId="2" borderId="26" xfId="0" applyFill="1" applyBorder="1"/>
    <xf numFmtId="168" fontId="0" fillId="2" borderId="0" xfId="0" applyNumberFormat="1" applyFill="1"/>
    <xf numFmtId="168" fontId="0" fillId="2" borderId="27" xfId="0" applyNumberFormat="1" applyFill="1" applyBorder="1"/>
    <xf numFmtId="0" fontId="0" fillId="2" borderId="18" xfId="0" applyFill="1" applyBorder="1"/>
    <xf numFmtId="0" fontId="0" fillId="2" borderId="28" xfId="0" applyFill="1" applyBorder="1"/>
    <xf numFmtId="0" fontId="0" fillId="2" borderId="19" xfId="0" applyFill="1" applyBorder="1"/>
    <xf numFmtId="43" fontId="0" fillId="0" borderId="27" xfId="4" applyFont="1" applyFill="1" applyBorder="1"/>
    <xf numFmtId="0" fontId="14" fillId="0" borderId="0" xfId="0" applyFont="1" applyAlignment="1">
      <alignment horizontal="right"/>
    </xf>
    <xf numFmtId="0" fontId="0" fillId="9" borderId="25" xfId="0" applyFill="1" applyBorder="1"/>
    <xf numFmtId="0" fontId="0" fillId="9" borderId="17" xfId="0" applyFill="1" applyBorder="1"/>
    <xf numFmtId="0" fontId="0" fillId="0" borderId="18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5" fillId="6" borderId="21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10" fontId="16" fillId="0" borderId="21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0" fontId="0" fillId="2" borderId="0" xfId="3" applyNumberFormat="1" applyFont="1" applyFill="1" applyBorder="1"/>
    <xf numFmtId="171" fontId="0" fillId="2" borderId="24" xfId="4" applyNumberFormat="1" applyFont="1" applyFill="1" applyBorder="1"/>
    <xf numFmtId="0" fontId="0" fillId="0" borderId="16" xfId="0" applyBorder="1"/>
    <xf numFmtId="0" fontId="0" fillId="0" borderId="25" xfId="0" applyBorder="1"/>
    <xf numFmtId="0" fontId="0" fillId="0" borderId="17" xfId="0" applyBorder="1"/>
    <xf numFmtId="10" fontId="0" fillId="2" borderId="27" xfId="3" applyNumberFormat="1" applyFont="1" applyFill="1" applyBorder="1"/>
    <xf numFmtId="165" fontId="0" fillId="0" borderId="28" xfId="1" applyFont="1" applyFill="1" applyBorder="1"/>
    <xf numFmtId="165" fontId="0" fillId="0" borderId="19" xfId="1" applyFont="1" applyFill="1" applyBorder="1"/>
    <xf numFmtId="0" fontId="0" fillId="12" borderId="16" xfId="0" applyFill="1" applyBorder="1"/>
    <xf numFmtId="10" fontId="0" fillId="12" borderId="25" xfId="3" applyNumberFormat="1" applyFont="1" applyFill="1" applyBorder="1"/>
    <xf numFmtId="10" fontId="0" fillId="12" borderId="17" xfId="3" applyNumberFormat="1" applyFont="1" applyFill="1" applyBorder="1"/>
    <xf numFmtId="0" fontId="0" fillId="12" borderId="26" xfId="0" applyFill="1" applyBorder="1"/>
    <xf numFmtId="10" fontId="0" fillId="12" borderId="0" xfId="3" applyNumberFormat="1" applyFont="1" applyFill="1" applyBorder="1"/>
    <xf numFmtId="10" fontId="0" fillId="12" borderId="27" xfId="3" applyNumberFormat="1" applyFont="1" applyFill="1" applyBorder="1"/>
    <xf numFmtId="10" fontId="0" fillId="13" borderId="0" xfId="3" applyNumberFormat="1" applyFont="1" applyFill="1" applyBorder="1"/>
    <xf numFmtId="165" fontId="0" fillId="13" borderId="28" xfId="1" applyFont="1" applyFill="1" applyBorder="1"/>
    <xf numFmtId="10" fontId="0" fillId="13" borderId="25" xfId="3" applyNumberFormat="1" applyFont="1" applyFill="1" applyBorder="1"/>
    <xf numFmtId="0" fontId="0" fillId="2" borderId="16" xfId="0" applyFill="1" applyBorder="1" applyAlignment="1">
      <alignment horizontal="right"/>
    </xf>
    <xf numFmtId="165" fontId="0" fillId="2" borderId="25" xfId="1" applyFont="1" applyFill="1" applyBorder="1"/>
    <xf numFmtId="165" fontId="0" fillId="2" borderId="17" xfId="1" applyFont="1" applyFill="1" applyBorder="1"/>
    <xf numFmtId="165" fontId="0" fillId="2" borderId="0" xfId="1" applyFont="1" applyFill="1" applyBorder="1"/>
    <xf numFmtId="165" fontId="0" fillId="2" borderId="27" xfId="1" applyFont="1" applyFill="1" applyBorder="1"/>
    <xf numFmtId="165" fontId="0" fillId="2" borderId="28" xfId="1" applyFont="1" applyFill="1" applyBorder="1"/>
    <xf numFmtId="165" fontId="0" fillId="2" borderId="19" xfId="1" applyFont="1" applyFill="1" applyBorder="1"/>
    <xf numFmtId="165" fontId="0" fillId="13" borderId="25" xfId="1" applyFont="1" applyFill="1" applyBorder="1"/>
    <xf numFmtId="165" fontId="0" fillId="13" borderId="0" xfId="1" applyFont="1" applyFill="1" applyBorder="1"/>
    <xf numFmtId="0" fontId="0" fillId="10" borderId="0" xfId="0" applyFill="1" applyAlignment="1">
      <alignment horizontal="right"/>
    </xf>
    <xf numFmtId="165" fontId="0" fillId="10" borderId="0" xfId="1" applyFont="1" applyFill="1"/>
    <xf numFmtId="0" fontId="0" fillId="10" borderId="0" xfId="0" applyFill="1"/>
    <xf numFmtId="0" fontId="0" fillId="14" borderId="0" xfId="0" applyFill="1"/>
    <xf numFmtId="10" fontId="0" fillId="14" borderId="0" xfId="3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255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 vertical="center" textRotation="255"/>
    </xf>
    <xf numFmtId="0" fontId="0" fillId="0" borderId="37" xfId="0" applyBorder="1" applyAlignment="1">
      <alignment horizontal="center" vertical="center" textRotation="255"/>
    </xf>
    <xf numFmtId="0" fontId="0" fillId="0" borderId="38" xfId="0" applyBorder="1" applyAlignment="1">
      <alignment horizontal="center" vertical="center" textRotation="255"/>
    </xf>
    <xf numFmtId="0" fontId="4" fillId="0" borderId="1" xfId="0" applyFont="1" applyBorder="1" applyAlignment="1">
      <alignment horizontal="left" wrapText="1" readingOrder="1"/>
    </xf>
    <xf numFmtId="0" fontId="0" fillId="0" borderId="26" xfId="0" applyBorder="1"/>
    <xf numFmtId="0" fontId="0" fillId="0" borderId="0" xfId="0" applyBorder="1"/>
    <xf numFmtId="0" fontId="0" fillId="0" borderId="27" xfId="0" applyBorder="1"/>
    <xf numFmtId="165" fontId="0" fillId="0" borderId="0" xfId="0" applyNumberFormat="1" applyBorder="1"/>
    <xf numFmtId="10" fontId="0" fillId="0" borderId="0" xfId="0" applyNumberFormat="1"/>
    <xf numFmtId="0" fontId="0" fillId="0" borderId="43" xfId="0" applyBorder="1"/>
    <xf numFmtId="0" fontId="0" fillId="0" borderId="42" xfId="0" applyBorder="1"/>
    <xf numFmtId="0" fontId="0" fillId="0" borderId="44" xfId="0" applyBorder="1"/>
  </cellXfs>
  <cellStyles count="5">
    <cellStyle name="Comma" xfId="1" builtinId="3"/>
    <cellStyle name="Currency" xfId="2" builtinId="4"/>
    <cellStyle name="Millares 2" xfId="4" xr:uid="{0D4CDB7E-268C-4672-AAD9-DE3D814DF63E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'Ejemplo Indp Nvidia Henkel'!$A$29</c:f>
              <c:strCache>
                <c:ptCount val="1"/>
                <c:pt idx="0">
                  <c:v>AAA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Henkel'!$C$29:$G$29</c:f>
              <c:numCache>
                <c:formatCode>0.000%</c:formatCode>
                <c:ptCount val="5"/>
                <c:pt idx="0">
                  <c:v>4.3800000000000006E-2</c:v>
                </c:pt>
                <c:pt idx="1">
                  <c:v>4.4800000000000006E-2</c:v>
                </c:pt>
                <c:pt idx="2">
                  <c:v>4.4700000000000004E-2</c:v>
                </c:pt>
                <c:pt idx="3">
                  <c:v>4.5399999999999996E-2</c:v>
                </c:pt>
                <c:pt idx="4">
                  <c:v>4.6100000000000002E-2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A-41B7-927F-61321B64C502}"/>
            </c:ext>
          </c:extLst>
        </c:ser>
        <c:ser>
          <c:idx val="1"/>
          <c:order val="1"/>
          <c:tx>
            <c:strRef>
              <c:f>'Ejemplo Indp Nvidia Henkel'!$A$30</c:f>
              <c:strCache>
                <c:ptCount val="1"/>
                <c:pt idx="0">
                  <c:v>AA+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Henkel'!$C$30:$G$30</c:f>
              <c:numCache>
                <c:formatCode>0.000%</c:formatCode>
                <c:ptCount val="5"/>
                <c:pt idx="0">
                  <c:v>4.4600000000000001E-2</c:v>
                </c:pt>
                <c:pt idx="1">
                  <c:v>4.5600000000000002E-2</c:v>
                </c:pt>
                <c:pt idx="2">
                  <c:v>4.5499999999999999E-2</c:v>
                </c:pt>
                <c:pt idx="3">
                  <c:v>4.6199999999999998E-2</c:v>
                </c:pt>
                <c:pt idx="4">
                  <c:v>4.6899999999999997E-2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1A-41B7-927F-61321B64C502}"/>
            </c:ext>
          </c:extLst>
        </c:ser>
        <c:ser>
          <c:idx val="2"/>
          <c:order val="2"/>
          <c:tx>
            <c:strRef>
              <c:f>'Ejemplo Indp Nvidia Henkel'!$A$31</c:f>
              <c:strCache>
                <c:ptCount val="1"/>
                <c:pt idx="0">
                  <c:v>AA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Henkel'!$C$31:$G$31</c:f>
              <c:numCache>
                <c:formatCode>0.000%</c:formatCode>
                <c:ptCount val="5"/>
                <c:pt idx="0">
                  <c:v>4.5400000000000003E-2</c:v>
                </c:pt>
                <c:pt idx="1">
                  <c:v>4.6400000000000004E-2</c:v>
                </c:pt>
                <c:pt idx="2">
                  <c:v>4.6300000000000001E-2</c:v>
                </c:pt>
                <c:pt idx="3">
                  <c:v>4.7E-2</c:v>
                </c:pt>
                <c:pt idx="4">
                  <c:v>4.7699999999999999E-2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A-41B7-927F-61321B64C502}"/>
            </c:ext>
          </c:extLst>
        </c:ser>
        <c:ser>
          <c:idx val="3"/>
          <c:order val="3"/>
          <c:tx>
            <c:strRef>
              <c:f>'Ejemplo Indp Nvidia Henkel'!$A$32</c:f>
              <c:strCache>
                <c:ptCount val="1"/>
                <c:pt idx="0">
                  <c:v>AA-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Henkel'!$C$32:$G$32</c:f>
              <c:numCache>
                <c:formatCode>0.000%</c:formatCode>
                <c:ptCount val="5"/>
                <c:pt idx="0">
                  <c:v>4.65E-2</c:v>
                </c:pt>
                <c:pt idx="1">
                  <c:v>4.7500000000000001E-2</c:v>
                </c:pt>
                <c:pt idx="2">
                  <c:v>4.7399999999999998E-2</c:v>
                </c:pt>
                <c:pt idx="3">
                  <c:v>4.8100000000000004E-2</c:v>
                </c:pt>
                <c:pt idx="4">
                  <c:v>4.8799999999999996E-2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1A-41B7-927F-61321B64C502}"/>
            </c:ext>
          </c:extLst>
        </c:ser>
        <c:ser>
          <c:idx val="4"/>
          <c:order val="4"/>
          <c:tx>
            <c:strRef>
              <c:f>'Ejemplo Indp Nvidia Henkel'!$A$33</c:f>
              <c:strCache>
                <c:ptCount val="1"/>
                <c:pt idx="0">
                  <c:v>A+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Henkel'!$C$33:$G$33</c:f>
              <c:numCache>
                <c:formatCode>0.000%</c:formatCode>
                <c:ptCount val="5"/>
                <c:pt idx="0">
                  <c:v>4.7600000000000003E-2</c:v>
                </c:pt>
                <c:pt idx="1">
                  <c:v>4.8600000000000004E-2</c:v>
                </c:pt>
                <c:pt idx="2">
                  <c:v>4.8500000000000001E-2</c:v>
                </c:pt>
                <c:pt idx="3">
                  <c:v>4.9200000000000001E-2</c:v>
                </c:pt>
                <c:pt idx="4">
                  <c:v>4.99E-2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1A-41B7-927F-61321B64C502}"/>
            </c:ext>
          </c:extLst>
        </c:ser>
        <c:ser>
          <c:idx val="5"/>
          <c:order val="5"/>
          <c:tx>
            <c:strRef>
              <c:f>'Ejemplo Indp Nvidia Henkel'!$A$34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Henkel'!$C$34:$G$34</c:f>
              <c:numCache>
                <c:formatCode>0.000%</c:formatCode>
                <c:ptCount val="5"/>
                <c:pt idx="0">
                  <c:v>4.87E-2</c:v>
                </c:pt>
                <c:pt idx="1">
                  <c:v>4.9700000000000001E-2</c:v>
                </c:pt>
                <c:pt idx="2">
                  <c:v>4.9599999999999998E-2</c:v>
                </c:pt>
                <c:pt idx="3">
                  <c:v>5.0299999999999997E-2</c:v>
                </c:pt>
                <c:pt idx="4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1A-41B7-927F-61321B64C502}"/>
            </c:ext>
          </c:extLst>
        </c:ser>
        <c:ser>
          <c:idx val="6"/>
          <c:order val="6"/>
          <c:tx>
            <c:strRef>
              <c:f>'Ejemplo Indp Nvidia Henkel'!$A$35</c:f>
              <c:strCache>
                <c:ptCount val="1"/>
                <c:pt idx="0">
                  <c:v>A-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Henkel'!$C$35:$G$35</c:f>
              <c:numCache>
                <c:formatCode>0.000%</c:formatCode>
                <c:ptCount val="5"/>
                <c:pt idx="0">
                  <c:v>5.0200000000000002E-2</c:v>
                </c:pt>
                <c:pt idx="1">
                  <c:v>5.1200000000000002E-2</c:v>
                </c:pt>
                <c:pt idx="2">
                  <c:v>5.11E-2</c:v>
                </c:pt>
                <c:pt idx="3">
                  <c:v>5.1799999999999999E-2</c:v>
                </c:pt>
                <c:pt idx="4">
                  <c:v>5.2499999999999998E-2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1A-41B7-927F-61321B64C502}"/>
            </c:ext>
          </c:extLst>
        </c:ser>
        <c:ser>
          <c:idx val="7"/>
          <c:order val="7"/>
          <c:tx>
            <c:strRef>
              <c:f>'Ejemplo Indp Nvidia Henkel'!$A$36</c:f>
              <c:strCache>
                <c:ptCount val="1"/>
                <c:pt idx="0">
                  <c:v>BBB+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Henkel'!$C$36:$G$36</c:f>
              <c:numCache>
                <c:formatCode>0.000%</c:formatCode>
                <c:ptCount val="5"/>
                <c:pt idx="0">
                  <c:v>5.2100000000000007E-2</c:v>
                </c:pt>
                <c:pt idx="1">
                  <c:v>5.3100000000000008E-2</c:v>
                </c:pt>
                <c:pt idx="2">
                  <c:v>5.3000000000000005E-2</c:v>
                </c:pt>
                <c:pt idx="3">
                  <c:v>5.3699999999999998E-2</c:v>
                </c:pt>
                <c:pt idx="4">
                  <c:v>5.4400000000000004E-2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1A-41B7-927F-61321B64C502}"/>
            </c:ext>
          </c:extLst>
        </c:ser>
        <c:ser>
          <c:idx val="8"/>
          <c:order val="8"/>
          <c:tx>
            <c:strRef>
              <c:f>'Ejemplo Indp Nvidia Henkel'!$A$37</c:f>
              <c:strCache>
                <c:ptCount val="1"/>
                <c:pt idx="0">
                  <c:v>BBB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Henkel'!$C$37:$G$37</c:f>
              <c:numCache>
                <c:formatCode>0.000%</c:formatCode>
                <c:ptCount val="5"/>
                <c:pt idx="0">
                  <c:v>5.4000000000000006E-2</c:v>
                </c:pt>
                <c:pt idx="1">
                  <c:v>5.5000000000000007E-2</c:v>
                </c:pt>
                <c:pt idx="2">
                  <c:v>5.4900000000000004E-2</c:v>
                </c:pt>
                <c:pt idx="3">
                  <c:v>5.5599999999999997E-2</c:v>
                </c:pt>
                <c:pt idx="4">
                  <c:v>5.6300000000000003E-2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1A-41B7-927F-61321B64C502}"/>
            </c:ext>
          </c:extLst>
        </c:ser>
        <c:ser>
          <c:idx val="9"/>
          <c:order val="9"/>
          <c:tx>
            <c:strRef>
              <c:f>'Ejemplo Indp Nvidia Henkel'!$A$38</c:f>
              <c:strCache>
                <c:ptCount val="1"/>
                <c:pt idx="0">
                  <c:v>BBB-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Henkel'!$C$38:$G$38</c:f>
              <c:numCache>
                <c:formatCode>0.000%</c:formatCode>
                <c:ptCount val="5"/>
                <c:pt idx="0">
                  <c:v>5.7000000000000002E-2</c:v>
                </c:pt>
                <c:pt idx="1">
                  <c:v>5.8000000000000003E-2</c:v>
                </c:pt>
                <c:pt idx="2">
                  <c:v>5.79E-2</c:v>
                </c:pt>
                <c:pt idx="3">
                  <c:v>5.8599999999999999E-2</c:v>
                </c:pt>
                <c:pt idx="4">
                  <c:v>5.9299999999999999E-2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1A-41B7-927F-61321B64C502}"/>
            </c:ext>
          </c:extLst>
        </c:ser>
        <c:ser>
          <c:idx val="10"/>
          <c:order val="10"/>
          <c:tx>
            <c:strRef>
              <c:f>'Ejemplo Indp Nvidia Henkel'!$A$39</c:f>
              <c:strCache>
                <c:ptCount val="1"/>
                <c:pt idx="0">
                  <c:v>BB+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Henkel'!$C$39:$G$39</c:f>
              <c:numCache>
                <c:formatCode>0.000%</c:formatCode>
                <c:ptCount val="5"/>
                <c:pt idx="0">
                  <c:v>0.06</c:v>
                </c:pt>
                <c:pt idx="1">
                  <c:v>6.0999999999999999E-2</c:v>
                </c:pt>
                <c:pt idx="2">
                  <c:v>6.0899999999999996E-2</c:v>
                </c:pt>
                <c:pt idx="3">
                  <c:v>6.1600000000000002E-2</c:v>
                </c:pt>
                <c:pt idx="4">
                  <c:v>6.2299999999999994E-2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1A-41B7-927F-61321B64C502}"/>
            </c:ext>
          </c:extLst>
        </c:ser>
        <c:ser>
          <c:idx val="11"/>
          <c:order val="11"/>
          <c:tx>
            <c:strRef>
              <c:f>'Ejemplo Indp Nvidia Henkel'!$A$40</c:f>
              <c:strCache>
                <c:ptCount val="1"/>
                <c:pt idx="0">
                  <c:v>BB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Henkel'!$C$40:$G$40</c:f>
              <c:numCache>
                <c:formatCode>0.000%</c:formatCode>
                <c:ptCount val="5"/>
                <c:pt idx="0">
                  <c:v>6.4600000000000005E-2</c:v>
                </c:pt>
                <c:pt idx="1">
                  <c:v>6.5600000000000006E-2</c:v>
                </c:pt>
                <c:pt idx="2">
                  <c:v>6.5500000000000003E-2</c:v>
                </c:pt>
                <c:pt idx="3">
                  <c:v>6.6199999999999995E-2</c:v>
                </c:pt>
                <c:pt idx="4">
                  <c:v>6.6900000000000001E-2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1A-41B7-927F-61321B64C502}"/>
            </c:ext>
          </c:extLst>
        </c:ser>
        <c:ser>
          <c:idx val="12"/>
          <c:order val="12"/>
          <c:tx>
            <c:strRef>
              <c:f>'Ejemplo Indp Nvidia Henkel'!$A$41</c:f>
              <c:strCache>
                <c:ptCount val="1"/>
                <c:pt idx="0">
                  <c:v>BB-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Henkel'!$C$41:$G$41</c:f>
              <c:numCache>
                <c:formatCode>0.000%</c:formatCode>
                <c:ptCount val="5"/>
                <c:pt idx="0">
                  <c:v>7.1000000000000008E-2</c:v>
                </c:pt>
                <c:pt idx="1">
                  <c:v>7.2000000000000008E-2</c:v>
                </c:pt>
                <c:pt idx="2">
                  <c:v>7.1900000000000006E-2</c:v>
                </c:pt>
                <c:pt idx="3">
                  <c:v>7.2599999999999998E-2</c:v>
                </c:pt>
                <c:pt idx="4">
                  <c:v>7.3300000000000004E-2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51A-41B7-927F-61321B64C502}"/>
            </c:ext>
          </c:extLst>
        </c:ser>
        <c:ser>
          <c:idx val="13"/>
          <c:order val="13"/>
          <c:tx>
            <c:strRef>
              <c:f>'Ejemplo Indp Nvidia Henkel'!$A$42</c:f>
              <c:strCache>
                <c:ptCount val="1"/>
                <c:pt idx="0">
                  <c:v>B+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Henkel'!$C$42:$G$42</c:f>
              <c:numCache>
                <c:formatCode>0.000%</c:formatCode>
                <c:ptCount val="5"/>
                <c:pt idx="0">
                  <c:v>7.7399999999999997E-2</c:v>
                </c:pt>
                <c:pt idx="1">
                  <c:v>7.8399999999999997E-2</c:v>
                </c:pt>
                <c:pt idx="2">
                  <c:v>7.8300000000000008E-2</c:v>
                </c:pt>
                <c:pt idx="3">
                  <c:v>7.9000000000000001E-2</c:v>
                </c:pt>
                <c:pt idx="4">
                  <c:v>7.9699999999999993E-2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51A-41B7-927F-61321B64C502}"/>
            </c:ext>
          </c:extLst>
        </c:ser>
        <c:ser>
          <c:idx val="14"/>
          <c:order val="14"/>
          <c:tx>
            <c:strRef>
              <c:f>'Ejemplo Indp Nvidia Henkel'!$A$43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Henkel'!$C$43:$G$43</c:f>
              <c:numCache>
                <c:formatCode>0.000%</c:formatCode>
                <c:ptCount val="5"/>
                <c:pt idx="0">
                  <c:v>8.5499999999999993E-2</c:v>
                </c:pt>
                <c:pt idx="1">
                  <c:v>8.6499999999999994E-2</c:v>
                </c:pt>
                <c:pt idx="2">
                  <c:v>8.6400000000000005E-2</c:v>
                </c:pt>
                <c:pt idx="3">
                  <c:v>8.7099999999999997E-2</c:v>
                </c:pt>
                <c:pt idx="4">
                  <c:v>8.7799999999999989E-2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51A-41B7-927F-61321B64C502}"/>
            </c:ext>
          </c:extLst>
        </c:ser>
        <c:ser>
          <c:idx val="15"/>
          <c:order val="15"/>
          <c:tx>
            <c:strRef>
              <c:f>'Ejemplo Indp Nvidia Henkel'!$A$44</c:f>
              <c:strCache>
                <c:ptCount val="1"/>
                <c:pt idx="0">
                  <c:v>B-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Henkel'!$C$44:$G$44</c:f>
              <c:numCache>
                <c:formatCode>0.000%</c:formatCode>
                <c:ptCount val="5"/>
                <c:pt idx="0">
                  <c:v>9.6299999999999997E-2</c:v>
                </c:pt>
                <c:pt idx="1">
                  <c:v>9.7299999999999998E-2</c:v>
                </c:pt>
                <c:pt idx="2">
                  <c:v>9.7200000000000009E-2</c:v>
                </c:pt>
                <c:pt idx="3">
                  <c:v>9.7900000000000001E-2</c:v>
                </c:pt>
                <c:pt idx="4">
                  <c:v>9.8599999999999993E-2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51A-41B7-927F-61321B64C502}"/>
            </c:ext>
          </c:extLst>
        </c:ser>
        <c:ser>
          <c:idx val="16"/>
          <c:order val="16"/>
          <c:tx>
            <c:strRef>
              <c:f>'Ejemplo Indp Nvidia Henkel'!$A$45</c:f>
              <c:strCache>
                <c:ptCount val="1"/>
                <c:pt idx="0">
                  <c:v>CCC/C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'Ejemplo Indp Nvidia Henkel'!$C$28:$G$28</c:f>
              <c:numCache>
                <c:formatCode>"Year "0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'Ejemplo Indp Nvidia Henkel'!$C$45:$G$45</c:f>
              <c:numCache>
                <c:formatCode>0.000%</c:formatCode>
                <c:ptCount val="5"/>
                <c:pt idx="0">
                  <c:v>0.13150000000000001</c:v>
                </c:pt>
                <c:pt idx="1">
                  <c:v>0.13250000000000001</c:v>
                </c:pt>
                <c:pt idx="2">
                  <c:v>0.13240000000000002</c:v>
                </c:pt>
                <c:pt idx="3">
                  <c:v>0.1331</c:v>
                </c:pt>
                <c:pt idx="4">
                  <c:v>0.1338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51A-41B7-927F-61321B64C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311504"/>
        <c:axId val="1989307344"/>
      </c:scatterChart>
      <c:valAx>
        <c:axId val="1989311504"/>
        <c:scaling>
          <c:orientation val="minMax"/>
          <c:max val="5"/>
          <c:min val="1"/>
        </c:scaling>
        <c:delete val="0"/>
        <c:axPos val="b"/>
        <c:numFmt formatCode="&quot;Year 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307344"/>
        <c:crosses val="autoZero"/>
        <c:crossBetween val="midCat"/>
      </c:valAx>
      <c:valAx>
        <c:axId val="1989307344"/>
        <c:scaling>
          <c:orientation val="minMax"/>
        </c:scaling>
        <c:delete val="0"/>
        <c:axPos val="l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931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26</xdr:row>
      <xdr:rowOff>0</xdr:rowOff>
    </xdr:from>
    <xdr:to>
      <xdr:col>15</xdr:col>
      <xdr:colOff>19050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8D55F-9E8E-4A33-B5C8-D9898682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161925</xdr:colOff>
      <xdr:row>11</xdr:row>
      <xdr:rowOff>180975</xdr:rowOff>
    </xdr:from>
    <xdr:to>
      <xdr:col>22</xdr:col>
      <xdr:colOff>592455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219BD1-2E60-5961-BB7D-CF716A304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9550" y="2133600"/>
          <a:ext cx="1962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17</xdr:row>
      <xdr:rowOff>161925</xdr:rowOff>
    </xdr:from>
    <xdr:to>
      <xdr:col>23</xdr:col>
      <xdr:colOff>95250</xdr:colOff>
      <xdr:row>19</xdr:row>
      <xdr:rowOff>59055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E9BE2A-2B97-EA75-8BB3-B15DA3338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63825" y="3209925"/>
          <a:ext cx="229552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123825</xdr:colOff>
      <xdr:row>15</xdr:row>
      <xdr:rowOff>9525</xdr:rowOff>
    </xdr:from>
    <xdr:to>
      <xdr:col>21</xdr:col>
      <xdr:colOff>152400</xdr:colOff>
      <xdr:row>16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C5C61B-95EB-EF44-2DF4-E7FD059E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1450" y="2638425"/>
          <a:ext cx="790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370840</xdr:colOff>
      <xdr:row>12</xdr:row>
      <xdr:rowOff>152400</xdr:rowOff>
    </xdr:from>
    <xdr:to>
      <xdr:col>8</xdr:col>
      <xdr:colOff>111760</xdr:colOff>
      <xdr:row>15</xdr:row>
      <xdr:rowOff>74295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B4EC9D-9F3D-F10F-805B-249AAE1B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190" y="2419350"/>
          <a:ext cx="208407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185420</xdr:colOff>
      <xdr:row>14</xdr:row>
      <xdr:rowOff>157480</xdr:rowOff>
    </xdr:from>
    <xdr:to>
      <xdr:col>9</xdr:col>
      <xdr:colOff>383540</xdr:colOff>
      <xdr:row>16</xdr:row>
      <xdr:rowOff>94615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86C4B5-B284-886E-7570-F029BBB2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0020" y="2430780"/>
          <a:ext cx="98552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5B36-3F54-43BC-85AC-BFB9ECD7A402}">
  <dimension ref="A1:T19"/>
  <sheetViews>
    <sheetView workbookViewId="0">
      <selection activeCell="A20" sqref="A20"/>
    </sheetView>
  </sheetViews>
  <sheetFormatPr baseColWidth="10" defaultColWidth="11.5" defaultRowHeight="15"/>
  <sheetData>
    <row r="1" spans="1:20" ht="24" thickBot="1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5" t="s">
        <v>20</v>
      </c>
    </row>
    <row r="3" spans="1:20">
      <c r="A3" s="6" t="s">
        <v>2</v>
      </c>
      <c r="B3" s="7">
        <v>0.87090000000000001</v>
      </c>
      <c r="C3" s="8">
        <v>5.8599999999999999E-2</v>
      </c>
      <c r="D3" s="8">
        <v>2.5000000000000001E-2</v>
      </c>
      <c r="E3" s="8">
        <v>6.7999999999999996E-3</v>
      </c>
      <c r="F3" s="8">
        <v>1.6000000000000001E-3</v>
      </c>
      <c r="G3" s="8">
        <v>2.3999999999999998E-3</v>
      </c>
      <c r="H3" s="8">
        <v>1.2999999999999999E-3</v>
      </c>
      <c r="I3" s="8">
        <v>0</v>
      </c>
      <c r="J3" s="8">
        <v>5.0000000000000001E-4</v>
      </c>
      <c r="K3" s="8">
        <v>0</v>
      </c>
      <c r="L3" s="8">
        <v>2.9999999999999997E-4</v>
      </c>
      <c r="M3" s="8">
        <v>5.0000000000000001E-4</v>
      </c>
      <c r="N3" s="8">
        <v>2.9999999999999997E-4</v>
      </c>
      <c r="O3" s="8">
        <v>0</v>
      </c>
      <c r="P3" s="8">
        <v>2.9999999999999997E-4</v>
      </c>
      <c r="Q3" s="8">
        <v>0</v>
      </c>
      <c r="R3" s="8">
        <v>5.0000000000000001E-4</v>
      </c>
      <c r="S3" s="8">
        <v>0</v>
      </c>
      <c r="T3" s="9">
        <v>3.1E-2</v>
      </c>
    </row>
    <row r="4" spans="1:20">
      <c r="A4" s="10" t="s">
        <v>3</v>
      </c>
      <c r="B4" s="11">
        <v>2.2100000000000002E-2</v>
      </c>
      <c r="C4" s="12">
        <v>0.79679999999999995</v>
      </c>
      <c r="D4" s="13">
        <v>0.10589999999999999</v>
      </c>
      <c r="E4" s="13">
        <v>3.3799999999999997E-2</v>
      </c>
      <c r="F4" s="13">
        <v>6.7999999999999996E-3</v>
      </c>
      <c r="G4" s="13">
        <v>3.2000000000000002E-3</v>
      </c>
      <c r="H4" s="13">
        <v>1.8E-3</v>
      </c>
      <c r="I4" s="13">
        <v>5.0000000000000001E-4</v>
      </c>
      <c r="J4" s="13">
        <v>8.9999999999999998E-4</v>
      </c>
      <c r="K4" s="13">
        <v>5.0000000000000001E-4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4">
        <v>2.7900000000000001E-2</v>
      </c>
    </row>
    <row r="5" spans="1:20">
      <c r="A5" s="15" t="s">
        <v>4</v>
      </c>
      <c r="B5" s="16">
        <v>4.1000000000000003E-3</v>
      </c>
      <c r="C5" s="17">
        <v>1.3100000000000001E-2</v>
      </c>
      <c r="D5" s="12">
        <v>0.80989999999999995</v>
      </c>
      <c r="E5" s="17">
        <v>8.4199999999999997E-2</v>
      </c>
      <c r="F5" s="17">
        <v>2.63E-2</v>
      </c>
      <c r="G5" s="17">
        <v>1.12E-2</v>
      </c>
      <c r="H5" s="17">
        <v>3.5000000000000001E-3</v>
      </c>
      <c r="I5" s="17">
        <v>3.8E-3</v>
      </c>
      <c r="J5" s="17">
        <v>1.2999999999999999E-3</v>
      </c>
      <c r="K5" s="17">
        <v>8.0000000000000004E-4</v>
      </c>
      <c r="L5" s="17">
        <v>5.0000000000000001E-4</v>
      </c>
      <c r="M5" s="17">
        <v>2.9999999999999997E-4</v>
      </c>
      <c r="N5" s="17">
        <v>2.0000000000000001E-4</v>
      </c>
      <c r="O5" s="17">
        <v>2.0000000000000001E-4</v>
      </c>
      <c r="P5" s="17">
        <v>0</v>
      </c>
      <c r="Q5" s="17">
        <v>2.0000000000000001E-4</v>
      </c>
      <c r="R5" s="17">
        <v>5.0000000000000001E-4</v>
      </c>
      <c r="S5" s="17">
        <v>2.0000000000000001E-4</v>
      </c>
      <c r="T5" s="18">
        <v>3.9899999999999998E-2</v>
      </c>
    </row>
    <row r="6" spans="1:20">
      <c r="A6" s="10" t="s">
        <v>5</v>
      </c>
      <c r="B6" s="11">
        <v>4.0000000000000002E-4</v>
      </c>
      <c r="C6" s="13">
        <v>1E-3</v>
      </c>
      <c r="D6" s="13">
        <v>3.6799999999999999E-2</v>
      </c>
      <c r="E6" s="12">
        <v>0.78990000000000005</v>
      </c>
      <c r="F6" s="13">
        <v>9.74E-2</v>
      </c>
      <c r="G6" s="13">
        <v>2.18E-2</v>
      </c>
      <c r="H6" s="13">
        <v>5.7000000000000002E-3</v>
      </c>
      <c r="I6" s="13">
        <v>2.3999999999999998E-3</v>
      </c>
      <c r="J6" s="13">
        <v>1.4E-3</v>
      </c>
      <c r="K6" s="13">
        <v>5.9999999999999995E-4</v>
      </c>
      <c r="L6" s="13">
        <v>2.9999999999999997E-4</v>
      </c>
      <c r="M6" s="13">
        <v>0</v>
      </c>
      <c r="N6" s="13">
        <v>0</v>
      </c>
      <c r="O6" s="13">
        <v>2.9999999999999997E-4</v>
      </c>
      <c r="P6" s="13">
        <v>8.0000000000000004E-4</v>
      </c>
      <c r="Q6" s="13">
        <v>0</v>
      </c>
      <c r="R6" s="13">
        <v>0</v>
      </c>
      <c r="S6" s="13">
        <v>2.9999999999999997E-4</v>
      </c>
      <c r="T6" s="14">
        <v>4.0899999999999999E-2</v>
      </c>
    </row>
    <row r="7" spans="1:20">
      <c r="A7" s="15" t="s">
        <v>6</v>
      </c>
      <c r="B7" s="16">
        <v>0</v>
      </c>
      <c r="C7" s="17">
        <v>5.0000000000000001E-4</v>
      </c>
      <c r="D7" s="17">
        <v>4.1000000000000003E-3</v>
      </c>
      <c r="E7" s="17">
        <v>4.2299999999999997E-2</v>
      </c>
      <c r="F7" s="12">
        <v>0.79159999999999997</v>
      </c>
      <c r="G7" s="17">
        <v>8.5400000000000004E-2</v>
      </c>
      <c r="H7" s="17">
        <v>2.0400000000000001E-2</v>
      </c>
      <c r="I7" s="17">
        <v>5.7999999999999996E-3</v>
      </c>
      <c r="J7" s="17">
        <v>3.2000000000000002E-3</v>
      </c>
      <c r="K7" s="17">
        <v>8.0000000000000004E-4</v>
      </c>
      <c r="L7" s="17">
        <v>5.0000000000000001E-4</v>
      </c>
      <c r="M7" s="17">
        <v>8.0000000000000004E-4</v>
      </c>
      <c r="N7" s="17">
        <v>1E-4</v>
      </c>
      <c r="O7" s="17">
        <v>5.9999999999999995E-4</v>
      </c>
      <c r="P7" s="17">
        <v>2.9999999999999997E-4</v>
      </c>
      <c r="Q7" s="17">
        <v>0</v>
      </c>
      <c r="R7" s="17">
        <v>0</v>
      </c>
      <c r="S7" s="17">
        <v>5.0000000000000001E-4</v>
      </c>
      <c r="T7" s="18">
        <v>4.3099999999999999E-2</v>
      </c>
    </row>
    <row r="8" spans="1:20">
      <c r="A8" s="10" t="s">
        <v>7</v>
      </c>
      <c r="B8" s="11">
        <v>2.9999999999999997E-4</v>
      </c>
      <c r="C8" s="13">
        <v>4.0000000000000002E-4</v>
      </c>
      <c r="D8" s="13">
        <v>2.0999999999999999E-3</v>
      </c>
      <c r="E8" s="13">
        <v>3.8999999999999998E-3</v>
      </c>
      <c r="F8" s="13">
        <v>5.1900000000000002E-2</v>
      </c>
      <c r="G8" s="12">
        <v>0.79359999999999997</v>
      </c>
      <c r="H8" s="13">
        <v>6.6100000000000006E-2</v>
      </c>
      <c r="I8" s="13">
        <v>2.3199999999999998E-2</v>
      </c>
      <c r="J8" s="13">
        <v>8.0999999999999996E-3</v>
      </c>
      <c r="K8" s="13">
        <v>2.5000000000000001E-3</v>
      </c>
      <c r="L8" s="13">
        <v>8.9999999999999998E-4</v>
      </c>
      <c r="M8" s="13">
        <v>1E-3</v>
      </c>
      <c r="N8" s="13">
        <v>5.9999999999999995E-4</v>
      </c>
      <c r="O8" s="13">
        <v>8.0000000000000004E-4</v>
      </c>
      <c r="P8" s="13">
        <v>2.0000000000000001E-4</v>
      </c>
      <c r="Q8" s="13">
        <v>0</v>
      </c>
      <c r="R8" s="13">
        <v>1E-4</v>
      </c>
      <c r="S8" s="13">
        <v>5.0000000000000001E-4</v>
      </c>
      <c r="T8" s="14">
        <v>4.3999999999999997E-2</v>
      </c>
    </row>
    <row r="9" spans="1:20">
      <c r="A9" s="15" t="s">
        <v>8</v>
      </c>
      <c r="B9" s="16">
        <v>2.9999999999999997E-4</v>
      </c>
      <c r="C9" s="17">
        <v>1E-4</v>
      </c>
      <c r="D9" s="17">
        <v>5.0000000000000001E-4</v>
      </c>
      <c r="E9" s="17">
        <v>1.4E-3</v>
      </c>
      <c r="F9" s="17">
        <v>3.8E-3</v>
      </c>
      <c r="G9" s="17">
        <v>6.1400000000000003E-2</v>
      </c>
      <c r="H9" s="12">
        <v>0.78869999999999996</v>
      </c>
      <c r="I9" s="17">
        <v>7.2700000000000001E-2</v>
      </c>
      <c r="J9" s="17">
        <v>1.8499999999999999E-2</v>
      </c>
      <c r="K9" s="17">
        <v>5.3E-3</v>
      </c>
      <c r="L9" s="17">
        <v>1.1999999999999999E-3</v>
      </c>
      <c r="M9" s="17">
        <v>1.1999999999999999E-3</v>
      </c>
      <c r="N9" s="17">
        <v>1E-3</v>
      </c>
      <c r="O9" s="17">
        <v>1E-3</v>
      </c>
      <c r="P9" s="17">
        <v>2.9999999999999997E-4</v>
      </c>
      <c r="Q9" s="17">
        <v>1E-4</v>
      </c>
      <c r="R9" s="17">
        <v>2.9999999999999997E-4</v>
      </c>
      <c r="S9" s="17">
        <v>5.0000000000000001E-4</v>
      </c>
      <c r="T9" s="18">
        <v>4.1599999999999998E-2</v>
      </c>
    </row>
    <row r="10" spans="1:20">
      <c r="A10" s="10" t="s">
        <v>9</v>
      </c>
      <c r="B10" s="11">
        <v>0</v>
      </c>
      <c r="C10" s="13">
        <v>1E-4</v>
      </c>
      <c r="D10" s="13">
        <v>5.0000000000000001E-4</v>
      </c>
      <c r="E10" s="13">
        <v>5.9999999999999995E-4</v>
      </c>
      <c r="F10" s="13">
        <v>1.9E-3</v>
      </c>
      <c r="G10" s="13">
        <v>6.8999999999999999E-3</v>
      </c>
      <c r="H10" s="13">
        <v>6.7699999999999996E-2</v>
      </c>
      <c r="I10" s="12">
        <v>0.76649999999999996</v>
      </c>
      <c r="J10" s="13">
        <v>7.9799999999999996E-2</v>
      </c>
      <c r="K10" s="13">
        <v>1.4999999999999999E-2</v>
      </c>
      <c r="L10" s="13">
        <v>3.3999999999999998E-3</v>
      </c>
      <c r="M10" s="13">
        <v>2.5999999999999999E-3</v>
      </c>
      <c r="N10" s="13">
        <v>1.1999999999999999E-3</v>
      </c>
      <c r="O10" s="13">
        <v>1.4E-3</v>
      </c>
      <c r="P10" s="13">
        <v>8.9999999999999998E-4</v>
      </c>
      <c r="Q10" s="13">
        <v>2.0000000000000001E-4</v>
      </c>
      <c r="R10" s="13">
        <v>5.9999999999999995E-4</v>
      </c>
      <c r="S10" s="13">
        <v>8.9999999999999998E-4</v>
      </c>
      <c r="T10" s="14">
        <v>4.9799999999999997E-2</v>
      </c>
    </row>
    <row r="11" spans="1:20">
      <c r="A11" s="15" t="s">
        <v>10</v>
      </c>
      <c r="B11" s="16">
        <v>1E-4</v>
      </c>
      <c r="C11" s="17">
        <v>1E-4</v>
      </c>
      <c r="D11" s="17">
        <v>4.0000000000000002E-4</v>
      </c>
      <c r="E11" s="17">
        <v>2.0000000000000001E-4</v>
      </c>
      <c r="F11" s="17">
        <v>8.9999999999999998E-4</v>
      </c>
      <c r="G11" s="17">
        <v>2.8E-3</v>
      </c>
      <c r="H11" s="17">
        <v>9.4999999999999998E-3</v>
      </c>
      <c r="I11" s="17">
        <v>7.2599999999999998E-2</v>
      </c>
      <c r="J11" s="12">
        <v>0.76680000000000004</v>
      </c>
      <c r="K11" s="17">
        <v>6.2E-2</v>
      </c>
      <c r="L11" s="17">
        <v>1.2800000000000001E-2</v>
      </c>
      <c r="M11" s="17">
        <v>6.3E-3</v>
      </c>
      <c r="N11" s="17">
        <v>2.5999999999999999E-3</v>
      </c>
      <c r="O11" s="17">
        <v>2E-3</v>
      </c>
      <c r="P11" s="17">
        <v>1E-3</v>
      </c>
      <c r="Q11" s="17">
        <v>2.9999999999999997E-4</v>
      </c>
      <c r="R11" s="17">
        <v>5.0000000000000001E-4</v>
      </c>
      <c r="S11" s="17">
        <v>1.4E-3</v>
      </c>
      <c r="T11" s="18">
        <v>5.7700000000000001E-2</v>
      </c>
    </row>
    <row r="12" spans="1:20">
      <c r="A12" s="10" t="s">
        <v>11</v>
      </c>
      <c r="B12" s="11">
        <v>1E-4</v>
      </c>
      <c r="C12" s="13">
        <v>1E-4</v>
      </c>
      <c r="D12" s="13">
        <v>2.0000000000000001E-4</v>
      </c>
      <c r="E12" s="13">
        <v>4.0000000000000002E-4</v>
      </c>
      <c r="F12" s="13">
        <v>5.9999999999999995E-4</v>
      </c>
      <c r="G12" s="13">
        <v>1.2999999999999999E-3</v>
      </c>
      <c r="H12" s="13">
        <v>2.3E-3</v>
      </c>
      <c r="I12" s="13">
        <v>1.0800000000000001E-2</v>
      </c>
      <c r="J12" s="13">
        <v>9.0300000000000005E-2</v>
      </c>
      <c r="K12" s="12">
        <v>0.72870000000000001</v>
      </c>
      <c r="L12" s="13">
        <v>5.57E-2</v>
      </c>
      <c r="M12" s="13">
        <v>2.01E-2</v>
      </c>
      <c r="N12" s="13">
        <v>8.0999999999999996E-3</v>
      </c>
      <c r="O12" s="13">
        <v>3.5999999999999999E-3</v>
      </c>
      <c r="P12" s="13">
        <v>2.0999999999999999E-3</v>
      </c>
      <c r="Q12" s="13">
        <v>1.5E-3</v>
      </c>
      <c r="R12" s="13">
        <v>1.9E-3</v>
      </c>
      <c r="S12" s="13">
        <v>2.3E-3</v>
      </c>
      <c r="T12" s="14">
        <v>6.9900000000000004E-2</v>
      </c>
    </row>
    <row r="13" spans="1:20">
      <c r="A13" s="15" t="s">
        <v>12</v>
      </c>
      <c r="B13" s="16">
        <v>4.0000000000000002E-4</v>
      </c>
      <c r="C13" s="17">
        <v>0</v>
      </c>
      <c r="D13" s="17">
        <v>0</v>
      </c>
      <c r="E13" s="17">
        <v>2.9999999999999997E-4</v>
      </c>
      <c r="F13" s="17">
        <v>2.9999999999999997E-4</v>
      </c>
      <c r="G13" s="17">
        <v>8.0000000000000004E-4</v>
      </c>
      <c r="H13" s="17">
        <v>8.0000000000000004E-4</v>
      </c>
      <c r="I13" s="17">
        <v>3.7000000000000002E-3</v>
      </c>
      <c r="J13" s="17">
        <v>1.49E-2</v>
      </c>
      <c r="K13" s="17">
        <v>0.10780000000000001</v>
      </c>
      <c r="L13" s="12">
        <v>0.66100000000000003</v>
      </c>
      <c r="M13" s="17">
        <v>7.6999999999999999E-2</v>
      </c>
      <c r="N13" s="17">
        <v>2.5700000000000001E-2</v>
      </c>
      <c r="O13" s="17">
        <v>9.7000000000000003E-3</v>
      </c>
      <c r="P13" s="17">
        <v>5.1000000000000004E-3</v>
      </c>
      <c r="Q13" s="17">
        <v>2.2000000000000001E-3</v>
      </c>
      <c r="R13" s="17">
        <v>3.3E-3</v>
      </c>
      <c r="S13" s="17">
        <v>3.0999999999999999E-3</v>
      </c>
      <c r="T13" s="18">
        <v>8.4099999999999994E-2</v>
      </c>
    </row>
    <row r="14" spans="1:20">
      <c r="A14" s="10" t="s">
        <v>13</v>
      </c>
      <c r="B14" s="11">
        <v>0</v>
      </c>
      <c r="C14" s="13">
        <v>0</v>
      </c>
      <c r="D14" s="13">
        <v>2.9999999999999997E-4</v>
      </c>
      <c r="E14" s="13">
        <v>1E-4</v>
      </c>
      <c r="F14" s="13">
        <v>0</v>
      </c>
      <c r="G14" s="13">
        <v>5.0000000000000001E-4</v>
      </c>
      <c r="H14" s="13">
        <v>4.0000000000000002E-4</v>
      </c>
      <c r="I14" s="13">
        <v>1.5E-3</v>
      </c>
      <c r="J14" s="13">
        <v>5.5999999999999999E-3</v>
      </c>
      <c r="K14" s="13">
        <v>1.8700000000000001E-2</v>
      </c>
      <c r="L14" s="13">
        <v>9.5000000000000001E-2</v>
      </c>
      <c r="M14" s="12">
        <v>0.65339999999999998</v>
      </c>
      <c r="N14" s="13">
        <v>8.6499999999999994E-2</v>
      </c>
      <c r="O14" s="13">
        <v>2.3599999999999999E-2</v>
      </c>
      <c r="P14" s="13">
        <v>1.03E-2</v>
      </c>
      <c r="Q14" s="13">
        <v>3.5000000000000001E-3</v>
      </c>
      <c r="R14" s="13">
        <v>4.7999999999999996E-3</v>
      </c>
      <c r="S14" s="13">
        <v>4.5999999999999999E-3</v>
      </c>
      <c r="T14" s="14">
        <v>9.0999999999999998E-2</v>
      </c>
    </row>
    <row r="15" spans="1:20">
      <c r="A15" s="15" t="s">
        <v>14</v>
      </c>
      <c r="B15" s="16">
        <v>0</v>
      </c>
      <c r="C15" s="17">
        <v>0</v>
      </c>
      <c r="D15" s="17">
        <v>0</v>
      </c>
      <c r="E15" s="17">
        <v>1E-4</v>
      </c>
      <c r="F15" s="17">
        <v>1E-4</v>
      </c>
      <c r="G15" s="17">
        <v>1E-4</v>
      </c>
      <c r="H15" s="17">
        <v>4.0000000000000002E-4</v>
      </c>
      <c r="I15" s="17">
        <v>8.9999999999999998E-4</v>
      </c>
      <c r="J15" s="17">
        <v>2.2000000000000001E-3</v>
      </c>
      <c r="K15" s="17">
        <v>3.2000000000000002E-3</v>
      </c>
      <c r="L15" s="17">
        <v>1.61E-2</v>
      </c>
      <c r="M15" s="17">
        <v>9.4E-2</v>
      </c>
      <c r="N15" s="12">
        <v>0.63890000000000002</v>
      </c>
      <c r="O15" s="17">
        <v>8.5999999999999993E-2</v>
      </c>
      <c r="P15" s="17">
        <v>3.0099999999999998E-2</v>
      </c>
      <c r="Q15" s="17">
        <v>7.9000000000000008E-3</v>
      </c>
      <c r="R15" s="17">
        <v>7.1000000000000004E-3</v>
      </c>
      <c r="S15" s="17">
        <v>9.1999999999999998E-3</v>
      </c>
      <c r="T15" s="18">
        <v>0.1037</v>
      </c>
    </row>
    <row r="16" spans="1:20">
      <c r="A16" s="10" t="s">
        <v>15</v>
      </c>
      <c r="B16" s="11">
        <v>0</v>
      </c>
      <c r="C16" s="13">
        <v>1E-4</v>
      </c>
      <c r="D16" s="13">
        <v>0</v>
      </c>
      <c r="E16" s="13">
        <v>2.9999999999999997E-4</v>
      </c>
      <c r="F16" s="13">
        <v>0</v>
      </c>
      <c r="G16" s="13">
        <v>2.9999999999999997E-4</v>
      </c>
      <c r="H16" s="13">
        <v>5.9999999999999995E-4</v>
      </c>
      <c r="I16" s="13">
        <v>4.0000000000000002E-4</v>
      </c>
      <c r="J16" s="13">
        <v>5.0000000000000001E-4</v>
      </c>
      <c r="K16" s="13">
        <v>1E-3</v>
      </c>
      <c r="L16" s="13">
        <v>2.8999999999999998E-3</v>
      </c>
      <c r="M16" s="13">
        <v>1.38E-2</v>
      </c>
      <c r="N16" s="13">
        <v>8.2299999999999998E-2</v>
      </c>
      <c r="O16" s="12">
        <v>0.62529999999999997</v>
      </c>
      <c r="P16" s="13">
        <v>9.4700000000000006E-2</v>
      </c>
      <c r="Q16" s="13">
        <v>2.58E-2</v>
      </c>
      <c r="R16" s="13">
        <v>1.78E-2</v>
      </c>
      <c r="S16" s="13">
        <v>1.9400000000000001E-2</v>
      </c>
      <c r="T16" s="14">
        <v>0.1147</v>
      </c>
    </row>
    <row r="17" spans="1:20">
      <c r="A17" s="15" t="s">
        <v>16</v>
      </c>
      <c r="B17" s="16">
        <v>0</v>
      </c>
      <c r="C17" s="17">
        <v>0</v>
      </c>
      <c r="D17" s="17">
        <v>1E-4</v>
      </c>
      <c r="E17" s="17">
        <v>1E-4</v>
      </c>
      <c r="F17" s="17">
        <v>0</v>
      </c>
      <c r="G17" s="17">
        <v>2.9999999999999997E-4</v>
      </c>
      <c r="H17" s="17">
        <v>2.9999999999999997E-4</v>
      </c>
      <c r="I17" s="17">
        <v>1E-4</v>
      </c>
      <c r="J17" s="17">
        <v>5.0000000000000001E-4</v>
      </c>
      <c r="K17" s="17">
        <v>2.9999999999999997E-4</v>
      </c>
      <c r="L17" s="17">
        <v>8.9999999999999998E-4</v>
      </c>
      <c r="M17" s="17">
        <v>2E-3</v>
      </c>
      <c r="N17" s="17">
        <v>1.0500000000000001E-2</v>
      </c>
      <c r="O17" s="17">
        <v>7.2599999999999998E-2</v>
      </c>
      <c r="P17" s="12">
        <v>0.61599999999999999</v>
      </c>
      <c r="Q17" s="17">
        <v>0.10009999999999999</v>
      </c>
      <c r="R17" s="17">
        <v>3.9600000000000003E-2</v>
      </c>
      <c r="S17" s="17">
        <v>2.9899999999999999E-2</v>
      </c>
      <c r="T17" s="18">
        <v>0.12659999999999999</v>
      </c>
    </row>
    <row r="18" spans="1:20">
      <c r="A18" s="10" t="s">
        <v>17</v>
      </c>
      <c r="B18" s="11">
        <v>0</v>
      </c>
      <c r="C18" s="13">
        <v>0</v>
      </c>
      <c r="D18" s="13">
        <v>0</v>
      </c>
      <c r="E18" s="13">
        <v>0</v>
      </c>
      <c r="F18" s="13">
        <v>1E-4</v>
      </c>
      <c r="G18" s="13">
        <v>2.9999999999999997E-4</v>
      </c>
      <c r="H18" s="13">
        <v>0</v>
      </c>
      <c r="I18" s="13">
        <v>5.0000000000000001E-4</v>
      </c>
      <c r="J18" s="13">
        <v>5.0000000000000001E-4</v>
      </c>
      <c r="K18" s="13">
        <v>8.0000000000000004E-4</v>
      </c>
      <c r="L18" s="13">
        <v>6.9999999999999999E-4</v>
      </c>
      <c r="M18" s="13">
        <v>1.6000000000000001E-3</v>
      </c>
      <c r="N18" s="13">
        <v>3.8E-3</v>
      </c>
      <c r="O18" s="13">
        <v>2.0199999999999999E-2</v>
      </c>
      <c r="P18" s="13">
        <v>9.6500000000000002E-2</v>
      </c>
      <c r="Q18" s="12">
        <v>0.55279999999999996</v>
      </c>
      <c r="R18" s="13">
        <v>0.1215</v>
      </c>
      <c r="S18" s="13">
        <v>5.8900000000000001E-2</v>
      </c>
      <c r="T18" s="14">
        <v>0.14169999999999999</v>
      </c>
    </row>
    <row r="19" spans="1:20" ht="16" thickBot="1">
      <c r="A19" s="19" t="s">
        <v>21</v>
      </c>
      <c r="B19" s="20">
        <v>0</v>
      </c>
      <c r="C19" s="21">
        <v>0</v>
      </c>
      <c r="D19" s="21">
        <v>0</v>
      </c>
      <c r="E19" s="21">
        <v>0</v>
      </c>
      <c r="F19" s="21">
        <v>2.0000000000000001E-4</v>
      </c>
      <c r="G19" s="21">
        <v>0</v>
      </c>
      <c r="H19" s="21">
        <v>6.9999999999999999E-4</v>
      </c>
      <c r="I19" s="21">
        <v>4.0000000000000002E-4</v>
      </c>
      <c r="J19" s="21">
        <v>6.9999999999999999E-4</v>
      </c>
      <c r="K19" s="21">
        <v>4.0000000000000002E-4</v>
      </c>
      <c r="L19" s="21">
        <v>2.0000000000000001E-4</v>
      </c>
      <c r="M19" s="21">
        <v>1.2999999999999999E-3</v>
      </c>
      <c r="N19" s="21">
        <v>3.3999999999999998E-3</v>
      </c>
      <c r="O19" s="21">
        <v>8.5000000000000006E-3</v>
      </c>
      <c r="P19" s="21">
        <v>2.53E-2</v>
      </c>
      <c r="Q19" s="21">
        <v>0.1004</v>
      </c>
      <c r="R19" s="22">
        <v>0.43909999999999999</v>
      </c>
      <c r="S19" s="21">
        <v>0.26550000000000001</v>
      </c>
      <c r="T19" s="23">
        <v>0.15390000000000001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7D0E-1373-4A11-8546-8DE672CFFC5E}">
  <dimension ref="A1:DF102"/>
  <sheetViews>
    <sheetView showGridLines="0" tabSelected="1" topLeftCell="AC48" zoomScale="227" zoomScaleNormal="80" workbookViewId="0">
      <selection activeCell="AK56" sqref="AK56"/>
    </sheetView>
  </sheetViews>
  <sheetFormatPr baseColWidth="10" defaultColWidth="10.6640625" defaultRowHeight="15"/>
  <cols>
    <col min="1" max="1" width="15.1640625" customWidth="1"/>
    <col min="22" max="22" width="11.1640625" bestFit="1" customWidth="1"/>
  </cols>
  <sheetData>
    <row r="1" spans="1:22" ht="16" thickBot="1"/>
    <row r="2" spans="1:22">
      <c r="A2" s="24" t="s">
        <v>22</v>
      </c>
      <c r="B2" s="25" t="s">
        <v>5</v>
      </c>
    </row>
    <row r="3" spans="1:22" ht="16" thickBot="1">
      <c r="A3" s="80" t="s">
        <v>23</v>
      </c>
      <c r="B3" s="81" t="s">
        <v>7</v>
      </c>
    </row>
    <row r="5" spans="1:2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</row>
    <row r="6" spans="1:22">
      <c r="A6" t="s">
        <v>2</v>
      </c>
      <c r="B6" s="26">
        <f>Hoja1!B3</f>
        <v>0.87090000000000001</v>
      </c>
      <c r="C6" s="26">
        <f>Hoja1!C3</f>
        <v>5.8599999999999999E-2</v>
      </c>
      <c r="D6" s="26">
        <f>Hoja1!D3</f>
        <v>2.5000000000000001E-2</v>
      </c>
      <c r="E6" s="26">
        <f>Hoja1!E3</f>
        <v>6.7999999999999996E-3</v>
      </c>
      <c r="F6" s="26">
        <f>Hoja1!F3</f>
        <v>1.6000000000000001E-3</v>
      </c>
      <c r="G6" s="26">
        <f>Hoja1!G3</f>
        <v>2.3999999999999998E-3</v>
      </c>
      <c r="H6" s="26">
        <f>Hoja1!H3</f>
        <v>1.2999999999999999E-3</v>
      </c>
      <c r="I6" s="26">
        <f>Hoja1!I3</f>
        <v>0</v>
      </c>
      <c r="J6" s="26">
        <f>Hoja1!J3</f>
        <v>5.0000000000000001E-4</v>
      </c>
      <c r="K6" s="26">
        <f>Hoja1!K3</f>
        <v>0</v>
      </c>
      <c r="L6" s="26">
        <f>Hoja1!L3</f>
        <v>2.9999999999999997E-4</v>
      </c>
      <c r="M6" s="26">
        <f>Hoja1!M3</f>
        <v>5.0000000000000001E-4</v>
      </c>
      <c r="N6" s="26">
        <f>Hoja1!N3</f>
        <v>2.9999999999999997E-4</v>
      </c>
      <c r="O6" s="26">
        <f>Hoja1!O3</f>
        <v>0</v>
      </c>
      <c r="P6" s="26">
        <f>Hoja1!P3</f>
        <v>2.9999999999999997E-4</v>
      </c>
      <c r="Q6" s="26">
        <f>Hoja1!Q3</f>
        <v>0</v>
      </c>
      <c r="R6" s="26">
        <f>Hoja1!R3</f>
        <v>5.0000000000000001E-4</v>
      </c>
      <c r="S6" s="26">
        <f>Hoja1!S3</f>
        <v>0</v>
      </c>
      <c r="T6" s="26">
        <f>Hoja1!T3</f>
        <v>3.1E-2</v>
      </c>
    </row>
    <row r="7" spans="1:22">
      <c r="A7" t="s">
        <v>3</v>
      </c>
      <c r="B7" s="26">
        <f>Hoja1!B4</f>
        <v>2.2100000000000002E-2</v>
      </c>
      <c r="C7" s="26">
        <f>Hoja1!C4</f>
        <v>0.79679999999999995</v>
      </c>
      <c r="D7" s="26">
        <f>Hoja1!D4</f>
        <v>0.10589999999999999</v>
      </c>
      <c r="E7" s="26">
        <f>Hoja1!E4</f>
        <v>3.3799999999999997E-2</v>
      </c>
      <c r="F7" s="26">
        <f>Hoja1!F4</f>
        <v>6.7999999999999996E-3</v>
      </c>
      <c r="G7" s="26">
        <f>Hoja1!G4</f>
        <v>3.2000000000000002E-3</v>
      </c>
      <c r="H7" s="26">
        <f>Hoja1!H4</f>
        <v>1.8E-3</v>
      </c>
      <c r="I7" s="26">
        <f>Hoja1!I4</f>
        <v>5.0000000000000001E-4</v>
      </c>
      <c r="J7" s="26">
        <f>Hoja1!J4</f>
        <v>8.9999999999999998E-4</v>
      </c>
      <c r="K7" s="26">
        <f>Hoja1!K4</f>
        <v>5.0000000000000001E-4</v>
      </c>
      <c r="L7" s="26">
        <f>Hoja1!L4</f>
        <v>0</v>
      </c>
      <c r="M7" s="26">
        <f>Hoja1!M4</f>
        <v>0</v>
      </c>
      <c r="N7" s="26">
        <f>Hoja1!N4</f>
        <v>0</v>
      </c>
      <c r="O7" s="26">
        <f>Hoja1!O4</f>
        <v>0</v>
      </c>
      <c r="P7" s="26">
        <f>Hoja1!P4</f>
        <v>0</v>
      </c>
      <c r="Q7" s="26">
        <f>Hoja1!Q4</f>
        <v>0</v>
      </c>
      <c r="R7" s="26">
        <f>Hoja1!R4</f>
        <v>0</v>
      </c>
      <c r="S7" s="26">
        <f>Hoja1!S4</f>
        <v>0</v>
      </c>
      <c r="T7" s="26">
        <f>Hoja1!T4</f>
        <v>2.7900000000000001E-2</v>
      </c>
    </row>
    <row r="8" spans="1:22">
      <c r="A8" t="s">
        <v>4</v>
      </c>
      <c r="B8" s="26">
        <f>Hoja1!B5</f>
        <v>4.1000000000000003E-3</v>
      </c>
      <c r="C8" s="26">
        <f>Hoja1!C5</f>
        <v>1.3100000000000001E-2</v>
      </c>
      <c r="D8" s="26">
        <f>Hoja1!D5</f>
        <v>0.80989999999999995</v>
      </c>
      <c r="E8" s="26">
        <f>Hoja1!E5</f>
        <v>8.4199999999999997E-2</v>
      </c>
      <c r="F8" s="26">
        <f>Hoja1!F5</f>
        <v>2.63E-2</v>
      </c>
      <c r="G8" s="26">
        <f>Hoja1!G5</f>
        <v>1.12E-2</v>
      </c>
      <c r="H8" s="26">
        <f>Hoja1!H5</f>
        <v>3.5000000000000001E-3</v>
      </c>
      <c r="I8" s="26">
        <f>Hoja1!I5</f>
        <v>3.8E-3</v>
      </c>
      <c r="J8" s="26">
        <f>Hoja1!J5</f>
        <v>1.2999999999999999E-3</v>
      </c>
      <c r="K8" s="26">
        <f>Hoja1!K5</f>
        <v>8.0000000000000004E-4</v>
      </c>
      <c r="L8" s="26">
        <f>Hoja1!L5</f>
        <v>5.0000000000000001E-4</v>
      </c>
      <c r="M8" s="26">
        <f>Hoja1!M5</f>
        <v>2.9999999999999997E-4</v>
      </c>
      <c r="N8" s="26">
        <f>Hoja1!N5</f>
        <v>2.0000000000000001E-4</v>
      </c>
      <c r="O8" s="26">
        <f>Hoja1!O5</f>
        <v>2.0000000000000001E-4</v>
      </c>
      <c r="P8" s="26">
        <f>Hoja1!P5</f>
        <v>0</v>
      </c>
      <c r="Q8" s="26">
        <f>Hoja1!Q5</f>
        <v>2.0000000000000001E-4</v>
      </c>
      <c r="R8" s="26">
        <f>Hoja1!R5</f>
        <v>5.0000000000000001E-4</v>
      </c>
      <c r="S8" s="26">
        <f>Hoja1!S5</f>
        <v>2.0000000000000001E-4</v>
      </c>
      <c r="T8" s="26">
        <f>Hoja1!T5</f>
        <v>3.9899999999999998E-2</v>
      </c>
    </row>
    <row r="9" spans="1:22">
      <c r="A9" t="s">
        <v>5</v>
      </c>
      <c r="B9" s="26">
        <f>Hoja1!B6</f>
        <v>4.0000000000000002E-4</v>
      </c>
      <c r="C9" s="26">
        <f>Hoja1!C6</f>
        <v>1E-3</v>
      </c>
      <c r="D9" s="26">
        <f>Hoja1!D6</f>
        <v>3.6799999999999999E-2</v>
      </c>
      <c r="E9" s="26">
        <f>Hoja1!E6</f>
        <v>0.78990000000000005</v>
      </c>
      <c r="F9" s="26">
        <f>Hoja1!F6</f>
        <v>9.74E-2</v>
      </c>
      <c r="G9" s="26">
        <f>Hoja1!G6</f>
        <v>2.18E-2</v>
      </c>
      <c r="H9" s="26">
        <f>Hoja1!H6</f>
        <v>5.7000000000000002E-3</v>
      </c>
      <c r="I9" s="26">
        <f>Hoja1!I6</f>
        <v>2.3999999999999998E-3</v>
      </c>
      <c r="J9" s="26">
        <f>Hoja1!J6</f>
        <v>1.4E-3</v>
      </c>
      <c r="K9" s="26">
        <f>Hoja1!K6</f>
        <v>5.9999999999999995E-4</v>
      </c>
      <c r="L9" s="26">
        <f>Hoja1!L6</f>
        <v>2.9999999999999997E-4</v>
      </c>
      <c r="M9" s="26">
        <f>Hoja1!M6</f>
        <v>0</v>
      </c>
      <c r="N9" s="26">
        <f>Hoja1!N6</f>
        <v>0</v>
      </c>
      <c r="O9" s="26">
        <f>Hoja1!O6</f>
        <v>2.9999999999999997E-4</v>
      </c>
      <c r="P9" s="26">
        <f>Hoja1!P6</f>
        <v>8.0000000000000004E-4</v>
      </c>
      <c r="Q9" s="26">
        <f>Hoja1!Q6</f>
        <v>0</v>
      </c>
      <c r="R9" s="26">
        <f>Hoja1!R6</f>
        <v>0</v>
      </c>
      <c r="S9" s="26">
        <f>Hoja1!S6</f>
        <v>2.9999999999999997E-4</v>
      </c>
      <c r="T9" s="26">
        <f>Hoja1!T6</f>
        <v>4.0899999999999999E-2</v>
      </c>
    </row>
    <row r="10" spans="1:22">
      <c r="A10" t="s">
        <v>6</v>
      </c>
      <c r="B10" s="26">
        <f>Hoja1!B7</f>
        <v>0</v>
      </c>
      <c r="C10" s="26">
        <f>Hoja1!C7</f>
        <v>5.0000000000000001E-4</v>
      </c>
      <c r="D10" s="26">
        <f>Hoja1!D7</f>
        <v>4.1000000000000003E-3</v>
      </c>
      <c r="E10" s="26">
        <f>Hoja1!E7</f>
        <v>4.2299999999999997E-2</v>
      </c>
      <c r="F10" s="26">
        <f>Hoja1!F7</f>
        <v>0.79159999999999997</v>
      </c>
      <c r="G10" s="26">
        <f>Hoja1!G7</f>
        <v>8.5400000000000004E-2</v>
      </c>
      <c r="H10" s="26">
        <f>Hoja1!H7</f>
        <v>2.0400000000000001E-2</v>
      </c>
      <c r="I10" s="26">
        <f>Hoja1!I7</f>
        <v>5.7999999999999996E-3</v>
      </c>
      <c r="J10" s="26">
        <f>Hoja1!J7</f>
        <v>3.2000000000000002E-3</v>
      </c>
      <c r="K10" s="26">
        <f>Hoja1!K7</f>
        <v>8.0000000000000004E-4</v>
      </c>
      <c r="L10" s="26">
        <f>Hoja1!L7</f>
        <v>5.0000000000000001E-4</v>
      </c>
      <c r="M10" s="26">
        <f>Hoja1!M7</f>
        <v>8.0000000000000004E-4</v>
      </c>
      <c r="N10" s="26">
        <f>Hoja1!N7</f>
        <v>1E-4</v>
      </c>
      <c r="O10" s="26">
        <f>Hoja1!O7</f>
        <v>5.9999999999999995E-4</v>
      </c>
      <c r="P10" s="26">
        <f>Hoja1!P7</f>
        <v>2.9999999999999997E-4</v>
      </c>
      <c r="Q10" s="26">
        <f>Hoja1!Q7</f>
        <v>0</v>
      </c>
      <c r="R10" s="26">
        <f>Hoja1!R7</f>
        <v>0</v>
      </c>
      <c r="S10" s="26">
        <f>Hoja1!S7</f>
        <v>5.0000000000000001E-4</v>
      </c>
      <c r="T10" s="26">
        <f>Hoja1!T7</f>
        <v>4.3099999999999999E-2</v>
      </c>
    </row>
    <row r="11" spans="1:22">
      <c r="A11" t="s">
        <v>7</v>
      </c>
      <c r="B11" s="26">
        <f>Hoja1!B8</f>
        <v>2.9999999999999997E-4</v>
      </c>
      <c r="C11" s="26">
        <f>Hoja1!C8</f>
        <v>4.0000000000000002E-4</v>
      </c>
      <c r="D11" s="26">
        <f>Hoja1!D8</f>
        <v>2.0999999999999999E-3</v>
      </c>
      <c r="E11" s="26">
        <f>Hoja1!E8</f>
        <v>3.8999999999999998E-3</v>
      </c>
      <c r="F11" s="26">
        <f>Hoja1!F8</f>
        <v>5.1900000000000002E-2</v>
      </c>
      <c r="G11" s="26">
        <f>Hoja1!G8</f>
        <v>0.79359999999999997</v>
      </c>
      <c r="H11" s="26">
        <f>Hoja1!H8</f>
        <v>6.6100000000000006E-2</v>
      </c>
      <c r="I11" s="26">
        <f>Hoja1!I8</f>
        <v>2.3199999999999998E-2</v>
      </c>
      <c r="J11" s="26">
        <f>Hoja1!J8</f>
        <v>8.0999999999999996E-3</v>
      </c>
      <c r="K11" s="26">
        <f>Hoja1!K8</f>
        <v>2.5000000000000001E-3</v>
      </c>
      <c r="L11" s="26">
        <f>Hoja1!L8</f>
        <v>8.9999999999999998E-4</v>
      </c>
      <c r="M11" s="26">
        <f>Hoja1!M8</f>
        <v>1E-3</v>
      </c>
      <c r="N11" s="26">
        <f>Hoja1!N8</f>
        <v>5.9999999999999995E-4</v>
      </c>
      <c r="O11" s="26">
        <f>Hoja1!O8</f>
        <v>8.0000000000000004E-4</v>
      </c>
      <c r="P11" s="26">
        <f>Hoja1!P8</f>
        <v>2.0000000000000001E-4</v>
      </c>
      <c r="Q11" s="26">
        <f>Hoja1!Q8</f>
        <v>0</v>
      </c>
      <c r="R11" s="26">
        <f>Hoja1!R8</f>
        <v>1E-4</v>
      </c>
      <c r="S11" s="26">
        <f>Hoja1!S8</f>
        <v>5.0000000000000001E-4</v>
      </c>
      <c r="T11" s="26">
        <f>Hoja1!T8</f>
        <v>4.3999999999999997E-2</v>
      </c>
    </row>
    <row r="12" spans="1:22">
      <c r="A12" s="157" t="s">
        <v>8</v>
      </c>
      <c r="B12" s="158">
        <f>Hoja1!B9</f>
        <v>2.9999999999999997E-4</v>
      </c>
      <c r="C12" s="158">
        <f>Hoja1!C9</f>
        <v>1E-4</v>
      </c>
      <c r="D12" s="158">
        <f>Hoja1!D9</f>
        <v>5.0000000000000001E-4</v>
      </c>
      <c r="E12" s="158">
        <f>Hoja1!E9</f>
        <v>1.4E-3</v>
      </c>
      <c r="F12" s="158">
        <f>Hoja1!F9</f>
        <v>3.8E-3</v>
      </c>
      <c r="G12" s="158">
        <f>Hoja1!G9</f>
        <v>6.1400000000000003E-2</v>
      </c>
      <c r="H12" s="158">
        <f>Hoja1!H9</f>
        <v>0.78869999999999996</v>
      </c>
      <c r="I12" s="158">
        <f>Hoja1!I9</f>
        <v>7.2700000000000001E-2</v>
      </c>
      <c r="J12" s="158">
        <f>Hoja1!J9</f>
        <v>1.8499999999999999E-2</v>
      </c>
      <c r="K12" s="158">
        <f>Hoja1!K9</f>
        <v>5.3E-3</v>
      </c>
      <c r="L12" s="158">
        <f>Hoja1!L9</f>
        <v>1.1999999999999999E-3</v>
      </c>
      <c r="M12" s="158">
        <f>Hoja1!M9</f>
        <v>1.1999999999999999E-3</v>
      </c>
      <c r="N12" s="158">
        <f>Hoja1!N9</f>
        <v>1E-3</v>
      </c>
      <c r="O12" s="158">
        <f>Hoja1!O9</f>
        <v>1E-3</v>
      </c>
      <c r="P12" s="158">
        <f>Hoja1!P9</f>
        <v>2.9999999999999997E-4</v>
      </c>
      <c r="Q12" s="158">
        <f>Hoja1!Q9</f>
        <v>1E-4</v>
      </c>
      <c r="R12" s="158">
        <f>Hoja1!R9</f>
        <v>2.9999999999999997E-4</v>
      </c>
      <c r="S12" s="158">
        <f>Hoja1!S9</f>
        <v>5.0000000000000001E-4</v>
      </c>
      <c r="T12" s="158">
        <f>Hoja1!T9</f>
        <v>4.1599999999999998E-2</v>
      </c>
      <c r="V12" t="s">
        <v>1550</v>
      </c>
    </row>
    <row r="13" spans="1:22">
      <c r="A13" t="s">
        <v>9</v>
      </c>
      <c r="B13" s="26">
        <f>Hoja1!B10</f>
        <v>0</v>
      </c>
      <c r="C13" s="26">
        <f>Hoja1!C10</f>
        <v>1E-4</v>
      </c>
      <c r="D13" s="26">
        <f>Hoja1!D10</f>
        <v>5.0000000000000001E-4</v>
      </c>
      <c r="E13" s="26">
        <f>Hoja1!E10</f>
        <v>5.9999999999999995E-4</v>
      </c>
      <c r="F13" s="26">
        <f>Hoja1!F10</f>
        <v>1.9E-3</v>
      </c>
      <c r="G13" s="26">
        <f>Hoja1!G10</f>
        <v>6.8999999999999999E-3</v>
      </c>
      <c r="H13" s="26">
        <f>Hoja1!H10</f>
        <v>6.7699999999999996E-2</v>
      </c>
      <c r="I13" s="26">
        <f>Hoja1!I10</f>
        <v>0.76649999999999996</v>
      </c>
      <c r="J13" s="26">
        <f>Hoja1!J10</f>
        <v>7.9799999999999996E-2</v>
      </c>
      <c r="K13" s="26">
        <f>Hoja1!K10</f>
        <v>1.4999999999999999E-2</v>
      </c>
      <c r="L13" s="26">
        <f>Hoja1!L10</f>
        <v>3.3999999999999998E-3</v>
      </c>
      <c r="M13" s="26">
        <f>Hoja1!M10</f>
        <v>2.5999999999999999E-3</v>
      </c>
      <c r="N13" s="26">
        <f>Hoja1!N10</f>
        <v>1.1999999999999999E-3</v>
      </c>
      <c r="O13" s="26">
        <f>Hoja1!O10</f>
        <v>1.4E-3</v>
      </c>
      <c r="P13" s="26">
        <f>Hoja1!P10</f>
        <v>8.9999999999999998E-4</v>
      </c>
      <c r="Q13" s="26">
        <f>Hoja1!Q10</f>
        <v>2.0000000000000001E-4</v>
      </c>
      <c r="R13" s="26">
        <f>Hoja1!R10</f>
        <v>5.9999999999999995E-4</v>
      </c>
      <c r="S13" s="26">
        <f>Hoja1!S10</f>
        <v>8.9999999999999998E-4</v>
      </c>
      <c r="T13" s="26">
        <f>Hoja1!T10</f>
        <v>4.9799999999999997E-2</v>
      </c>
    </row>
    <row r="14" spans="1:22">
      <c r="A14" t="s">
        <v>10</v>
      </c>
      <c r="B14" s="26">
        <f>Hoja1!B11</f>
        <v>1E-4</v>
      </c>
      <c r="C14" s="26">
        <f>Hoja1!C11</f>
        <v>1E-4</v>
      </c>
      <c r="D14" s="26">
        <f>Hoja1!D11</f>
        <v>4.0000000000000002E-4</v>
      </c>
      <c r="E14" s="26">
        <f>Hoja1!E11</f>
        <v>2.0000000000000001E-4</v>
      </c>
      <c r="F14" s="26">
        <f>Hoja1!F11</f>
        <v>8.9999999999999998E-4</v>
      </c>
      <c r="G14" s="26">
        <f>Hoja1!G11</f>
        <v>2.8E-3</v>
      </c>
      <c r="H14" s="26">
        <f>Hoja1!H11</f>
        <v>9.4999999999999998E-3</v>
      </c>
      <c r="I14" s="26">
        <f>Hoja1!I11</f>
        <v>7.2599999999999998E-2</v>
      </c>
      <c r="J14" s="26">
        <f>Hoja1!J11</f>
        <v>0.76680000000000004</v>
      </c>
      <c r="K14" s="26">
        <f>Hoja1!K11</f>
        <v>6.2E-2</v>
      </c>
      <c r="L14" s="26">
        <f>Hoja1!L11</f>
        <v>1.2800000000000001E-2</v>
      </c>
      <c r="M14" s="26">
        <f>Hoja1!M11</f>
        <v>6.3E-3</v>
      </c>
      <c r="N14" s="26">
        <f>Hoja1!N11</f>
        <v>2.5999999999999999E-3</v>
      </c>
      <c r="O14" s="26">
        <f>Hoja1!O11</f>
        <v>2E-3</v>
      </c>
      <c r="P14" s="26">
        <f>Hoja1!P11</f>
        <v>1E-3</v>
      </c>
      <c r="Q14" s="26">
        <f>Hoja1!Q11</f>
        <v>2.9999999999999997E-4</v>
      </c>
      <c r="R14" s="26">
        <f>Hoja1!R11</f>
        <v>5.0000000000000001E-4</v>
      </c>
      <c r="S14" s="26">
        <f>Hoja1!S11</f>
        <v>1.4E-3</v>
      </c>
      <c r="T14" s="26">
        <f>Hoja1!T11</f>
        <v>5.7700000000000001E-2</v>
      </c>
    </row>
    <row r="15" spans="1:22">
      <c r="A15" s="157" t="s">
        <v>11</v>
      </c>
      <c r="B15" s="158">
        <f>Hoja1!B12</f>
        <v>1E-4</v>
      </c>
      <c r="C15" s="158">
        <f>Hoja1!C12</f>
        <v>1E-4</v>
      </c>
      <c r="D15" s="158">
        <f>Hoja1!D12</f>
        <v>2.0000000000000001E-4</v>
      </c>
      <c r="E15" s="158">
        <f>Hoja1!E12</f>
        <v>4.0000000000000002E-4</v>
      </c>
      <c r="F15" s="158">
        <f>Hoja1!F12</f>
        <v>5.9999999999999995E-4</v>
      </c>
      <c r="G15" s="158">
        <f>Hoja1!G12</f>
        <v>1.2999999999999999E-3</v>
      </c>
      <c r="H15" s="158">
        <f>Hoja1!H12</f>
        <v>2.3E-3</v>
      </c>
      <c r="I15" s="158">
        <f>Hoja1!I12</f>
        <v>1.0800000000000001E-2</v>
      </c>
      <c r="J15" s="158">
        <f>Hoja1!J12</f>
        <v>9.0300000000000005E-2</v>
      </c>
      <c r="K15" s="158">
        <f>Hoja1!K12</f>
        <v>0.72870000000000001</v>
      </c>
      <c r="L15" s="158">
        <f>Hoja1!L12</f>
        <v>5.57E-2</v>
      </c>
      <c r="M15" s="158">
        <f>Hoja1!M12</f>
        <v>2.01E-2</v>
      </c>
      <c r="N15" s="158">
        <f>Hoja1!N12</f>
        <v>8.0999999999999996E-3</v>
      </c>
      <c r="O15" s="158">
        <f>Hoja1!O12</f>
        <v>3.5999999999999999E-3</v>
      </c>
      <c r="P15" s="158">
        <f>Hoja1!P12</f>
        <v>2.0999999999999999E-3</v>
      </c>
      <c r="Q15" s="158">
        <f>Hoja1!Q12</f>
        <v>1.5E-3</v>
      </c>
      <c r="R15" s="158">
        <f>Hoja1!R12</f>
        <v>1.9E-3</v>
      </c>
      <c r="S15" s="158">
        <f>Hoja1!S12</f>
        <v>2.3E-3</v>
      </c>
      <c r="T15" s="158">
        <f>Hoja1!T12</f>
        <v>6.9900000000000004E-2</v>
      </c>
    </row>
    <row r="16" spans="1:22">
      <c r="A16" t="s">
        <v>12</v>
      </c>
      <c r="B16" s="26">
        <f>Hoja1!B13</f>
        <v>4.0000000000000002E-4</v>
      </c>
      <c r="C16" s="26">
        <f>Hoja1!C13</f>
        <v>0</v>
      </c>
      <c r="D16" s="26">
        <f>Hoja1!D13</f>
        <v>0</v>
      </c>
      <c r="E16" s="26">
        <f>Hoja1!E13</f>
        <v>2.9999999999999997E-4</v>
      </c>
      <c r="F16" s="26">
        <f>Hoja1!F13</f>
        <v>2.9999999999999997E-4</v>
      </c>
      <c r="G16" s="26">
        <f>Hoja1!G13</f>
        <v>8.0000000000000004E-4</v>
      </c>
      <c r="H16" s="26">
        <f>Hoja1!H13</f>
        <v>8.0000000000000004E-4</v>
      </c>
      <c r="I16" s="26">
        <f>Hoja1!I13</f>
        <v>3.7000000000000002E-3</v>
      </c>
      <c r="J16" s="26">
        <f>Hoja1!J13</f>
        <v>1.49E-2</v>
      </c>
      <c r="K16" s="26">
        <f>Hoja1!K13</f>
        <v>0.10780000000000001</v>
      </c>
      <c r="L16" s="26">
        <f>Hoja1!L13</f>
        <v>0.66100000000000003</v>
      </c>
      <c r="M16" s="26">
        <f>Hoja1!M13</f>
        <v>7.6999999999999999E-2</v>
      </c>
      <c r="N16" s="26">
        <f>Hoja1!N13</f>
        <v>2.5700000000000001E-2</v>
      </c>
      <c r="O16" s="26">
        <f>Hoja1!O13</f>
        <v>9.7000000000000003E-3</v>
      </c>
      <c r="P16" s="26">
        <f>Hoja1!P13</f>
        <v>5.1000000000000004E-3</v>
      </c>
      <c r="Q16" s="26">
        <f>Hoja1!Q13</f>
        <v>2.2000000000000001E-3</v>
      </c>
      <c r="R16" s="26">
        <f>Hoja1!R13</f>
        <v>3.3E-3</v>
      </c>
      <c r="S16" s="26">
        <f>Hoja1!S13</f>
        <v>3.0999999999999999E-3</v>
      </c>
      <c r="T16" s="26">
        <f>Hoja1!T13</f>
        <v>8.4099999999999994E-2</v>
      </c>
    </row>
    <row r="17" spans="1:22">
      <c r="A17" t="s">
        <v>13</v>
      </c>
      <c r="B17" s="26">
        <f>Hoja1!B14</f>
        <v>0</v>
      </c>
      <c r="C17" s="26">
        <f>Hoja1!C14</f>
        <v>0</v>
      </c>
      <c r="D17" s="26">
        <f>Hoja1!D14</f>
        <v>2.9999999999999997E-4</v>
      </c>
      <c r="E17" s="26">
        <f>Hoja1!E14</f>
        <v>1E-4</v>
      </c>
      <c r="F17" s="26">
        <f>Hoja1!F14</f>
        <v>0</v>
      </c>
      <c r="G17" s="26">
        <f>Hoja1!G14</f>
        <v>5.0000000000000001E-4</v>
      </c>
      <c r="H17" s="26">
        <f>Hoja1!H14</f>
        <v>4.0000000000000002E-4</v>
      </c>
      <c r="I17" s="26">
        <f>Hoja1!I14</f>
        <v>1.5E-3</v>
      </c>
      <c r="J17" s="26">
        <f>Hoja1!J14</f>
        <v>5.5999999999999999E-3</v>
      </c>
      <c r="K17" s="26">
        <f>Hoja1!K14</f>
        <v>1.8700000000000001E-2</v>
      </c>
      <c r="L17" s="26">
        <f>Hoja1!L14</f>
        <v>9.5000000000000001E-2</v>
      </c>
      <c r="M17" s="26">
        <f>Hoja1!M14</f>
        <v>0.65339999999999998</v>
      </c>
      <c r="N17" s="26">
        <f>Hoja1!N14</f>
        <v>8.6499999999999994E-2</v>
      </c>
      <c r="O17" s="26">
        <f>Hoja1!O14</f>
        <v>2.3599999999999999E-2</v>
      </c>
      <c r="P17" s="26">
        <f>Hoja1!P14</f>
        <v>1.03E-2</v>
      </c>
      <c r="Q17" s="26">
        <f>Hoja1!Q14</f>
        <v>3.5000000000000001E-3</v>
      </c>
      <c r="R17" s="26">
        <f>Hoja1!R14</f>
        <v>4.7999999999999996E-3</v>
      </c>
      <c r="S17" s="26">
        <f>Hoja1!S14</f>
        <v>4.5999999999999999E-3</v>
      </c>
      <c r="T17" s="26">
        <f>Hoja1!T14</f>
        <v>9.0999999999999998E-2</v>
      </c>
    </row>
    <row r="18" spans="1:22">
      <c r="A18" t="s">
        <v>14</v>
      </c>
      <c r="B18" s="26">
        <f>Hoja1!B15</f>
        <v>0</v>
      </c>
      <c r="C18" s="26">
        <f>Hoja1!C15</f>
        <v>0</v>
      </c>
      <c r="D18" s="26">
        <f>Hoja1!D15</f>
        <v>0</v>
      </c>
      <c r="E18" s="26">
        <f>Hoja1!E15</f>
        <v>1E-4</v>
      </c>
      <c r="F18" s="26">
        <f>Hoja1!F15</f>
        <v>1E-4</v>
      </c>
      <c r="G18" s="26">
        <f>Hoja1!G15</f>
        <v>1E-4</v>
      </c>
      <c r="H18" s="26">
        <f>Hoja1!H15</f>
        <v>4.0000000000000002E-4</v>
      </c>
      <c r="I18" s="26">
        <f>Hoja1!I15</f>
        <v>8.9999999999999998E-4</v>
      </c>
      <c r="J18" s="26">
        <f>Hoja1!J15</f>
        <v>2.2000000000000001E-3</v>
      </c>
      <c r="K18" s="26">
        <f>Hoja1!K15</f>
        <v>3.2000000000000002E-3</v>
      </c>
      <c r="L18" s="26">
        <f>Hoja1!L15</f>
        <v>1.61E-2</v>
      </c>
      <c r="M18" s="26">
        <f>Hoja1!M15</f>
        <v>9.4E-2</v>
      </c>
      <c r="N18" s="26">
        <f>Hoja1!N15</f>
        <v>0.63890000000000002</v>
      </c>
      <c r="O18" s="26">
        <f>Hoja1!O15</f>
        <v>8.5999999999999993E-2</v>
      </c>
      <c r="P18" s="26">
        <f>Hoja1!P15</f>
        <v>3.0099999999999998E-2</v>
      </c>
      <c r="Q18" s="26">
        <f>Hoja1!Q15</f>
        <v>7.9000000000000008E-3</v>
      </c>
      <c r="R18" s="26">
        <f>Hoja1!R15</f>
        <v>7.1000000000000004E-3</v>
      </c>
      <c r="S18" s="26">
        <f>Hoja1!S15</f>
        <v>9.1999999999999998E-3</v>
      </c>
      <c r="T18" s="26">
        <f>Hoja1!T15</f>
        <v>0.1037</v>
      </c>
    </row>
    <row r="19" spans="1:22">
      <c r="A19" t="s">
        <v>15</v>
      </c>
      <c r="B19" s="26">
        <f>Hoja1!B16</f>
        <v>0</v>
      </c>
      <c r="C19" s="26">
        <f>Hoja1!C16</f>
        <v>1E-4</v>
      </c>
      <c r="D19" s="26">
        <f>Hoja1!D16</f>
        <v>0</v>
      </c>
      <c r="E19" s="26">
        <f>Hoja1!E16</f>
        <v>2.9999999999999997E-4</v>
      </c>
      <c r="F19" s="26">
        <f>Hoja1!F16</f>
        <v>0</v>
      </c>
      <c r="G19" s="26">
        <f>Hoja1!G16</f>
        <v>2.9999999999999997E-4</v>
      </c>
      <c r="H19" s="26">
        <f>Hoja1!H16</f>
        <v>5.9999999999999995E-4</v>
      </c>
      <c r="I19" s="26">
        <f>Hoja1!I16</f>
        <v>4.0000000000000002E-4</v>
      </c>
      <c r="J19" s="26">
        <f>Hoja1!J16</f>
        <v>5.0000000000000001E-4</v>
      </c>
      <c r="K19" s="26">
        <f>Hoja1!K16</f>
        <v>1E-3</v>
      </c>
      <c r="L19" s="26">
        <f>Hoja1!L16</f>
        <v>2.8999999999999998E-3</v>
      </c>
      <c r="M19" s="26">
        <f>Hoja1!M16</f>
        <v>1.38E-2</v>
      </c>
      <c r="N19" s="26">
        <f>Hoja1!N16</f>
        <v>8.2299999999999998E-2</v>
      </c>
      <c r="O19" s="26">
        <f>Hoja1!O16</f>
        <v>0.62529999999999997</v>
      </c>
      <c r="P19" s="26">
        <f>Hoja1!P16</f>
        <v>9.4700000000000006E-2</v>
      </c>
      <c r="Q19" s="26">
        <f>Hoja1!Q16</f>
        <v>2.58E-2</v>
      </c>
      <c r="R19" s="26">
        <f>Hoja1!R16</f>
        <v>1.78E-2</v>
      </c>
      <c r="S19" s="26">
        <f>Hoja1!S16</f>
        <v>1.9400000000000001E-2</v>
      </c>
      <c r="T19" s="26">
        <f>Hoja1!T16</f>
        <v>0.1147</v>
      </c>
    </row>
    <row r="20" spans="1:22">
      <c r="A20" t="s">
        <v>16</v>
      </c>
      <c r="B20" s="26">
        <f>Hoja1!B17</f>
        <v>0</v>
      </c>
      <c r="C20" s="26">
        <f>Hoja1!C17</f>
        <v>0</v>
      </c>
      <c r="D20" s="26">
        <f>Hoja1!D17</f>
        <v>1E-4</v>
      </c>
      <c r="E20" s="26">
        <f>Hoja1!E17</f>
        <v>1E-4</v>
      </c>
      <c r="F20" s="26">
        <f>Hoja1!F17</f>
        <v>0</v>
      </c>
      <c r="G20" s="26">
        <f>Hoja1!G17</f>
        <v>2.9999999999999997E-4</v>
      </c>
      <c r="H20" s="26">
        <f>Hoja1!H17</f>
        <v>2.9999999999999997E-4</v>
      </c>
      <c r="I20" s="26">
        <f>Hoja1!I17</f>
        <v>1E-4</v>
      </c>
      <c r="J20" s="26">
        <f>Hoja1!J17</f>
        <v>5.0000000000000001E-4</v>
      </c>
      <c r="K20" s="26">
        <f>Hoja1!K17</f>
        <v>2.9999999999999997E-4</v>
      </c>
      <c r="L20" s="26">
        <f>Hoja1!L17</f>
        <v>8.9999999999999998E-4</v>
      </c>
      <c r="M20" s="26">
        <f>Hoja1!M17</f>
        <v>2E-3</v>
      </c>
      <c r="N20" s="26">
        <f>Hoja1!N17</f>
        <v>1.0500000000000001E-2</v>
      </c>
      <c r="O20" s="26">
        <f>Hoja1!O17</f>
        <v>7.2599999999999998E-2</v>
      </c>
      <c r="P20" s="26">
        <f>Hoja1!P17</f>
        <v>0.61599999999999999</v>
      </c>
      <c r="Q20" s="26">
        <f>Hoja1!Q17</f>
        <v>0.10009999999999999</v>
      </c>
      <c r="R20" s="26">
        <f>Hoja1!R17</f>
        <v>3.9600000000000003E-2</v>
      </c>
      <c r="S20" s="26">
        <f>Hoja1!S17</f>
        <v>2.9899999999999999E-2</v>
      </c>
      <c r="T20" s="26">
        <f>Hoja1!T17</f>
        <v>0.12659999999999999</v>
      </c>
    </row>
    <row r="21" spans="1:22">
      <c r="A21" s="157" t="s">
        <v>17</v>
      </c>
      <c r="B21" s="158">
        <f>Hoja1!B18</f>
        <v>0</v>
      </c>
      <c r="C21" s="158">
        <f>Hoja1!C18</f>
        <v>0</v>
      </c>
      <c r="D21" s="158">
        <f>Hoja1!D18</f>
        <v>0</v>
      </c>
      <c r="E21" s="158">
        <f>Hoja1!E18</f>
        <v>0</v>
      </c>
      <c r="F21" s="158">
        <f>Hoja1!F18</f>
        <v>1E-4</v>
      </c>
      <c r="G21" s="158">
        <f>Hoja1!G18</f>
        <v>2.9999999999999997E-4</v>
      </c>
      <c r="H21" s="158">
        <f>Hoja1!H18</f>
        <v>0</v>
      </c>
      <c r="I21" s="158">
        <f>Hoja1!I18</f>
        <v>5.0000000000000001E-4</v>
      </c>
      <c r="J21" s="158">
        <f>Hoja1!J18</f>
        <v>5.0000000000000001E-4</v>
      </c>
      <c r="K21" s="158">
        <f>Hoja1!K18</f>
        <v>8.0000000000000004E-4</v>
      </c>
      <c r="L21" s="158">
        <f>Hoja1!L18</f>
        <v>6.9999999999999999E-4</v>
      </c>
      <c r="M21" s="158">
        <f>Hoja1!M18</f>
        <v>1.6000000000000001E-3</v>
      </c>
      <c r="N21" s="158">
        <f>Hoja1!N18</f>
        <v>3.8E-3</v>
      </c>
      <c r="O21" s="158">
        <f>Hoja1!O18</f>
        <v>2.0199999999999999E-2</v>
      </c>
      <c r="P21" s="158">
        <f>Hoja1!P18</f>
        <v>9.6500000000000002E-2</v>
      </c>
      <c r="Q21" s="158">
        <f>Hoja1!Q18</f>
        <v>0.55279999999999996</v>
      </c>
      <c r="R21" s="158">
        <f>Hoja1!R18</f>
        <v>0.1215</v>
      </c>
      <c r="S21" s="158">
        <f>Hoja1!S18</f>
        <v>5.8900000000000001E-2</v>
      </c>
      <c r="T21" s="158">
        <f>Hoja1!T18</f>
        <v>0.14169999999999999</v>
      </c>
    </row>
    <row r="22" spans="1:22">
      <c r="A22" t="s">
        <v>21</v>
      </c>
      <c r="B22" s="26">
        <f>Hoja1!B19</f>
        <v>0</v>
      </c>
      <c r="C22" s="26">
        <f>Hoja1!C19</f>
        <v>0</v>
      </c>
      <c r="D22" s="26">
        <f>Hoja1!D19</f>
        <v>0</v>
      </c>
      <c r="E22" s="26">
        <f>Hoja1!E19</f>
        <v>0</v>
      </c>
      <c r="F22" s="26">
        <f>Hoja1!F19</f>
        <v>2.0000000000000001E-4</v>
      </c>
      <c r="G22" s="26">
        <f>Hoja1!G19</f>
        <v>0</v>
      </c>
      <c r="H22" s="26">
        <f>Hoja1!H19</f>
        <v>6.9999999999999999E-4</v>
      </c>
      <c r="I22" s="26">
        <f>Hoja1!I19</f>
        <v>4.0000000000000002E-4</v>
      </c>
      <c r="J22" s="26">
        <f>Hoja1!J19</f>
        <v>6.9999999999999999E-4</v>
      </c>
      <c r="K22" s="26">
        <f>Hoja1!K19</f>
        <v>4.0000000000000002E-4</v>
      </c>
      <c r="L22" s="26">
        <f>Hoja1!L19</f>
        <v>2.0000000000000001E-4</v>
      </c>
      <c r="M22" s="26">
        <f>Hoja1!M19</f>
        <v>1.2999999999999999E-3</v>
      </c>
      <c r="N22" s="26">
        <f>Hoja1!N19</f>
        <v>3.3999999999999998E-3</v>
      </c>
      <c r="O22" s="26">
        <f>Hoja1!O19</f>
        <v>8.5000000000000006E-3</v>
      </c>
      <c r="P22" s="26">
        <f>Hoja1!P19</f>
        <v>2.53E-2</v>
      </c>
      <c r="Q22" s="26">
        <f>Hoja1!Q19</f>
        <v>0.1004</v>
      </c>
      <c r="R22" s="26">
        <f>Hoja1!R19</f>
        <v>0.43909999999999999</v>
      </c>
      <c r="S22" s="26">
        <f>Hoja1!S19</f>
        <v>0.26550000000000001</v>
      </c>
      <c r="T22" s="26">
        <f>Hoja1!T19</f>
        <v>0.15390000000000001</v>
      </c>
    </row>
    <row r="25" spans="1:22">
      <c r="B25" s="29"/>
      <c r="C25" s="29">
        <v>1</v>
      </c>
      <c r="D25" s="29">
        <v>2</v>
      </c>
      <c r="E25" s="29">
        <v>3</v>
      </c>
      <c r="F25" s="29">
        <v>4</v>
      </c>
      <c r="G25" s="29">
        <v>5</v>
      </c>
      <c r="S25" s="30" t="s">
        <v>24</v>
      </c>
    </row>
    <row r="26" spans="1:22">
      <c r="A26" s="31" t="s">
        <v>25</v>
      </c>
      <c r="C26" s="32">
        <v>3.6900000000000002E-2</v>
      </c>
      <c r="D26" s="32">
        <v>3.7900000000000003E-2</v>
      </c>
      <c r="E26" s="32">
        <v>3.78E-2</v>
      </c>
      <c r="F26" s="32">
        <f>(E26+G26)/2</f>
        <v>3.85E-2</v>
      </c>
      <c r="G26" s="33">
        <v>3.9199999999999999E-2</v>
      </c>
      <c r="S26" s="34" t="s">
        <v>26</v>
      </c>
      <c r="T26" s="35"/>
      <c r="U26" s="36"/>
      <c r="V26" s="36"/>
    </row>
    <row r="27" spans="1:22">
      <c r="A27" s="31"/>
      <c r="C27" s="32"/>
      <c r="D27" s="32"/>
      <c r="E27" s="32"/>
      <c r="F27" s="32"/>
      <c r="G27" s="33"/>
      <c r="S27" s="34"/>
      <c r="T27" s="35"/>
      <c r="U27" s="36"/>
      <c r="V27" s="36"/>
    </row>
    <row r="28" spans="1:22" ht="15" customHeight="1">
      <c r="A28" t="s">
        <v>27</v>
      </c>
      <c r="C28" s="29">
        <v>1</v>
      </c>
      <c r="D28" s="29">
        <v>2</v>
      </c>
      <c r="E28" s="29">
        <v>3</v>
      </c>
      <c r="F28" s="29">
        <v>4</v>
      </c>
      <c r="G28" s="29">
        <v>5</v>
      </c>
      <c r="S28" s="36" t="s">
        <v>28</v>
      </c>
      <c r="T28" s="37" t="s">
        <v>29</v>
      </c>
      <c r="U28" s="124" t="s">
        <v>30</v>
      </c>
      <c r="V28" s="124" t="s">
        <v>31</v>
      </c>
    </row>
    <row r="29" spans="1:22">
      <c r="A29" t="s">
        <v>2</v>
      </c>
      <c r="C29" s="38">
        <f>C26+$V$29</f>
        <v>4.3800000000000006E-2</v>
      </c>
      <c r="D29" s="38">
        <f>D26+$V$29</f>
        <v>4.4800000000000006E-2</v>
      </c>
      <c r="E29" s="38">
        <f>E26+$V$29</f>
        <v>4.4700000000000004E-2</v>
      </c>
      <c r="F29" s="38">
        <f>F26+$V$29</f>
        <v>4.5399999999999996E-2</v>
      </c>
      <c r="G29" s="38">
        <f>G26+$V$29</f>
        <v>4.6100000000000002E-2</v>
      </c>
      <c r="S29" s="39">
        <v>12.5</v>
      </c>
      <c r="T29" s="39">
        <v>100000</v>
      </c>
      <c r="U29" s="125" t="s">
        <v>32</v>
      </c>
      <c r="V29" s="126">
        <v>6.8999999999999999E-3</v>
      </c>
    </row>
    <row r="30" spans="1:22">
      <c r="A30" t="s">
        <v>3</v>
      </c>
      <c r="C30" s="40">
        <f>(C29+C31)/2</f>
        <v>4.4600000000000001E-2</v>
      </c>
      <c r="D30" s="40">
        <f t="shared" ref="D30:G30" si="0">(D29+D31)/2</f>
        <v>4.5600000000000002E-2</v>
      </c>
      <c r="E30" s="40">
        <f t="shared" si="0"/>
        <v>4.5499999999999999E-2</v>
      </c>
      <c r="F30" s="40">
        <f t="shared" si="0"/>
        <v>4.6199999999999998E-2</v>
      </c>
      <c r="G30" s="40">
        <f t="shared" si="0"/>
        <v>4.6899999999999997E-2</v>
      </c>
      <c r="S30" s="39">
        <v>9.5</v>
      </c>
      <c r="T30" s="39">
        <v>12.499999000000001</v>
      </c>
      <c r="U30" s="127" t="s">
        <v>33</v>
      </c>
      <c r="V30" s="126">
        <v>8.5000000000000006E-3</v>
      </c>
    </row>
    <row r="31" spans="1:22">
      <c r="A31" t="s">
        <v>4</v>
      </c>
      <c r="C31" s="38">
        <f>C26+$V$30</f>
        <v>4.5400000000000003E-2</v>
      </c>
      <c r="D31" s="38">
        <f>D26+$V$30</f>
        <v>4.6400000000000004E-2</v>
      </c>
      <c r="E31" s="38">
        <f>E26+$V$30</f>
        <v>4.6300000000000001E-2</v>
      </c>
      <c r="F31" s="38">
        <f>F26+$V$30</f>
        <v>4.7E-2</v>
      </c>
      <c r="G31" s="38">
        <f>G26+$V$30</f>
        <v>4.7699999999999999E-2</v>
      </c>
      <c r="S31" s="39">
        <v>7.5</v>
      </c>
      <c r="T31" s="39">
        <v>9.4999990000000007</v>
      </c>
      <c r="U31" s="127" t="s">
        <v>34</v>
      </c>
      <c r="V31" s="126">
        <v>1.0699999999999999E-2</v>
      </c>
    </row>
    <row r="32" spans="1:22">
      <c r="A32" t="s">
        <v>5</v>
      </c>
      <c r="C32" s="40">
        <f>(C31+C33)/2</f>
        <v>4.65E-2</v>
      </c>
      <c r="D32" s="40">
        <f t="shared" ref="D32:G32" si="1">(D31+D33)/2</f>
        <v>4.7500000000000001E-2</v>
      </c>
      <c r="E32" s="40">
        <f t="shared" si="1"/>
        <v>4.7399999999999998E-2</v>
      </c>
      <c r="F32" s="40">
        <f t="shared" si="1"/>
        <v>4.8100000000000004E-2</v>
      </c>
      <c r="G32" s="40">
        <f t="shared" si="1"/>
        <v>4.8799999999999996E-2</v>
      </c>
      <c r="S32" s="39">
        <v>6</v>
      </c>
      <c r="T32" s="39">
        <v>7.4999989999999999</v>
      </c>
      <c r="U32" s="127" t="s">
        <v>35</v>
      </c>
      <c r="V32" s="126">
        <v>1.18E-2</v>
      </c>
    </row>
    <row r="33" spans="1:28">
      <c r="A33" t="s">
        <v>6</v>
      </c>
      <c r="C33" s="38">
        <f>C26+$V$31</f>
        <v>4.7600000000000003E-2</v>
      </c>
      <c r="D33" s="38">
        <f>D26+$V$31</f>
        <v>4.8600000000000004E-2</v>
      </c>
      <c r="E33" s="38">
        <f>E26+$V$31</f>
        <v>4.8500000000000001E-2</v>
      </c>
      <c r="F33" s="38">
        <f>F26+$V$31</f>
        <v>4.9200000000000001E-2</v>
      </c>
      <c r="G33" s="38">
        <f>G26+$V$31</f>
        <v>4.99E-2</v>
      </c>
      <c r="S33" s="39">
        <v>4.5</v>
      </c>
      <c r="T33" s="39">
        <v>5.9999989999999999</v>
      </c>
      <c r="U33" s="127" t="s">
        <v>36</v>
      </c>
      <c r="V33" s="126">
        <v>1.3299999999999999E-2</v>
      </c>
    </row>
    <row r="34" spans="1:28">
      <c r="A34" t="s">
        <v>7</v>
      </c>
      <c r="C34" s="38">
        <f>C26+$V$32</f>
        <v>4.87E-2</v>
      </c>
      <c r="D34" s="38">
        <f>D26+$V$32</f>
        <v>4.9700000000000001E-2</v>
      </c>
      <c r="E34" s="38">
        <f>E26+$V$32</f>
        <v>4.9599999999999998E-2</v>
      </c>
      <c r="F34" s="38">
        <f>F26+$V$32</f>
        <v>5.0299999999999997E-2</v>
      </c>
      <c r="G34" s="38">
        <f>G26+$V$32</f>
        <v>5.0999999999999997E-2</v>
      </c>
      <c r="S34" s="39">
        <v>4</v>
      </c>
      <c r="T34" s="39">
        <v>4.4999989999999999</v>
      </c>
      <c r="U34" s="125" t="s">
        <v>37</v>
      </c>
      <c r="V34" s="126">
        <v>1.7100000000000001E-2</v>
      </c>
    </row>
    <row r="35" spans="1:28">
      <c r="A35" t="s">
        <v>8</v>
      </c>
      <c r="C35" s="38">
        <f>C26+$V$33</f>
        <v>5.0200000000000002E-2</v>
      </c>
      <c r="D35" s="38">
        <f>D26+$V$33</f>
        <v>5.1200000000000002E-2</v>
      </c>
      <c r="E35" s="38">
        <f>E26+$V$33</f>
        <v>5.11E-2</v>
      </c>
      <c r="F35" s="38">
        <f>F26+$V$33</f>
        <v>5.1799999999999999E-2</v>
      </c>
      <c r="G35" s="38">
        <f>G26+$V$33</f>
        <v>5.2499999999999998E-2</v>
      </c>
      <c r="S35" s="39">
        <v>3.5</v>
      </c>
      <c r="T35" s="39">
        <v>3.9999999000000002</v>
      </c>
      <c r="U35" s="125" t="s">
        <v>38</v>
      </c>
      <c r="V35" s="126">
        <v>2.3099999999999999E-2</v>
      </c>
    </row>
    <row r="36" spans="1:28">
      <c r="A36" t="s">
        <v>9</v>
      </c>
      <c r="C36" s="41">
        <f>(C35+C37)/2</f>
        <v>5.2100000000000007E-2</v>
      </c>
      <c r="D36" s="41">
        <f t="shared" ref="D36:G36" si="2">(D35+D37)/2</f>
        <v>5.3100000000000008E-2</v>
      </c>
      <c r="E36" s="41">
        <f t="shared" si="2"/>
        <v>5.3000000000000005E-2</v>
      </c>
      <c r="F36" s="41">
        <f>(F35+F37)/2</f>
        <v>5.3699999999999998E-2</v>
      </c>
      <c r="G36" s="41">
        <f t="shared" si="2"/>
        <v>5.4400000000000004E-2</v>
      </c>
      <c r="S36" s="39">
        <v>3</v>
      </c>
      <c r="T36" s="39">
        <v>3.4999989999999999</v>
      </c>
      <c r="U36" s="125" t="s">
        <v>39</v>
      </c>
      <c r="V36" s="126">
        <v>2.7699999999999999E-2</v>
      </c>
    </row>
    <row r="37" spans="1:28">
      <c r="A37" t="s">
        <v>10</v>
      </c>
      <c r="C37" s="38">
        <f>C26+$V$34</f>
        <v>5.4000000000000006E-2</v>
      </c>
      <c r="D37" s="38">
        <f>D26+$V$34</f>
        <v>5.5000000000000007E-2</v>
      </c>
      <c r="E37" s="38">
        <f>E26+$V$34</f>
        <v>5.4900000000000004E-2</v>
      </c>
      <c r="F37" s="38">
        <f>F26+$V$34</f>
        <v>5.5599999999999997E-2</v>
      </c>
      <c r="G37" s="38">
        <f>G26+$V$34</f>
        <v>5.6300000000000003E-2</v>
      </c>
      <c r="S37" s="39">
        <v>2.5</v>
      </c>
      <c r="T37" s="39">
        <v>2.9999989999999999</v>
      </c>
      <c r="U37" s="125" t="s">
        <v>40</v>
      </c>
      <c r="V37" s="126">
        <v>4.0500000000000001E-2</v>
      </c>
    </row>
    <row r="38" spans="1:28">
      <c r="A38" t="s">
        <v>11</v>
      </c>
      <c r="C38" s="41">
        <f>(C37+C39)/2</f>
        <v>5.7000000000000002E-2</v>
      </c>
      <c r="D38" s="41">
        <f t="shared" ref="D38:G38" si="3">(D37+D39)/2</f>
        <v>5.8000000000000003E-2</v>
      </c>
      <c r="E38" s="41">
        <f t="shared" si="3"/>
        <v>5.79E-2</v>
      </c>
      <c r="F38" s="41">
        <f t="shared" si="3"/>
        <v>5.8599999999999999E-2</v>
      </c>
      <c r="G38" s="41">
        <f t="shared" si="3"/>
        <v>5.9299999999999999E-2</v>
      </c>
      <c r="S38" s="39">
        <v>2</v>
      </c>
      <c r="T38" s="39">
        <v>2.4999989999999999</v>
      </c>
      <c r="U38" s="125" t="s">
        <v>41</v>
      </c>
      <c r="V38" s="126">
        <v>4.8599999999999997E-2</v>
      </c>
    </row>
    <row r="39" spans="1:28">
      <c r="A39" t="s">
        <v>12</v>
      </c>
      <c r="C39" s="38">
        <f>C26+$V$35</f>
        <v>0.06</v>
      </c>
      <c r="D39" s="38">
        <f>D26+$V$35</f>
        <v>6.0999999999999999E-2</v>
      </c>
      <c r="E39" s="38">
        <f>E26+$V$35</f>
        <v>6.0899999999999996E-2</v>
      </c>
      <c r="F39" s="38">
        <f>F26+$V$35</f>
        <v>6.1600000000000002E-2</v>
      </c>
      <c r="G39" s="38">
        <f>G26+$V$35</f>
        <v>6.2299999999999994E-2</v>
      </c>
      <c r="S39" s="39">
        <v>1.5</v>
      </c>
      <c r="T39" s="39">
        <v>1.9999990000000001</v>
      </c>
      <c r="U39" s="125" t="s">
        <v>42</v>
      </c>
      <c r="V39" s="126">
        <v>5.9400000000000001E-2</v>
      </c>
    </row>
    <row r="40" spans="1:28">
      <c r="A40" t="s">
        <v>13</v>
      </c>
      <c r="C40" s="38">
        <f>C26+$V$36</f>
        <v>6.4600000000000005E-2</v>
      </c>
      <c r="D40" s="38">
        <f>D26+$V$36</f>
        <v>6.5600000000000006E-2</v>
      </c>
      <c r="E40" s="38">
        <f>E26+$V$36</f>
        <v>6.5500000000000003E-2</v>
      </c>
      <c r="F40" s="38">
        <f>F26+$V$36</f>
        <v>6.6199999999999995E-2</v>
      </c>
      <c r="G40" s="38">
        <f>G26+$V$36</f>
        <v>6.6900000000000001E-2</v>
      </c>
      <c r="S40" s="39">
        <v>1.25</v>
      </c>
      <c r="T40" s="39">
        <v>1.4999990000000001</v>
      </c>
      <c r="U40" s="125" t="s">
        <v>43</v>
      </c>
      <c r="V40" s="126">
        <v>9.4600000000000004E-2</v>
      </c>
    </row>
    <row r="41" spans="1:28">
      <c r="A41" t="s">
        <v>14</v>
      </c>
      <c r="C41" s="41">
        <f>(C40+C42)/2</f>
        <v>7.1000000000000008E-2</v>
      </c>
      <c r="D41" s="41">
        <f t="shared" ref="D41:G41" si="4">(D40+D42)/2</f>
        <v>7.2000000000000008E-2</v>
      </c>
      <c r="E41" s="41">
        <f t="shared" si="4"/>
        <v>7.1900000000000006E-2</v>
      </c>
      <c r="F41" s="41">
        <f t="shared" si="4"/>
        <v>7.2599999999999998E-2</v>
      </c>
      <c r="G41" s="41">
        <f t="shared" si="4"/>
        <v>7.3300000000000004E-2</v>
      </c>
      <c r="S41" s="39">
        <v>0.8</v>
      </c>
      <c r="T41" s="39">
        <v>1.2499990000000001</v>
      </c>
      <c r="U41" s="125" t="s">
        <v>44</v>
      </c>
      <c r="V41" s="126">
        <v>9.9699999999999997E-2</v>
      </c>
    </row>
    <row r="42" spans="1:28">
      <c r="A42" t="s">
        <v>15</v>
      </c>
      <c r="C42" s="38">
        <f>C26+$V$37</f>
        <v>7.7399999999999997E-2</v>
      </c>
      <c r="D42" s="38">
        <f>D26+$V$37</f>
        <v>7.8399999999999997E-2</v>
      </c>
      <c r="E42" s="38">
        <f>E26+$V$37</f>
        <v>7.8300000000000008E-2</v>
      </c>
      <c r="F42" s="38">
        <f>F26+$V$37</f>
        <v>7.9000000000000001E-2</v>
      </c>
      <c r="G42" s="38">
        <f>G26+$V$37</f>
        <v>7.9699999999999993E-2</v>
      </c>
      <c r="S42" s="39">
        <v>0.5</v>
      </c>
      <c r="T42" s="39">
        <v>0.79999900000000002</v>
      </c>
      <c r="U42" s="125" t="s">
        <v>45</v>
      </c>
      <c r="V42" s="126">
        <v>0.13089999999999999</v>
      </c>
    </row>
    <row r="43" spans="1:28">
      <c r="A43" t="s">
        <v>16</v>
      </c>
      <c r="C43" s="38">
        <f>C26+$V$38</f>
        <v>8.5499999999999993E-2</v>
      </c>
      <c r="D43" s="38">
        <f>D26+$V$38</f>
        <v>8.6499999999999994E-2</v>
      </c>
      <c r="E43" s="38">
        <f>E26+$V$38</f>
        <v>8.6400000000000005E-2</v>
      </c>
      <c r="F43" s="38">
        <f>F26+$V$38</f>
        <v>8.7099999999999997E-2</v>
      </c>
      <c r="G43" s="38">
        <f>G26+$V$38</f>
        <v>8.7799999999999989E-2</v>
      </c>
      <c r="S43" s="39">
        <v>-100000</v>
      </c>
      <c r="T43" s="39">
        <v>0.49999900000000003</v>
      </c>
      <c r="U43" s="125" t="s">
        <v>46</v>
      </c>
      <c r="V43" s="126">
        <v>0.1744</v>
      </c>
    </row>
    <row r="44" spans="1:28">
      <c r="A44" t="s">
        <v>17</v>
      </c>
      <c r="C44" s="38">
        <f>C26+$V$39</f>
        <v>9.6299999999999997E-2</v>
      </c>
      <c r="D44" s="38">
        <f>D26+$V$39</f>
        <v>9.7299999999999998E-2</v>
      </c>
      <c r="E44" s="38">
        <f>E26+$V$39</f>
        <v>9.7200000000000009E-2</v>
      </c>
      <c r="F44" s="38">
        <f>F26+$V$39</f>
        <v>9.7900000000000001E-2</v>
      </c>
      <c r="G44" s="38">
        <f>G26+$V$39</f>
        <v>9.8599999999999993E-2</v>
      </c>
    </row>
    <row r="45" spans="1:28">
      <c r="A45" t="s">
        <v>21</v>
      </c>
      <c r="C45" s="38">
        <f>C26+$V$40</f>
        <v>0.13150000000000001</v>
      </c>
      <c r="D45" s="38">
        <f>D26+$V$40</f>
        <v>0.13250000000000001</v>
      </c>
      <c r="E45" s="38">
        <f>E26+$V$40</f>
        <v>0.13240000000000002</v>
      </c>
      <c r="F45" s="38">
        <f>F26+$V$40</f>
        <v>0.1331</v>
      </c>
      <c r="G45" s="38">
        <f>G26+$V$40</f>
        <v>0.1338</v>
      </c>
    </row>
    <row r="46" spans="1:28" ht="16" thickBot="1"/>
    <row r="47" spans="1:28" ht="16" thickBot="1">
      <c r="A47" s="42">
        <v>1</v>
      </c>
      <c r="B47" s="43" t="s">
        <v>1549</v>
      </c>
      <c r="N47" s="84" t="str">
        <f>A3</f>
        <v>Henkel</v>
      </c>
      <c r="O47" s="85" t="str">
        <f>B3</f>
        <v>A</v>
      </c>
      <c r="AA47" s="84">
        <f>N3</f>
        <v>0</v>
      </c>
      <c r="AB47" s="85">
        <f>O3</f>
        <v>0</v>
      </c>
    </row>
    <row r="48" spans="1:28">
      <c r="A48" t="s">
        <v>47</v>
      </c>
      <c r="B48">
        <v>100</v>
      </c>
      <c r="N48" t="s">
        <v>47</v>
      </c>
      <c r="O48">
        <v>100</v>
      </c>
      <c r="AA48" t="s">
        <v>47</v>
      </c>
      <c r="AB48">
        <v>100</v>
      </c>
    </row>
    <row r="49" spans="1:37">
      <c r="A49" t="s">
        <v>48</v>
      </c>
      <c r="B49" s="44">
        <v>0.05</v>
      </c>
      <c r="N49" t="s">
        <v>48</v>
      </c>
      <c r="O49" s="44">
        <v>0.05</v>
      </c>
      <c r="AA49" t="s">
        <v>48</v>
      </c>
      <c r="AB49" s="44">
        <v>0.05</v>
      </c>
    </row>
    <row r="50" spans="1:37">
      <c r="A50" t="s">
        <v>49</v>
      </c>
      <c r="B50" s="45">
        <f>B49*B48</f>
        <v>5</v>
      </c>
      <c r="N50" t="s">
        <v>49</v>
      </c>
      <c r="O50">
        <f>O49*O48</f>
        <v>5</v>
      </c>
      <c r="AA50" t="s">
        <v>49</v>
      </c>
      <c r="AB50">
        <f>AB49*AB48</f>
        <v>5</v>
      </c>
    </row>
    <row r="51" spans="1:37">
      <c r="H51" s="46" t="s">
        <v>50</v>
      </c>
      <c r="U51" s="46" t="s">
        <v>50</v>
      </c>
      <c r="AH51" s="46" t="s">
        <v>50</v>
      </c>
    </row>
    <row r="52" spans="1:37">
      <c r="A52" t="s">
        <v>27</v>
      </c>
      <c r="B52" s="29"/>
      <c r="C52" s="29">
        <v>1</v>
      </c>
      <c r="D52" s="29">
        <v>2</v>
      </c>
      <c r="E52" s="29">
        <v>3</v>
      </c>
      <c r="F52" s="29">
        <v>4</v>
      </c>
      <c r="G52" s="29">
        <v>5</v>
      </c>
      <c r="H52" s="46" t="s">
        <v>51</v>
      </c>
      <c r="J52" t="s">
        <v>5</v>
      </c>
      <c r="N52" t="s">
        <v>27</v>
      </c>
      <c r="O52" s="29"/>
      <c r="P52" s="29">
        <v>1</v>
      </c>
      <c r="Q52" s="29">
        <v>2</v>
      </c>
      <c r="R52" s="29">
        <v>3</v>
      </c>
      <c r="S52" s="29">
        <v>4</v>
      </c>
      <c r="T52" s="29">
        <v>5</v>
      </c>
      <c r="U52" s="46" t="s">
        <v>51</v>
      </c>
      <c r="W52" t="s">
        <v>7</v>
      </c>
      <c r="AA52" t="s">
        <v>27</v>
      </c>
      <c r="AB52" s="29"/>
      <c r="AC52" s="29">
        <v>1</v>
      </c>
      <c r="AD52" s="29">
        <v>2</v>
      </c>
      <c r="AE52" s="29">
        <v>3</v>
      </c>
      <c r="AF52" s="29">
        <v>4</v>
      </c>
      <c r="AG52" s="29">
        <v>5</v>
      </c>
      <c r="AH52" s="46" t="s">
        <v>51</v>
      </c>
      <c r="AJ52" t="s">
        <v>7</v>
      </c>
    </row>
    <row r="53" spans="1:37">
      <c r="A53" t="s">
        <v>2</v>
      </c>
      <c r="C53" s="47">
        <f>$B$50/(1+C29)^C$52</f>
        <v>4.7901896915117836</v>
      </c>
      <c r="D53" s="47">
        <f>$B$50/(1+D29)^D$52</f>
        <v>4.5804028526602396</v>
      </c>
      <c r="E53" s="47">
        <f>$B$50/(1+E29)^E$52</f>
        <v>4.3852587139756469</v>
      </c>
      <c r="F53" s="47">
        <f>$B$50/(1+F29)^F$52</f>
        <v>4.1863932480602211</v>
      </c>
      <c r="G53" s="47">
        <f t="shared" ref="G53:G69" si="5">($B$50+$B$48)/(1+G29)^G$52</f>
        <v>83.815297060699578</v>
      </c>
      <c r="H53" s="47">
        <f>SUM(C53:G53)</f>
        <v>101.75754156690746</v>
      </c>
      <c r="J53" s="48" cm="1">
        <f t="array" ref="J53:J71">TRANSPOSE(B9:T9)</f>
        <v>4.0000000000000002E-4</v>
      </c>
      <c r="K53" s="49">
        <f>H53*J53</f>
        <v>4.070301662676299E-2</v>
      </c>
      <c r="N53" t="s">
        <v>2</v>
      </c>
      <c r="P53" s="50">
        <f>$B$50/(1+C29)^P$52</f>
        <v>4.7901896915117836</v>
      </c>
      <c r="Q53" s="50">
        <f t="shared" ref="Q53:S68" si="6">$B$50/(1+D29)^Q$52</f>
        <v>4.5804028526602396</v>
      </c>
      <c r="R53" s="50">
        <f t="shared" si="6"/>
        <v>4.3852587139756469</v>
      </c>
      <c r="S53" s="50">
        <f t="shared" si="6"/>
        <v>4.1863932480602211</v>
      </c>
      <c r="T53" s="50">
        <f>($B$50+$B$48)/(1+G29)^T$52</f>
        <v>83.815297060699578</v>
      </c>
      <c r="U53" s="50">
        <f>SUM(P53:T53)</f>
        <v>101.75754156690746</v>
      </c>
      <c r="W53" s="26" cm="1">
        <f t="array" ref="W53:W70">TRANSPOSE(B11:S11)</f>
        <v>2.9999999999999997E-4</v>
      </c>
      <c r="X53" s="49">
        <f>U53*W53</f>
        <v>3.0527262470072238E-2</v>
      </c>
      <c r="AA53" t="s">
        <v>2</v>
      </c>
      <c r="AC53" s="47">
        <f>$B$50/(1+P29)^AC$52</f>
        <v>5</v>
      </c>
      <c r="AD53" s="47">
        <f>$B$50/(1+Q29)^AD$52</f>
        <v>5</v>
      </c>
      <c r="AE53" s="47">
        <f>$B$50/(1+R29)^AE$52</f>
        <v>5</v>
      </c>
      <c r="AF53" s="47">
        <f>$B$50/(1+S29)^AF$52</f>
        <v>1.5053411385271365E-4</v>
      </c>
      <c r="AG53" s="47">
        <f>($B$50+$B$48)/(1+T29)^AG$52</f>
        <v>1.0499475015749632E-23</v>
      </c>
      <c r="AH53" s="47">
        <f>SUM(AC53:AG53)</f>
        <v>15.000150534113853</v>
      </c>
      <c r="AJ53" s="48" cm="1">
        <f t="array" ref="AJ53:AJ70">TRANSPOSE(O11:AF11)</f>
        <v>8.0000000000000004E-4</v>
      </c>
      <c r="AK53" s="49">
        <f>AH53*AJ53</f>
        <v>1.2000120427291084E-2</v>
      </c>
    </row>
    <row r="54" spans="1:37">
      <c r="A54" t="s">
        <v>3</v>
      </c>
      <c r="C54" s="50">
        <f t="shared" ref="C54:F69" si="7">$B$50/(1+C30)^C$52</f>
        <v>4.7865211564235119</v>
      </c>
      <c r="D54" s="50">
        <f t="shared" si="7"/>
        <v>4.5733965013297233</v>
      </c>
      <c r="E54" s="50">
        <f t="shared" si="7"/>
        <v>4.3751998237845386</v>
      </c>
      <c r="F54" s="50">
        <f t="shared" si="7"/>
        <v>4.1736030546195577</v>
      </c>
      <c r="G54" s="50">
        <f t="shared" si="5"/>
        <v>83.495544273722672</v>
      </c>
      <c r="H54" s="50">
        <f t="shared" ref="H54:H69" si="8">SUM(C54:G54)</f>
        <v>101.40426480988</v>
      </c>
      <c r="J54" s="48">
        <v>1E-3</v>
      </c>
      <c r="K54" s="49">
        <f t="shared" ref="K54:K70" si="9">H54*J54</f>
        <v>0.10140426480988</v>
      </c>
      <c r="N54" t="s">
        <v>3</v>
      </c>
      <c r="P54" s="50">
        <f t="shared" ref="P54:S69" si="10">$B$50/(1+C30)^P$52</f>
        <v>4.7865211564235119</v>
      </c>
      <c r="Q54" s="50">
        <f t="shared" si="6"/>
        <v>4.5733965013297233</v>
      </c>
      <c r="R54" s="50">
        <f t="shared" si="6"/>
        <v>4.3751998237845386</v>
      </c>
      <c r="S54" s="50">
        <f t="shared" si="6"/>
        <v>4.1736030546195577</v>
      </c>
      <c r="T54" s="50">
        <f t="shared" ref="T54:T69" si="11">($B$50+$B$48)/(1+G30)^T$52</f>
        <v>83.495544273722672</v>
      </c>
      <c r="U54" s="50">
        <f t="shared" ref="U54:U69" si="12">SUM(P54:T54)</f>
        <v>101.40426480988</v>
      </c>
      <c r="W54" s="48">
        <v>4.0000000000000002E-4</v>
      </c>
      <c r="X54" s="49">
        <f t="shared" ref="X54:X70" si="13">U54*W54</f>
        <v>4.0561705923952002E-2</v>
      </c>
      <c r="AA54" t="s">
        <v>3</v>
      </c>
      <c r="AC54" s="47">
        <f>$B$50/(1+P30)^AC$52</f>
        <v>5</v>
      </c>
      <c r="AD54" s="47">
        <f>$B$50/(1+Q30)^AD$52</f>
        <v>5</v>
      </c>
      <c r="AE54" s="47">
        <f>$B$50/(1+R30)^AE$52</f>
        <v>5</v>
      </c>
      <c r="AF54" s="47">
        <f>$B$50/(1+S30)^AF$52</f>
        <v>4.1135123739594097E-4</v>
      </c>
      <c r="AG54" s="47">
        <f>($B$50+$B$48)/(1+T30)^AG$52</f>
        <v>2.3416426383171351E-4</v>
      </c>
      <c r="AH54" s="47">
        <f>SUM(AC54:AG54)</f>
        <v>15.000645515501228</v>
      </c>
      <c r="AJ54" s="48">
        <v>2.0000000000000001E-4</v>
      </c>
      <c r="AK54" s="49">
        <f>AH54*AJ54</f>
        <v>3.0001291031002456E-3</v>
      </c>
    </row>
    <row r="55" spans="1:37">
      <c r="A55" t="s">
        <v>4</v>
      </c>
      <c r="C55" s="47">
        <f t="shared" si="7"/>
        <v>4.7828582360818821</v>
      </c>
      <c r="D55" s="47">
        <f t="shared" si="7"/>
        <v>4.56640621346875</v>
      </c>
      <c r="E55" s="47">
        <f t="shared" si="7"/>
        <v>4.3651716741463211</v>
      </c>
      <c r="F55" s="47">
        <f t="shared" si="7"/>
        <v>4.1608616693538432</v>
      </c>
      <c r="G55" s="47">
        <f t="shared" si="5"/>
        <v>83.177254186918162</v>
      </c>
      <c r="H55" s="47">
        <f t="shared" si="8"/>
        <v>101.05255197996895</v>
      </c>
      <c r="J55" s="48">
        <v>3.6799999999999999E-2</v>
      </c>
      <c r="K55" s="49">
        <f t="shared" si="9"/>
        <v>3.7187339128628576</v>
      </c>
      <c r="N55" t="s">
        <v>4</v>
      </c>
      <c r="P55" s="50">
        <f t="shared" si="10"/>
        <v>4.7828582360818821</v>
      </c>
      <c r="Q55" s="50">
        <f t="shared" si="6"/>
        <v>4.56640621346875</v>
      </c>
      <c r="R55" s="50">
        <f t="shared" si="6"/>
        <v>4.3651716741463211</v>
      </c>
      <c r="S55" s="50">
        <f t="shared" si="6"/>
        <v>4.1608616693538432</v>
      </c>
      <c r="T55" s="50">
        <f t="shared" si="11"/>
        <v>83.177254186918162</v>
      </c>
      <c r="U55" s="50">
        <f t="shared" si="12"/>
        <v>101.05255197996895</v>
      </c>
      <c r="W55" s="26">
        <v>2.0999999999999999E-3</v>
      </c>
      <c r="X55" s="49">
        <f t="shared" si="13"/>
        <v>0.21221035915793479</v>
      </c>
      <c r="AA55" t="s">
        <v>4</v>
      </c>
      <c r="AC55" s="47">
        <f>$B$50/(1+P31)^AC$52</f>
        <v>5</v>
      </c>
      <c r="AD55" s="47">
        <f>$B$50/(1+Q31)^AD$52</f>
        <v>5</v>
      </c>
      <c r="AE55" s="47">
        <f>$B$50/(1+R31)^AE$52</f>
        <v>5</v>
      </c>
      <c r="AF55" s="47">
        <f>$B$50/(1+S31)^AF$52</f>
        <v>9.5784293770428996E-4</v>
      </c>
      <c r="AG55" s="47">
        <f>($B$50+$B$48)/(1+T31)^AG$52</f>
        <v>8.2270286655507674E-4</v>
      </c>
      <c r="AH55" s="47">
        <f>SUM(AC55:AG55)</f>
        <v>15.001780545804261</v>
      </c>
      <c r="AJ55" s="48">
        <v>0</v>
      </c>
      <c r="AK55" s="49">
        <f>AH55*AJ55</f>
        <v>0</v>
      </c>
    </row>
    <row r="56" spans="1:37">
      <c r="A56" s="27" t="s">
        <v>5</v>
      </c>
      <c r="B56" s="27"/>
      <c r="C56" s="51">
        <f t="shared" si="7"/>
        <v>4.7778308647873864</v>
      </c>
      <c r="D56" s="51">
        <f t="shared" si="7"/>
        <v>4.5568207061932879</v>
      </c>
      <c r="E56" s="51">
        <f t="shared" si="7"/>
        <v>4.3514329464991164</v>
      </c>
      <c r="F56" s="51">
        <f t="shared" si="7"/>
        <v>4.1434215491687203</v>
      </c>
      <c r="G56" s="51">
        <f t="shared" si="5"/>
        <v>82.741979312371427</v>
      </c>
      <c r="H56" s="51">
        <f t="shared" si="8"/>
        <v>100.57148537901995</v>
      </c>
      <c r="I56" s="27"/>
      <c r="J56" s="28">
        <v>0.78990000000000005</v>
      </c>
      <c r="K56" s="52">
        <f t="shared" si="9"/>
        <v>79.441416300887866</v>
      </c>
      <c r="N56" t="s">
        <v>5</v>
      </c>
      <c r="P56" s="47">
        <f t="shared" si="10"/>
        <v>4.7778308647873864</v>
      </c>
      <c r="Q56" s="47">
        <f t="shared" si="6"/>
        <v>4.5568207061932879</v>
      </c>
      <c r="R56" s="47">
        <f t="shared" si="6"/>
        <v>4.3514329464991164</v>
      </c>
      <c r="S56" s="47">
        <f t="shared" si="6"/>
        <v>4.1434215491687203</v>
      </c>
      <c r="T56" s="47">
        <f t="shared" si="11"/>
        <v>82.741979312371427</v>
      </c>
      <c r="U56" s="47">
        <f t="shared" si="12"/>
        <v>100.57148537901995</v>
      </c>
      <c r="W56" s="48">
        <v>3.8999999999999998E-3</v>
      </c>
      <c r="X56" s="49">
        <f t="shared" si="13"/>
        <v>0.39222879297817775</v>
      </c>
      <c r="AA56" t="s">
        <v>5</v>
      </c>
      <c r="AC56" s="47">
        <f>$B$50/(1+P32)^AC$52</f>
        <v>5</v>
      </c>
      <c r="AD56" s="47">
        <f>$B$50/(1+Q32)^AD$52</f>
        <v>5</v>
      </c>
      <c r="AE56" s="47">
        <f>$B$50/(1+R32)^AE$52</f>
        <v>5</v>
      </c>
      <c r="AF56" s="47">
        <f>$B$50/(1+S32)^AF$52</f>
        <v>2.0824656393169513E-3</v>
      </c>
      <c r="AG56" s="47">
        <f>($B$50+$B$48)/(1+T32)^AG$52</f>
        <v>2.3664368851731461E-3</v>
      </c>
      <c r="AH56" s="47">
        <f>SUM(AC56:AG56)</f>
        <v>15.004448902524491</v>
      </c>
      <c r="AJ56" s="48">
        <v>1E-4</v>
      </c>
      <c r="AK56" s="49">
        <f>AH56*AJ56</f>
        <v>1.5004448902524491E-3</v>
      </c>
    </row>
    <row r="57" spans="1:37">
      <c r="A57" t="s">
        <v>6</v>
      </c>
      <c r="C57" s="50">
        <f t="shared" si="7"/>
        <v>4.7728140511645663</v>
      </c>
      <c r="D57" s="50">
        <f t="shared" si="7"/>
        <v>4.5472653491941468</v>
      </c>
      <c r="E57" s="50">
        <f t="shared" si="7"/>
        <v>4.3377518125506604</v>
      </c>
      <c r="F57" s="50">
        <f t="shared" si="7"/>
        <v>4.1260727079510584</v>
      </c>
      <c r="G57" s="50">
        <f t="shared" si="5"/>
        <v>82.309434983230403</v>
      </c>
      <c r="H57" s="50">
        <f t="shared" si="8"/>
        <v>100.09333890409084</v>
      </c>
      <c r="J57" s="26">
        <v>9.74E-2</v>
      </c>
      <c r="K57" s="49">
        <f t="shared" si="9"/>
        <v>9.7490912092584487</v>
      </c>
      <c r="N57" t="s">
        <v>6</v>
      </c>
      <c r="P57" s="47">
        <f t="shared" si="10"/>
        <v>4.7728140511645663</v>
      </c>
      <c r="Q57" s="47">
        <f t="shared" si="6"/>
        <v>4.5472653491941468</v>
      </c>
      <c r="R57" s="47">
        <f t="shared" si="6"/>
        <v>4.3377518125506604</v>
      </c>
      <c r="S57" s="47">
        <f t="shared" si="6"/>
        <v>4.1260727079510584</v>
      </c>
      <c r="T57" s="47">
        <f t="shared" si="11"/>
        <v>82.309434983230403</v>
      </c>
      <c r="U57" s="47">
        <f t="shared" si="12"/>
        <v>100.09333890409084</v>
      </c>
      <c r="W57" s="48">
        <v>5.1900000000000002E-2</v>
      </c>
      <c r="X57" s="49">
        <f t="shared" si="13"/>
        <v>5.1948442891223152</v>
      </c>
      <c r="AA57" t="s">
        <v>6</v>
      </c>
      <c r="AC57" s="47">
        <f>$B$50/(1+P33)^AC$52</f>
        <v>5</v>
      </c>
      <c r="AD57" s="47">
        <f>$B$50/(1+Q33)^AD$52</f>
        <v>5</v>
      </c>
      <c r="AE57" s="47">
        <f>$B$50/(1+R33)^AE$52</f>
        <v>5</v>
      </c>
      <c r="AF57" s="47">
        <f>$B$50/(1+S33)^AF$52</f>
        <v>5.4641076429205659E-3</v>
      </c>
      <c r="AG57" s="47">
        <f>($B$50+$B$48)/(1+T33)^AG$52</f>
        <v>6.2474013803791376E-3</v>
      </c>
      <c r="AH57" s="47">
        <f>SUM(AC57:AG57)</f>
        <v>15.0117115090233</v>
      </c>
      <c r="AJ57" s="48">
        <v>5.0000000000000001E-4</v>
      </c>
      <c r="AK57" s="49">
        <f>AH57*AJ57</f>
        <v>7.5058557545116499E-3</v>
      </c>
    </row>
    <row r="58" spans="1:37">
      <c r="A58" t="s">
        <v>7</v>
      </c>
      <c r="C58" s="50">
        <f t="shared" si="7"/>
        <v>4.7678077619910368</v>
      </c>
      <c r="D58" s="50">
        <f t="shared" si="7"/>
        <v>4.5377400161574393</v>
      </c>
      <c r="E58" s="50">
        <f t="shared" si="7"/>
        <v>4.3241279708209834</v>
      </c>
      <c r="F58" s="50">
        <f t="shared" si="7"/>
        <v>4.1088145730120029</v>
      </c>
      <c r="G58" s="50">
        <f t="shared" si="5"/>
        <v>81.879601236394038</v>
      </c>
      <c r="H58" s="50">
        <f t="shared" si="8"/>
        <v>99.618091558375497</v>
      </c>
      <c r="J58" s="26">
        <v>2.18E-2</v>
      </c>
      <c r="K58" s="49">
        <f t="shared" si="9"/>
        <v>2.1716743959725857</v>
      </c>
      <c r="N58" s="82" t="s">
        <v>7</v>
      </c>
      <c r="O58" s="82"/>
      <c r="P58" s="86">
        <f t="shared" si="10"/>
        <v>4.7678077619910368</v>
      </c>
      <c r="Q58" s="86">
        <f t="shared" si="6"/>
        <v>4.5377400161574393</v>
      </c>
      <c r="R58" s="86">
        <f t="shared" si="6"/>
        <v>4.3241279708209834</v>
      </c>
      <c r="S58" s="86">
        <f t="shared" si="6"/>
        <v>4.1088145730120029</v>
      </c>
      <c r="T58" s="86">
        <f t="shared" si="11"/>
        <v>81.879601236394038</v>
      </c>
      <c r="U58" s="86">
        <f t="shared" si="12"/>
        <v>99.618091558375497</v>
      </c>
      <c r="V58" s="82"/>
      <c r="W58" s="83">
        <v>0.79359999999999997</v>
      </c>
      <c r="X58" s="87">
        <f t="shared" si="13"/>
        <v>79.056917460726794</v>
      </c>
      <c r="AA58" s="82" t="s">
        <v>7</v>
      </c>
      <c r="AB58" s="82"/>
      <c r="AC58" s="86">
        <f>$B$50/(1+P34)^AC$52</f>
        <v>5</v>
      </c>
      <c r="AD58" s="86">
        <f>$B$50/(1+Q34)^AD$52</f>
        <v>5</v>
      </c>
      <c r="AE58" s="86">
        <f>$B$50/(1+R34)^AE$52</f>
        <v>5</v>
      </c>
      <c r="AF58" s="86">
        <f>$B$50/(1+S34)^AF$52</f>
        <v>8.0000000000000002E-3</v>
      </c>
      <c r="AG58" s="86">
        <f>($B$50+$B$48)/(1+T34)^AG$52</f>
        <v>2.0862975421122011E-2</v>
      </c>
      <c r="AH58" s="86">
        <f>SUM(AC58:AG58)</f>
        <v>15.028862975421122</v>
      </c>
      <c r="AI58" s="82"/>
      <c r="AJ58" s="83">
        <v>4.3999999999999997E-2</v>
      </c>
      <c r="AK58" s="87">
        <f>AH58*AJ58</f>
        <v>0.66126997091852935</v>
      </c>
    </row>
    <row r="59" spans="1:37">
      <c r="A59" t="s">
        <v>8</v>
      </c>
      <c r="C59" s="47">
        <f t="shared" si="7"/>
        <v>4.7609979051609219</v>
      </c>
      <c r="D59" s="47">
        <f t="shared" si="7"/>
        <v>4.5247990844412946</v>
      </c>
      <c r="E59" s="47">
        <f t="shared" si="7"/>
        <v>4.3056417942404472</v>
      </c>
      <c r="F59" s="47">
        <f t="shared" si="7"/>
        <v>4.0854259056314532</v>
      </c>
      <c r="G59" s="47">
        <f t="shared" si="5"/>
        <v>81.297796859344089</v>
      </c>
      <c r="H59" s="47">
        <f t="shared" si="8"/>
        <v>98.974661548818204</v>
      </c>
      <c r="J59" s="48">
        <v>5.7000000000000002E-3</v>
      </c>
      <c r="K59" s="49">
        <f t="shared" si="9"/>
        <v>0.56415557082826373</v>
      </c>
      <c r="N59" t="s">
        <v>8</v>
      </c>
      <c r="P59" s="47">
        <f t="shared" si="10"/>
        <v>4.7609979051609219</v>
      </c>
      <c r="Q59" s="47">
        <f t="shared" si="6"/>
        <v>4.5247990844412946</v>
      </c>
      <c r="R59" s="47">
        <f t="shared" si="6"/>
        <v>4.3056417942404472</v>
      </c>
      <c r="S59" s="47">
        <f t="shared" si="6"/>
        <v>4.0854259056314532</v>
      </c>
      <c r="T59" s="47">
        <f t="shared" si="11"/>
        <v>81.297796859344089</v>
      </c>
      <c r="U59" s="47">
        <f t="shared" si="12"/>
        <v>98.974661548818204</v>
      </c>
      <c r="W59" s="48">
        <v>6.6100000000000006E-2</v>
      </c>
      <c r="X59" s="49">
        <f t="shared" si="13"/>
        <v>6.5422251283768835</v>
      </c>
      <c r="AA59" t="s">
        <v>8</v>
      </c>
      <c r="AC59" s="47">
        <f>$B$50/(1+P35)^AC$52</f>
        <v>5</v>
      </c>
      <c r="AD59" s="47">
        <f>$B$50/(1+Q35)^AD$52</f>
        <v>5</v>
      </c>
      <c r="AE59" s="47">
        <f>$B$50/(1+R35)^AE$52</f>
        <v>5</v>
      </c>
      <c r="AF59" s="47">
        <f>$B$50/(1+S35)^AF$52</f>
        <v>1.2193263222069806E-2</v>
      </c>
      <c r="AG59" s="47">
        <f>($B$50+$B$48)/(1+T35)^AG$52</f>
        <v>3.3600003360000179E-2</v>
      </c>
      <c r="AH59" s="47">
        <f>SUM(AC59:AG59)</f>
        <v>15.04579326658207</v>
      </c>
      <c r="AJ59" s="48">
        <v>0</v>
      </c>
      <c r="AK59" s="49">
        <f>AH59*AJ59</f>
        <v>0</v>
      </c>
    </row>
    <row r="60" spans="1:37">
      <c r="A60" t="s">
        <v>9</v>
      </c>
      <c r="C60" s="47">
        <f t="shared" si="7"/>
        <v>4.7523999619808004</v>
      </c>
      <c r="D60" s="47">
        <f t="shared" si="7"/>
        <v>4.5084865541737358</v>
      </c>
      <c r="E60" s="47">
        <f t="shared" si="7"/>
        <v>4.2823769302660928</v>
      </c>
      <c r="F60" s="47">
        <f t="shared" si="7"/>
        <v>4.0560386443399521</v>
      </c>
      <c r="G60" s="47">
        <f t="shared" si="5"/>
        <v>80.567949885200989</v>
      </c>
      <c r="H60" s="47">
        <f t="shared" si="8"/>
        <v>98.167251975961562</v>
      </c>
      <c r="J60" s="48">
        <v>2.3999999999999998E-3</v>
      </c>
      <c r="K60" s="49">
        <f t="shared" si="9"/>
        <v>0.23560140474230773</v>
      </c>
      <c r="N60" t="s">
        <v>9</v>
      </c>
      <c r="P60" s="47">
        <f t="shared" si="10"/>
        <v>4.7523999619808004</v>
      </c>
      <c r="Q60" s="47">
        <f t="shared" si="6"/>
        <v>4.5084865541737358</v>
      </c>
      <c r="R60" s="47">
        <f t="shared" si="6"/>
        <v>4.2823769302660928</v>
      </c>
      <c r="S60" s="47">
        <f t="shared" si="6"/>
        <v>4.0560386443399521</v>
      </c>
      <c r="T60" s="47">
        <f t="shared" si="11"/>
        <v>80.567949885200989</v>
      </c>
      <c r="U60" s="47">
        <f t="shared" si="12"/>
        <v>98.167251975961562</v>
      </c>
      <c r="W60" s="48">
        <v>2.3199999999999998E-2</v>
      </c>
      <c r="X60" s="49">
        <f t="shared" si="13"/>
        <v>2.277480245842308</v>
      </c>
      <c r="AA60" t="s">
        <v>9</v>
      </c>
      <c r="AC60" s="47">
        <f>$B$50/(1+P36)^AC$52</f>
        <v>5</v>
      </c>
      <c r="AD60" s="47">
        <f>$B$50/(1+Q36)^AD$52</f>
        <v>5</v>
      </c>
      <c r="AE60" s="47">
        <f>$B$50/(1+R36)^AE$52</f>
        <v>5</v>
      </c>
      <c r="AF60" s="47">
        <f>$B$50/(1+S36)^AF$52</f>
        <v>1.953125E-2</v>
      </c>
      <c r="AG60" s="47">
        <f>($B$50+$B$48)/(1+T36)^AG$52</f>
        <v>5.6901958260695731E-2</v>
      </c>
      <c r="AH60" s="47">
        <f>SUM(AC60:AG60)</f>
        <v>15.076433208260696</v>
      </c>
      <c r="AJ60" s="48">
        <v>0</v>
      </c>
      <c r="AK60" s="49">
        <f>AH60*AJ60</f>
        <v>0</v>
      </c>
    </row>
    <row r="61" spans="1:37">
      <c r="A61" t="s">
        <v>10</v>
      </c>
      <c r="C61" s="47">
        <f t="shared" si="7"/>
        <v>4.7438330170777983</v>
      </c>
      <c r="D61" s="47">
        <f t="shared" si="7"/>
        <v>4.4922620785696639</v>
      </c>
      <c r="E61" s="47">
        <f t="shared" si="7"/>
        <v>4.2592793756106397</v>
      </c>
      <c r="F61" s="47">
        <f t="shared" si="7"/>
        <v>4.0269151438560389</v>
      </c>
      <c r="G61" s="47">
        <f t="shared" si="5"/>
        <v>79.845951409129341</v>
      </c>
      <c r="H61" s="47">
        <f t="shared" si="8"/>
        <v>97.368241024243474</v>
      </c>
      <c r="J61" s="48">
        <v>1.4E-3</v>
      </c>
      <c r="K61" s="49">
        <f t="shared" si="9"/>
        <v>0.13631553743394087</v>
      </c>
      <c r="N61" t="s">
        <v>10</v>
      </c>
      <c r="P61" s="47">
        <f t="shared" si="10"/>
        <v>4.7438330170777983</v>
      </c>
      <c r="Q61" s="47">
        <f t="shared" si="6"/>
        <v>4.4922620785696639</v>
      </c>
      <c r="R61" s="47">
        <f t="shared" si="6"/>
        <v>4.2592793756106397</v>
      </c>
      <c r="S61" s="47">
        <f t="shared" si="6"/>
        <v>4.0269151438560389</v>
      </c>
      <c r="T61" s="47">
        <f t="shared" si="11"/>
        <v>79.845951409129341</v>
      </c>
      <c r="U61" s="47">
        <f t="shared" si="12"/>
        <v>97.368241024243474</v>
      </c>
      <c r="W61" s="48">
        <v>8.0999999999999996E-3</v>
      </c>
      <c r="X61" s="49">
        <f t="shared" si="13"/>
        <v>0.78868275229637208</v>
      </c>
      <c r="AA61" t="s">
        <v>10</v>
      </c>
      <c r="AC61" s="47">
        <f>$B$50/(1+P37)^AC$52</f>
        <v>5</v>
      </c>
      <c r="AD61" s="47">
        <f>$B$50/(1+Q37)^AD$52</f>
        <v>5</v>
      </c>
      <c r="AE61" s="47">
        <f>$B$50/(1+R37)^AE$52</f>
        <v>5</v>
      </c>
      <c r="AF61" s="47">
        <f>$B$50/(1+S37)^AF$52</f>
        <v>3.3319450229071221E-2</v>
      </c>
      <c r="AG61" s="47">
        <f>($B$50+$B$48)/(1+T37)^AG$52</f>
        <v>0.10253919067392427</v>
      </c>
      <c r="AH61" s="47">
        <f>SUM(AC61:AG61)</f>
        <v>15.135858640902995</v>
      </c>
      <c r="AJ61" s="48">
        <v>0</v>
      </c>
      <c r="AK61" s="49">
        <f>AH61*AJ61</f>
        <v>0</v>
      </c>
    </row>
    <row r="62" spans="1:37">
      <c r="A62" t="s">
        <v>11</v>
      </c>
      <c r="C62" s="47">
        <f t="shared" si="7"/>
        <v>4.7303689687795654</v>
      </c>
      <c r="D62" s="47">
        <f t="shared" si="7"/>
        <v>4.4668222311955716</v>
      </c>
      <c r="E62" s="47">
        <f t="shared" si="7"/>
        <v>4.2231465552145089</v>
      </c>
      <c r="F62" s="47">
        <f t="shared" si="7"/>
        <v>3.9814608140776779</v>
      </c>
      <c r="G62" s="47">
        <f t="shared" si="5"/>
        <v>78.721695199289826</v>
      </c>
      <c r="H62" s="47">
        <f t="shared" si="8"/>
        <v>96.123493768557154</v>
      </c>
      <c r="J62" s="48">
        <v>5.9999999999999995E-4</v>
      </c>
      <c r="K62" s="49">
        <f t="shared" si="9"/>
        <v>5.7674096261134289E-2</v>
      </c>
      <c r="N62" t="s">
        <v>11</v>
      </c>
      <c r="P62" s="47">
        <f t="shared" si="10"/>
        <v>4.7303689687795654</v>
      </c>
      <c r="Q62" s="47">
        <f t="shared" si="6"/>
        <v>4.4668222311955716</v>
      </c>
      <c r="R62" s="47">
        <f t="shared" si="6"/>
        <v>4.2231465552145089</v>
      </c>
      <c r="S62" s="47">
        <f t="shared" si="6"/>
        <v>3.9814608140776779</v>
      </c>
      <c r="T62" s="47">
        <f t="shared" si="11"/>
        <v>78.721695199289826</v>
      </c>
      <c r="U62" s="47">
        <f t="shared" si="12"/>
        <v>96.123493768557154</v>
      </c>
      <c r="W62" s="48">
        <v>2.5000000000000001E-3</v>
      </c>
      <c r="X62" s="49">
        <f t="shared" si="13"/>
        <v>0.24030873442139289</v>
      </c>
      <c r="AA62" t="s">
        <v>11</v>
      </c>
      <c r="AC62" s="47">
        <f>$B$50/(1+P38)^AC$52</f>
        <v>5</v>
      </c>
      <c r="AD62" s="47">
        <f>$B$50/(1+Q38)^AD$52</f>
        <v>5</v>
      </c>
      <c r="AE62" s="47">
        <f>$B$50/(1+R38)^AE$52</f>
        <v>5</v>
      </c>
      <c r="AF62" s="47">
        <f>$B$50/(1+S38)^AF$52</f>
        <v>6.1728395061728392E-2</v>
      </c>
      <c r="AG62" s="47">
        <f>($B$50+$B$48)/(1+T38)^AG$52</f>
        <v>0.19991698696995985</v>
      </c>
      <c r="AH62" s="47">
        <f>SUM(AC62:AG62)</f>
        <v>15.261645382031688</v>
      </c>
      <c r="AJ62" s="48">
        <v>0</v>
      </c>
      <c r="AK62" s="49">
        <f>AH62*AJ62</f>
        <v>0</v>
      </c>
    </row>
    <row r="63" spans="1:37">
      <c r="A63" t="s">
        <v>12</v>
      </c>
      <c r="C63" s="47">
        <f t="shared" si="7"/>
        <v>4.7169811320754711</v>
      </c>
      <c r="D63" s="47">
        <f t="shared" si="7"/>
        <v>4.4415978737182664</v>
      </c>
      <c r="E63" s="47">
        <f t="shared" si="7"/>
        <v>4.1874212834182725</v>
      </c>
      <c r="F63" s="47">
        <f t="shared" si="7"/>
        <v>3.9366460179180027</v>
      </c>
      <c r="G63" s="47">
        <f t="shared" si="5"/>
        <v>77.616381455287012</v>
      </c>
      <c r="H63" s="47">
        <f t="shared" si="8"/>
        <v>94.89902776241702</v>
      </c>
      <c r="J63" s="48">
        <v>2.9999999999999997E-4</v>
      </c>
      <c r="K63" s="49">
        <f t="shared" si="9"/>
        <v>2.8469708328725103E-2</v>
      </c>
      <c r="N63" t="s">
        <v>12</v>
      </c>
      <c r="P63" s="47">
        <f t="shared" si="10"/>
        <v>4.7169811320754711</v>
      </c>
      <c r="Q63" s="47">
        <f t="shared" si="6"/>
        <v>4.4415978737182664</v>
      </c>
      <c r="R63" s="47">
        <f t="shared" si="6"/>
        <v>4.1874212834182725</v>
      </c>
      <c r="S63" s="47">
        <f t="shared" si="6"/>
        <v>3.9366460179180027</v>
      </c>
      <c r="T63" s="47">
        <f t="shared" si="11"/>
        <v>77.616381455287012</v>
      </c>
      <c r="U63" s="47">
        <f t="shared" si="12"/>
        <v>94.89902776241702</v>
      </c>
      <c r="W63" s="48">
        <v>8.9999999999999998E-4</v>
      </c>
      <c r="X63" s="49">
        <f t="shared" si="13"/>
        <v>8.5409124986175311E-2</v>
      </c>
      <c r="AA63" t="s">
        <v>12</v>
      </c>
      <c r="AC63" s="47">
        <f>$B$50/(1+P39)^AC$52</f>
        <v>5</v>
      </c>
      <c r="AD63" s="47">
        <f>$B$50/(1+Q39)^AD$52</f>
        <v>5</v>
      </c>
      <c r="AE63" s="47">
        <f>$B$50/(1+R39)^AE$52</f>
        <v>5</v>
      </c>
      <c r="AF63" s="47">
        <f>$B$50/(1+S39)^AF$52</f>
        <v>0.128</v>
      </c>
      <c r="AG63" s="47">
        <f>($B$50+$B$48)/(1+T39)^AG$52</f>
        <v>0.43209948559742806</v>
      </c>
      <c r="AH63" s="47">
        <f>SUM(AC63:AG63)</f>
        <v>15.560099485597428</v>
      </c>
      <c r="AJ63" s="48">
        <v>0</v>
      </c>
      <c r="AK63" s="49">
        <f>AH63*AJ63</f>
        <v>0</v>
      </c>
    </row>
    <row r="64" spans="1:37">
      <c r="A64" t="s">
        <v>13</v>
      </c>
      <c r="C64" s="47">
        <f t="shared" si="7"/>
        <v>4.6965996618448242</v>
      </c>
      <c r="D64" s="47">
        <f t="shared" si="7"/>
        <v>4.4033335136938732</v>
      </c>
      <c r="E64" s="47">
        <f t="shared" si="7"/>
        <v>4.1334210056591365</v>
      </c>
      <c r="F64" s="47">
        <f t="shared" si="7"/>
        <v>3.8691475474751278</v>
      </c>
      <c r="G64" s="47">
        <f t="shared" si="5"/>
        <v>75.957510690079857</v>
      </c>
      <c r="H64" s="47">
        <f t="shared" si="8"/>
        <v>93.060012418752819</v>
      </c>
      <c r="J64" s="48">
        <v>0</v>
      </c>
      <c r="K64" s="49">
        <f t="shared" si="9"/>
        <v>0</v>
      </c>
      <c r="N64" t="s">
        <v>13</v>
      </c>
      <c r="P64" s="47">
        <f t="shared" si="10"/>
        <v>4.6965996618448242</v>
      </c>
      <c r="Q64" s="47">
        <f t="shared" si="6"/>
        <v>4.4033335136938732</v>
      </c>
      <c r="R64" s="47">
        <f t="shared" si="6"/>
        <v>4.1334210056591365</v>
      </c>
      <c r="S64" s="47">
        <f t="shared" si="6"/>
        <v>3.8691475474751278</v>
      </c>
      <c r="T64" s="47">
        <f t="shared" si="11"/>
        <v>75.957510690079857</v>
      </c>
      <c r="U64" s="47">
        <f t="shared" si="12"/>
        <v>93.060012418752819</v>
      </c>
      <c r="W64" s="48">
        <v>1E-3</v>
      </c>
      <c r="X64" s="49">
        <f t="shared" si="13"/>
        <v>9.3060012418752822E-2</v>
      </c>
      <c r="AA64" t="s">
        <v>13</v>
      </c>
      <c r="AC64" s="47">
        <f>$B$50/(1+P40)^AC$52</f>
        <v>5</v>
      </c>
      <c r="AD64" s="47">
        <f>$B$50/(1+Q40)^AD$52</f>
        <v>5</v>
      </c>
      <c r="AE64" s="47">
        <f>$B$50/(1+R40)^AE$52</f>
        <v>5</v>
      </c>
      <c r="AF64" s="47">
        <f>$B$50/(1+S40)^AF$52</f>
        <v>0.1950922115531169</v>
      </c>
      <c r="AG64" s="47">
        <f>($B$50+$B$48)/(1+T40)^AG$52</f>
        <v>1.0752021504025808</v>
      </c>
      <c r="AH64" s="47">
        <f>SUM(AC64:AG64)</f>
        <v>16.270294361955699</v>
      </c>
      <c r="AJ64" s="48">
        <v>0</v>
      </c>
      <c r="AK64" s="49">
        <f>AH64*AJ64</f>
        <v>0</v>
      </c>
    </row>
    <row r="65" spans="1:110">
      <c r="A65" t="s">
        <v>14</v>
      </c>
      <c r="C65" s="47">
        <f t="shared" si="7"/>
        <v>4.6685340802987865</v>
      </c>
      <c r="D65" s="47">
        <f t="shared" si="7"/>
        <v>4.3509133437291148</v>
      </c>
      <c r="E65" s="47">
        <f t="shared" si="7"/>
        <v>4.0598238593992475</v>
      </c>
      <c r="F65" s="47">
        <f t="shared" si="7"/>
        <v>3.7776249126675232</v>
      </c>
      <c r="G65" s="47">
        <f t="shared" si="5"/>
        <v>73.719715797355917</v>
      </c>
      <c r="H65" s="47">
        <f t="shared" si="8"/>
        <v>90.576611993450598</v>
      </c>
      <c r="J65" s="48">
        <v>0</v>
      </c>
      <c r="K65" s="49">
        <f t="shared" si="9"/>
        <v>0</v>
      </c>
      <c r="N65" t="s">
        <v>14</v>
      </c>
      <c r="P65" s="47">
        <f t="shared" si="10"/>
        <v>4.6685340802987865</v>
      </c>
      <c r="Q65" s="47">
        <f t="shared" si="6"/>
        <v>4.3509133437291148</v>
      </c>
      <c r="R65" s="47">
        <f t="shared" si="6"/>
        <v>4.0598238593992475</v>
      </c>
      <c r="S65" s="47">
        <f t="shared" si="6"/>
        <v>3.7776249126675232</v>
      </c>
      <c r="T65" s="47">
        <f t="shared" si="11"/>
        <v>73.719715797355917</v>
      </c>
      <c r="U65" s="47">
        <f t="shared" si="12"/>
        <v>90.576611993450598</v>
      </c>
      <c r="W65" s="48">
        <v>5.9999999999999995E-4</v>
      </c>
      <c r="X65" s="49">
        <f t="shared" si="13"/>
        <v>5.4345967196070356E-2</v>
      </c>
      <c r="AA65" t="s">
        <v>14</v>
      </c>
      <c r="AC65" s="47">
        <f>$B$50/(1+P41)^AC$52</f>
        <v>5</v>
      </c>
      <c r="AD65" s="47">
        <f>$B$50/(1+Q41)^AD$52</f>
        <v>5</v>
      </c>
      <c r="AE65" s="47">
        <f>$B$50/(1+R41)^AE$52</f>
        <v>5</v>
      </c>
      <c r="AF65" s="47">
        <f>$B$50/(1+S41)^AF$52</f>
        <v>0.47629934461210172</v>
      </c>
      <c r="AG65" s="47">
        <f>($B$50+$B$48)/(1+T41)^AG$52</f>
        <v>1.8208646875248007</v>
      </c>
      <c r="AH65" s="47">
        <f>SUM(AC65:AG65)</f>
        <v>17.297164032136902</v>
      </c>
      <c r="AJ65" s="48">
        <v>0</v>
      </c>
      <c r="AK65" s="49">
        <f>AH65*AJ65</f>
        <v>0</v>
      </c>
    </row>
    <row r="66" spans="1:110">
      <c r="A66" t="s">
        <v>15</v>
      </c>
      <c r="C66" s="47">
        <f t="shared" si="7"/>
        <v>4.6408019305736037</v>
      </c>
      <c r="D66" s="47">
        <f t="shared" si="7"/>
        <v>4.2994236983683933</v>
      </c>
      <c r="E66" s="47">
        <f t="shared" si="7"/>
        <v>3.9879636280778188</v>
      </c>
      <c r="F66" s="47">
        <f t="shared" si="7"/>
        <v>3.688792494848014</v>
      </c>
      <c r="G66" s="47">
        <f t="shared" si="5"/>
        <v>71.560570168179709</v>
      </c>
      <c r="H66" s="47">
        <f t="shared" si="8"/>
        <v>88.177551920047534</v>
      </c>
      <c r="J66" s="48">
        <v>2.9999999999999997E-4</v>
      </c>
      <c r="K66" s="49">
        <f t="shared" si="9"/>
        <v>2.6453265576014257E-2</v>
      </c>
      <c r="N66" t="s">
        <v>15</v>
      </c>
      <c r="P66" s="47">
        <f t="shared" si="10"/>
        <v>4.6408019305736037</v>
      </c>
      <c r="Q66" s="47">
        <f t="shared" si="6"/>
        <v>4.2994236983683933</v>
      </c>
      <c r="R66" s="47">
        <f t="shared" si="6"/>
        <v>3.9879636280778188</v>
      </c>
      <c r="S66" s="47">
        <f t="shared" si="6"/>
        <v>3.688792494848014</v>
      </c>
      <c r="T66" s="47">
        <f t="shared" si="11"/>
        <v>71.560570168179709</v>
      </c>
      <c r="U66" s="47">
        <f t="shared" si="12"/>
        <v>88.177551920047534</v>
      </c>
      <c r="W66" s="48">
        <v>8.0000000000000004E-4</v>
      </c>
      <c r="X66" s="49">
        <f t="shared" si="13"/>
        <v>7.0542041536038033E-2</v>
      </c>
      <c r="AA66" t="s">
        <v>15</v>
      </c>
      <c r="AC66" s="47">
        <f>$B$50/(1+P42)^AC$52</f>
        <v>5</v>
      </c>
      <c r="AD66" s="47">
        <f>$B$50/(1+Q42)^AD$52</f>
        <v>5</v>
      </c>
      <c r="AE66" s="47">
        <f>$B$50/(1+R42)^AE$52</f>
        <v>5</v>
      </c>
      <c r="AF66" s="47">
        <f>$B$50/(1+S42)^AF$52</f>
        <v>0.98765432098765427</v>
      </c>
      <c r="AG66" s="47">
        <f>($B$50+$B$48)/(1+T42)^AG$52</f>
        <v>5.5568411227938208</v>
      </c>
      <c r="AH66" s="47">
        <f>SUM(AC66:AG66)</f>
        <v>21.544495443781475</v>
      </c>
      <c r="AJ66" s="48">
        <v>0</v>
      </c>
      <c r="AK66" s="49">
        <f>AH66*AJ66</f>
        <v>0</v>
      </c>
    </row>
    <row r="67" spans="1:110">
      <c r="A67" t="s">
        <v>16</v>
      </c>
      <c r="C67" s="47">
        <f t="shared" si="7"/>
        <v>4.6061722708429302</v>
      </c>
      <c r="D67" s="47">
        <f t="shared" si="7"/>
        <v>4.2355571208292204</v>
      </c>
      <c r="E67" s="47">
        <f t="shared" si="7"/>
        <v>3.8994264529213143</v>
      </c>
      <c r="F67" s="47">
        <f t="shared" si="7"/>
        <v>3.5800741465424171</v>
      </c>
      <c r="G67" s="47">
        <f t="shared" si="5"/>
        <v>68.935674084214909</v>
      </c>
      <c r="H67" s="47">
        <f t="shared" si="8"/>
        <v>85.256904075350789</v>
      </c>
      <c r="J67" s="48">
        <v>8.0000000000000004E-4</v>
      </c>
      <c r="K67" s="49">
        <f t="shared" si="9"/>
        <v>6.8205523260280634E-2</v>
      </c>
      <c r="N67" t="s">
        <v>16</v>
      </c>
      <c r="P67" s="47">
        <f t="shared" si="10"/>
        <v>4.6061722708429302</v>
      </c>
      <c r="Q67" s="47">
        <f t="shared" si="6"/>
        <v>4.2355571208292204</v>
      </c>
      <c r="R67" s="47">
        <f t="shared" si="6"/>
        <v>3.8994264529213143</v>
      </c>
      <c r="S67" s="47">
        <f t="shared" si="6"/>
        <v>3.5800741465424171</v>
      </c>
      <c r="T67" s="47">
        <f t="shared" si="11"/>
        <v>68.935674084214909</v>
      </c>
      <c r="U67" s="47">
        <f t="shared" si="12"/>
        <v>85.256904075350789</v>
      </c>
      <c r="W67" s="48">
        <v>2.0000000000000001E-4</v>
      </c>
      <c r="X67" s="49">
        <f t="shared" si="13"/>
        <v>1.7051380815070159E-2</v>
      </c>
      <c r="AA67" t="s">
        <v>16</v>
      </c>
      <c r="AC67" s="47">
        <f>$B$50/(1+P43)^AC$52</f>
        <v>5</v>
      </c>
      <c r="AD67" s="47">
        <f>$B$50/(1+Q43)^AD$52</f>
        <v>5</v>
      </c>
      <c r="AE67" s="47">
        <f>$B$50/(1+R43)^AE$52</f>
        <v>5</v>
      </c>
      <c r="AF67" s="47">
        <f>$B$50/(1+S43)^AF$52</f>
        <v>5.0002000050001003E-20</v>
      </c>
      <c r="AG67" s="47">
        <f>($B$50+$B$48)/(1+T43)^AG$52</f>
        <v>13.827206584454318</v>
      </c>
      <c r="AH67" s="47">
        <f>SUM(AC67:AG67)</f>
        <v>28.827206584454316</v>
      </c>
      <c r="AJ67" s="48">
        <v>0</v>
      </c>
      <c r="AK67" s="49">
        <f>AH67*AJ67</f>
        <v>0</v>
      </c>
    </row>
    <row r="68" spans="1:110">
      <c r="A68" t="s">
        <v>17</v>
      </c>
      <c r="C68" s="47">
        <f t="shared" si="7"/>
        <v>4.5607954027182336</v>
      </c>
      <c r="D68" s="47">
        <f t="shared" si="7"/>
        <v>4.1525918372884298</v>
      </c>
      <c r="E68" s="47">
        <f t="shared" si="7"/>
        <v>3.7854072322690682</v>
      </c>
      <c r="F68" s="47">
        <f t="shared" si="7"/>
        <v>3.4412709157237305</v>
      </c>
      <c r="G68" s="47">
        <f t="shared" si="5"/>
        <v>65.613216095267731</v>
      </c>
      <c r="H68" s="47">
        <f t="shared" si="8"/>
        <v>81.553281483267199</v>
      </c>
      <c r="J68" s="48">
        <v>0</v>
      </c>
      <c r="K68" s="49">
        <f t="shared" si="9"/>
        <v>0</v>
      </c>
      <c r="N68" t="s">
        <v>17</v>
      </c>
      <c r="P68" s="47">
        <f t="shared" si="10"/>
        <v>4.5607954027182336</v>
      </c>
      <c r="Q68" s="47">
        <f t="shared" si="6"/>
        <v>4.1525918372884298</v>
      </c>
      <c r="R68" s="47">
        <f t="shared" si="6"/>
        <v>3.7854072322690682</v>
      </c>
      <c r="S68" s="47">
        <f t="shared" si="6"/>
        <v>3.4412709157237305</v>
      </c>
      <c r="T68" s="47">
        <f t="shared" si="11"/>
        <v>65.613216095267731</v>
      </c>
      <c r="U68" s="47">
        <f t="shared" si="12"/>
        <v>81.553281483267199</v>
      </c>
      <c r="W68" s="48">
        <v>0</v>
      </c>
      <c r="X68" s="49">
        <f t="shared" si="13"/>
        <v>0</v>
      </c>
      <c r="AA68" t="s">
        <v>17</v>
      </c>
      <c r="AC68" s="47">
        <f>$B$50/(1+P44)^AC$52</f>
        <v>5</v>
      </c>
      <c r="AD68" s="47">
        <f>$B$50/(1+Q44)^AD$52</f>
        <v>5</v>
      </c>
      <c r="AE68" s="47">
        <f>$B$50/(1+R44)^AE$52</f>
        <v>5</v>
      </c>
      <c r="AF68" s="47">
        <f>$B$50/(1+S44)^AF$52</f>
        <v>5</v>
      </c>
      <c r="AG68" s="47">
        <f>($B$50+$B$48)/(1+T44)^AG$52</f>
        <v>105</v>
      </c>
      <c r="AH68" s="47">
        <f>SUM(AC68:AG68)</f>
        <v>125</v>
      </c>
      <c r="AJ68" s="48">
        <v>0</v>
      </c>
      <c r="AK68" s="49">
        <f>AH68*AJ68</f>
        <v>0</v>
      </c>
    </row>
    <row r="69" spans="1:110">
      <c r="A69" t="s">
        <v>21</v>
      </c>
      <c r="C69" s="47">
        <f t="shared" si="7"/>
        <v>4.4189129474149365</v>
      </c>
      <c r="D69" s="47">
        <f t="shared" si="7"/>
        <v>3.8984644922980958</v>
      </c>
      <c r="E69" s="47">
        <f t="shared" si="7"/>
        <v>3.443264795167345</v>
      </c>
      <c r="F69" s="47">
        <f t="shared" si="7"/>
        <v>3.0331720551719612</v>
      </c>
      <c r="G69" s="47">
        <f t="shared" si="5"/>
        <v>56.041149624667298</v>
      </c>
      <c r="H69" s="47">
        <f t="shared" si="8"/>
        <v>70.834963914719637</v>
      </c>
      <c r="J69" s="48">
        <v>0</v>
      </c>
      <c r="K69" s="49">
        <f t="shared" si="9"/>
        <v>0</v>
      </c>
      <c r="N69" t="s">
        <v>21</v>
      </c>
      <c r="P69" s="47">
        <f t="shared" si="10"/>
        <v>4.4189129474149365</v>
      </c>
      <c r="Q69" s="47">
        <f t="shared" si="10"/>
        <v>3.8984644922980958</v>
      </c>
      <c r="R69" s="47">
        <f t="shared" si="10"/>
        <v>3.443264795167345</v>
      </c>
      <c r="S69" s="47">
        <f t="shared" si="10"/>
        <v>3.0331720551719612</v>
      </c>
      <c r="T69" s="47">
        <f t="shared" si="11"/>
        <v>56.041149624667298</v>
      </c>
      <c r="U69" s="47">
        <f t="shared" si="12"/>
        <v>70.834963914719637</v>
      </c>
      <c r="W69" s="48">
        <v>1E-4</v>
      </c>
      <c r="X69" s="49">
        <f t="shared" si="13"/>
        <v>7.0834963914719641E-3</v>
      </c>
      <c r="AA69" t="s">
        <v>21</v>
      </c>
      <c r="AC69" s="47">
        <f>$B$50/(1+P45)^AC$52</f>
        <v>5</v>
      </c>
      <c r="AD69" s="47">
        <f>$B$50/(1+Q45)^AD$52</f>
        <v>5</v>
      </c>
      <c r="AE69" s="47">
        <f>$B$50/(1+R45)^AE$52</f>
        <v>5</v>
      </c>
      <c r="AF69" s="47">
        <f>$B$50/(1+S45)^AF$52</f>
        <v>5</v>
      </c>
      <c r="AG69" s="47">
        <f>($B$50+$B$48)/(1+T45)^AG$52</f>
        <v>105</v>
      </c>
      <c r="AH69" s="47">
        <f>SUM(AC69:AG69)</f>
        <v>125</v>
      </c>
      <c r="AJ69" s="48">
        <v>0</v>
      </c>
      <c r="AK69" s="49">
        <f>AH69*AJ69</f>
        <v>0</v>
      </c>
    </row>
    <row r="70" spans="1:110">
      <c r="A70" t="s">
        <v>19</v>
      </c>
      <c r="H70">
        <v>43.18</v>
      </c>
      <c r="J70" s="48">
        <v>2.9999999999999997E-4</v>
      </c>
      <c r="K70" s="49">
        <f t="shared" si="9"/>
        <v>1.2953999999999999E-2</v>
      </c>
      <c r="N70" t="s">
        <v>19</v>
      </c>
      <c r="U70">
        <v>44.17</v>
      </c>
      <c r="W70" s="48">
        <v>5.0000000000000001E-4</v>
      </c>
      <c r="X70" s="49">
        <f t="shared" si="13"/>
        <v>2.2085E-2</v>
      </c>
      <c r="AA70" t="s">
        <v>19</v>
      </c>
      <c r="AH70">
        <v>44.17</v>
      </c>
      <c r="AJ70" s="48">
        <v>0</v>
      </c>
      <c r="AK70" s="49">
        <f>AH70*AJ70</f>
        <v>0</v>
      </c>
    </row>
    <row r="71" spans="1:110">
      <c r="A71" t="s">
        <v>20</v>
      </c>
      <c r="J71">
        <v>4.0899999999999999E-2</v>
      </c>
      <c r="K71" s="52">
        <f>SUM(K53:K70)</f>
        <v>96.352852206849064</v>
      </c>
      <c r="X71" s="52">
        <f>SUM(X53:X70)</f>
        <v>95.12556375465978</v>
      </c>
      <c r="AK71" s="52">
        <f>SUM(AK53:AK70)</f>
        <v>0.68527652109368475</v>
      </c>
    </row>
    <row r="72" spans="1:110" ht="16" thickBot="1">
      <c r="K72" s="49"/>
    </row>
    <row r="73" spans="1:110" ht="16" thickBot="1">
      <c r="B73" s="94" t="s">
        <v>52</v>
      </c>
      <c r="C73" s="95"/>
      <c r="D73" s="95"/>
      <c r="E73" s="115"/>
      <c r="F73" s="115"/>
      <c r="G73" s="115"/>
      <c r="H73" s="115"/>
      <c r="I73" s="115"/>
      <c r="J73" s="116"/>
      <c r="M73" s="49"/>
      <c r="Y73" s="94" t="s">
        <v>53</v>
      </c>
      <c r="Z73" s="95"/>
      <c r="AA73" s="115"/>
      <c r="AB73" s="115"/>
      <c r="AC73" s="115"/>
      <c r="AD73" s="115"/>
      <c r="AE73" s="115"/>
      <c r="AF73" s="116"/>
      <c r="AG73" s="116"/>
      <c r="AT73" s="96" t="s">
        <v>54</v>
      </c>
      <c r="AU73" s="97"/>
      <c r="AV73" s="97"/>
      <c r="AW73" s="97"/>
      <c r="AX73" s="97"/>
      <c r="AY73" s="97"/>
      <c r="AZ73" s="97"/>
      <c r="BA73" s="97"/>
      <c r="BB73" s="97"/>
      <c r="BC73" s="98"/>
      <c r="BP73" s="102" t="s">
        <v>55</v>
      </c>
      <c r="BQ73" s="103"/>
      <c r="BR73" s="103"/>
      <c r="BS73" s="103"/>
      <c r="BT73" s="103"/>
      <c r="BU73" s="103"/>
      <c r="BV73" s="103"/>
      <c r="BW73" s="103"/>
      <c r="BX73" s="103"/>
      <c r="BY73" s="103"/>
      <c r="BZ73" s="103"/>
      <c r="CA73" s="104"/>
      <c r="CL73" s="102" t="s">
        <v>56</v>
      </c>
      <c r="CM73" s="103"/>
      <c r="CN73" s="103"/>
      <c r="CO73" s="103"/>
      <c r="CP73" s="103"/>
      <c r="CQ73" s="103"/>
      <c r="CR73" s="103"/>
      <c r="CS73" s="103"/>
      <c r="CT73" s="103"/>
      <c r="CU73" s="103"/>
      <c r="CV73" s="103"/>
      <c r="CW73" s="104"/>
    </row>
    <row r="74" spans="1:110">
      <c r="E74" s="161">
        <v>1</v>
      </c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3"/>
      <c r="AA74" s="161" t="str">
        <f>A3</f>
        <v>Henkel</v>
      </c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3"/>
      <c r="AW74" s="159" t="str">
        <f>A3</f>
        <v>Henkel</v>
      </c>
      <c r="AX74" s="159"/>
      <c r="AY74" s="159"/>
      <c r="AZ74" s="159"/>
      <c r="BA74" s="159"/>
      <c r="BB74" s="159"/>
      <c r="BC74" s="159"/>
      <c r="BD74" s="159"/>
      <c r="BE74" s="159"/>
      <c r="BF74" s="159"/>
      <c r="BG74" s="159"/>
      <c r="BH74" s="159"/>
      <c r="BI74" s="159"/>
      <c r="BJ74" s="159"/>
      <c r="BK74" s="159"/>
      <c r="BL74" s="159"/>
      <c r="BM74" s="159"/>
      <c r="BN74" s="159"/>
      <c r="BS74" s="159" t="str">
        <f>A3</f>
        <v>Henkel</v>
      </c>
      <c r="BT74" s="159"/>
      <c r="BU74" s="159"/>
      <c r="BV74" s="159"/>
      <c r="BW74" s="159"/>
      <c r="BX74" s="159"/>
      <c r="BY74" s="159"/>
      <c r="BZ74" s="159"/>
      <c r="CA74" s="159"/>
      <c r="CB74" s="159"/>
      <c r="CC74" s="159"/>
      <c r="CD74" s="159"/>
      <c r="CE74" s="159"/>
      <c r="CF74" s="159"/>
      <c r="CG74" s="159"/>
      <c r="CH74" s="159"/>
      <c r="CI74" s="159"/>
      <c r="CJ74" s="159"/>
      <c r="CO74" s="159" t="str">
        <f>A3</f>
        <v>Henkel</v>
      </c>
      <c r="CP74" s="159"/>
      <c r="CQ74" s="159"/>
      <c r="CR74" s="159"/>
      <c r="CS74" s="159"/>
      <c r="CT74" s="159"/>
      <c r="CU74" s="159"/>
      <c r="CV74" s="159"/>
      <c r="CW74" s="159"/>
      <c r="CX74" s="159"/>
      <c r="CY74" s="159"/>
      <c r="CZ74" s="159"/>
      <c r="DA74" s="159"/>
      <c r="DB74" s="159"/>
      <c r="DC74" s="159"/>
      <c r="DD74" s="159"/>
      <c r="DE74" s="159"/>
      <c r="DF74" s="159"/>
    </row>
    <row r="75" spans="1:110">
      <c r="E75" s="118" t="s">
        <v>2</v>
      </c>
      <c r="F75" s="119" t="s">
        <v>3</v>
      </c>
      <c r="G75" s="119" t="s">
        <v>4</v>
      </c>
      <c r="H75" s="119" t="s">
        <v>5</v>
      </c>
      <c r="I75" s="119" t="s">
        <v>6</v>
      </c>
      <c r="J75" s="119" t="s">
        <v>7</v>
      </c>
      <c r="K75" s="119" t="s">
        <v>8</v>
      </c>
      <c r="L75" s="119" t="s">
        <v>9</v>
      </c>
      <c r="M75" s="119" t="s">
        <v>10</v>
      </c>
      <c r="N75" s="119" t="s">
        <v>11</v>
      </c>
      <c r="O75" s="119" t="s">
        <v>12</v>
      </c>
      <c r="P75" s="119" t="s">
        <v>13</v>
      </c>
      <c r="Q75" s="119" t="s">
        <v>14</v>
      </c>
      <c r="R75" s="119" t="s">
        <v>15</v>
      </c>
      <c r="S75" s="119" t="s">
        <v>16</v>
      </c>
      <c r="T75" s="119" t="s">
        <v>17</v>
      </c>
      <c r="U75" s="119" t="s">
        <v>21</v>
      </c>
      <c r="V75" s="120" t="s">
        <v>19</v>
      </c>
      <c r="AA75" s="173" t="s">
        <v>2</v>
      </c>
      <c r="AB75" s="174" t="s">
        <v>3</v>
      </c>
      <c r="AC75" s="174" t="s">
        <v>4</v>
      </c>
      <c r="AD75" s="174" t="s">
        <v>5</v>
      </c>
      <c r="AE75" s="174" t="s">
        <v>6</v>
      </c>
      <c r="AF75" s="174" t="s">
        <v>7</v>
      </c>
      <c r="AG75" s="174" t="s">
        <v>8</v>
      </c>
      <c r="AH75" s="174" t="s">
        <v>9</v>
      </c>
      <c r="AI75" s="174" t="s">
        <v>10</v>
      </c>
      <c r="AJ75" s="174" t="s">
        <v>11</v>
      </c>
      <c r="AK75" s="174" t="s">
        <v>12</v>
      </c>
      <c r="AL75" s="174" t="s">
        <v>13</v>
      </c>
      <c r="AM75" s="174" t="s">
        <v>14</v>
      </c>
      <c r="AN75" s="174" t="s">
        <v>15</v>
      </c>
      <c r="AO75" s="174" t="s">
        <v>16</v>
      </c>
      <c r="AP75" s="174" t="s">
        <v>17</v>
      </c>
      <c r="AQ75" s="174" t="s">
        <v>21</v>
      </c>
      <c r="AR75" s="175" t="s">
        <v>19</v>
      </c>
      <c r="AW75" t="s">
        <v>2</v>
      </c>
      <c r="AX75" t="s">
        <v>3</v>
      </c>
      <c r="AY75" t="s">
        <v>4</v>
      </c>
      <c r="AZ75" t="s">
        <v>5</v>
      </c>
      <c r="BA75" t="s">
        <v>6</v>
      </c>
      <c r="BB75" t="s">
        <v>7</v>
      </c>
      <c r="BC75" t="s">
        <v>8</v>
      </c>
      <c r="BD75" t="s">
        <v>9</v>
      </c>
      <c r="BE75" t="s">
        <v>10</v>
      </c>
      <c r="BF75" t="s">
        <v>11</v>
      </c>
      <c r="BG75" t="s">
        <v>12</v>
      </c>
      <c r="BH75" t="s">
        <v>13</v>
      </c>
      <c r="BI75" t="s">
        <v>14</v>
      </c>
      <c r="BJ75" t="s">
        <v>15</v>
      </c>
      <c r="BK75" t="s">
        <v>16</v>
      </c>
      <c r="BL75" t="s">
        <v>17</v>
      </c>
      <c r="BM75" t="s">
        <v>21</v>
      </c>
      <c r="BN75" t="s">
        <v>19</v>
      </c>
      <c r="BS75" t="s">
        <v>2</v>
      </c>
      <c r="BT75" t="s">
        <v>3</v>
      </c>
      <c r="BU75" t="s">
        <v>4</v>
      </c>
      <c r="BV75" t="s">
        <v>5</v>
      </c>
      <c r="BW75" t="s">
        <v>6</v>
      </c>
      <c r="BX75" t="s">
        <v>7</v>
      </c>
      <c r="BY75" t="s">
        <v>8</v>
      </c>
      <c r="BZ75" t="s">
        <v>9</v>
      </c>
      <c r="CA75" t="s">
        <v>10</v>
      </c>
      <c r="CB75" t="s">
        <v>11</v>
      </c>
      <c r="CC75" t="s">
        <v>12</v>
      </c>
      <c r="CD75" t="s">
        <v>13</v>
      </c>
      <c r="CE75" t="s">
        <v>14</v>
      </c>
      <c r="CF75" t="s">
        <v>15</v>
      </c>
      <c r="CG75" t="s">
        <v>16</v>
      </c>
      <c r="CH75" t="s">
        <v>17</v>
      </c>
      <c r="CI75" t="s">
        <v>21</v>
      </c>
      <c r="CJ75" t="s">
        <v>19</v>
      </c>
      <c r="CO75" t="s">
        <v>2</v>
      </c>
      <c r="CP75" t="s">
        <v>3</v>
      </c>
      <c r="CQ75" t="s">
        <v>4</v>
      </c>
      <c r="CR75" t="s">
        <v>5</v>
      </c>
      <c r="CS75" t="s">
        <v>6</v>
      </c>
      <c r="CT75" t="s">
        <v>7</v>
      </c>
      <c r="CU75" t="s">
        <v>8</v>
      </c>
      <c r="CV75" t="s">
        <v>9</v>
      </c>
      <c r="CW75" t="s">
        <v>10</v>
      </c>
      <c r="CX75" t="s">
        <v>11</v>
      </c>
      <c r="CY75" t="s">
        <v>12</v>
      </c>
      <c r="CZ75" t="s">
        <v>13</v>
      </c>
      <c r="DA75" t="s">
        <v>14</v>
      </c>
      <c r="DB75" t="s">
        <v>15</v>
      </c>
      <c r="DC75" t="s">
        <v>16</v>
      </c>
      <c r="DD75" t="s">
        <v>17</v>
      </c>
      <c r="DE75" t="s">
        <v>21</v>
      </c>
      <c r="DF75" t="s">
        <v>19</v>
      </c>
    </row>
    <row r="76" spans="1:110" ht="16" thickBot="1">
      <c r="E76" s="168" cm="1">
        <f t="array" ref="E76:V76">TRANSPOSE(U53:U70)</f>
        <v>101.75754156690746</v>
      </c>
      <c r="F76" s="169">
        <v>101.40426480988</v>
      </c>
      <c r="G76" s="169">
        <v>101.05255197996895</v>
      </c>
      <c r="H76" s="169">
        <v>100.57148537901995</v>
      </c>
      <c r="I76" s="169">
        <v>100.09333890409084</v>
      </c>
      <c r="J76" s="169">
        <v>99.618091558375497</v>
      </c>
      <c r="K76" s="169">
        <v>98.974661548818204</v>
      </c>
      <c r="L76" s="169">
        <v>98.167251975961562</v>
      </c>
      <c r="M76" s="169">
        <v>97.368241024243474</v>
      </c>
      <c r="N76" s="169">
        <v>96.123493768557154</v>
      </c>
      <c r="O76" s="169">
        <v>94.89902776241702</v>
      </c>
      <c r="P76" s="169">
        <v>93.060012418752819</v>
      </c>
      <c r="Q76" s="169">
        <v>90.576611993450598</v>
      </c>
      <c r="R76" s="169">
        <v>88.177551920047534</v>
      </c>
      <c r="S76" s="169">
        <v>85.256904075350789</v>
      </c>
      <c r="T76" s="169">
        <v>81.553281483267199</v>
      </c>
      <c r="U76" s="169">
        <v>70.834963914719637</v>
      </c>
      <c r="V76" s="170">
        <v>44.17</v>
      </c>
      <c r="AA76" s="72">
        <f>B12</f>
        <v>2.9999999999999997E-4</v>
      </c>
      <c r="AB76" s="73">
        <f t="shared" ref="AB76:AR76" si="14">C12</f>
        <v>1E-4</v>
      </c>
      <c r="AC76" s="73">
        <f t="shared" si="14"/>
        <v>5.0000000000000001E-4</v>
      </c>
      <c r="AD76" s="73">
        <f t="shared" si="14"/>
        <v>1.4E-3</v>
      </c>
      <c r="AE76" s="73">
        <f t="shared" si="14"/>
        <v>3.8E-3</v>
      </c>
      <c r="AF76" s="73">
        <f t="shared" si="14"/>
        <v>6.1400000000000003E-2</v>
      </c>
      <c r="AG76" s="73">
        <f t="shared" si="14"/>
        <v>0.78869999999999996</v>
      </c>
      <c r="AH76" s="73">
        <f t="shared" si="14"/>
        <v>7.2700000000000001E-2</v>
      </c>
      <c r="AI76" s="73">
        <f t="shared" si="14"/>
        <v>1.8499999999999999E-2</v>
      </c>
      <c r="AJ76" s="73">
        <f t="shared" si="14"/>
        <v>5.3E-3</v>
      </c>
      <c r="AK76" s="73">
        <f t="shared" si="14"/>
        <v>1.1999999999999999E-3</v>
      </c>
      <c r="AL76" s="73">
        <f t="shared" si="14"/>
        <v>1.1999999999999999E-3</v>
      </c>
      <c r="AM76" s="73">
        <f t="shared" si="14"/>
        <v>1E-3</v>
      </c>
      <c r="AN76" s="73">
        <f t="shared" si="14"/>
        <v>1E-3</v>
      </c>
      <c r="AO76" s="73">
        <f t="shared" si="14"/>
        <v>2.9999999999999997E-4</v>
      </c>
      <c r="AP76" s="73">
        <f t="shared" si="14"/>
        <v>1E-4</v>
      </c>
      <c r="AQ76" s="73">
        <f t="shared" si="14"/>
        <v>2.9999999999999997E-4</v>
      </c>
      <c r="AR76" s="74">
        <f t="shared" si="14"/>
        <v>5.0000000000000001E-4</v>
      </c>
      <c r="AW76" s="48">
        <f>B6</f>
        <v>0.87090000000000001</v>
      </c>
      <c r="AX76" s="48">
        <f t="shared" ref="AX76:BM76" si="15">C6</f>
        <v>5.8599999999999999E-2</v>
      </c>
      <c r="AY76" s="48">
        <f t="shared" si="15"/>
        <v>2.5000000000000001E-2</v>
      </c>
      <c r="AZ76" s="48">
        <f t="shared" si="15"/>
        <v>6.7999999999999996E-3</v>
      </c>
      <c r="BA76" s="48">
        <f>F6</f>
        <v>1.6000000000000001E-3</v>
      </c>
      <c r="BB76" s="48">
        <f t="shared" si="15"/>
        <v>2.3999999999999998E-3</v>
      </c>
      <c r="BC76" s="48">
        <f t="shared" si="15"/>
        <v>1.2999999999999999E-3</v>
      </c>
      <c r="BD76" s="48">
        <f t="shared" si="15"/>
        <v>0</v>
      </c>
      <c r="BE76" s="48">
        <f t="shared" si="15"/>
        <v>5.0000000000000001E-4</v>
      </c>
      <c r="BF76" s="48">
        <f t="shared" si="15"/>
        <v>0</v>
      </c>
      <c r="BG76" s="48">
        <f t="shared" si="15"/>
        <v>2.9999999999999997E-4</v>
      </c>
      <c r="BH76" s="48">
        <f t="shared" si="15"/>
        <v>5.0000000000000001E-4</v>
      </c>
      <c r="BI76" s="48">
        <f t="shared" si="15"/>
        <v>2.9999999999999997E-4</v>
      </c>
      <c r="BJ76" s="48">
        <f t="shared" si="15"/>
        <v>0</v>
      </c>
      <c r="BK76" s="48">
        <f t="shared" si="15"/>
        <v>2.9999999999999997E-4</v>
      </c>
      <c r="BL76" s="48">
        <f t="shared" si="15"/>
        <v>0</v>
      </c>
      <c r="BM76" s="48">
        <f t="shared" si="15"/>
        <v>5.0000000000000001E-4</v>
      </c>
      <c r="BN76" s="48">
        <f>S6</f>
        <v>0</v>
      </c>
      <c r="BS76" s="48">
        <f>X6</f>
        <v>0</v>
      </c>
      <c r="BT76" s="48">
        <f t="shared" ref="BT76" si="16">Y6</f>
        <v>0</v>
      </c>
      <c r="BU76" s="48">
        <f t="shared" ref="BU76" si="17">Z6</f>
        <v>0</v>
      </c>
      <c r="BV76" s="48">
        <f t="shared" ref="BV76" si="18">AA6</f>
        <v>0</v>
      </c>
      <c r="BW76" s="48">
        <f t="shared" ref="BW76" si="19">AB6</f>
        <v>0</v>
      </c>
      <c r="BX76" s="48">
        <f t="shared" ref="BX76" si="20">AC6</f>
        <v>0</v>
      </c>
      <c r="BY76" s="48">
        <f t="shared" ref="BY76" si="21">AD6</f>
        <v>0</v>
      </c>
      <c r="BZ76" s="48">
        <f t="shared" ref="BZ76" si="22">AE6</f>
        <v>0</v>
      </c>
      <c r="CA76" s="48">
        <f t="shared" ref="CA76" si="23">AF6</f>
        <v>0</v>
      </c>
      <c r="CB76" s="48">
        <f t="shared" ref="CB76" si="24">AG6</f>
        <v>0</v>
      </c>
      <c r="CC76" s="48">
        <f t="shared" ref="CC76" si="25">AH6</f>
        <v>0</v>
      </c>
      <c r="CD76" s="48">
        <f t="shared" ref="CD76" si="26">AI6</f>
        <v>0</v>
      </c>
      <c r="CE76" s="48">
        <f t="shared" ref="CE76" si="27">AJ6</f>
        <v>0</v>
      </c>
      <c r="CF76" s="48">
        <f t="shared" ref="CF76" si="28">AK6</f>
        <v>0</v>
      </c>
      <c r="CG76" s="48">
        <f t="shared" ref="CG76" si="29">AL6</f>
        <v>0</v>
      </c>
      <c r="CH76" s="48">
        <f t="shared" ref="CH76" si="30">AM6</f>
        <v>0</v>
      </c>
      <c r="CI76" s="48">
        <f t="shared" ref="CI76" si="31">AN6</f>
        <v>0</v>
      </c>
      <c r="CJ76" s="48">
        <f>AO6</f>
        <v>0</v>
      </c>
      <c r="CO76" s="48">
        <f>AT6</f>
        <v>0</v>
      </c>
      <c r="CP76" s="48">
        <f t="shared" ref="CP76" si="32">AU6</f>
        <v>0</v>
      </c>
      <c r="CQ76" s="48">
        <f t="shared" ref="CQ76" si="33">AV6</f>
        <v>0</v>
      </c>
      <c r="CR76" s="48">
        <f t="shared" ref="CR76" si="34">AW6</f>
        <v>0</v>
      </c>
      <c r="CS76" s="48">
        <f t="shared" ref="CS76" si="35">AX6</f>
        <v>0</v>
      </c>
      <c r="CT76" s="48">
        <f t="shared" ref="CT76" si="36">AY6</f>
        <v>0</v>
      </c>
      <c r="CU76" s="48">
        <f t="shared" ref="CU76" si="37">AZ6</f>
        <v>0</v>
      </c>
      <c r="CV76" s="48">
        <f t="shared" ref="CV76" si="38">BA6</f>
        <v>0</v>
      </c>
      <c r="CW76" s="48">
        <f t="shared" ref="CW76" si="39">BB6</f>
        <v>0</v>
      </c>
      <c r="CX76" s="48">
        <f t="shared" ref="CX76" si="40">BC6</f>
        <v>0</v>
      </c>
      <c r="CY76" s="48">
        <f t="shared" ref="CY76" si="41">BD6</f>
        <v>0</v>
      </c>
      <c r="CZ76" s="48">
        <f t="shared" ref="CZ76" si="42">BE6</f>
        <v>0</v>
      </c>
      <c r="DA76" s="48">
        <f t="shared" ref="DA76" si="43">BF6</f>
        <v>0</v>
      </c>
      <c r="DB76" s="48">
        <f t="shared" ref="DB76" si="44">BG6</f>
        <v>0</v>
      </c>
      <c r="DC76" s="48">
        <f t="shared" ref="DC76" si="45">BH6</f>
        <v>0</v>
      </c>
      <c r="DD76" s="48">
        <f t="shared" ref="DD76" si="46">BI6</f>
        <v>0</v>
      </c>
      <c r="DE76" s="48">
        <f t="shared" ref="DE76" si="47">BJ6</f>
        <v>0</v>
      </c>
      <c r="DF76" s="48">
        <f>BK6</f>
        <v>0</v>
      </c>
    </row>
    <row r="77" spans="1:110">
      <c r="B77" s="160">
        <v>2</v>
      </c>
      <c r="C77" t="str">
        <f t="shared" ref="C77:C94" si="48">A53</f>
        <v>AAA</v>
      </c>
      <c r="D77" s="53">
        <f t="shared" ref="D77:D94" si="49">H53</f>
        <v>101.75754156690746</v>
      </c>
      <c r="E77" s="54">
        <f>$D77+E$76 + E$97</f>
        <v>218.51523366792878</v>
      </c>
      <c r="F77" s="55">
        <f>$D77+F$76 + F$97</f>
        <v>218.16245189228869</v>
      </c>
      <c r="G77" s="55">
        <f t="shared" ref="G77:V77" si="50">$D77+G$76 + G$97</f>
        <v>217.81187409268068</v>
      </c>
      <c r="H77" s="55">
        <f t="shared" si="50"/>
        <v>217.33347584845191</v>
      </c>
      <c r="I77" s="55">
        <f t="shared" si="50"/>
        <v>216.86259198002159</v>
      </c>
      <c r="J77" s="55">
        <f t="shared" si="50"/>
        <v>216.40449610070408</v>
      </c>
      <c r="K77" s="55">
        <f t="shared" si="50"/>
        <v>215.77799638230775</v>
      </c>
      <c r="L77" s="55">
        <f t="shared" si="50"/>
        <v>215.00122675112971</v>
      </c>
      <c r="M77" s="55">
        <f t="shared" si="50"/>
        <v>214.26164123205393</v>
      </c>
      <c r="N77" s="55">
        <f t="shared" si="50"/>
        <v>213.14268071749632</v>
      </c>
      <c r="O77" s="55">
        <f t="shared" si="50"/>
        <v>212.21666881492192</v>
      </c>
      <c r="P77" s="55">
        <f t="shared" si="50"/>
        <v>211.08784834761599</v>
      </c>
      <c r="Q77" s="55">
        <f>$D77+Q$76 + Q$97</f>
        <v>209.63131759249495</v>
      </c>
      <c r="R77" s="55">
        <f t="shared" si="50"/>
        <v>211.47958893073647</v>
      </c>
      <c r="S77" s="55">
        <f t="shared" si="50"/>
        <v>215.84165222671254</v>
      </c>
      <c r="T77" s="55">
        <f t="shared" si="50"/>
        <v>308.31082305017469</v>
      </c>
      <c r="U77" s="55">
        <f t="shared" si="50"/>
        <v>297.59250548162709</v>
      </c>
      <c r="V77" s="56">
        <f t="shared" si="50"/>
        <v>190.09754156690747</v>
      </c>
      <c r="X77" s="164" t="str">
        <f>A2</f>
        <v>Nvidia</v>
      </c>
      <c r="Y77" s="121" t="s">
        <v>2</v>
      </c>
      <c r="Z77" s="57" cm="1">
        <f t="array" ref="Z77:Z94">TRANSPOSE(B15:S15)</f>
        <v>1E-4</v>
      </c>
      <c r="AA77" s="63">
        <f>$Z77*AA$76*AA$97</f>
        <v>0</v>
      </c>
      <c r="AB77" s="64">
        <f t="shared" ref="AB77:AR91" si="51">$Z77*AB$76*AB$97</f>
        <v>0</v>
      </c>
      <c r="AC77" s="64">
        <f t="shared" si="51"/>
        <v>0</v>
      </c>
      <c r="AD77" s="64">
        <f t="shared" si="51"/>
        <v>0</v>
      </c>
      <c r="AE77" s="64">
        <f t="shared" si="51"/>
        <v>3.8000000000000004E-11</v>
      </c>
      <c r="AF77" s="64">
        <f t="shared" si="51"/>
        <v>1.842E-9</v>
      </c>
      <c r="AG77" s="64">
        <f t="shared" si="51"/>
        <v>0</v>
      </c>
      <c r="AH77" s="64">
        <f t="shared" si="51"/>
        <v>3.6350000000000004E-9</v>
      </c>
      <c r="AI77" s="64">
        <f t="shared" si="51"/>
        <v>9.2500000000000001E-10</v>
      </c>
      <c r="AJ77" s="64">
        <f t="shared" si="51"/>
        <v>4.2400000000000004E-10</v>
      </c>
      <c r="AK77" s="64">
        <f t="shared" si="51"/>
        <v>8.3999999999999994E-11</v>
      </c>
      <c r="AL77" s="64">
        <f t="shared" si="51"/>
        <v>1.9199999999999998E-10</v>
      </c>
      <c r="AM77" s="64">
        <f t="shared" si="51"/>
        <v>3.8000000000000003E-10</v>
      </c>
      <c r="AN77" s="64">
        <f t="shared" si="51"/>
        <v>2.0200000000000001E-9</v>
      </c>
      <c r="AO77" s="64">
        <f t="shared" si="51"/>
        <v>2.8949999999999996E-9</v>
      </c>
      <c r="AP77" s="64">
        <f t="shared" si="51"/>
        <v>5.5279999999999999E-9</v>
      </c>
      <c r="AQ77" s="64">
        <f t="shared" si="51"/>
        <v>3.6449999999999997E-9</v>
      </c>
      <c r="AR77" s="65">
        <f t="shared" si="51"/>
        <v>2.9450000000000005E-9</v>
      </c>
      <c r="AT77" s="160" t="str">
        <f>A2</f>
        <v>Nvidia</v>
      </c>
      <c r="AU77" t="s">
        <v>2</v>
      </c>
      <c r="AV77" s="48">
        <f>J53</f>
        <v>4.0000000000000002E-4</v>
      </c>
      <c r="AW77" s="58">
        <f>E77*AA77</f>
        <v>0</v>
      </c>
      <c r="AX77" s="59">
        <f t="shared" ref="AX77:AX94" si="52">F77*AB77</f>
        <v>0</v>
      </c>
      <c r="AY77" s="59">
        <f t="shared" ref="AY77:AY94" si="53">G77*AC77</f>
        <v>0</v>
      </c>
      <c r="AZ77" s="59">
        <f t="shared" ref="AZ77:AZ94" si="54">H77*AD77</f>
        <v>0</v>
      </c>
      <c r="BA77" s="59">
        <f t="shared" ref="BA77:BA94" si="55">I77*AE77</f>
        <v>8.240778495240821E-9</v>
      </c>
      <c r="BB77" s="59">
        <f t="shared" ref="BB77:BB94" si="56">J77*AF77</f>
        <v>3.9861708181749691E-7</v>
      </c>
      <c r="BC77" s="59">
        <f t="shared" ref="BC77:BC94" si="57">K77*AG77</f>
        <v>0</v>
      </c>
      <c r="BD77" s="59">
        <f t="shared" ref="BD77:BD94" si="58">L77*AH77</f>
        <v>7.8152945924035659E-7</v>
      </c>
      <c r="BE77" s="59">
        <f t="shared" ref="BE77:BE94" si="59">M77*AI77</f>
        <v>1.9819201813964989E-7</v>
      </c>
      <c r="BF77" s="59">
        <f t="shared" ref="BF77:BF94" si="60">N77*AJ77</f>
        <v>9.0372496624218452E-8</v>
      </c>
      <c r="BG77" s="59">
        <f t="shared" ref="BG77:BG94" si="61">O77*AK77</f>
        <v>1.7826200180453439E-8</v>
      </c>
      <c r="BH77" s="59">
        <f t="shared" ref="BH77:BH94" si="62">P77*AL77</f>
        <v>4.0528866882742264E-8</v>
      </c>
      <c r="BI77" s="59">
        <f t="shared" ref="BI77:BI94" si="63">Q77*AM77</f>
        <v>7.9659900685148084E-8</v>
      </c>
      <c r="BJ77" s="59">
        <f t="shared" ref="BJ77:BJ94" si="64">R77*AN77</f>
        <v>4.2718876964008769E-7</v>
      </c>
      <c r="BK77" s="59">
        <f t="shared" ref="BK77:BK94" si="65">S77*AO77</f>
        <v>6.2486158319633273E-7</v>
      </c>
      <c r="BL77" s="59">
        <f t="shared" ref="BL77:BL94" si="66">T77*AP77</f>
        <v>1.7043422298213656E-6</v>
      </c>
      <c r="BM77" s="59">
        <f t="shared" ref="BM77:BM94" si="67">U77*AQ77</f>
        <v>1.0847246824805306E-6</v>
      </c>
      <c r="BN77" s="60">
        <f t="shared" ref="BN77:BN94" si="68">V77*AR77</f>
        <v>5.5983725991454261E-7</v>
      </c>
      <c r="BP77" s="160" t="str">
        <f>A2</f>
        <v>Nvidia</v>
      </c>
      <c r="BQ77" t="s">
        <v>2</v>
      </c>
      <c r="BR77" s="48">
        <f>AF53</f>
        <v>1.5053411385271365E-4</v>
      </c>
      <c r="BS77" s="58">
        <f>E77-$BN$95</f>
        <v>218.46063152654813</v>
      </c>
      <c r="BT77" s="59">
        <f t="shared" ref="BT77:BT94" si="69">F77-$BN$95</f>
        <v>218.10784975090803</v>
      </c>
      <c r="BU77" s="59">
        <f t="shared" ref="BU77:BU94" si="70">G77-$BN$95</f>
        <v>217.75727195130003</v>
      </c>
      <c r="BV77" s="59">
        <f t="shared" ref="BV77:BV94" si="71">H77-$BN$95</f>
        <v>217.27887370707126</v>
      </c>
      <c r="BW77" s="59">
        <f t="shared" ref="BW77:BW94" si="72">I77-$BN$95</f>
        <v>216.80798983864094</v>
      </c>
      <c r="BX77" s="59">
        <f t="shared" ref="BX77:BX94" si="73">J77-$BN$95</f>
        <v>216.34989395932342</v>
      </c>
      <c r="BY77" s="59">
        <f t="shared" ref="BY77:BY94" si="74">K77-$BN$95</f>
        <v>215.72339424092709</v>
      </c>
      <c r="BZ77" s="59">
        <f t="shared" ref="BZ77:BZ94" si="75">L77-$BN$95</f>
        <v>214.94662460974905</v>
      </c>
      <c r="CA77" s="59">
        <f t="shared" ref="CA77:CA94" si="76">M77-$BN$95</f>
        <v>214.20703909067328</v>
      </c>
      <c r="CB77" s="59">
        <f t="shared" ref="CB77:CB94" si="77">N77-$BN$95</f>
        <v>213.08807857611566</v>
      </c>
      <c r="CC77" s="59">
        <f t="shared" ref="CC77:CC94" si="78">O77-$BN$95</f>
        <v>212.16206667354126</v>
      </c>
      <c r="CD77" s="59">
        <f t="shared" ref="CD77:CD94" si="79">P77-$BN$95</f>
        <v>211.03324620623533</v>
      </c>
      <c r="CE77" s="59">
        <f t="shared" ref="CE77:CE94" si="80">Q77-$BN$95</f>
        <v>209.5767154511143</v>
      </c>
      <c r="CF77" s="59">
        <f t="shared" ref="CF77:CF94" si="81">R77-$BN$95</f>
        <v>211.42498678935581</v>
      </c>
      <c r="CG77" s="59">
        <f t="shared" ref="CG77:CG94" si="82">S77-$BN$95</f>
        <v>215.78705008533188</v>
      </c>
      <c r="CH77" s="59">
        <f t="shared" ref="CH77:CH94" si="83">T77-$BN$95</f>
        <v>308.25622090879403</v>
      </c>
      <c r="CI77" s="59">
        <f t="shared" ref="CI77:CI94" si="84">U77-$BN$95</f>
        <v>297.53790334024643</v>
      </c>
      <c r="CJ77" s="60">
        <f t="shared" ref="CJ77:CJ95" si="85">V77-$BN$95</f>
        <v>190.04293942552681</v>
      </c>
      <c r="CL77" s="160" t="str">
        <f>A2</f>
        <v>Nvidia</v>
      </c>
      <c r="CM77" t="s">
        <v>2</v>
      </c>
      <c r="CN77" s="48">
        <f>BB53</f>
        <v>0</v>
      </c>
      <c r="CO77" s="58">
        <f>AA77*(BS77^2)</f>
        <v>0</v>
      </c>
      <c r="CP77" s="59">
        <f t="shared" ref="CP77:CP94" si="86">AB77*(BT77^2)</f>
        <v>0</v>
      </c>
      <c r="CQ77" s="59">
        <f t="shared" ref="CQ77:CQ94" si="87">AC77*(BU77^2)</f>
        <v>0</v>
      </c>
      <c r="CR77" s="59">
        <f t="shared" ref="CR77:CR94" si="88">AD77*(BV77^2)</f>
        <v>0</v>
      </c>
      <c r="CS77" s="59">
        <f t="shared" ref="CS77:CS94" si="89">AE77*(BW77^2)</f>
        <v>1.7862167693991451E-6</v>
      </c>
      <c r="CT77" s="59">
        <f t="shared" ref="CT77:CT94" si="90">AF77*(BX77^2)</f>
        <v>8.621900352705973E-5</v>
      </c>
      <c r="CU77" s="59">
        <f t="shared" ref="CU77:CU94" si="91">AG77*(BY77^2)</f>
        <v>0</v>
      </c>
      <c r="CV77" s="59">
        <f t="shared" ref="CV77:CV94" si="92">AH77*(BZ77^2)</f>
        <v>1.6794445695213713E-4</v>
      </c>
      <c r="CW77" s="59">
        <f t="shared" ref="CW77:CW94" si="93">AI77*(CA77^2)</f>
        <v>4.2443306426293736E-5</v>
      </c>
      <c r="CX77" s="59">
        <f t="shared" ref="CX77:CX94" si="94">AJ77*(CB77^2)</f>
        <v>1.9252368394054599E-5</v>
      </c>
      <c r="CY77" s="59">
        <f t="shared" ref="CY77:CY94" si="95">AK77*(CC77^2)</f>
        <v>3.7810703729558057E-6</v>
      </c>
      <c r="CZ77" s="59">
        <f t="shared" ref="CZ77:CZ94" si="96">AL77*(CD77^2)</f>
        <v>8.5507259528335739E-6</v>
      </c>
      <c r="DA77" s="59">
        <f t="shared" ref="DA77:DA94" si="97">AM77*(CE77^2)</f>
        <v>1.6690511870525388E-5</v>
      </c>
      <c r="DB77" s="59">
        <f t="shared" ref="DB77:DB94" si="98">AN77*(CF77^2)</f>
        <v>9.029506057853614E-5</v>
      </c>
      <c r="DC77" s="59">
        <f t="shared" ref="DC77:DC94" si="99">AO77*(CG77^2)</f>
        <v>1.3480292760021298E-4</v>
      </c>
      <c r="DD77" s="59">
        <f t="shared" ref="DD77:DD94" si="100">AP77*(CH77^2)</f>
        <v>5.2528105064575295E-4</v>
      </c>
      <c r="DE77" s="59">
        <f t="shared" ref="DE77:DE94" si="101">AQ77*(CI77^2)</f>
        <v>3.226874903033803E-4</v>
      </c>
      <c r="DF77" s="60">
        <f t="shared" ref="DF77:DF94" si="102">AR77*(CJ77^2)</f>
        <v>1.0636255894108119E-4</v>
      </c>
    </row>
    <row r="78" spans="1:110">
      <c r="B78" s="160"/>
      <c r="C78" t="str">
        <f t="shared" si="48"/>
        <v>AA+</v>
      </c>
      <c r="D78" s="53">
        <f>H54</f>
        <v>101.40426480988</v>
      </c>
      <c r="E78" s="61">
        <f>$D78+E$76+E$97</f>
        <v>218.16195691090132</v>
      </c>
      <c r="F78" s="171">
        <f>$D78+F$76+F$97</f>
        <v>217.80917513526123</v>
      </c>
      <c r="G78" s="171">
        <f t="shared" ref="G78:V93" si="103">$D78+G$76+G$97</f>
        <v>217.45859733565322</v>
      </c>
      <c r="H78" s="171">
        <f t="shared" si="103"/>
        <v>216.98019909142445</v>
      </c>
      <c r="I78" s="171">
        <f t="shared" si="103"/>
        <v>216.50931522299413</v>
      </c>
      <c r="J78" s="171">
        <f t="shared" si="103"/>
        <v>216.05121934367662</v>
      </c>
      <c r="K78" s="171">
        <f t="shared" si="103"/>
        <v>215.42471962528029</v>
      </c>
      <c r="L78" s="171">
        <f t="shared" si="103"/>
        <v>214.64794999410225</v>
      </c>
      <c r="M78" s="171">
        <f t="shared" si="103"/>
        <v>213.90836447502647</v>
      </c>
      <c r="N78" s="171">
        <f t="shared" si="103"/>
        <v>212.78940396046886</v>
      </c>
      <c r="O78" s="171">
        <f t="shared" si="103"/>
        <v>211.86339205789446</v>
      </c>
      <c r="P78" s="171">
        <f t="shared" si="103"/>
        <v>210.73457159058853</v>
      </c>
      <c r="Q78" s="171">
        <f t="shared" si="103"/>
        <v>209.27804083546749</v>
      </c>
      <c r="R78" s="171">
        <f t="shared" si="103"/>
        <v>211.12631217370901</v>
      </c>
      <c r="S78" s="171">
        <f>$D78+S$76+S$97</f>
        <v>215.48837546968508</v>
      </c>
      <c r="T78" s="171">
        <f t="shared" si="103"/>
        <v>307.95754629314717</v>
      </c>
      <c r="U78" s="171">
        <f t="shared" si="103"/>
        <v>297.23922872459963</v>
      </c>
      <c r="V78" s="62">
        <f t="shared" si="103"/>
        <v>189.74426480988001</v>
      </c>
      <c r="X78" s="165"/>
      <c r="Y78" s="122" t="s">
        <v>3</v>
      </c>
      <c r="Z78" s="64">
        <v>1E-4</v>
      </c>
      <c r="AA78" s="63">
        <f t="shared" ref="AA78:AP94" si="104">$Z78*AA$76*AA$97</f>
        <v>0</v>
      </c>
      <c r="AB78" s="64">
        <f t="shared" si="51"/>
        <v>0</v>
      </c>
      <c r="AC78" s="64">
        <f t="shared" si="51"/>
        <v>0</v>
      </c>
      <c r="AD78" s="64">
        <f t="shared" si="51"/>
        <v>0</v>
      </c>
      <c r="AE78" s="64">
        <f t="shared" si="51"/>
        <v>3.8000000000000004E-11</v>
      </c>
      <c r="AF78" s="64">
        <f t="shared" si="51"/>
        <v>1.842E-9</v>
      </c>
      <c r="AG78" s="64">
        <f t="shared" si="51"/>
        <v>0</v>
      </c>
      <c r="AH78" s="64">
        <f t="shared" si="51"/>
        <v>3.6350000000000004E-9</v>
      </c>
      <c r="AI78" s="64">
        <f t="shared" si="51"/>
        <v>9.2500000000000001E-10</v>
      </c>
      <c r="AJ78" s="64">
        <f t="shared" si="51"/>
        <v>4.2400000000000004E-10</v>
      </c>
      <c r="AK78" s="64">
        <f t="shared" si="51"/>
        <v>8.3999999999999994E-11</v>
      </c>
      <c r="AL78" s="64">
        <f t="shared" si="51"/>
        <v>1.9199999999999998E-10</v>
      </c>
      <c r="AM78" s="64">
        <f t="shared" si="51"/>
        <v>3.8000000000000003E-10</v>
      </c>
      <c r="AN78" s="64">
        <f t="shared" si="51"/>
        <v>2.0200000000000001E-9</v>
      </c>
      <c r="AO78" s="64">
        <f t="shared" si="51"/>
        <v>2.8949999999999996E-9</v>
      </c>
      <c r="AP78" s="64">
        <f t="shared" si="51"/>
        <v>5.5279999999999999E-9</v>
      </c>
      <c r="AQ78" s="64">
        <f t="shared" si="51"/>
        <v>3.6449999999999997E-9</v>
      </c>
      <c r="AR78" s="65">
        <f t="shared" si="51"/>
        <v>2.9450000000000005E-9</v>
      </c>
      <c r="AT78" s="160"/>
      <c r="AU78" t="s">
        <v>3</v>
      </c>
      <c r="AV78" s="48">
        <f>J54</f>
        <v>1E-3</v>
      </c>
      <c r="AW78" s="66">
        <f t="shared" ref="AW78:AW94" si="105">E78*AA78</f>
        <v>0</v>
      </c>
      <c r="AX78" s="67">
        <f t="shared" si="52"/>
        <v>0</v>
      </c>
      <c r="AY78" s="67">
        <f t="shared" si="53"/>
        <v>0</v>
      </c>
      <c r="AZ78" s="67">
        <f t="shared" si="54"/>
        <v>0</v>
      </c>
      <c r="BA78" s="67">
        <f t="shared" si="55"/>
        <v>8.2273539784737778E-9</v>
      </c>
      <c r="BB78" s="67">
        <f t="shared" si="56"/>
        <v>3.9796634603105232E-7</v>
      </c>
      <c r="BC78" s="67">
        <f t="shared" si="57"/>
        <v>0</v>
      </c>
      <c r="BD78" s="67">
        <f t="shared" si="58"/>
        <v>7.8024529822856173E-7</v>
      </c>
      <c r="BE78" s="67">
        <f t="shared" si="59"/>
        <v>1.9786523713939949E-7</v>
      </c>
      <c r="BF78" s="67">
        <f t="shared" si="60"/>
        <v>9.0222707279238807E-8</v>
      </c>
      <c r="BG78" s="67">
        <f t="shared" si="61"/>
        <v>1.7796524932863134E-8</v>
      </c>
      <c r="BH78" s="67">
        <f t="shared" si="62"/>
        <v>4.0461037745392993E-8</v>
      </c>
      <c r="BI78" s="67">
        <f t="shared" si="63"/>
        <v>7.9525655517477653E-8</v>
      </c>
      <c r="BJ78" s="67">
        <f t="shared" si="64"/>
        <v>4.2647515059089222E-7</v>
      </c>
      <c r="BK78" s="67">
        <f t="shared" si="65"/>
        <v>6.2383884698473822E-7</v>
      </c>
      <c r="BL78" s="67">
        <f t="shared" si="66"/>
        <v>1.7023893159085175E-6</v>
      </c>
      <c r="BM78" s="67">
        <f t="shared" si="67"/>
        <v>1.0834369887011656E-6</v>
      </c>
      <c r="BN78" s="68">
        <f t="shared" si="68"/>
        <v>5.5879685986509676E-7</v>
      </c>
      <c r="BP78" s="160"/>
      <c r="BQ78" t="s">
        <v>3</v>
      </c>
      <c r="BR78" s="48">
        <f t="shared" ref="BR78:BR94" si="106">AF54</f>
        <v>4.1135123739594097E-4</v>
      </c>
      <c r="BS78" s="66">
        <f t="shared" ref="BS78:BS94" si="107">E78-$BN$95</f>
        <v>218.10735476952067</v>
      </c>
      <c r="BT78" s="67">
        <f t="shared" si="69"/>
        <v>217.75457299388057</v>
      </c>
      <c r="BU78" s="67">
        <f t="shared" si="70"/>
        <v>217.40399519427257</v>
      </c>
      <c r="BV78" s="67">
        <f t="shared" si="71"/>
        <v>216.9255969500438</v>
      </c>
      <c r="BW78" s="67">
        <f t="shared" si="72"/>
        <v>216.45471308161348</v>
      </c>
      <c r="BX78" s="67">
        <f t="shared" si="73"/>
        <v>215.99661720229597</v>
      </c>
      <c r="BY78" s="67">
        <f t="shared" si="74"/>
        <v>215.37011748389963</v>
      </c>
      <c r="BZ78" s="67">
        <f t="shared" si="75"/>
        <v>214.59334785272159</v>
      </c>
      <c r="CA78" s="67">
        <f t="shared" si="76"/>
        <v>213.85376233364582</v>
      </c>
      <c r="CB78" s="67">
        <f t="shared" si="77"/>
        <v>212.7348018190882</v>
      </c>
      <c r="CC78" s="67">
        <f t="shared" si="78"/>
        <v>211.8087899165138</v>
      </c>
      <c r="CD78" s="67">
        <f t="shared" si="79"/>
        <v>210.67996944920787</v>
      </c>
      <c r="CE78" s="67">
        <f t="shared" si="80"/>
        <v>209.22343869408684</v>
      </c>
      <c r="CF78" s="67">
        <f t="shared" si="81"/>
        <v>211.07171003232835</v>
      </c>
      <c r="CG78" s="67">
        <f t="shared" si="82"/>
        <v>215.43377332830443</v>
      </c>
      <c r="CH78" s="67">
        <f t="shared" si="83"/>
        <v>307.90294415176652</v>
      </c>
      <c r="CI78" s="67">
        <f t="shared" si="84"/>
        <v>297.18462658321897</v>
      </c>
      <c r="CJ78" s="68">
        <f t="shared" si="85"/>
        <v>189.68966266849935</v>
      </c>
      <c r="CL78" s="160"/>
      <c r="CM78" t="s">
        <v>3</v>
      </c>
      <c r="CN78" s="48">
        <f t="shared" ref="CN78:CN94" si="108">BB54</f>
        <v>0</v>
      </c>
      <c r="CO78" s="66">
        <f t="shared" ref="CO78:CO94" si="109">AA78*(BS78^2)</f>
        <v>0</v>
      </c>
      <c r="CP78" s="67">
        <f t="shared" si="86"/>
        <v>0</v>
      </c>
      <c r="CQ78" s="67">
        <f t="shared" si="87"/>
        <v>0</v>
      </c>
      <c r="CR78" s="67">
        <f t="shared" si="88"/>
        <v>0</v>
      </c>
      <c r="CS78" s="67">
        <f t="shared" si="89"/>
        <v>1.7804004269792575E-6</v>
      </c>
      <c r="CT78" s="67">
        <f t="shared" si="90"/>
        <v>8.5937660180102399E-5</v>
      </c>
      <c r="CU78" s="67">
        <f t="shared" si="91"/>
        <v>0</v>
      </c>
      <c r="CV78" s="67">
        <f t="shared" si="92"/>
        <v>1.6739285846649341E-4</v>
      </c>
      <c r="CW78" s="67">
        <f t="shared" si="93"/>
        <v>4.2303424289436313E-5</v>
      </c>
      <c r="CX78" s="67">
        <f t="shared" si="94"/>
        <v>1.9188584663722855E-5</v>
      </c>
      <c r="CY78" s="67">
        <f t="shared" si="95"/>
        <v>3.7684889328154218E-6</v>
      </c>
      <c r="CZ78" s="67">
        <f t="shared" si="96"/>
        <v>8.5221215092068786E-6</v>
      </c>
      <c r="DA78" s="67">
        <f t="shared" si="97"/>
        <v>1.6634289973611759E-5</v>
      </c>
      <c r="DB78" s="67">
        <f t="shared" si="98"/>
        <v>8.999355888746203E-5</v>
      </c>
      <c r="DC78" s="67">
        <f t="shared" si="99"/>
        <v>1.3436190244891426E-4</v>
      </c>
      <c r="DD78" s="67">
        <f t="shared" si="100"/>
        <v>5.2407774483977738E-4</v>
      </c>
      <c r="DE78" s="67">
        <f t="shared" si="101"/>
        <v>3.2192166980114957E-4</v>
      </c>
      <c r="DF78" s="68">
        <f t="shared" si="102"/>
        <v>1.0596748512308635E-4</v>
      </c>
    </row>
    <row r="79" spans="1:110">
      <c r="B79" s="160"/>
      <c r="C79" t="str">
        <f t="shared" si="48"/>
        <v>AA</v>
      </c>
      <c r="D79" s="53">
        <f t="shared" si="49"/>
        <v>101.05255197996895</v>
      </c>
      <c r="E79" s="61">
        <f t="shared" ref="E79:T94" si="110">$D79+E$76+E$97</f>
        <v>217.81024408099029</v>
      </c>
      <c r="F79" s="171">
        <f t="shared" si="110"/>
        <v>217.45746230535019</v>
      </c>
      <c r="G79" s="171">
        <f t="shared" si="103"/>
        <v>217.10688450574216</v>
      </c>
      <c r="H79" s="171">
        <f t="shared" si="103"/>
        <v>216.62848626151342</v>
      </c>
      <c r="I79" s="171">
        <f t="shared" si="103"/>
        <v>216.1576023930831</v>
      </c>
      <c r="J79" s="171">
        <f t="shared" si="103"/>
        <v>215.69950651376558</v>
      </c>
      <c r="K79" s="171">
        <f t="shared" si="103"/>
        <v>215.07300679536925</v>
      </c>
      <c r="L79" s="171">
        <f t="shared" si="103"/>
        <v>214.29623716419121</v>
      </c>
      <c r="M79" s="171">
        <f t="shared" si="103"/>
        <v>213.55665164511544</v>
      </c>
      <c r="N79" s="171">
        <f t="shared" si="103"/>
        <v>212.43769113055782</v>
      </c>
      <c r="O79" s="171">
        <f t="shared" si="103"/>
        <v>211.51167922798339</v>
      </c>
      <c r="P79" s="171">
        <f t="shared" si="103"/>
        <v>210.38285876067746</v>
      </c>
      <c r="Q79" s="171">
        <f t="shared" si="103"/>
        <v>208.92632800555646</v>
      </c>
      <c r="R79" s="171">
        <f t="shared" si="103"/>
        <v>210.77459934379797</v>
      </c>
      <c r="S79" s="171">
        <f t="shared" si="103"/>
        <v>215.13666263977404</v>
      </c>
      <c r="T79" s="171">
        <f t="shared" si="103"/>
        <v>307.60583346323614</v>
      </c>
      <c r="U79" s="171">
        <f t="shared" si="103"/>
        <v>296.88751589468859</v>
      </c>
      <c r="V79" s="62">
        <f t="shared" si="103"/>
        <v>189.39255197996897</v>
      </c>
      <c r="X79" s="165"/>
      <c r="Y79" s="122" t="s">
        <v>4</v>
      </c>
      <c r="Z79" s="64">
        <v>2.0000000000000001E-4</v>
      </c>
      <c r="AA79" s="63">
        <f t="shared" si="104"/>
        <v>0</v>
      </c>
      <c r="AB79" s="64">
        <f t="shared" si="51"/>
        <v>0</v>
      </c>
      <c r="AC79" s="64">
        <f t="shared" si="51"/>
        <v>0</v>
      </c>
      <c r="AD79" s="64">
        <f t="shared" si="51"/>
        <v>0</v>
      </c>
      <c r="AE79" s="64">
        <f t="shared" si="51"/>
        <v>7.6000000000000009E-11</v>
      </c>
      <c r="AF79" s="64">
        <f t="shared" si="51"/>
        <v>3.6840000000000001E-9</v>
      </c>
      <c r="AG79" s="64">
        <f t="shared" si="51"/>
        <v>0</v>
      </c>
      <c r="AH79" s="64">
        <f t="shared" si="51"/>
        <v>7.2700000000000007E-9</v>
      </c>
      <c r="AI79" s="64">
        <f t="shared" si="51"/>
        <v>1.85E-9</v>
      </c>
      <c r="AJ79" s="64">
        <f t="shared" si="51"/>
        <v>8.4800000000000007E-10</v>
      </c>
      <c r="AK79" s="64">
        <f t="shared" si="51"/>
        <v>1.6799999999999999E-10</v>
      </c>
      <c r="AL79" s="64">
        <f t="shared" si="51"/>
        <v>3.8399999999999997E-10</v>
      </c>
      <c r="AM79" s="64">
        <f t="shared" si="51"/>
        <v>7.6000000000000006E-10</v>
      </c>
      <c r="AN79" s="64">
        <f t="shared" si="51"/>
        <v>4.0400000000000001E-9</v>
      </c>
      <c r="AO79" s="64">
        <f t="shared" si="51"/>
        <v>5.7899999999999992E-9</v>
      </c>
      <c r="AP79" s="64">
        <f t="shared" si="51"/>
        <v>1.1056E-8</v>
      </c>
      <c r="AQ79" s="64">
        <f t="shared" si="51"/>
        <v>7.2899999999999994E-9</v>
      </c>
      <c r="AR79" s="65">
        <f t="shared" si="51"/>
        <v>5.890000000000001E-9</v>
      </c>
      <c r="AT79" s="160"/>
      <c r="AU79" t="s">
        <v>4</v>
      </c>
      <c r="AV79" s="48">
        <f t="shared" ref="AV78:AV94" si="111">J55</f>
        <v>3.6799999999999999E-2</v>
      </c>
      <c r="AW79" s="66">
        <f t="shared" si="105"/>
        <v>0</v>
      </c>
      <c r="AX79" s="67">
        <f t="shared" si="52"/>
        <v>0</v>
      </c>
      <c r="AY79" s="67">
        <f t="shared" si="53"/>
        <v>0</v>
      </c>
      <c r="AZ79" s="67">
        <f t="shared" si="54"/>
        <v>0</v>
      </c>
      <c r="BA79" s="67">
        <f t="shared" si="55"/>
        <v>1.6427977781874318E-8</v>
      </c>
      <c r="BB79" s="67">
        <f t="shared" si="56"/>
        <v>7.9463698199671244E-7</v>
      </c>
      <c r="BC79" s="67">
        <f t="shared" si="57"/>
        <v>0</v>
      </c>
      <c r="BD79" s="67">
        <f t="shared" si="58"/>
        <v>1.5579336441836702E-6</v>
      </c>
      <c r="BE79" s="67">
        <f t="shared" si="59"/>
        <v>3.9507980554346359E-7</v>
      </c>
      <c r="BF79" s="67">
        <f t="shared" si="60"/>
        <v>1.8014716207871306E-7</v>
      </c>
      <c r="BG79" s="67">
        <f t="shared" si="61"/>
        <v>3.5533962110301206E-8</v>
      </c>
      <c r="BH79" s="67">
        <f t="shared" si="62"/>
        <v>8.078701776410014E-8</v>
      </c>
      <c r="BI79" s="67">
        <f t="shared" si="63"/>
        <v>1.5878400928422292E-7</v>
      </c>
      <c r="BJ79" s="67">
        <f t="shared" si="64"/>
        <v>8.5152938134894389E-7</v>
      </c>
      <c r="BK79" s="67">
        <f t="shared" si="65"/>
        <v>1.2456412766842917E-6</v>
      </c>
      <c r="BL79" s="67">
        <f t="shared" si="66"/>
        <v>3.4008900947695385E-6</v>
      </c>
      <c r="BM79" s="67">
        <f t="shared" si="67"/>
        <v>2.1643099908722798E-6</v>
      </c>
      <c r="BN79" s="68">
        <f t="shared" si="68"/>
        <v>1.1155221311620174E-6</v>
      </c>
      <c r="BP79" s="160"/>
      <c r="BQ79" t="s">
        <v>4</v>
      </c>
      <c r="BR79" s="48">
        <f t="shared" si="106"/>
        <v>9.5784293770428996E-4</v>
      </c>
      <c r="BS79" s="66">
        <f t="shared" si="107"/>
        <v>217.75564193960963</v>
      </c>
      <c r="BT79" s="67">
        <f t="shared" si="69"/>
        <v>217.40286016396954</v>
      </c>
      <c r="BU79" s="67">
        <f t="shared" si="70"/>
        <v>217.0522823643615</v>
      </c>
      <c r="BV79" s="67">
        <f t="shared" si="71"/>
        <v>216.57388412013276</v>
      </c>
      <c r="BW79" s="67">
        <f t="shared" si="72"/>
        <v>216.10300025170244</v>
      </c>
      <c r="BX79" s="67">
        <f t="shared" si="73"/>
        <v>215.64490437238493</v>
      </c>
      <c r="BY79" s="67">
        <f t="shared" si="74"/>
        <v>215.0184046539886</v>
      </c>
      <c r="BZ79" s="67">
        <f t="shared" si="75"/>
        <v>214.24163502281056</v>
      </c>
      <c r="CA79" s="67">
        <f t="shared" si="76"/>
        <v>213.50204950373478</v>
      </c>
      <c r="CB79" s="67">
        <f t="shared" si="77"/>
        <v>212.38308898917717</v>
      </c>
      <c r="CC79" s="67">
        <f t="shared" si="78"/>
        <v>211.45707708660274</v>
      </c>
      <c r="CD79" s="67">
        <f t="shared" si="79"/>
        <v>210.32825661929681</v>
      </c>
      <c r="CE79" s="67">
        <f t="shared" si="80"/>
        <v>208.8717258641758</v>
      </c>
      <c r="CF79" s="67">
        <f t="shared" si="81"/>
        <v>210.71999720241732</v>
      </c>
      <c r="CG79" s="67">
        <f t="shared" si="82"/>
        <v>215.08206049839339</v>
      </c>
      <c r="CH79" s="67">
        <f t="shared" si="83"/>
        <v>307.55123132185548</v>
      </c>
      <c r="CI79" s="67">
        <f t="shared" si="84"/>
        <v>296.83291375330793</v>
      </c>
      <c r="CJ79" s="68">
        <f t="shared" si="85"/>
        <v>189.33794983858832</v>
      </c>
      <c r="CL79" s="160"/>
      <c r="CM79" t="s">
        <v>4</v>
      </c>
      <c r="CN79" s="48">
        <f t="shared" si="108"/>
        <v>0</v>
      </c>
      <c r="CO79" s="66">
        <f t="shared" si="109"/>
        <v>0</v>
      </c>
      <c r="CP79" s="67">
        <f t="shared" si="86"/>
        <v>0</v>
      </c>
      <c r="CQ79" s="67">
        <f t="shared" si="87"/>
        <v>0</v>
      </c>
      <c r="CR79" s="67">
        <f t="shared" si="88"/>
        <v>0</v>
      </c>
      <c r="CS79" s="67">
        <f t="shared" si="89"/>
        <v>3.5492385105518356E-6</v>
      </c>
      <c r="CT79" s="67">
        <f t="shared" si="90"/>
        <v>1.7131603809605924E-4</v>
      </c>
      <c r="CU79" s="67">
        <f t="shared" si="91"/>
        <v>0</v>
      </c>
      <c r="CV79" s="67">
        <f t="shared" si="92"/>
        <v>3.3368920634858695E-4</v>
      </c>
      <c r="CW79" s="67">
        <f t="shared" si="93"/>
        <v>8.4328781513246163E-5</v>
      </c>
      <c r="CX79" s="67">
        <f t="shared" si="94"/>
        <v>3.8250376862319869E-5</v>
      </c>
      <c r="CY79" s="67">
        <f t="shared" si="95"/>
        <v>7.5119680356015878E-6</v>
      </c>
      <c r="CZ79" s="67">
        <f t="shared" si="96"/>
        <v>1.6987382604484904E-5</v>
      </c>
      <c r="DA79" s="67">
        <f t="shared" si="97"/>
        <v>3.3156822377764349E-5</v>
      </c>
      <c r="DB79" s="67">
        <f t="shared" si="98"/>
        <v>1.7938778557278652E-4</v>
      </c>
      <c r="DC79" s="67">
        <f t="shared" si="99"/>
        <v>2.6784709501227803E-4</v>
      </c>
      <c r="DD79" s="67">
        <f t="shared" si="100"/>
        <v>1.045762273317189E-3</v>
      </c>
      <c r="DE79" s="67">
        <f t="shared" si="101"/>
        <v>6.42320286630262E-4</v>
      </c>
      <c r="DF79" s="68">
        <f t="shared" si="102"/>
        <v>2.1114978097707996E-4</v>
      </c>
    </row>
    <row r="80" spans="1:110">
      <c r="B80" s="160"/>
      <c r="C80" t="str">
        <f t="shared" si="48"/>
        <v>AA-</v>
      </c>
      <c r="D80" s="53">
        <f t="shared" si="49"/>
        <v>100.57148537901995</v>
      </c>
      <c r="E80" s="61">
        <f t="shared" si="110"/>
        <v>217.32917748004127</v>
      </c>
      <c r="F80" s="171">
        <f t="shared" si="110"/>
        <v>216.97639570440117</v>
      </c>
      <c r="G80" s="171">
        <f t="shared" si="103"/>
        <v>216.62581790479317</v>
      </c>
      <c r="H80" s="171">
        <f t="shared" si="103"/>
        <v>216.1474196605644</v>
      </c>
      <c r="I80" s="171">
        <f t="shared" si="103"/>
        <v>215.67653579213408</v>
      </c>
      <c r="J80" s="171">
        <f t="shared" si="103"/>
        <v>215.21843991281656</v>
      </c>
      <c r="K80" s="171">
        <f t="shared" si="103"/>
        <v>214.59194019442023</v>
      </c>
      <c r="L80" s="171">
        <f t="shared" si="103"/>
        <v>213.81517056324219</v>
      </c>
      <c r="M80" s="171">
        <f t="shared" si="103"/>
        <v>213.07558504416642</v>
      </c>
      <c r="N80" s="171">
        <f t="shared" si="103"/>
        <v>211.9566245296088</v>
      </c>
      <c r="O80" s="171">
        <f t="shared" si="103"/>
        <v>211.0306126270344</v>
      </c>
      <c r="P80" s="171">
        <f t="shared" si="103"/>
        <v>209.90179215972847</v>
      </c>
      <c r="Q80" s="171">
        <f t="shared" si="103"/>
        <v>208.44526140460744</v>
      </c>
      <c r="R80" s="171">
        <f t="shared" si="103"/>
        <v>210.29353274284895</v>
      </c>
      <c r="S80" s="171">
        <f t="shared" si="103"/>
        <v>214.65559603882502</v>
      </c>
      <c r="T80" s="171">
        <f t="shared" si="103"/>
        <v>307.12476686228717</v>
      </c>
      <c r="U80" s="171">
        <f t="shared" si="103"/>
        <v>296.40644929373957</v>
      </c>
      <c r="V80" s="62">
        <f t="shared" si="103"/>
        <v>188.91148537901995</v>
      </c>
      <c r="X80" s="165"/>
      <c r="Y80" s="122" t="s">
        <v>5</v>
      </c>
      <c r="Z80" s="64">
        <v>4.0000000000000002E-4</v>
      </c>
      <c r="AA80" s="63">
        <f t="shared" si="104"/>
        <v>0</v>
      </c>
      <c r="AB80" s="64">
        <f t="shared" si="51"/>
        <v>0</v>
      </c>
      <c r="AC80" s="64">
        <f t="shared" si="51"/>
        <v>0</v>
      </c>
      <c r="AD80" s="64">
        <f t="shared" si="51"/>
        <v>0</v>
      </c>
      <c r="AE80" s="64">
        <f t="shared" si="51"/>
        <v>1.5200000000000002E-10</v>
      </c>
      <c r="AF80" s="64">
        <f t="shared" si="51"/>
        <v>7.3680000000000002E-9</v>
      </c>
      <c r="AG80" s="64">
        <f t="shared" si="51"/>
        <v>0</v>
      </c>
      <c r="AH80" s="64">
        <f t="shared" si="51"/>
        <v>1.4540000000000001E-8</v>
      </c>
      <c r="AI80" s="64">
        <f t="shared" si="51"/>
        <v>3.7E-9</v>
      </c>
      <c r="AJ80" s="64">
        <f t="shared" si="51"/>
        <v>1.6960000000000001E-9</v>
      </c>
      <c r="AK80" s="64">
        <f t="shared" si="51"/>
        <v>3.3599999999999998E-10</v>
      </c>
      <c r="AL80" s="64">
        <f t="shared" si="51"/>
        <v>7.6799999999999993E-10</v>
      </c>
      <c r="AM80" s="64">
        <f t="shared" si="51"/>
        <v>1.5200000000000001E-9</v>
      </c>
      <c r="AN80" s="64">
        <f t="shared" si="51"/>
        <v>8.0800000000000002E-9</v>
      </c>
      <c r="AO80" s="64">
        <f t="shared" si="51"/>
        <v>1.1579999999999998E-8</v>
      </c>
      <c r="AP80" s="64">
        <f t="shared" si="51"/>
        <v>2.2112E-8</v>
      </c>
      <c r="AQ80" s="64">
        <f t="shared" si="51"/>
        <v>1.4579999999999999E-8</v>
      </c>
      <c r="AR80" s="65">
        <f t="shared" si="51"/>
        <v>1.1780000000000002E-8</v>
      </c>
      <c r="AT80" s="160"/>
      <c r="AU80" t="s">
        <v>5</v>
      </c>
      <c r="AV80" s="48">
        <f t="shared" si="111"/>
        <v>0.78990000000000005</v>
      </c>
      <c r="AW80" s="66">
        <f t="shared" si="105"/>
        <v>0</v>
      </c>
      <c r="AX80" s="99">
        <f t="shared" si="52"/>
        <v>0</v>
      </c>
      <c r="AY80" s="99">
        <f t="shared" si="53"/>
        <v>0</v>
      </c>
      <c r="AZ80" s="99">
        <f t="shared" si="54"/>
        <v>0</v>
      </c>
      <c r="BA80" s="67">
        <f t="shared" si="55"/>
        <v>3.2782833440404384E-8</v>
      </c>
      <c r="BB80" s="67">
        <f>J80*AF80</f>
        <v>1.5857294652776326E-6</v>
      </c>
      <c r="BC80" s="67">
        <f t="shared" si="57"/>
        <v>0</v>
      </c>
      <c r="BD80" s="67">
        <f t="shared" si="58"/>
        <v>3.1088725799895417E-6</v>
      </c>
      <c r="BE80" s="67">
        <f t="shared" si="59"/>
        <v>7.8837966466341576E-7</v>
      </c>
      <c r="BF80" s="67">
        <f t="shared" si="60"/>
        <v>3.5947843520221654E-7</v>
      </c>
      <c r="BG80" s="67">
        <f t="shared" si="61"/>
        <v>7.0906285842683553E-8</v>
      </c>
      <c r="BH80" s="67">
        <f t="shared" si="62"/>
        <v>1.6120457637867144E-7</v>
      </c>
      <c r="BI80" s="67">
        <f t="shared" si="63"/>
        <v>3.1683679733500333E-7</v>
      </c>
      <c r="BJ80" s="67">
        <f t="shared" si="64"/>
        <v>1.6991717445622196E-6</v>
      </c>
      <c r="BK80" s="67">
        <f t="shared" si="65"/>
        <v>2.4857118021295935E-6</v>
      </c>
      <c r="BL80" s="67">
        <f t="shared" si="66"/>
        <v>6.791142844858894E-6</v>
      </c>
      <c r="BM80" s="67">
        <f t="shared" si="67"/>
        <v>4.3216060307027226E-6</v>
      </c>
      <c r="BN80" s="68">
        <f t="shared" si="68"/>
        <v>2.2253772977648555E-6</v>
      </c>
      <c r="BP80" s="160"/>
      <c r="BQ80" t="s">
        <v>5</v>
      </c>
      <c r="BR80" s="48">
        <f t="shared" si="106"/>
        <v>2.0824656393169513E-3</v>
      </c>
      <c r="BS80" s="66">
        <f t="shared" si="107"/>
        <v>217.27457533866061</v>
      </c>
      <c r="BT80" s="99">
        <f t="shared" si="69"/>
        <v>216.92179356302051</v>
      </c>
      <c r="BU80" s="99">
        <f t="shared" si="70"/>
        <v>216.57121576341251</v>
      </c>
      <c r="BV80" s="99">
        <f t="shared" si="71"/>
        <v>216.09281751918374</v>
      </c>
      <c r="BW80" s="67">
        <f t="shared" si="72"/>
        <v>215.62193365075342</v>
      </c>
      <c r="BX80" s="67">
        <f t="shared" si="73"/>
        <v>215.16383777143591</v>
      </c>
      <c r="BY80" s="67">
        <f t="shared" si="74"/>
        <v>214.53733805303958</v>
      </c>
      <c r="BZ80" s="67">
        <f t="shared" si="75"/>
        <v>213.76056842186154</v>
      </c>
      <c r="CA80" s="67">
        <f t="shared" si="76"/>
        <v>213.02098290278576</v>
      </c>
      <c r="CB80" s="67">
        <f t="shared" si="77"/>
        <v>211.90202238822815</v>
      </c>
      <c r="CC80" s="67">
        <f t="shared" si="78"/>
        <v>210.97601048565375</v>
      </c>
      <c r="CD80" s="67">
        <f t="shared" si="79"/>
        <v>209.84719001834782</v>
      </c>
      <c r="CE80" s="67">
        <f t="shared" si="80"/>
        <v>208.39065926322678</v>
      </c>
      <c r="CF80" s="67">
        <f t="shared" si="81"/>
        <v>210.2389306014683</v>
      </c>
      <c r="CG80" s="67">
        <f t="shared" si="82"/>
        <v>214.60099389744437</v>
      </c>
      <c r="CH80" s="67">
        <f t="shared" si="83"/>
        <v>307.07016472090652</v>
      </c>
      <c r="CI80" s="67">
        <f t="shared" si="84"/>
        <v>296.35184715235891</v>
      </c>
      <c r="CJ80" s="68">
        <f t="shared" si="85"/>
        <v>188.85688323763929</v>
      </c>
      <c r="CL80" s="160"/>
      <c r="CM80" t="s">
        <v>5</v>
      </c>
      <c r="CN80" s="48">
        <f t="shared" si="108"/>
        <v>0</v>
      </c>
      <c r="CO80" s="66">
        <f t="shared" si="109"/>
        <v>0</v>
      </c>
      <c r="CP80" s="99">
        <f t="shared" si="86"/>
        <v>0</v>
      </c>
      <c r="CQ80" s="99">
        <f t="shared" si="87"/>
        <v>0</v>
      </c>
      <c r="CR80" s="99">
        <f t="shared" si="88"/>
        <v>0</v>
      </c>
      <c r="CS80" s="67">
        <f t="shared" si="89"/>
        <v>7.0669083772360667E-6</v>
      </c>
      <c r="CT80" s="67">
        <f t="shared" si="90"/>
        <v>3.4110507515883756E-4</v>
      </c>
      <c r="CU80" s="67">
        <f t="shared" si="91"/>
        <v>0</v>
      </c>
      <c r="CV80" s="67">
        <f t="shared" si="92"/>
        <v>6.6438466209902303E-4</v>
      </c>
      <c r="CW80" s="67">
        <f t="shared" si="93"/>
        <v>1.6789837488041511E-4</v>
      </c>
      <c r="CX80" s="67">
        <f t="shared" si="94"/>
        <v>7.615458418840707E-5</v>
      </c>
      <c r="CY80" s="67">
        <f t="shared" si="95"/>
        <v>1.4955654672148739E-5</v>
      </c>
      <c r="CZ80" s="67">
        <f t="shared" si="96"/>
        <v>3.3819527545802164E-5</v>
      </c>
      <c r="DA80" s="67">
        <f t="shared" si="97"/>
        <v>6.6008533639606674E-5</v>
      </c>
      <c r="DB80" s="67">
        <f t="shared" si="98"/>
        <v>3.5713929615882795E-4</v>
      </c>
      <c r="DC80" s="67">
        <f t="shared" si="99"/>
        <v>5.3330053261690762E-4</v>
      </c>
      <c r="DD80" s="67">
        <f t="shared" si="100"/>
        <v>2.0849866069968556E-3</v>
      </c>
      <c r="DE80" s="67">
        <f t="shared" si="101"/>
        <v>1.2804800043887681E-3</v>
      </c>
      <c r="DF80" s="68">
        <f t="shared" si="102"/>
        <v>4.201563452386521E-4</v>
      </c>
    </row>
    <row r="81" spans="2:110">
      <c r="B81" s="160"/>
      <c r="C81" t="str">
        <f t="shared" si="48"/>
        <v>A+</v>
      </c>
      <c r="D81" s="53">
        <f t="shared" si="49"/>
        <v>100.09333890409084</v>
      </c>
      <c r="E81" s="61">
        <f t="shared" si="110"/>
        <v>216.85103100511216</v>
      </c>
      <c r="F81" s="171">
        <f t="shared" si="110"/>
        <v>216.49824922947207</v>
      </c>
      <c r="G81" s="171">
        <f t="shared" si="103"/>
        <v>216.14767142986403</v>
      </c>
      <c r="H81" s="171">
        <f t="shared" si="103"/>
        <v>215.66927318563529</v>
      </c>
      <c r="I81" s="171">
        <f t="shared" si="103"/>
        <v>215.198389317205</v>
      </c>
      <c r="J81" s="171">
        <f t="shared" si="103"/>
        <v>214.74029343788749</v>
      </c>
      <c r="K81" s="171">
        <f t="shared" si="103"/>
        <v>214.11379371949113</v>
      </c>
      <c r="L81" s="171">
        <f t="shared" si="103"/>
        <v>213.33702408831311</v>
      </c>
      <c r="M81" s="171">
        <f t="shared" si="103"/>
        <v>212.59743856923731</v>
      </c>
      <c r="N81" s="171">
        <f t="shared" si="103"/>
        <v>211.47847805467967</v>
      </c>
      <c r="O81" s="171">
        <f t="shared" si="103"/>
        <v>210.55246615210527</v>
      </c>
      <c r="P81" s="171">
        <f t="shared" si="103"/>
        <v>209.42364568479937</v>
      </c>
      <c r="Q81" s="171">
        <f t="shared" si="103"/>
        <v>207.96711492967833</v>
      </c>
      <c r="R81" s="171">
        <f t="shared" si="103"/>
        <v>209.81538626791985</v>
      </c>
      <c r="S81" s="171">
        <f t="shared" si="103"/>
        <v>214.17744956389595</v>
      </c>
      <c r="T81" s="171">
        <f t="shared" si="103"/>
        <v>306.64662038735804</v>
      </c>
      <c r="U81" s="171">
        <f t="shared" si="103"/>
        <v>295.92830281881049</v>
      </c>
      <c r="V81" s="62">
        <f t="shared" si="103"/>
        <v>188.43333890409087</v>
      </c>
      <c r="X81" s="165"/>
      <c r="Y81" s="122" t="s">
        <v>6</v>
      </c>
      <c r="Z81" s="64">
        <v>5.9999999999999995E-4</v>
      </c>
      <c r="AA81" s="63">
        <f t="shared" si="104"/>
        <v>0</v>
      </c>
      <c r="AB81" s="64">
        <f t="shared" si="51"/>
        <v>0</v>
      </c>
      <c r="AC81" s="64">
        <f t="shared" si="51"/>
        <v>0</v>
      </c>
      <c r="AD81" s="64">
        <f t="shared" si="51"/>
        <v>0</v>
      </c>
      <c r="AE81" s="64">
        <f t="shared" si="51"/>
        <v>2.2799999999999999E-10</v>
      </c>
      <c r="AF81" s="64">
        <f t="shared" si="51"/>
        <v>1.1051999999999999E-8</v>
      </c>
      <c r="AG81" s="64">
        <f t="shared" si="51"/>
        <v>0</v>
      </c>
      <c r="AH81" s="64">
        <f t="shared" si="51"/>
        <v>2.1810000000000001E-8</v>
      </c>
      <c r="AI81" s="64">
        <f t="shared" si="51"/>
        <v>5.5499999999999992E-9</v>
      </c>
      <c r="AJ81" s="64">
        <f t="shared" si="51"/>
        <v>2.5439999999999999E-9</v>
      </c>
      <c r="AK81" s="64">
        <f t="shared" si="51"/>
        <v>5.0399999999999991E-10</v>
      </c>
      <c r="AL81" s="64">
        <f t="shared" si="51"/>
        <v>1.152E-9</v>
      </c>
      <c r="AM81" s="64">
        <f t="shared" si="51"/>
        <v>2.28E-9</v>
      </c>
      <c r="AN81" s="64">
        <f t="shared" si="51"/>
        <v>1.2119999999999999E-8</v>
      </c>
      <c r="AO81" s="64">
        <f t="shared" si="51"/>
        <v>1.7369999999999996E-8</v>
      </c>
      <c r="AP81" s="64">
        <f t="shared" si="51"/>
        <v>3.3167999999999996E-8</v>
      </c>
      <c r="AQ81" s="64">
        <f t="shared" si="51"/>
        <v>2.1869999999999997E-8</v>
      </c>
      <c r="AR81" s="65">
        <f t="shared" si="51"/>
        <v>1.7669999999999999E-8</v>
      </c>
      <c r="AT81" s="160"/>
      <c r="AU81" t="s">
        <v>6</v>
      </c>
      <c r="AV81" s="48">
        <f t="shared" si="111"/>
        <v>9.74E-2</v>
      </c>
      <c r="AW81" s="66">
        <f t="shared" si="105"/>
        <v>0</v>
      </c>
      <c r="AX81" s="99">
        <f t="shared" si="52"/>
        <v>0</v>
      </c>
      <c r="AY81" s="99">
        <f t="shared" si="53"/>
        <v>0</v>
      </c>
      <c r="AZ81" s="99">
        <f t="shared" si="54"/>
        <v>0</v>
      </c>
      <c r="BA81" s="67">
        <f t="shared" si="55"/>
        <v>4.9065232764322738E-8</v>
      </c>
      <c r="BB81" s="67">
        <f t="shared" si="56"/>
        <v>2.3733097230755321E-6</v>
      </c>
      <c r="BC81" s="67">
        <f t="shared" si="57"/>
        <v>0</v>
      </c>
      <c r="BD81" s="67">
        <f t="shared" si="58"/>
        <v>4.6528804953661097E-6</v>
      </c>
      <c r="BE81" s="67">
        <f t="shared" si="59"/>
        <v>1.1799157840592669E-6</v>
      </c>
      <c r="BF81" s="67">
        <f t="shared" si="60"/>
        <v>5.3800124817110505E-7</v>
      </c>
      <c r="BG81" s="67">
        <f t="shared" si="61"/>
        <v>1.0611844294066103E-7</v>
      </c>
      <c r="BH81" s="67">
        <f t="shared" si="62"/>
        <v>2.4125603982888888E-7</v>
      </c>
      <c r="BI81" s="67">
        <f t="shared" si="63"/>
        <v>4.7416502203966662E-7</v>
      </c>
      <c r="BJ81" s="67">
        <f t="shared" si="64"/>
        <v>2.5429624815671883E-6</v>
      </c>
      <c r="BK81" s="67">
        <f t="shared" si="65"/>
        <v>3.7202622989248719E-6</v>
      </c>
      <c r="BL81" s="67">
        <f t="shared" si="66"/>
        <v>1.0170855105007891E-5</v>
      </c>
      <c r="BM81" s="67">
        <f t="shared" si="67"/>
        <v>6.4719519826473844E-6</v>
      </c>
      <c r="BN81" s="68">
        <f t="shared" si="68"/>
        <v>3.3296170984352854E-6</v>
      </c>
      <c r="BP81" s="160"/>
      <c r="BQ81" t="s">
        <v>6</v>
      </c>
      <c r="BR81" s="48">
        <f t="shared" si="106"/>
        <v>5.4641076429205659E-3</v>
      </c>
      <c r="BS81" s="66">
        <f t="shared" si="107"/>
        <v>216.79642886373151</v>
      </c>
      <c r="BT81" s="99">
        <f t="shared" si="69"/>
        <v>216.44364708809141</v>
      </c>
      <c r="BU81" s="99">
        <f t="shared" si="70"/>
        <v>216.09306928848338</v>
      </c>
      <c r="BV81" s="99">
        <f t="shared" si="71"/>
        <v>215.61467104425464</v>
      </c>
      <c r="BW81" s="67">
        <f t="shared" si="72"/>
        <v>215.14378717582434</v>
      </c>
      <c r="BX81" s="67">
        <f t="shared" si="73"/>
        <v>214.68569129650683</v>
      </c>
      <c r="BY81" s="67">
        <f t="shared" si="74"/>
        <v>214.05919157811047</v>
      </c>
      <c r="BZ81" s="67">
        <f t="shared" si="75"/>
        <v>213.28242194693246</v>
      </c>
      <c r="CA81" s="67">
        <f t="shared" si="76"/>
        <v>212.54283642785666</v>
      </c>
      <c r="CB81" s="67">
        <f t="shared" si="77"/>
        <v>211.42387591329901</v>
      </c>
      <c r="CC81" s="67">
        <f t="shared" si="78"/>
        <v>210.49786401072461</v>
      </c>
      <c r="CD81" s="67">
        <f t="shared" si="79"/>
        <v>209.36904354341871</v>
      </c>
      <c r="CE81" s="67">
        <f t="shared" si="80"/>
        <v>207.91251278829768</v>
      </c>
      <c r="CF81" s="67">
        <f t="shared" si="81"/>
        <v>209.76078412653919</v>
      </c>
      <c r="CG81" s="67">
        <f t="shared" si="82"/>
        <v>214.12284742251529</v>
      </c>
      <c r="CH81" s="67">
        <f t="shared" si="83"/>
        <v>306.59201824597739</v>
      </c>
      <c r="CI81" s="67">
        <f t="shared" si="84"/>
        <v>295.87370067742984</v>
      </c>
      <c r="CJ81" s="68">
        <f t="shared" si="85"/>
        <v>188.37873676271022</v>
      </c>
      <c r="CL81" s="160"/>
      <c r="CM81" t="s">
        <v>6</v>
      </c>
      <c r="CN81" s="48">
        <f t="shared" si="108"/>
        <v>0</v>
      </c>
      <c r="CO81" s="66">
        <f t="shared" si="109"/>
        <v>0</v>
      </c>
      <c r="CP81" s="99">
        <f t="shared" si="86"/>
        <v>0</v>
      </c>
      <c r="CQ81" s="99">
        <f t="shared" si="87"/>
        <v>0</v>
      </c>
      <c r="CR81" s="99">
        <f t="shared" si="88"/>
        <v>0</v>
      </c>
      <c r="CS81" s="67">
        <f t="shared" si="89"/>
        <v>1.0553401608561257E-5</v>
      </c>
      <c r="CT81" s="67">
        <f t="shared" si="90"/>
        <v>5.0938608371651714E-4</v>
      </c>
      <c r="CU81" s="67">
        <f t="shared" si="91"/>
        <v>0</v>
      </c>
      <c r="CV81" s="67">
        <f t="shared" si="92"/>
        <v>9.9212362886689099E-4</v>
      </c>
      <c r="CW81" s="67">
        <f t="shared" si="93"/>
        <v>2.5071823810823238E-4</v>
      </c>
      <c r="CX81" s="67">
        <f t="shared" si="94"/>
        <v>1.1371694069897803E-4</v>
      </c>
      <c r="CY81" s="67">
        <f t="shared" si="95"/>
        <v>2.233191277955106E-5</v>
      </c>
      <c r="CZ81" s="67">
        <f t="shared" si="96"/>
        <v>5.0498376646217426E-5</v>
      </c>
      <c r="DA81" s="67">
        <f t="shared" si="97"/>
        <v>9.8558957580592417E-5</v>
      </c>
      <c r="DB81" s="67">
        <f t="shared" si="98"/>
        <v>5.3327498907545254E-4</v>
      </c>
      <c r="DC81" s="67">
        <f t="shared" si="99"/>
        <v>7.9639007410321836E-4</v>
      </c>
      <c r="DD81" s="67">
        <f t="shared" si="100"/>
        <v>3.1177477423502365E-3</v>
      </c>
      <c r="DE81" s="67">
        <f t="shared" si="101"/>
        <v>1.9145270664784287E-3</v>
      </c>
      <c r="DF81" s="68">
        <f t="shared" si="102"/>
        <v>6.2704731136443666E-4</v>
      </c>
    </row>
    <row r="82" spans="2:110">
      <c r="B82" s="160"/>
      <c r="C82" t="str">
        <f t="shared" si="48"/>
        <v>A</v>
      </c>
      <c r="D82" s="53">
        <f t="shared" si="49"/>
        <v>99.618091558375497</v>
      </c>
      <c r="E82" s="61">
        <f t="shared" si="110"/>
        <v>216.3757836593968</v>
      </c>
      <c r="F82" s="171">
        <f t="shared" si="110"/>
        <v>216.02300188375671</v>
      </c>
      <c r="G82" s="171">
        <f t="shared" si="103"/>
        <v>215.6724240841487</v>
      </c>
      <c r="H82" s="171">
        <f t="shared" si="103"/>
        <v>215.19402583991993</v>
      </c>
      <c r="I82" s="171">
        <f t="shared" si="103"/>
        <v>214.72314197148967</v>
      </c>
      <c r="J82" s="171">
        <f t="shared" si="103"/>
        <v>214.26504609217213</v>
      </c>
      <c r="K82" s="171">
        <f t="shared" si="103"/>
        <v>213.63854637377577</v>
      </c>
      <c r="L82" s="171">
        <f t="shared" si="103"/>
        <v>212.86177674259778</v>
      </c>
      <c r="M82" s="171">
        <f t="shared" si="103"/>
        <v>212.12219122352195</v>
      </c>
      <c r="N82" s="171">
        <f t="shared" si="103"/>
        <v>211.00323070896434</v>
      </c>
      <c r="O82" s="171">
        <f t="shared" si="103"/>
        <v>210.07721880638994</v>
      </c>
      <c r="P82" s="171">
        <f t="shared" si="103"/>
        <v>208.94839833908404</v>
      </c>
      <c r="Q82" s="171">
        <f t="shared" si="103"/>
        <v>207.49186758396297</v>
      </c>
      <c r="R82" s="171">
        <f t="shared" si="103"/>
        <v>209.34013892220449</v>
      </c>
      <c r="S82" s="171">
        <f t="shared" si="103"/>
        <v>213.70220221818062</v>
      </c>
      <c r="T82" s="171">
        <f t="shared" si="103"/>
        <v>306.17137304164271</v>
      </c>
      <c r="U82" s="171">
        <f t="shared" si="103"/>
        <v>295.45305547309511</v>
      </c>
      <c r="V82" s="62">
        <f t="shared" si="103"/>
        <v>187.95809155837549</v>
      </c>
      <c r="X82" s="165"/>
      <c r="Y82" s="122" t="s">
        <v>7</v>
      </c>
      <c r="Z82" s="64">
        <v>1.2999999999999999E-3</v>
      </c>
      <c r="AA82" s="63">
        <f t="shared" si="104"/>
        <v>0</v>
      </c>
      <c r="AB82" s="64">
        <f t="shared" si="51"/>
        <v>0</v>
      </c>
      <c r="AC82" s="64">
        <f t="shared" si="51"/>
        <v>0</v>
      </c>
      <c r="AD82" s="64">
        <f t="shared" si="51"/>
        <v>0</v>
      </c>
      <c r="AE82" s="64">
        <f t="shared" si="51"/>
        <v>4.9400000000000005E-10</v>
      </c>
      <c r="AF82" s="64">
        <f t="shared" si="51"/>
        <v>2.3945999999999998E-8</v>
      </c>
      <c r="AG82" s="64">
        <f t="shared" si="51"/>
        <v>0</v>
      </c>
      <c r="AH82" s="64">
        <f t="shared" si="51"/>
        <v>4.7255000000000002E-8</v>
      </c>
      <c r="AI82" s="64">
        <f t="shared" si="51"/>
        <v>1.2025E-8</v>
      </c>
      <c r="AJ82" s="64">
        <f t="shared" si="51"/>
        <v>5.512E-9</v>
      </c>
      <c r="AK82" s="64">
        <f t="shared" si="51"/>
        <v>1.092E-9</v>
      </c>
      <c r="AL82" s="64">
        <f t="shared" si="51"/>
        <v>2.4960000000000001E-9</v>
      </c>
      <c r="AM82" s="64">
        <f t="shared" si="51"/>
        <v>4.9399999999999999E-9</v>
      </c>
      <c r="AN82" s="64">
        <f t="shared" si="51"/>
        <v>2.6260000000000002E-8</v>
      </c>
      <c r="AO82" s="64">
        <f t="shared" si="51"/>
        <v>3.7634999999999999E-8</v>
      </c>
      <c r="AP82" s="64">
        <f t="shared" si="51"/>
        <v>7.1864000000000001E-8</v>
      </c>
      <c r="AQ82" s="64">
        <f t="shared" si="51"/>
        <v>4.7384999999999997E-8</v>
      </c>
      <c r="AR82" s="65">
        <f t="shared" si="51"/>
        <v>3.8285000000000002E-8</v>
      </c>
      <c r="AT82" s="160"/>
      <c r="AU82" t="s">
        <v>7</v>
      </c>
      <c r="AV82" s="48">
        <f t="shared" si="111"/>
        <v>2.18E-2</v>
      </c>
      <c r="AW82" s="66">
        <f t="shared" si="105"/>
        <v>0</v>
      </c>
      <c r="AX82" s="99">
        <f t="shared" si="52"/>
        <v>0</v>
      </c>
      <c r="AY82" s="99">
        <f t="shared" si="53"/>
        <v>0</v>
      </c>
      <c r="AZ82" s="99">
        <f t="shared" si="54"/>
        <v>0</v>
      </c>
      <c r="BA82" s="67">
        <f t="shared" si="55"/>
        <v>1.060732321339159E-7</v>
      </c>
      <c r="BB82" s="67">
        <f t="shared" si="56"/>
        <v>5.1307907937231536E-6</v>
      </c>
      <c r="BC82" s="67">
        <f t="shared" si="57"/>
        <v>0</v>
      </c>
      <c r="BD82" s="67">
        <f t="shared" si="58"/>
        <v>1.0058783259971458E-5</v>
      </c>
      <c r="BE82" s="67">
        <f t="shared" si="59"/>
        <v>2.5507693494628513E-6</v>
      </c>
      <c r="BF82" s="67">
        <f t="shared" si="60"/>
        <v>1.1630498076678114E-6</v>
      </c>
      <c r="BG82" s="67">
        <f t="shared" si="61"/>
        <v>2.2940432293657779E-7</v>
      </c>
      <c r="BH82" s="67">
        <f t="shared" si="62"/>
        <v>5.2153520225435373E-7</v>
      </c>
      <c r="BI82" s="67">
        <f t="shared" si="63"/>
        <v>1.0250098258647771E-6</v>
      </c>
      <c r="BJ82" s="67">
        <f t="shared" si="64"/>
        <v>5.4972720480970904E-6</v>
      </c>
      <c r="BK82" s="67">
        <f t="shared" si="65"/>
        <v>8.0426823804812275E-6</v>
      </c>
      <c r="BL82" s="67">
        <f t="shared" si="66"/>
        <v>2.2002699552264613E-5</v>
      </c>
      <c r="BM82" s="67">
        <f t="shared" si="67"/>
        <v>1.4000043033592611E-5</v>
      </c>
      <c r="BN82" s="68">
        <f t="shared" si="68"/>
        <v>7.1959755353124062E-6</v>
      </c>
      <c r="BP82" s="160"/>
      <c r="BQ82" t="s">
        <v>7</v>
      </c>
      <c r="BR82" s="48">
        <f t="shared" si="106"/>
        <v>8.0000000000000002E-3</v>
      </c>
      <c r="BS82" s="66">
        <f t="shared" si="107"/>
        <v>216.32118151801615</v>
      </c>
      <c r="BT82" s="99">
        <f t="shared" si="69"/>
        <v>215.96839974237605</v>
      </c>
      <c r="BU82" s="99">
        <f t="shared" si="70"/>
        <v>215.61782194276805</v>
      </c>
      <c r="BV82" s="99">
        <f t="shared" si="71"/>
        <v>215.13942369853928</v>
      </c>
      <c r="BW82" s="67">
        <f t="shared" si="72"/>
        <v>214.66853983010901</v>
      </c>
      <c r="BX82" s="67">
        <f t="shared" si="73"/>
        <v>214.21044395079147</v>
      </c>
      <c r="BY82" s="67">
        <f t="shared" si="74"/>
        <v>213.58394423239511</v>
      </c>
      <c r="BZ82" s="67">
        <f t="shared" si="75"/>
        <v>212.80717460121713</v>
      </c>
      <c r="CA82" s="67">
        <f t="shared" si="76"/>
        <v>212.0675890821413</v>
      </c>
      <c r="CB82" s="67">
        <f t="shared" si="77"/>
        <v>210.94862856758368</v>
      </c>
      <c r="CC82" s="67">
        <f t="shared" si="78"/>
        <v>210.02261666500928</v>
      </c>
      <c r="CD82" s="67">
        <f t="shared" si="79"/>
        <v>208.89379619770338</v>
      </c>
      <c r="CE82" s="67">
        <f t="shared" si="80"/>
        <v>207.43726544258232</v>
      </c>
      <c r="CF82" s="67">
        <f t="shared" si="81"/>
        <v>209.28553678082383</v>
      </c>
      <c r="CG82" s="67">
        <f t="shared" si="82"/>
        <v>213.64760007679996</v>
      </c>
      <c r="CH82" s="67">
        <f t="shared" si="83"/>
        <v>306.11677090026205</v>
      </c>
      <c r="CI82" s="67">
        <f t="shared" si="84"/>
        <v>295.39845333171445</v>
      </c>
      <c r="CJ82" s="68">
        <f t="shared" si="85"/>
        <v>187.90348941699483</v>
      </c>
      <c r="CL82" s="160"/>
      <c r="CM82" t="s">
        <v>7</v>
      </c>
      <c r="CN82" s="48">
        <f t="shared" si="108"/>
        <v>0</v>
      </c>
      <c r="CO82" s="66">
        <f t="shared" si="109"/>
        <v>0</v>
      </c>
      <c r="CP82" s="99">
        <f t="shared" si="86"/>
        <v>0</v>
      </c>
      <c r="CQ82" s="99">
        <f t="shared" si="87"/>
        <v>0</v>
      </c>
      <c r="CR82" s="99">
        <f t="shared" si="88"/>
        <v>0</v>
      </c>
      <c r="CS82" s="67">
        <f t="shared" si="89"/>
        <v>2.2764795504438805E-5</v>
      </c>
      <c r="CT82" s="67">
        <f t="shared" si="90"/>
        <v>1.0987888929702139E-3</v>
      </c>
      <c r="CU82" s="67">
        <f t="shared" si="91"/>
        <v>0</v>
      </c>
      <c r="CV82" s="67">
        <f t="shared" si="92"/>
        <v>2.1400321552606338E-3</v>
      </c>
      <c r="CW82" s="67">
        <f t="shared" si="93"/>
        <v>5.4079626462782103E-4</v>
      </c>
      <c r="CX82" s="67">
        <f t="shared" si="94"/>
        <v>2.452802733067286E-4</v>
      </c>
      <c r="CY82" s="67">
        <f t="shared" si="95"/>
        <v>4.8167573465812632E-5</v>
      </c>
      <c r="CZ82" s="67">
        <f t="shared" si="96"/>
        <v>1.0891699875235954E-4</v>
      </c>
      <c r="DA82" s="67">
        <f t="shared" si="97"/>
        <v>2.1256928232582401E-4</v>
      </c>
      <c r="DB82" s="67">
        <f t="shared" si="98"/>
        <v>1.1501994468820426E-3</v>
      </c>
      <c r="DC82" s="67">
        <f t="shared" si="99"/>
        <v>1.7178607532941173E-3</v>
      </c>
      <c r="DD82" s="67">
        <f t="shared" si="100"/>
        <v>6.7341941577710625E-3</v>
      </c>
      <c r="DE82" s="67">
        <f t="shared" si="101"/>
        <v>4.1348267676449921E-3</v>
      </c>
      <c r="DF82" s="68">
        <f t="shared" si="102"/>
        <v>1.3517561113136408E-3</v>
      </c>
    </row>
    <row r="83" spans="2:110">
      <c r="B83" s="160"/>
      <c r="C83" t="str">
        <f t="shared" si="48"/>
        <v>A-</v>
      </c>
      <c r="D83" s="53">
        <f t="shared" si="49"/>
        <v>98.974661548818204</v>
      </c>
      <c r="E83" s="61">
        <f t="shared" si="110"/>
        <v>215.73235364983952</v>
      </c>
      <c r="F83" s="171">
        <f t="shared" si="110"/>
        <v>215.37957187419943</v>
      </c>
      <c r="G83" s="171">
        <f t="shared" si="103"/>
        <v>215.02899407459142</v>
      </c>
      <c r="H83" s="171">
        <f t="shared" si="103"/>
        <v>214.55059583036265</v>
      </c>
      <c r="I83" s="171">
        <f t="shared" si="103"/>
        <v>214.07971196193233</v>
      </c>
      <c r="J83" s="171">
        <f t="shared" si="103"/>
        <v>213.62161608261482</v>
      </c>
      <c r="K83" s="171">
        <f t="shared" si="103"/>
        <v>212.99511636421849</v>
      </c>
      <c r="L83" s="171">
        <f t="shared" si="103"/>
        <v>212.21834673304045</v>
      </c>
      <c r="M83" s="171">
        <f t="shared" si="103"/>
        <v>211.47876121396467</v>
      </c>
      <c r="N83" s="171">
        <f t="shared" si="103"/>
        <v>210.35980069940706</v>
      </c>
      <c r="O83" s="171">
        <f t="shared" si="103"/>
        <v>209.43378879683266</v>
      </c>
      <c r="P83" s="171">
        <f t="shared" si="103"/>
        <v>208.30496832952673</v>
      </c>
      <c r="Q83" s="171">
        <f t="shared" si="103"/>
        <v>206.84843757440569</v>
      </c>
      <c r="R83" s="171">
        <f t="shared" si="103"/>
        <v>208.69670891264721</v>
      </c>
      <c r="S83" s="171">
        <f t="shared" si="103"/>
        <v>213.05877220862328</v>
      </c>
      <c r="T83" s="171">
        <f t="shared" si="103"/>
        <v>305.52794303208543</v>
      </c>
      <c r="U83" s="171">
        <f t="shared" si="103"/>
        <v>294.80962546353783</v>
      </c>
      <c r="V83" s="62">
        <f t="shared" si="103"/>
        <v>187.31466154881821</v>
      </c>
      <c r="X83" s="165"/>
      <c r="Y83" s="122" t="s">
        <v>8</v>
      </c>
      <c r="Z83" s="64">
        <v>2.3E-3</v>
      </c>
      <c r="AA83" s="63">
        <f t="shared" si="104"/>
        <v>0</v>
      </c>
      <c r="AB83" s="64">
        <f t="shared" si="51"/>
        <v>0</v>
      </c>
      <c r="AC83" s="64">
        <f t="shared" si="51"/>
        <v>0</v>
      </c>
      <c r="AD83" s="64">
        <f t="shared" si="51"/>
        <v>0</v>
      </c>
      <c r="AE83" s="64">
        <f t="shared" si="51"/>
        <v>8.7399999999999998E-10</v>
      </c>
      <c r="AF83" s="64">
        <f t="shared" si="51"/>
        <v>4.2365999999999997E-8</v>
      </c>
      <c r="AG83" s="64">
        <f t="shared" si="51"/>
        <v>0</v>
      </c>
      <c r="AH83" s="64">
        <f t="shared" si="51"/>
        <v>8.3605E-8</v>
      </c>
      <c r="AI83" s="64">
        <f t="shared" si="51"/>
        <v>2.1275E-8</v>
      </c>
      <c r="AJ83" s="64">
        <f t="shared" si="51"/>
        <v>9.7520000000000002E-9</v>
      </c>
      <c r="AK83" s="64">
        <f t="shared" si="51"/>
        <v>1.9319999999999999E-9</v>
      </c>
      <c r="AL83" s="64">
        <f t="shared" si="51"/>
        <v>4.4159999999999996E-9</v>
      </c>
      <c r="AM83" s="64">
        <f t="shared" si="51"/>
        <v>8.7399999999999992E-9</v>
      </c>
      <c r="AN83" s="64">
        <f t="shared" si="51"/>
        <v>4.646E-8</v>
      </c>
      <c r="AO83" s="64">
        <f t="shared" si="51"/>
        <v>6.6584999999999997E-8</v>
      </c>
      <c r="AP83" s="64">
        <f t="shared" si="51"/>
        <v>1.2714399999999999E-7</v>
      </c>
      <c r="AQ83" s="64">
        <f t="shared" si="51"/>
        <v>8.3834999999999996E-8</v>
      </c>
      <c r="AR83" s="65">
        <f t="shared" si="51"/>
        <v>6.7735000000000004E-8</v>
      </c>
      <c r="AT83" s="160"/>
      <c r="AU83" t="s">
        <v>8</v>
      </c>
      <c r="AV83" s="48">
        <f t="shared" si="111"/>
        <v>5.7000000000000002E-3</v>
      </c>
      <c r="AW83" s="66">
        <f t="shared" si="105"/>
        <v>0</v>
      </c>
      <c r="AX83" s="99">
        <f t="shared" si="52"/>
        <v>0</v>
      </c>
      <c r="AY83" s="99">
        <f t="shared" si="53"/>
        <v>0</v>
      </c>
      <c r="AZ83" s="99">
        <f t="shared" si="54"/>
        <v>0</v>
      </c>
      <c r="BA83" s="67">
        <f t="shared" si="55"/>
        <v>1.8710566825472885E-7</v>
      </c>
      <c r="BB83" s="67">
        <f t="shared" si="56"/>
        <v>9.0502933869560596E-6</v>
      </c>
      <c r="BC83" s="67">
        <f t="shared" si="57"/>
        <v>0</v>
      </c>
      <c r="BD83" s="67">
        <f t="shared" si="58"/>
        <v>1.7742514878615848E-5</v>
      </c>
      <c r="BE83" s="67">
        <f t="shared" si="59"/>
        <v>4.4992106448270982E-6</v>
      </c>
      <c r="BF83" s="67">
        <f t="shared" si="60"/>
        <v>2.0514287764206177E-6</v>
      </c>
      <c r="BG83" s="67">
        <f t="shared" si="61"/>
        <v>4.046260799554807E-7</v>
      </c>
      <c r="BH83" s="67">
        <f t="shared" si="62"/>
        <v>9.1987474014319E-7</v>
      </c>
      <c r="BI83" s="67">
        <f t="shared" si="63"/>
        <v>1.8078553444003055E-6</v>
      </c>
      <c r="BJ83" s="67">
        <f t="shared" si="64"/>
        <v>9.696049096081589E-6</v>
      </c>
      <c r="BK83" s="67">
        <f t="shared" si="65"/>
        <v>1.418651834751118E-5</v>
      </c>
      <c r="BL83" s="67">
        <f t="shared" si="66"/>
        <v>3.8846044788871465E-5</v>
      </c>
      <c r="BM83" s="67">
        <f t="shared" si="67"/>
        <v>2.4715364950735691E-5</v>
      </c>
      <c r="BN83" s="68">
        <f t="shared" si="68"/>
        <v>1.2687758600009203E-5</v>
      </c>
      <c r="BP83" s="160"/>
      <c r="BQ83" t="s">
        <v>8</v>
      </c>
      <c r="BR83" s="48">
        <f t="shared" si="106"/>
        <v>1.2193263222069806E-2</v>
      </c>
      <c r="BS83" s="66">
        <f t="shared" si="107"/>
        <v>215.67775150845887</v>
      </c>
      <c r="BT83" s="99">
        <f t="shared" si="69"/>
        <v>215.32496973281877</v>
      </c>
      <c r="BU83" s="99">
        <f t="shared" si="70"/>
        <v>214.97439193321077</v>
      </c>
      <c r="BV83" s="99">
        <f t="shared" si="71"/>
        <v>214.495993688982</v>
      </c>
      <c r="BW83" s="67">
        <f t="shared" si="72"/>
        <v>214.02510982055168</v>
      </c>
      <c r="BX83" s="67">
        <f t="shared" si="73"/>
        <v>213.56701394123417</v>
      </c>
      <c r="BY83" s="67">
        <f t="shared" si="74"/>
        <v>212.94051422283783</v>
      </c>
      <c r="BZ83" s="67">
        <f t="shared" si="75"/>
        <v>212.16374459165979</v>
      </c>
      <c r="CA83" s="67">
        <f t="shared" si="76"/>
        <v>211.42415907258402</v>
      </c>
      <c r="CB83" s="67">
        <f t="shared" si="77"/>
        <v>210.3051985580264</v>
      </c>
      <c r="CC83" s="67">
        <f t="shared" si="78"/>
        <v>209.379186655452</v>
      </c>
      <c r="CD83" s="67">
        <f t="shared" si="79"/>
        <v>208.25036618814607</v>
      </c>
      <c r="CE83" s="67">
        <f t="shared" si="80"/>
        <v>206.79383543302504</v>
      </c>
      <c r="CF83" s="67">
        <f t="shared" si="81"/>
        <v>208.64210677126655</v>
      </c>
      <c r="CG83" s="67">
        <f t="shared" si="82"/>
        <v>213.00417006724263</v>
      </c>
      <c r="CH83" s="67">
        <f t="shared" si="83"/>
        <v>305.47334089070478</v>
      </c>
      <c r="CI83" s="67">
        <f t="shared" si="84"/>
        <v>294.75502332215717</v>
      </c>
      <c r="CJ83" s="68">
        <f t="shared" si="85"/>
        <v>187.26005940743755</v>
      </c>
      <c r="CL83" s="160"/>
      <c r="CM83" t="s">
        <v>8</v>
      </c>
      <c r="CN83" s="48">
        <f t="shared" si="108"/>
        <v>0</v>
      </c>
      <c r="CO83" s="66">
        <f t="shared" si="109"/>
        <v>0</v>
      </c>
      <c r="CP83" s="99">
        <f t="shared" si="86"/>
        <v>0</v>
      </c>
      <c r="CQ83" s="99">
        <f t="shared" si="87"/>
        <v>0</v>
      </c>
      <c r="CR83" s="99">
        <f t="shared" si="88"/>
        <v>0</v>
      </c>
      <c r="CS83" s="67">
        <f t="shared" si="89"/>
        <v>4.0035097431853105E-5</v>
      </c>
      <c r="CT83" s="67">
        <f t="shared" si="90"/>
        <v>1.9323500948549845E-3</v>
      </c>
      <c r="CU83" s="67">
        <f t="shared" si="91"/>
        <v>0</v>
      </c>
      <c r="CV83" s="67">
        <f t="shared" si="92"/>
        <v>3.7633498650739578E-3</v>
      </c>
      <c r="CW83" s="67">
        <f t="shared" si="93"/>
        <v>9.5099622396641167E-4</v>
      </c>
      <c r="CX83" s="67">
        <f t="shared" si="94"/>
        <v>4.3131415282325744E-4</v>
      </c>
      <c r="CY83" s="67">
        <f t="shared" si="95"/>
        <v>8.4698191830291324E-5</v>
      </c>
      <c r="CZ83" s="67">
        <f t="shared" si="96"/>
        <v>1.9151403751726644E-4</v>
      </c>
      <c r="DA83" s="67">
        <f t="shared" si="97"/>
        <v>3.7375465386090304E-4</v>
      </c>
      <c r="DB83" s="67">
        <f t="shared" si="98"/>
        <v>2.0224748242360772E-3</v>
      </c>
      <c r="DC83" s="67">
        <f t="shared" si="99"/>
        <v>3.0210131509909284E-3</v>
      </c>
      <c r="DD83" s="67">
        <f t="shared" si="100"/>
        <v>1.1864310383883218E-2</v>
      </c>
      <c r="DE83" s="67">
        <f t="shared" si="101"/>
        <v>7.2836287105635632E-3</v>
      </c>
      <c r="DF83" s="68">
        <f t="shared" si="102"/>
        <v>2.3752178523407806E-3</v>
      </c>
    </row>
    <row r="84" spans="2:110">
      <c r="B84" s="160"/>
      <c r="C84" t="str">
        <f t="shared" si="48"/>
        <v>BBB+</v>
      </c>
      <c r="D84" s="53">
        <f t="shared" si="49"/>
        <v>98.167251975961562</v>
      </c>
      <c r="E84" s="61">
        <f t="shared" si="110"/>
        <v>214.92494407698288</v>
      </c>
      <c r="F84" s="171">
        <f t="shared" si="110"/>
        <v>214.57216230134279</v>
      </c>
      <c r="G84" s="171">
        <f t="shared" si="103"/>
        <v>214.22158450173475</v>
      </c>
      <c r="H84" s="171">
        <f t="shared" si="103"/>
        <v>213.74318625750601</v>
      </c>
      <c r="I84" s="171">
        <f t="shared" si="103"/>
        <v>213.27230238907572</v>
      </c>
      <c r="J84" s="171">
        <f t="shared" si="103"/>
        <v>212.81420650975821</v>
      </c>
      <c r="K84" s="171">
        <f t="shared" si="103"/>
        <v>212.18770679136185</v>
      </c>
      <c r="L84" s="171">
        <f t="shared" si="103"/>
        <v>211.41093716018383</v>
      </c>
      <c r="M84" s="171">
        <f t="shared" si="103"/>
        <v>210.67135164110803</v>
      </c>
      <c r="N84" s="171">
        <f t="shared" si="103"/>
        <v>209.55239112655039</v>
      </c>
      <c r="O84" s="171">
        <f t="shared" si="103"/>
        <v>208.62637922397599</v>
      </c>
      <c r="P84" s="171">
        <f t="shared" si="103"/>
        <v>207.49755875667009</v>
      </c>
      <c r="Q84" s="171">
        <f t="shared" si="103"/>
        <v>206.04102800154905</v>
      </c>
      <c r="R84" s="171">
        <f t="shared" si="103"/>
        <v>207.88929933979057</v>
      </c>
      <c r="S84" s="171">
        <f t="shared" si="103"/>
        <v>212.25136263576667</v>
      </c>
      <c r="T84" s="171">
        <f t="shared" si="103"/>
        <v>304.72053345922876</v>
      </c>
      <c r="U84" s="171">
        <f t="shared" si="103"/>
        <v>294.00221589068121</v>
      </c>
      <c r="V84" s="62">
        <f t="shared" si="103"/>
        <v>186.50725197596159</v>
      </c>
      <c r="X84" s="165"/>
      <c r="Y84" s="122" t="s">
        <v>9</v>
      </c>
      <c r="Z84" s="64">
        <v>1.0800000000000001E-2</v>
      </c>
      <c r="AA84" s="63">
        <f t="shared" si="104"/>
        <v>0</v>
      </c>
      <c r="AB84" s="64">
        <f t="shared" si="51"/>
        <v>0</v>
      </c>
      <c r="AC84" s="64">
        <f t="shared" si="51"/>
        <v>0</v>
      </c>
      <c r="AD84" s="64">
        <f t="shared" si="51"/>
        <v>0</v>
      </c>
      <c r="AE84" s="64">
        <f t="shared" si="51"/>
        <v>4.1039999999999999E-9</v>
      </c>
      <c r="AF84" s="64">
        <f t="shared" si="51"/>
        <v>1.9893600000000003E-7</v>
      </c>
      <c r="AG84" s="64">
        <f t="shared" si="51"/>
        <v>0</v>
      </c>
      <c r="AH84" s="64">
        <f t="shared" si="51"/>
        <v>3.9258000000000004E-7</v>
      </c>
      <c r="AI84" s="64">
        <f t="shared" si="51"/>
        <v>9.9900000000000001E-8</v>
      </c>
      <c r="AJ84" s="64">
        <f t="shared" si="51"/>
        <v>4.5792000000000004E-8</v>
      </c>
      <c r="AK84" s="64">
        <f t="shared" si="51"/>
        <v>9.0720000000000001E-9</v>
      </c>
      <c r="AL84" s="64">
        <f t="shared" si="51"/>
        <v>2.0736000000000001E-8</v>
      </c>
      <c r="AM84" s="64">
        <f t="shared" si="51"/>
        <v>4.1040000000000009E-8</v>
      </c>
      <c r="AN84" s="64">
        <f t="shared" si="51"/>
        <v>2.1816000000000002E-7</v>
      </c>
      <c r="AO84" s="64">
        <f t="shared" si="51"/>
        <v>3.1266E-7</v>
      </c>
      <c r="AP84" s="64">
        <f t="shared" si="51"/>
        <v>5.9702399999999999E-7</v>
      </c>
      <c r="AQ84" s="64">
        <f t="shared" si="51"/>
        <v>3.9365999999999999E-7</v>
      </c>
      <c r="AR84" s="65">
        <f t="shared" si="51"/>
        <v>3.1806000000000003E-7</v>
      </c>
      <c r="AT84" s="160"/>
      <c r="AU84" t="s">
        <v>9</v>
      </c>
      <c r="AV84" s="48">
        <f t="shared" si="111"/>
        <v>2.3999999999999998E-3</v>
      </c>
      <c r="AW84" s="66">
        <f t="shared" si="105"/>
        <v>0</v>
      </c>
      <c r="AX84" s="99">
        <f t="shared" si="52"/>
        <v>0</v>
      </c>
      <c r="AY84" s="99">
        <f t="shared" si="53"/>
        <v>0</v>
      </c>
      <c r="AZ84" s="99">
        <f t="shared" si="54"/>
        <v>0</v>
      </c>
      <c r="BA84" s="67">
        <f t="shared" si="55"/>
        <v>8.7526952900476669E-7</v>
      </c>
      <c r="BB84" s="67">
        <f t="shared" si="56"/>
        <v>4.2336406986225268E-5</v>
      </c>
      <c r="BC84" s="67">
        <f t="shared" si="57"/>
        <v>0</v>
      </c>
      <c r="BD84" s="67">
        <f t="shared" si="58"/>
        <v>8.299570571034498E-5</v>
      </c>
      <c r="BE84" s="67">
        <f t="shared" si="59"/>
        <v>2.1046068028946691E-5</v>
      </c>
      <c r="BF84" s="67">
        <f t="shared" si="60"/>
        <v>9.5958230944669962E-6</v>
      </c>
      <c r="BG84" s="67">
        <f t="shared" si="61"/>
        <v>1.8926585123199101E-6</v>
      </c>
      <c r="BH84" s="67">
        <f t="shared" si="62"/>
        <v>4.3026693783783112E-6</v>
      </c>
      <c r="BI84" s="67">
        <f t="shared" si="63"/>
        <v>8.4559237891835745E-6</v>
      </c>
      <c r="BJ84" s="67">
        <f t="shared" si="64"/>
        <v>4.5353129543968716E-5</v>
      </c>
      <c r="BK84" s="67">
        <f t="shared" si="65"/>
        <v>6.6362511041698799E-5</v>
      </c>
      <c r="BL84" s="67">
        <f t="shared" si="66"/>
        <v>1.8192547176796258E-4</v>
      </c>
      <c r="BM84" s="67">
        <f t="shared" si="67"/>
        <v>1.1573691230752556E-4</v>
      </c>
      <c r="BN84" s="68">
        <f t="shared" si="68"/>
        <v>5.9320496563474348E-5</v>
      </c>
      <c r="BP84" s="160"/>
      <c r="BQ84" t="s">
        <v>9</v>
      </c>
      <c r="BR84" s="48">
        <f t="shared" si="106"/>
        <v>1.953125E-2</v>
      </c>
      <c r="BS84" s="66">
        <f t="shared" si="107"/>
        <v>214.87034193560223</v>
      </c>
      <c r="BT84" s="99">
        <f t="shared" si="69"/>
        <v>214.51756015996213</v>
      </c>
      <c r="BU84" s="99">
        <f t="shared" si="70"/>
        <v>214.1669823603541</v>
      </c>
      <c r="BV84" s="99">
        <f t="shared" si="71"/>
        <v>213.68858411612536</v>
      </c>
      <c r="BW84" s="67">
        <f t="shared" si="72"/>
        <v>213.21770024769506</v>
      </c>
      <c r="BX84" s="67">
        <f t="shared" si="73"/>
        <v>212.75960436837755</v>
      </c>
      <c r="BY84" s="67">
        <f t="shared" si="74"/>
        <v>212.13310464998119</v>
      </c>
      <c r="BZ84" s="67">
        <f t="shared" si="75"/>
        <v>211.35633501880318</v>
      </c>
      <c r="CA84" s="67">
        <f t="shared" si="76"/>
        <v>210.61674949972738</v>
      </c>
      <c r="CB84" s="67">
        <f t="shared" si="77"/>
        <v>209.49778898516973</v>
      </c>
      <c r="CC84" s="67">
        <f t="shared" si="78"/>
        <v>208.57177708259533</v>
      </c>
      <c r="CD84" s="67">
        <f t="shared" si="79"/>
        <v>207.44295661528943</v>
      </c>
      <c r="CE84" s="67">
        <f t="shared" si="80"/>
        <v>205.9864258601684</v>
      </c>
      <c r="CF84" s="67">
        <f t="shared" si="81"/>
        <v>207.83469719840991</v>
      </c>
      <c r="CG84" s="67">
        <f t="shared" si="82"/>
        <v>212.19676049438601</v>
      </c>
      <c r="CH84" s="67">
        <f t="shared" si="83"/>
        <v>304.66593131784811</v>
      </c>
      <c r="CI84" s="67">
        <f t="shared" si="84"/>
        <v>293.94761374930056</v>
      </c>
      <c r="CJ84" s="68">
        <f t="shared" si="85"/>
        <v>186.45264983458094</v>
      </c>
      <c r="CL84" s="160"/>
      <c r="CM84" t="s">
        <v>9</v>
      </c>
      <c r="CN84" s="48">
        <f t="shared" si="108"/>
        <v>0</v>
      </c>
      <c r="CO84" s="66">
        <f t="shared" si="109"/>
        <v>0</v>
      </c>
      <c r="CP84" s="99">
        <f t="shared" si="86"/>
        <v>0</v>
      </c>
      <c r="CQ84" s="99">
        <f t="shared" si="87"/>
        <v>0</v>
      </c>
      <c r="CR84" s="99">
        <f t="shared" si="88"/>
        <v>0</v>
      </c>
      <c r="CS84" s="67">
        <f t="shared" si="89"/>
        <v>1.8657517671635102E-4</v>
      </c>
      <c r="CT84" s="67">
        <f t="shared" si="90"/>
        <v>9.0051661353946575E-3</v>
      </c>
      <c r="CU84" s="67">
        <f t="shared" si="91"/>
        <v>0</v>
      </c>
      <c r="CV84" s="67">
        <f t="shared" si="92"/>
        <v>1.7537137608416079E-2</v>
      </c>
      <c r="CW84" s="67">
        <f t="shared" si="93"/>
        <v>4.4315055754661084E-3</v>
      </c>
      <c r="CX84" s="67">
        <f t="shared" si="94"/>
        <v>2.0097799058183844E-3</v>
      </c>
      <c r="CY84" s="67">
        <f t="shared" si="95"/>
        <v>3.9465183316459481E-4</v>
      </c>
      <c r="CZ84" s="67">
        <f t="shared" si="96"/>
        <v>8.9232358404933677E-4</v>
      </c>
      <c r="DA84" s="67">
        <f t="shared" si="97"/>
        <v>1.7413439294900587E-3</v>
      </c>
      <c r="DB84" s="67">
        <f t="shared" si="98"/>
        <v>9.4234782182004619E-3</v>
      </c>
      <c r="DC84" s="67">
        <f t="shared" si="99"/>
        <v>1.4078287258273734E-2</v>
      </c>
      <c r="DD84" s="67">
        <f t="shared" si="100"/>
        <v>5.5416561546258666E-2</v>
      </c>
      <c r="DE84" s="67">
        <f t="shared" si="101"/>
        <v>3.4014270885915916E-2</v>
      </c>
      <c r="DF84" s="68">
        <f t="shared" si="102"/>
        <v>1.105722569588494E-2</v>
      </c>
    </row>
    <row r="85" spans="2:110">
      <c r="B85" s="160"/>
      <c r="C85" t="str">
        <f t="shared" si="48"/>
        <v>BBB</v>
      </c>
      <c r="D85" s="53">
        <f t="shared" si="49"/>
        <v>97.368241024243474</v>
      </c>
      <c r="E85" s="61">
        <f t="shared" si="110"/>
        <v>214.12593312526479</v>
      </c>
      <c r="F85" s="171">
        <f t="shared" si="110"/>
        <v>213.7731513496247</v>
      </c>
      <c r="G85" s="171">
        <f t="shared" si="103"/>
        <v>213.42257355001669</v>
      </c>
      <c r="H85" s="171">
        <f t="shared" si="103"/>
        <v>212.94417530578792</v>
      </c>
      <c r="I85" s="171">
        <f t="shared" si="103"/>
        <v>212.4732914373576</v>
      </c>
      <c r="J85" s="171">
        <f t="shared" si="103"/>
        <v>212.01519555804009</v>
      </c>
      <c r="K85" s="171">
        <f t="shared" si="103"/>
        <v>211.38869583964376</v>
      </c>
      <c r="L85" s="171">
        <f t="shared" si="103"/>
        <v>210.61192620846572</v>
      </c>
      <c r="M85" s="171">
        <f t="shared" si="103"/>
        <v>209.87234068938994</v>
      </c>
      <c r="N85" s="171">
        <f t="shared" si="103"/>
        <v>208.75338017483233</v>
      </c>
      <c r="O85" s="171">
        <f t="shared" si="103"/>
        <v>207.82736827225793</v>
      </c>
      <c r="P85" s="171">
        <f t="shared" si="103"/>
        <v>206.698547804952</v>
      </c>
      <c r="Q85" s="171">
        <f t="shared" si="103"/>
        <v>205.24201704983096</v>
      </c>
      <c r="R85" s="171">
        <f t="shared" si="103"/>
        <v>207.09028838807248</v>
      </c>
      <c r="S85" s="171">
        <f t="shared" si="103"/>
        <v>211.45235168404855</v>
      </c>
      <c r="T85" s="171">
        <f t="shared" si="103"/>
        <v>303.92152250751064</v>
      </c>
      <c r="U85" s="171">
        <f t="shared" si="103"/>
        <v>293.2032049389631</v>
      </c>
      <c r="V85" s="62">
        <f t="shared" si="103"/>
        <v>185.70824102424348</v>
      </c>
      <c r="X85" s="165"/>
      <c r="Y85" s="122" t="s">
        <v>10</v>
      </c>
      <c r="Z85" s="64">
        <v>9.0300000000000005E-2</v>
      </c>
      <c r="AA85" s="63">
        <f t="shared" si="104"/>
        <v>0</v>
      </c>
      <c r="AB85" s="64">
        <f t="shared" si="51"/>
        <v>0</v>
      </c>
      <c r="AC85" s="64">
        <f t="shared" si="51"/>
        <v>0</v>
      </c>
      <c r="AD85" s="64">
        <f t="shared" si="51"/>
        <v>0</v>
      </c>
      <c r="AE85" s="64">
        <f t="shared" si="51"/>
        <v>3.4314000000000005E-8</v>
      </c>
      <c r="AF85" s="64">
        <f t="shared" si="51"/>
        <v>1.6633259999999999E-6</v>
      </c>
      <c r="AG85" s="64">
        <f t="shared" si="51"/>
        <v>0</v>
      </c>
      <c r="AH85" s="64">
        <f t="shared" si="51"/>
        <v>3.2824050000000005E-6</v>
      </c>
      <c r="AI85" s="64">
        <f t="shared" si="51"/>
        <v>8.3527500000000002E-7</v>
      </c>
      <c r="AJ85" s="64">
        <f t="shared" si="51"/>
        <v>3.8287200000000004E-7</v>
      </c>
      <c r="AK85" s="64">
        <f t="shared" si="51"/>
        <v>7.5851999999999997E-8</v>
      </c>
      <c r="AL85" s="64">
        <f t="shared" si="51"/>
        <v>1.73376E-7</v>
      </c>
      <c r="AM85" s="64">
        <f t="shared" si="51"/>
        <v>3.4314000000000004E-7</v>
      </c>
      <c r="AN85" s="64">
        <f t="shared" si="51"/>
        <v>1.8240600000000002E-6</v>
      </c>
      <c r="AO85" s="64">
        <f t="shared" si="51"/>
        <v>2.6141850000000001E-6</v>
      </c>
      <c r="AP85" s="64">
        <f t="shared" si="51"/>
        <v>4.9917840000000006E-6</v>
      </c>
      <c r="AQ85" s="64">
        <f t="shared" si="51"/>
        <v>3.2914349999999999E-6</v>
      </c>
      <c r="AR85" s="65">
        <f t="shared" si="51"/>
        <v>2.6593350000000004E-6</v>
      </c>
      <c r="AT85" s="160"/>
      <c r="AU85" t="s">
        <v>10</v>
      </c>
      <c r="AV85" s="48">
        <f t="shared" si="111"/>
        <v>1.4E-3</v>
      </c>
      <c r="AW85" s="66">
        <f t="shared" si="105"/>
        <v>0</v>
      </c>
      <c r="AX85" s="67">
        <f t="shared" si="52"/>
        <v>0</v>
      </c>
      <c r="AY85" s="67">
        <f t="shared" si="53"/>
        <v>0</v>
      </c>
      <c r="AZ85" s="67">
        <f t="shared" si="54"/>
        <v>0</v>
      </c>
      <c r="BA85" s="67">
        <f t="shared" si="55"/>
        <v>7.29080852238149E-6</v>
      </c>
      <c r="BB85" s="67">
        <f t="shared" si="56"/>
        <v>3.5265038716677258E-4</v>
      </c>
      <c r="BC85" s="67">
        <f t="shared" si="57"/>
        <v>0</v>
      </c>
      <c r="BD85" s="67">
        <f t="shared" si="58"/>
        <v>6.9131363964629897E-4</v>
      </c>
      <c r="BE85" s="67">
        <f t="shared" si="59"/>
        <v>1.753011193693302E-4</v>
      </c>
      <c r="BF85" s="67">
        <f t="shared" si="60"/>
        <v>7.9925824174298407E-5</v>
      </c>
      <c r="BG85" s="67">
        <f t="shared" si="61"/>
        <v>1.5764121538187307E-5</v>
      </c>
      <c r="BH85" s="67">
        <f t="shared" si="62"/>
        <v>3.5836567424231361E-5</v>
      </c>
      <c r="BI85" s="67">
        <f t="shared" si="63"/>
        <v>7.0426745730479002E-5</v>
      </c>
      <c r="BJ85" s="67">
        <f t="shared" si="64"/>
        <v>3.7774511143714751E-4</v>
      </c>
      <c r="BK85" s="67">
        <f t="shared" si="65"/>
        <v>5.527755659871645E-4</v>
      </c>
      <c r="BL85" s="67">
        <f t="shared" si="66"/>
        <v>1.5171105933086317E-3</v>
      </c>
      <c r="BM85" s="67">
        <f t="shared" si="67"/>
        <v>9.6505929084827601E-4</v>
      </c>
      <c r="BN85" s="68">
        <f t="shared" si="68"/>
        <v>4.9386042514420656E-4</v>
      </c>
      <c r="BP85" s="160"/>
      <c r="BQ85" t="s">
        <v>10</v>
      </c>
      <c r="BR85" s="48">
        <f t="shared" si="106"/>
        <v>3.3319450229071221E-2</v>
      </c>
      <c r="BS85" s="66">
        <f t="shared" si="107"/>
        <v>214.07133098388414</v>
      </c>
      <c r="BT85" s="67">
        <f t="shared" si="69"/>
        <v>213.71854920824404</v>
      </c>
      <c r="BU85" s="67">
        <f t="shared" si="70"/>
        <v>213.36797140863604</v>
      </c>
      <c r="BV85" s="67">
        <f t="shared" si="71"/>
        <v>212.88957316440727</v>
      </c>
      <c r="BW85" s="67">
        <f t="shared" si="72"/>
        <v>212.41868929597695</v>
      </c>
      <c r="BX85" s="67">
        <f t="shared" si="73"/>
        <v>211.96059341665944</v>
      </c>
      <c r="BY85" s="67">
        <f t="shared" si="74"/>
        <v>211.3340936982631</v>
      </c>
      <c r="BZ85" s="67">
        <f t="shared" si="75"/>
        <v>210.55732406708506</v>
      </c>
      <c r="CA85" s="67">
        <f t="shared" si="76"/>
        <v>209.81773854800929</v>
      </c>
      <c r="CB85" s="67">
        <f t="shared" si="77"/>
        <v>208.69877803345167</v>
      </c>
      <c r="CC85" s="67">
        <f t="shared" si="78"/>
        <v>207.77276613087727</v>
      </c>
      <c r="CD85" s="67">
        <f t="shared" si="79"/>
        <v>206.64394566357134</v>
      </c>
      <c r="CE85" s="67">
        <f t="shared" si="80"/>
        <v>205.18741490845031</v>
      </c>
      <c r="CF85" s="67">
        <f t="shared" si="81"/>
        <v>207.03568624669182</v>
      </c>
      <c r="CG85" s="67">
        <f t="shared" si="82"/>
        <v>211.3977495426679</v>
      </c>
      <c r="CH85" s="67">
        <f t="shared" si="83"/>
        <v>303.86692036612999</v>
      </c>
      <c r="CI85" s="67">
        <f t="shared" si="84"/>
        <v>293.14860279758244</v>
      </c>
      <c r="CJ85" s="68">
        <f t="shared" si="85"/>
        <v>185.65363888286282</v>
      </c>
      <c r="CL85" s="160"/>
      <c r="CM85" t="s">
        <v>10</v>
      </c>
      <c r="CN85" s="48">
        <f t="shared" si="108"/>
        <v>0</v>
      </c>
      <c r="CO85" s="66">
        <f t="shared" si="109"/>
        <v>0</v>
      </c>
      <c r="CP85" s="67">
        <f t="shared" si="86"/>
        <v>0</v>
      </c>
      <c r="CQ85" s="67">
        <f t="shared" si="87"/>
        <v>0</v>
      </c>
      <c r="CR85" s="67">
        <f t="shared" si="88"/>
        <v>0</v>
      </c>
      <c r="CS85" s="67">
        <f t="shared" si="89"/>
        <v>1.5483059987780445E-3</v>
      </c>
      <c r="CT85" s="67">
        <f t="shared" si="90"/>
        <v>7.4728734825215679E-2</v>
      </c>
      <c r="CU85" s="67">
        <f t="shared" si="91"/>
        <v>0</v>
      </c>
      <c r="CV85" s="67">
        <f t="shared" si="92"/>
        <v>0.14552341263605356</v>
      </c>
      <c r="CW85" s="67">
        <f t="shared" si="93"/>
        <v>3.6771715104787238E-2</v>
      </c>
      <c r="CX85" s="67">
        <f t="shared" si="94"/>
        <v>1.6676058858833283E-2</v>
      </c>
      <c r="CY85" s="67">
        <f t="shared" si="95"/>
        <v>3.274494608964233E-3</v>
      </c>
      <c r="CZ85" s="67">
        <f t="shared" si="96"/>
        <v>7.4034534551628197E-3</v>
      </c>
      <c r="DA85" s="67">
        <f t="shared" si="97"/>
        <v>1.4446837468759854E-2</v>
      </c>
      <c r="DB85" s="67">
        <f t="shared" si="98"/>
        <v>7.8186098118983624E-2</v>
      </c>
      <c r="DC85" s="67">
        <f t="shared" si="99"/>
        <v>0.11682533571617035</v>
      </c>
      <c r="DD85" s="67">
        <f t="shared" si="100"/>
        <v>0.46091690123889434</v>
      </c>
      <c r="DE85" s="67">
        <f t="shared" si="101"/>
        <v>0.2828530982382223</v>
      </c>
      <c r="DF85" s="68">
        <f t="shared" si="102"/>
        <v>9.1660027120028603E-2</v>
      </c>
    </row>
    <row r="86" spans="2:110">
      <c r="B86" s="160"/>
      <c r="C86" t="str">
        <f t="shared" si="48"/>
        <v>BBB-</v>
      </c>
      <c r="D86" s="53">
        <f t="shared" si="49"/>
        <v>96.123493768557154</v>
      </c>
      <c r="E86" s="61">
        <f t="shared" si="110"/>
        <v>212.88118586957847</v>
      </c>
      <c r="F86" s="171">
        <f t="shared" si="110"/>
        <v>212.52840409393838</v>
      </c>
      <c r="G86" s="171">
        <f t="shared" si="103"/>
        <v>212.17782629433037</v>
      </c>
      <c r="H86" s="171">
        <f t="shared" si="103"/>
        <v>211.6994280501016</v>
      </c>
      <c r="I86" s="171">
        <f t="shared" si="103"/>
        <v>211.22854418167128</v>
      </c>
      <c r="J86" s="171">
        <f t="shared" si="103"/>
        <v>210.77044830235377</v>
      </c>
      <c r="K86" s="171">
        <f t="shared" si="103"/>
        <v>210.14394858395744</v>
      </c>
      <c r="L86" s="171">
        <f t="shared" si="103"/>
        <v>209.3671789527794</v>
      </c>
      <c r="M86" s="171">
        <f t="shared" si="103"/>
        <v>208.62759343370362</v>
      </c>
      <c r="N86" s="171">
        <f t="shared" si="103"/>
        <v>207.50863291914601</v>
      </c>
      <c r="O86" s="171">
        <f t="shared" si="103"/>
        <v>206.58262101657161</v>
      </c>
      <c r="P86" s="171">
        <f t="shared" si="103"/>
        <v>205.45380054926568</v>
      </c>
      <c r="Q86" s="171">
        <f t="shared" si="103"/>
        <v>203.99726979414464</v>
      </c>
      <c r="R86" s="171">
        <f t="shared" si="103"/>
        <v>205.84554113238616</v>
      </c>
      <c r="S86" s="171">
        <f t="shared" si="103"/>
        <v>210.20760442836223</v>
      </c>
      <c r="T86" s="171">
        <f t="shared" si="103"/>
        <v>302.67677525182432</v>
      </c>
      <c r="U86" s="171">
        <f t="shared" si="103"/>
        <v>291.95845768327678</v>
      </c>
      <c r="V86" s="62">
        <f t="shared" si="103"/>
        <v>184.46349376855716</v>
      </c>
      <c r="X86" s="165"/>
      <c r="Y86" s="122" t="s">
        <v>11</v>
      </c>
      <c r="Z86" s="64">
        <v>0.72870000000000001</v>
      </c>
      <c r="AA86" s="63">
        <f t="shared" si="104"/>
        <v>0</v>
      </c>
      <c r="AB86" s="64">
        <f t="shared" si="51"/>
        <v>0</v>
      </c>
      <c r="AC86" s="64">
        <f t="shared" si="51"/>
        <v>0</v>
      </c>
      <c r="AD86" s="64">
        <f t="shared" si="51"/>
        <v>0</v>
      </c>
      <c r="AE86" s="64">
        <f t="shared" si="51"/>
        <v>2.76906E-7</v>
      </c>
      <c r="AF86" s="64">
        <f t="shared" si="51"/>
        <v>1.3422654E-5</v>
      </c>
      <c r="AG86" s="64">
        <f t="shared" si="51"/>
        <v>0</v>
      </c>
      <c r="AH86" s="64">
        <f t="shared" si="51"/>
        <v>2.6488245000000001E-5</v>
      </c>
      <c r="AI86" s="64">
        <f t="shared" si="51"/>
        <v>6.740475E-6</v>
      </c>
      <c r="AJ86" s="64">
        <f t="shared" si="51"/>
        <v>3.0896880000000003E-6</v>
      </c>
      <c r="AK86" s="64">
        <f t="shared" si="51"/>
        <v>6.1210799999999994E-7</v>
      </c>
      <c r="AL86" s="64">
        <f t="shared" si="51"/>
        <v>1.399104E-6</v>
      </c>
      <c r="AM86" s="64">
        <f t="shared" si="51"/>
        <v>2.76906E-6</v>
      </c>
      <c r="AN86" s="64">
        <f t="shared" si="51"/>
        <v>1.4719739999999998E-5</v>
      </c>
      <c r="AO86" s="64">
        <f t="shared" si="51"/>
        <v>2.1095865E-5</v>
      </c>
      <c r="AP86" s="64">
        <f t="shared" si="51"/>
        <v>4.0282535999999998E-5</v>
      </c>
      <c r="AQ86" s="64">
        <f t="shared" si="51"/>
        <v>2.6561115E-5</v>
      </c>
      <c r="AR86" s="65">
        <f t="shared" si="51"/>
        <v>2.1460214999999999E-5</v>
      </c>
      <c r="AT86" s="160"/>
      <c r="AU86" t="s">
        <v>11</v>
      </c>
      <c r="AV86" s="48">
        <f t="shared" si="111"/>
        <v>5.9999999999999995E-4</v>
      </c>
      <c r="AW86" s="66">
        <f t="shared" si="105"/>
        <v>0</v>
      </c>
      <c r="AX86" s="67">
        <f t="shared" si="52"/>
        <v>0</v>
      </c>
      <c r="AY86" s="67">
        <f t="shared" si="53"/>
        <v>0</v>
      </c>
      <c r="AZ86" s="67">
        <f t="shared" si="54"/>
        <v>0</v>
      </c>
      <c r="BA86" s="67">
        <f t="shared" si="55"/>
        <v>5.8490451255169866E-5</v>
      </c>
      <c r="BB86" s="67">
        <f t="shared" si="56"/>
        <v>2.8290988009873823E-3</v>
      </c>
      <c r="BC86" s="67">
        <f t="shared" si="57"/>
        <v>0</v>
      </c>
      <c r="BD86" s="67">
        <f t="shared" si="58"/>
        <v>5.5457691310600646E-3</v>
      </c>
      <c r="BE86" s="67">
        <f t="shared" si="59"/>
        <v>1.4062490778500435E-3</v>
      </c>
      <c r="BF86" s="67">
        <f t="shared" si="60"/>
        <v>6.4113693302669046E-4</v>
      </c>
      <c r="BG86" s="67">
        <f t="shared" si="61"/>
        <v>1.264508749852116E-4</v>
      </c>
      <c r="BH86" s="67">
        <f t="shared" si="62"/>
        <v>2.874512341636798E-4</v>
      </c>
      <c r="BI86" s="67">
        <f t="shared" si="63"/>
        <v>5.6488067989617422E-4</v>
      </c>
      <c r="BJ86" s="67">
        <f t="shared" si="64"/>
        <v>3.0299928456280294E-3</v>
      </c>
      <c r="BK86" s="67">
        <f t="shared" si="65"/>
        <v>4.4345112449941321E-3</v>
      </c>
      <c r="BL86" s="67">
        <f t="shared" si="66"/>
        <v>1.2192588095445522E-2</v>
      </c>
      <c r="BM86" s="67">
        <f t="shared" si="67"/>
        <v>7.7547421697481481E-3</v>
      </c>
      <c r="BN86" s="68">
        <f t="shared" si="68"/>
        <v>3.958626235924397E-3</v>
      </c>
      <c r="BP86" s="160"/>
      <c r="BQ86" t="s">
        <v>11</v>
      </c>
      <c r="BR86" s="48">
        <f t="shared" si="106"/>
        <v>6.1728395061728392E-2</v>
      </c>
      <c r="BS86" s="66">
        <f t="shared" si="107"/>
        <v>212.82658372819782</v>
      </c>
      <c r="BT86" s="67">
        <f t="shared" si="69"/>
        <v>212.47380195255772</v>
      </c>
      <c r="BU86" s="67">
        <f t="shared" si="70"/>
        <v>212.12322415294972</v>
      </c>
      <c r="BV86" s="67">
        <f t="shared" si="71"/>
        <v>211.64482590872095</v>
      </c>
      <c r="BW86" s="67">
        <f t="shared" si="72"/>
        <v>211.17394204029063</v>
      </c>
      <c r="BX86" s="67">
        <f t="shared" si="73"/>
        <v>210.71584616097311</v>
      </c>
      <c r="BY86" s="67">
        <f t="shared" si="74"/>
        <v>210.08934644257678</v>
      </c>
      <c r="BZ86" s="67">
        <f t="shared" si="75"/>
        <v>209.31257681139874</v>
      </c>
      <c r="CA86" s="67">
        <f t="shared" si="76"/>
        <v>208.57299129232297</v>
      </c>
      <c r="CB86" s="67">
        <f t="shared" si="77"/>
        <v>207.45403077776535</v>
      </c>
      <c r="CC86" s="67">
        <f t="shared" si="78"/>
        <v>206.52801887519095</v>
      </c>
      <c r="CD86" s="67">
        <f t="shared" si="79"/>
        <v>205.39919840788502</v>
      </c>
      <c r="CE86" s="67">
        <f t="shared" si="80"/>
        <v>203.94266765276399</v>
      </c>
      <c r="CF86" s="67">
        <f t="shared" si="81"/>
        <v>205.7909389910055</v>
      </c>
      <c r="CG86" s="67">
        <f t="shared" si="82"/>
        <v>210.15300228698158</v>
      </c>
      <c r="CH86" s="67">
        <f t="shared" si="83"/>
        <v>302.62217311044367</v>
      </c>
      <c r="CI86" s="67">
        <f t="shared" si="84"/>
        <v>291.90385554189612</v>
      </c>
      <c r="CJ86" s="68">
        <f t="shared" si="85"/>
        <v>184.4088916271765</v>
      </c>
      <c r="CL86" s="160"/>
      <c r="CM86" t="s">
        <v>11</v>
      </c>
      <c r="CN86" s="48">
        <f t="shared" si="108"/>
        <v>0</v>
      </c>
      <c r="CO86" s="66">
        <f t="shared" si="109"/>
        <v>0</v>
      </c>
      <c r="CP86" s="67">
        <f t="shared" si="86"/>
        <v>0</v>
      </c>
      <c r="CQ86" s="67">
        <f t="shared" si="87"/>
        <v>0</v>
      </c>
      <c r="CR86" s="67">
        <f t="shared" si="88"/>
        <v>0</v>
      </c>
      <c r="CS86" s="67">
        <f t="shared" si="89"/>
        <v>1.2348466284946676E-2</v>
      </c>
      <c r="CT86" s="67">
        <f t="shared" si="90"/>
        <v>0.59598151288855727</v>
      </c>
      <c r="CU86" s="67">
        <f t="shared" si="91"/>
        <v>0</v>
      </c>
      <c r="CV86" s="67">
        <f t="shared" si="92"/>
        <v>1.1604964953250259</v>
      </c>
      <c r="CW86" s="67">
        <f t="shared" si="93"/>
        <v>0.29322881255429978</v>
      </c>
      <c r="CX86" s="67">
        <f t="shared" si="94"/>
        <v>0.13297144279899642</v>
      </c>
      <c r="CY86" s="67">
        <f t="shared" si="95"/>
        <v>2.6108746032111566E-2</v>
      </c>
      <c r="CZ86" s="67">
        <f t="shared" si="96"/>
        <v>5.9026561796929285E-2</v>
      </c>
      <c r="DA86" s="67">
        <f t="shared" si="97"/>
        <v>0.11517243732444436</v>
      </c>
      <c r="DB86" s="67">
        <f t="shared" si="98"/>
        <v>0.62337967262542382</v>
      </c>
      <c r="DC86" s="67">
        <f t="shared" si="99"/>
        <v>0.93168378089602599</v>
      </c>
      <c r="DD86" s="67">
        <f t="shared" si="100"/>
        <v>3.6890818839633703</v>
      </c>
      <c r="DE86" s="67">
        <f t="shared" si="101"/>
        <v>2.2632157917436353</v>
      </c>
      <c r="DF86" s="68">
        <f t="shared" si="102"/>
        <v>0.7297897910450255</v>
      </c>
    </row>
    <row r="87" spans="2:110">
      <c r="B87" s="160"/>
      <c r="C87" t="str">
        <f t="shared" si="48"/>
        <v>BB+</v>
      </c>
      <c r="D87" s="53">
        <f t="shared" si="49"/>
        <v>94.89902776241702</v>
      </c>
      <c r="E87" s="61">
        <f t="shared" si="110"/>
        <v>211.65671986343835</v>
      </c>
      <c r="F87" s="171">
        <f t="shared" si="110"/>
        <v>211.30393808779826</v>
      </c>
      <c r="G87" s="171">
        <f t="shared" si="103"/>
        <v>210.95336028819023</v>
      </c>
      <c r="H87" s="171">
        <f t="shared" si="103"/>
        <v>210.47496204396148</v>
      </c>
      <c r="I87" s="171">
        <f t="shared" si="103"/>
        <v>210.00407817553116</v>
      </c>
      <c r="J87" s="171">
        <f t="shared" si="103"/>
        <v>209.54598229621365</v>
      </c>
      <c r="K87" s="171">
        <f t="shared" si="103"/>
        <v>208.91948257781732</v>
      </c>
      <c r="L87" s="171">
        <f t="shared" si="103"/>
        <v>208.14271294663928</v>
      </c>
      <c r="M87" s="171">
        <f t="shared" si="103"/>
        <v>207.4031274275635</v>
      </c>
      <c r="N87" s="171">
        <f t="shared" si="103"/>
        <v>206.28416691300589</v>
      </c>
      <c r="O87" s="171">
        <f t="shared" si="103"/>
        <v>205.35815501043146</v>
      </c>
      <c r="P87" s="171">
        <f t="shared" si="103"/>
        <v>204.22933454312553</v>
      </c>
      <c r="Q87" s="171">
        <f t="shared" si="103"/>
        <v>202.77280378800452</v>
      </c>
      <c r="R87" s="171">
        <f t="shared" si="103"/>
        <v>204.62107512624604</v>
      </c>
      <c r="S87" s="171">
        <f t="shared" si="103"/>
        <v>208.98313842222211</v>
      </c>
      <c r="T87" s="171">
        <f t="shared" si="103"/>
        <v>301.45230924568421</v>
      </c>
      <c r="U87" s="171">
        <f t="shared" si="103"/>
        <v>290.73399167713666</v>
      </c>
      <c r="V87" s="62">
        <f t="shared" si="103"/>
        <v>183.23902776241704</v>
      </c>
      <c r="X87" s="165"/>
      <c r="Y87" s="122" t="s">
        <v>12</v>
      </c>
      <c r="Z87" s="64">
        <v>5.57E-2</v>
      </c>
      <c r="AA87" s="63">
        <f t="shared" si="104"/>
        <v>0</v>
      </c>
      <c r="AB87" s="64">
        <f t="shared" si="51"/>
        <v>0</v>
      </c>
      <c r="AC87" s="64">
        <f t="shared" si="51"/>
        <v>0</v>
      </c>
      <c r="AD87" s="64">
        <f t="shared" si="51"/>
        <v>0</v>
      </c>
      <c r="AE87" s="64">
        <f t="shared" si="51"/>
        <v>2.1165999999999999E-8</v>
      </c>
      <c r="AF87" s="64">
        <f t="shared" si="51"/>
        <v>1.0259939999999998E-6</v>
      </c>
      <c r="AG87" s="64">
        <f t="shared" si="51"/>
        <v>0</v>
      </c>
      <c r="AH87" s="64">
        <f t="shared" si="51"/>
        <v>2.0246949999999999E-6</v>
      </c>
      <c r="AI87" s="64">
        <f t="shared" si="51"/>
        <v>5.1522500000000001E-7</v>
      </c>
      <c r="AJ87" s="64">
        <f t="shared" si="51"/>
        <v>2.3616800000000003E-7</v>
      </c>
      <c r="AK87" s="64">
        <f t="shared" si="51"/>
        <v>4.6787999999999995E-8</v>
      </c>
      <c r="AL87" s="64">
        <f t="shared" si="51"/>
        <v>1.0694399999999999E-7</v>
      </c>
      <c r="AM87" s="64">
        <f t="shared" si="51"/>
        <v>2.1166E-7</v>
      </c>
      <c r="AN87" s="64">
        <f t="shared" si="51"/>
        <v>1.1251399999999999E-6</v>
      </c>
      <c r="AO87" s="64">
        <f t="shared" si="51"/>
        <v>1.6125149999999998E-6</v>
      </c>
      <c r="AP87" s="64">
        <f t="shared" si="51"/>
        <v>3.0790959999999998E-6</v>
      </c>
      <c r="AQ87" s="64">
        <f t="shared" si="51"/>
        <v>2.0302649999999995E-6</v>
      </c>
      <c r="AR87" s="65">
        <f t="shared" si="51"/>
        <v>1.6403650000000001E-6</v>
      </c>
      <c r="AT87" s="160"/>
      <c r="AU87" t="s">
        <v>12</v>
      </c>
      <c r="AV87" s="48">
        <f t="shared" si="111"/>
        <v>2.9999999999999997E-4</v>
      </c>
      <c r="AW87" s="66">
        <f t="shared" si="105"/>
        <v>0</v>
      </c>
      <c r="AX87" s="67">
        <f t="shared" si="52"/>
        <v>0</v>
      </c>
      <c r="AY87" s="67">
        <f t="shared" si="53"/>
        <v>0</v>
      </c>
      <c r="AZ87" s="67">
        <f t="shared" si="54"/>
        <v>0</v>
      </c>
      <c r="BA87" s="67">
        <f t="shared" si="55"/>
        <v>4.4449463186632921E-6</v>
      </c>
      <c r="BB87" s="67">
        <f t="shared" si="56"/>
        <v>2.1499292056002139E-4</v>
      </c>
      <c r="BC87" s="67">
        <f t="shared" si="57"/>
        <v>0</v>
      </c>
      <c r="BD87" s="67">
        <f t="shared" si="58"/>
        <v>4.2142551018949581E-4</v>
      </c>
      <c r="BE87" s="67">
        <f t="shared" si="59"/>
        <v>1.0685927632886641E-4</v>
      </c>
      <c r="BF87" s="67">
        <f t="shared" si="60"/>
        <v>4.8717719131510784E-5</v>
      </c>
      <c r="BG87" s="67">
        <f t="shared" si="61"/>
        <v>9.6082973566280666E-6</v>
      </c>
      <c r="BH87" s="67">
        <f t="shared" si="62"/>
        <v>2.1841101953380017E-5</v>
      </c>
      <c r="BI87" s="67">
        <f t="shared" si="63"/>
        <v>4.2918891649769039E-5</v>
      </c>
      <c r="BJ87" s="67">
        <f t="shared" si="64"/>
        <v>2.3022735646754445E-4</v>
      </c>
      <c r="BK87" s="67">
        <f t="shared" si="65"/>
        <v>3.3698844545290946E-4</v>
      </c>
      <c r="BL87" s="67">
        <f t="shared" si="66"/>
        <v>9.2820059958914917E-4</v>
      </c>
      <c r="BM87" s="67">
        <f t="shared" si="67"/>
        <v>5.9026704761238171E-4</v>
      </c>
      <c r="BN87" s="68">
        <f t="shared" si="68"/>
        <v>3.0057888777549723E-4</v>
      </c>
      <c r="BP87" s="160"/>
      <c r="BQ87" t="s">
        <v>12</v>
      </c>
      <c r="BR87" s="48">
        <f t="shared" si="106"/>
        <v>0.128</v>
      </c>
      <c r="BS87" s="66">
        <f t="shared" si="107"/>
        <v>211.6021177220577</v>
      </c>
      <c r="BT87" s="67">
        <f t="shared" si="69"/>
        <v>211.2493359464176</v>
      </c>
      <c r="BU87" s="67">
        <f t="shared" si="70"/>
        <v>210.89875814680957</v>
      </c>
      <c r="BV87" s="67">
        <f t="shared" si="71"/>
        <v>210.42035990258083</v>
      </c>
      <c r="BW87" s="67">
        <f t="shared" si="72"/>
        <v>209.94947603415051</v>
      </c>
      <c r="BX87" s="67">
        <f t="shared" si="73"/>
        <v>209.491380154833</v>
      </c>
      <c r="BY87" s="67">
        <f t="shared" si="74"/>
        <v>208.86488043643666</v>
      </c>
      <c r="BZ87" s="67">
        <f t="shared" si="75"/>
        <v>208.08811080525862</v>
      </c>
      <c r="CA87" s="67">
        <f t="shared" si="76"/>
        <v>207.34852528618285</v>
      </c>
      <c r="CB87" s="67">
        <f t="shared" si="77"/>
        <v>206.22956477162523</v>
      </c>
      <c r="CC87" s="67">
        <f t="shared" si="78"/>
        <v>205.3035528690508</v>
      </c>
      <c r="CD87" s="67">
        <f t="shared" si="79"/>
        <v>204.17473240174488</v>
      </c>
      <c r="CE87" s="67">
        <f t="shared" si="80"/>
        <v>202.71820164662387</v>
      </c>
      <c r="CF87" s="67">
        <f t="shared" si="81"/>
        <v>204.56647298486538</v>
      </c>
      <c r="CG87" s="67">
        <f t="shared" si="82"/>
        <v>208.92853628084146</v>
      </c>
      <c r="CH87" s="67">
        <f t="shared" si="83"/>
        <v>301.39770710430355</v>
      </c>
      <c r="CI87" s="67">
        <f t="shared" si="84"/>
        <v>290.679389535756</v>
      </c>
      <c r="CJ87" s="68">
        <f t="shared" si="85"/>
        <v>183.18442562103638</v>
      </c>
      <c r="CL87" s="160"/>
      <c r="CM87" t="s">
        <v>12</v>
      </c>
      <c r="CN87" s="48">
        <f t="shared" si="108"/>
        <v>0</v>
      </c>
      <c r="CO87" s="66">
        <f t="shared" si="109"/>
        <v>0</v>
      </c>
      <c r="CP87" s="67">
        <f t="shared" si="86"/>
        <v>0</v>
      </c>
      <c r="CQ87" s="67">
        <f t="shared" si="87"/>
        <v>0</v>
      </c>
      <c r="CR87" s="67">
        <f t="shared" si="88"/>
        <v>0</v>
      </c>
      <c r="CS87" s="67">
        <f t="shared" si="89"/>
        <v>9.3297151012014545E-4</v>
      </c>
      <c r="CT87" s="67">
        <f t="shared" si="90"/>
        <v>4.5027427636685192E-2</v>
      </c>
      <c r="CU87" s="67">
        <f t="shared" si="91"/>
        <v>0</v>
      </c>
      <c r="CV87" s="67">
        <f t="shared" si="92"/>
        <v>8.7670633561598876E-2</v>
      </c>
      <c r="CW87" s="67">
        <f t="shared" si="93"/>
        <v>2.2151280150713853E-2</v>
      </c>
      <c r="CX87" s="67">
        <f t="shared" si="94"/>
        <v>1.0044374625479809E-2</v>
      </c>
      <c r="CY87" s="67">
        <f t="shared" si="95"/>
        <v>1.9720930902208124E-3</v>
      </c>
      <c r="CZ87" s="67">
        <f t="shared" si="96"/>
        <v>4.4582088945960075E-3</v>
      </c>
      <c r="DA87" s="67">
        <f t="shared" si="97"/>
        <v>8.6980976995595406E-3</v>
      </c>
      <c r="DB87" s="67">
        <f t="shared" si="98"/>
        <v>4.7084230745012834E-2</v>
      </c>
      <c r="DC87" s="67">
        <f t="shared" si="99"/>
        <v>7.0388107168832578E-2</v>
      </c>
      <c r="DD87" s="67">
        <f t="shared" si="100"/>
        <v>0.2797068598886388</v>
      </c>
      <c r="DE87" s="67">
        <f t="shared" si="101"/>
        <v>0.17154624127127363</v>
      </c>
      <c r="DF87" s="68">
        <f t="shared" si="102"/>
        <v>5.5044963550612169E-2</v>
      </c>
    </row>
    <row r="88" spans="2:110">
      <c r="B88" s="160"/>
      <c r="C88" t="str">
        <f t="shared" si="48"/>
        <v>BB</v>
      </c>
      <c r="D88" s="53">
        <f t="shared" si="49"/>
        <v>93.060012418752819</v>
      </c>
      <c r="E88" s="61">
        <f t="shared" si="110"/>
        <v>209.81770451977414</v>
      </c>
      <c r="F88" s="171">
        <f t="shared" si="110"/>
        <v>209.46492274413404</v>
      </c>
      <c r="G88" s="171">
        <f t="shared" si="103"/>
        <v>209.11434494452601</v>
      </c>
      <c r="H88" s="171">
        <f t="shared" si="103"/>
        <v>208.63594670029727</v>
      </c>
      <c r="I88" s="171">
        <f t="shared" si="103"/>
        <v>208.16506283186698</v>
      </c>
      <c r="J88" s="171">
        <f t="shared" si="103"/>
        <v>207.70696695254946</v>
      </c>
      <c r="K88" s="171">
        <f t="shared" si="103"/>
        <v>207.0804672341531</v>
      </c>
      <c r="L88" s="171">
        <f t="shared" si="103"/>
        <v>206.30369760297509</v>
      </c>
      <c r="M88" s="171">
        <f t="shared" si="103"/>
        <v>205.56411208389929</v>
      </c>
      <c r="N88" s="171">
        <f t="shared" si="103"/>
        <v>204.44515156934165</v>
      </c>
      <c r="O88" s="171">
        <f t="shared" si="103"/>
        <v>203.51913966676724</v>
      </c>
      <c r="P88" s="171">
        <f t="shared" si="103"/>
        <v>202.39031919946135</v>
      </c>
      <c r="Q88" s="171">
        <f t="shared" si="103"/>
        <v>200.93378844434031</v>
      </c>
      <c r="R88" s="171">
        <f t="shared" si="103"/>
        <v>202.78205978258183</v>
      </c>
      <c r="S88" s="171">
        <f t="shared" si="103"/>
        <v>207.14412307855793</v>
      </c>
      <c r="T88" s="171">
        <f t="shared" si="103"/>
        <v>299.61329390202002</v>
      </c>
      <c r="U88" s="171">
        <f t="shared" si="103"/>
        <v>288.89497633347247</v>
      </c>
      <c r="V88" s="62">
        <f t="shared" si="103"/>
        <v>181.40001241875285</v>
      </c>
      <c r="X88" s="165"/>
      <c r="Y88" s="122" t="s">
        <v>13</v>
      </c>
      <c r="Z88" s="64">
        <v>2.01E-2</v>
      </c>
      <c r="AA88" s="63">
        <f t="shared" si="104"/>
        <v>0</v>
      </c>
      <c r="AB88" s="64">
        <f t="shared" si="51"/>
        <v>0</v>
      </c>
      <c r="AC88" s="64">
        <f t="shared" si="51"/>
        <v>0</v>
      </c>
      <c r="AD88" s="64">
        <f t="shared" si="51"/>
        <v>0</v>
      </c>
      <c r="AE88" s="64">
        <f t="shared" si="51"/>
        <v>7.6380000000000003E-9</v>
      </c>
      <c r="AF88" s="64">
        <f t="shared" si="51"/>
        <v>3.7024200000000001E-7</v>
      </c>
      <c r="AG88" s="64">
        <f t="shared" si="51"/>
        <v>0</v>
      </c>
      <c r="AH88" s="64">
        <f t="shared" si="51"/>
        <v>7.3063499999999995E-7</v>
      </c>
      <c r="AI88" s="64">
        <f t="shared" si="51"/>
        <v>1.8592499999999999E-7</v>
      </c>
      <c r="AJ88" s="64">
        <f t="shared" si="51"/>
        <v>8.5223999999999996E-8</v>
      </c>
      <c r="AK88" s="64">
        <f t="shared" si="51"/>
        <v>1.6883999999999998E-8</v>
      </c>
      <c r="AL88" s="64">
        <f t="shared" si="51"/>
        <v>3.8591999999999992E-8</v>
      </c>
      <c r="AM88" s="64">
        <f t="shared" si="51"/>
        <v>7.638E-8</v>
      </c>
      <c r="AN88" s="64">
        <f t="shared" si="51"/>
        <v>4.0601999999999998E-7</v>
      </c>
      <c r="AO88" s="64">
        <f t="shared" si="51"/>
        <v>5.8189499999999996E-7</v>
      </c>
      <c r="AP88" s="64">
        <f t="shared" si="51"/>
        <v>1.111128E-6</v>
      </c>
      <c r="AQ88" s="64">
        <f t="shared" si="51"/>
        <v>7.3264499999999985E-7</v>
      </c>
      <c r="AR88" s="65">
        <f t="shared" si="51"/>
        <v>5.9194500000000008E-7</v>
      </c>
      <c r="AT88" s="160"/>
      <c r="AU88" t="s">
        <v>13</v>
      </c>
      <c r="AV88" s="48">
        <f t="shared" si="111"/>
        <v>0</v>
      </c>
      <c r="AW88" s="66">
        <f t="shared" si="105"/>
        <v>0</v>
      </c>
      <c r="AX88" s="67">
        <f t="shared" si="52"/>
        <v>0</v>
      </c>
      <c r="AY88" s="67">
        <f t="shared" si="53"/>
        <v>0</v>
      </c>
      <c r="AZ88" s="67">
        <f t="shared" si="54"/>
        <v>0</v>
      </c>
      <c r="BA88" s="67">
        <f t="shared" si="55"/>
        <v>1.5899647499097999E-6</v>
      </c>
      <c r="BB88" s="67">
        <f t="shared" si="56"/>
        <v>7.6901842858445826E-5</v>
      </c>
      <c r="BC88" s="67">
        <f t="shared" si="57"/>
        <v>0</v>
      </c>
      <c r="BD88" s="67">
        <f t="shared" si="58"/>
        <v>1.5073270209814969E-4</v>
      </c>
      <c r="BE88" s="67">
        <f t="shared" si="59"/>
        <v>3.8219507539198977E-5</v>
      </c>
      <c r="BF88" s="67">
        <f t="shared" si="60"/>
        <v>1.7423633597345572E-5</v>
      </c>
      <c r="BG88" s="67">
        <f t="shared" si="61"/>
        <v>3.4362171541336978E-6</v>
      </c>
      <c r="BH88" s="67">
        <f t="shared" si="62"/>
        <v>7.81064719854561E-6</v>
      </c>
      <c r="BI88" s="67">
        <f t="shared" si="63"/>
        <v>1.5347322761378714E-5</v>
      </c>
      <c r="BJ88" s="67">
        <f t="shared" si="64"/>
        <v>8.2333571912923865E-5</v>
      </c>
      <c r="BK88" s="67">
        <f t="shared" si="65"/>
        <v>1.2053612949879745E-4</v>
      </c>
      <c r="BL88" s="67">
        <f t="shared" si="66"/>
        <v>3.3290872002676367E-4</v>
      </c>
      <c r="BM88" s="67">
        <f t="shared" si="67"/>
        <v>2.1165745993583689E-4</v>
      </c>
      <c r="BN88" s="68">
        <f t="shared" si="68"/>
        <v>1.0737883035121867E-4</v>
      </c>
      <c r="BP88" s="160"/>
      <c r="BQ88" t="s">
        <v>13</v>
      </c>
      <c r="BR88" s="48">
        <f t="shared" si="106"/>
        <v>0.1950922115531169</v>
      </c>
      <c r="BS88" s="66">
        <f t="shared" si="107"/>
        <v>209.76310237839348</v>
      </c>
      <c r="BT88" s="67">
        <f t="shared" si="69"/>
        <v>209.41032060275339</v>
      </c>
      <c r="BU88" s="67">
        <f t="shared" si="70"/>
        <v>209.05974280314535</v>
      </c>
      <c r="BV88" s="67">
        <f t="shared" si="71"/>
        <v>208.58134455891661</v>
      </c>
      <c r="BW88" s="67">
        <f t="shared" si="72"/>
        <v>208.11046069048632</v>
      </c>
      <c r="BX88" s="67">
        <f t="shared" si="73"/>
        <v>207.65236481116881</v>
      </c>
      <c r="BY88" s="67">
        <f t="shared" si="74"/>
        <v>207.02586509277245</v>
      </c>
      <c r="BZ88" s="67">
        <f t="shared" si="75"/>
        <v>206.24909546159444</v>
      </c>
      <c r="CA88" s="67">
        <f t="shared" si="76"/>
        <v>205.50950994251863</v>
      </c>
      <c r="CB88" s="67">
        <f t="shared" si="77"/>
        <v>204.39054942796099</v>
      </c>
      <c r="CC88" s="67">
        <f t="shared" si="78"/>
        <v>203.46453752538659</v>
      </c>
      <c r="CD88" s="67">
        <f t="shared" si="79"/>
        <v>202.33571705808069</v>
      </c>
      <c r="CE88" s="67">
        <f t="shared" si="80"/>
        <v>200.87918630295965</v>
      </c>
      <c r="CF88" s="67">
        <f t="shared" si="81"/>
        <v>202.72745764120117</v>
      </c>
      <c r="CG88" s="67">
        <f t="shared" si="82"/>
        <v>207.08952093717727</v>
      </c>
      <c r="CH88" s="67">
        <f t="shared" si="83"/>
        <v>299.55869176063936</v>
      </c>
      <c r="CI88" s="67">
        <f t="shared" si="84"/>
        <v>288.84037419209182</v>
      </c>
      <c r="CJ88" s="68">
        <f t="shared" si="85"/>
        <v>181.3454102773722</v>
      </c>
      <c r="CL88" s="160"/>
      <c r="CM88" t="s">
        <v>13</v>
      </c>
      <c r="CN88" s="48">
        <f t="shared" si="108"/>
        <v>0</v>
      </c>
      <c r="CO88" s="66">
        <f t="shared" si="109"/>
        <v>0</v>
      </c>
      <c r="CP88" s="67">
        <f t="shared" si="86"/>
        <v>0</v>
      </c>
      <c r="CQ88" s="67">
        <f t="shared" si="87"/>
        <v>0</v>
      </c>
      <c r="CR88" s="67">
        <f t="shared" si="88"/>
        <v>0</v>
      </c>
      <c r="CS88" s="67">
        <f t="shared" si="89"/>
        <v>3.3080150387718372E-4</v>
      </c>
      <c r="CT88" s="67">
        <f t="shared" si="90"/>
        <v>1.5964651626434199E-2</v>
      </c>
      <c r="CU88" s="67">
        <f t="shared" si="91"/>
        <v>0</v>
      </c>
      <c r="CV88" s="67">
        <f t="shared" si="92"/>
        <v>3.1080255314225393E-2</v>
      </c>
      <c r="CW88" s="67">
        <f t="shared" si="93"/>
        <v>7.8523859519866734E-3</v>
      </c>
      <c r="CX88" s="67">
        <f t="shared" si="94"/>
        <v>3.5602749303742035E-3</v>
      </c>
      <c r="CY88" s="67">
        <f t="shared" si="95"/>
        <v>6.9896075962560188E-4</v>
      </c>
      <c r="CZ88" s="67">
        <f t="shared" si="96"/>
        <v>1.5799465386007571E-3</v>
      </c>
      <c r="DA88" s="67">
        <f t="shared" si="97"/>
        <v>3.082119939266278E-3</v>
      </c>
      <c r="DB88" s="67">
        <f t="shared" si="98"/>
        <v>1.6686781333597626E-2</v>
      </c>
      <c r="DC88" s="67">
        <f t="shared" si="99"/>
        <v>2.4955189517601326E-2</v>
      </c>
      <c r="DD88" s="67">
        <f t="shared" si="100"/>
        <v>9.970752643063871E-2</v>
      </c>
      <c r="DE88" s="67">
        <f t="shared" si="101"/>
        <v>6.112366516216642E-2</v>
      </c>
      <c r="DF88" s="68">
        <f t="shared" si="102"/>
        <v>1.9466796695891148E-2</v>
      </c>
    </row>
    <row r="89" spans="2:110">
      <c r="B89" s="160"/>
      <c r="C89" t="str">
        <f t="shared" si="48"/>
        <v>BB-</v>
      </c>
      <c r="D89" s="53">
        <f t="shared" si="49"/>
        <v>90.576611993450598</v>
      </c>
      <c r="E89" s="61">
        <f t="shared" si="110"/>
        <v>207.33430409447192</v>
      </c>
      <c r="F89" s="171">
        <f t="shared" si="110"/>
        <v>206.98152231883182</v>
      </c>
      <c r="G89" s="171">
        <f t="shared" si="103"/>
        <v>206.63094451922382</v>
      </c>
      <c r="H89" s="171">
        <f t="shared" si="103"/>
        <v>206.15254627499505</v>
      </c>
      <c r="I89" s="171">
        <f t="shared" si="103"/>
        <v>205.68166240656473</v>
      </c>
      <c r="J89" s="171">
        <f t="shared" si="103"/>
        <v>205.22356652724721</v>
      </c>
      <c r="K89" s="171">
        <f t="shared" si="103"/>
        <v>204.59706680885088</v>
      </c>
      <c r="L89" s="171">
        <f t="shared" si="103"/>
        <v>203.82029717767284</v>
      </c>
      <c r="M89" s="171">
        <f t="shared" si="103"/>
        <v>203.08071165859707</v>
      </c>
      <c r="N89" s="171">
        <f t="shared" si="103"/>
        <v>201.96175114403945</v>
      </c>
      <c r="O89" s="171">
        <f t="shared" si="103"/>
        <v>201.03573924146505</v>
      </c>
      <c r="P89" s="171">
        <f t="shared" si="103"/>
        <v>199.90691877415912</v>
      </c>
      <c r="Q89" s="171">
        <f t="shared" si="103"/>
        <v>198.45038801903809</v>
      </c>
      <c r="R89" s="171">
        <f t="shared" si="103"/>
        <v>200.2986593572796</v>
      </c>
      <c r="S89" s="171">
        <f t="shared" si="103"/>
        <v>204.66072265325568</v>
      </c>
      <c r="T89" s="171">
        <f t="shared" si="103"/>
        <v>297.12989347671783</v>
      </c>
      <c r="U89" s="171">
        <f t="shared" si="103"/>
        <v>286.41157590817022</v>
      </c>
      <c r="V89" s="62">
        <f t="shared" si="103"/>
        <v>178.9166119934506</v>
      </c>
      <c r="X89" s="165"/>
      <c r="Y89" s="122" t="s">
        <v>14</v>
      </c>
      <c r="Z89" s="64">
        <v>8.0999999999999996E-3</v>
      </c>
      <c r="AA89" s="63">
        <f t="shared" si="104"/>
        <v>0</v>
      </c>
      <c r="AB89" s="64">
        <f t="shared" si="51"/>
        <v>0</v>
      </c>
      <c r="AC89" s="64">
        <f t="shared" si="51"/>
        <v>0</v>
      </c>
      <c r="AD89" s="64">
        <f t="shared" si="51"/>
        <v>0</v>
      </c>
      <c r="AE89" s="64">
        <f t="shared" si="51"/>
        <v>3.0780000000000003E-9</v>
      </c>
      <c r="AF89" s="64">
        <f t="shared" si="51"/>
        <v>1.4920199999999999E-7</v>
      </c>
      <c r="AG89" s="64">
        <f t="shared" si="51"/>
        <v>0</v>
      </c>
      <c r="AH89" s="64">
        <f t="shared" si="51"/>
        <v>2.94435E-7</v>
      </c>
      <c r="AI89" s="64">
        <f t="shared" si="51"/>
        <v>7.4924999999999991E-8</v>
      </c>
      <c r="AJ89" s="64">
        <f t="shared" si="51"/>
        <v>3.4344E-8</v>
      </c>
      <c r="AK89" s="64">
        <f t="shared" si="51"/>
        <v>6.8039999999999984E-9</v>
      </c>
      <c r="AL89" s="64">
        <f t="shared" si="51"/>
        <v>1.5551999999999999E-8</v>
      </c>
      <c r="AM89" s="64">
        <f t="shared" si="51"/>
        <v>3.0780000000000002E-8</v>
      </c>
      <c r="AN89" s="64">
        <f t="shared" si="51"/>
        <v>1.6362000000000001E-7</v>
      </c>
      <c r="AO89" s="64">
        <f t="shared" si="51"/>
        <v>2.3449499999999996E-7</v>
      </c>
      <c r="AP89" s="64">
        <f t="shared" si="51"/>
        <v>4.4776799999999994E-7</v>
      </c>
      <c r="AQ89" s="64">
        <f t="shared" si="51"/>
        <v>2.9524499999999997E-7</v>
      </c>
      <c r="AR89" s="65">
        <f t="shared" si="51"/>
        <v>2.38545E-7</v>
      </c>
      <c r="AT89" s="160"/>
      <c r="AU89" t="s">
        <v>14</v>
      </c>
      <c r="AV89" s="48">
        <f t="shared" si="111"/>
        <v>0</v>
      </c>
      <c r="AW89" s="66">
        <f t="shared" si="105"/>
        <v>0</v>
      </c>
      <c r="AX89" s="67">
        <f t="shared" si="52"/>
        <v>0</v>
      </c>
      <c r="AY89" s="67">
        <f t="shared" si="53"/>
        <v>0</v>
      </c>
      <c r="AZ89" s="67">
        <f t="shared" si="54"/>
        <v>0</v>
      </c>
      <c r="BA89" s="67">
        <f t="shared" si="55"/>
        <v>6.3308815688740629E-7</v>
      </c>
      <c r="BB89" s="67">
        <f t="shared" si="56"/>
        <v>3.0619766572998336E-5</v>
      </c>
      <c r="BC89" s="67">
        <f t="shared" si="57"/>
        <v>0</v>
      </c>
      <c r="BD89" s="67">
        <f t="shared" si="58"/>
        <v>6.00118291995081E-5</v>
      </c>
      <c r="BE89" s="67">
        <f t="shared" si="59"/>
        <v>1.5215822321020384E-5</v>
      </c>
      <c r="BF89" s="67">
        <f t="shared" si="60"/>
        <v>6.9361743812908913E-6</v>
      </c>
      <c r="BG89" s="67">
        <f t="shared" si="61"/>
        <v>1.367847169798928E-6</v>
      </c>
      <c r="BH89" s="67">
        <f t="shared" si="62"/>
        <v>3.1089524007757224E-6</v>
      </c>
      <c r="BI89" s="67">
        <f t="shared" si="63"/>
        <v>6.1083029432259924E-6</v>
      </c>
      <c r="BJ89" s="67">
        <f t="shared" si="64"/>
        <v>3.2772866644038093E-5</v>
      </c>
      <c r="BK89" s="67">
        <f t="shared" si="65"/>
        <v>4.799191615857518E-5</v>
      </c>
      <c r="BL89" s="67">
        <f t="shared" si="66"/>
        <v>1.3304525814228298E-4</v>
      </c>
      <c r="BM89" s="67">
        <f t="shared" si="67"/>
        <v>8.4561585729007714E-5</v>
      </c>
      <c r="BN89" s="68">
        <f t="shared" si="68"/>
        <v>4.2679663207977674E-5</v>
      </c>
      <c r="BP89" s="160"/>
      <c r="BQ89" t="s">
        <v>14</v>
      </c>
      <c r="BR89" s="48">
        <f t="shared" si="106"/>
        <v>0.47629934461210172</v>
      </c>
      <c r="BS89" s="66">
        <f t="shared" si="107"/>
        <v>207.27970195309126</v>
      </c>
      <c r="BT89" s="67">
        <f t="shared" si="69"/>
        <v>206.92692017745117</v>
      </c>
      <c r="BU89" s="67">
        <f t="shared" si="70"/>
        <v>206.57634237784316</v>
      </c>
      <c r="BV89" s="67">
        <f t="shared" si="71"/>
        <v>206.09794413361439</v>
      </c>
      <c r="BW89" s="67">
        <f t="shared" si="72"/>
        <v>205.62706026518407</v>
      </c>
      <c r="BX89" s="67">
        <f t="shared" si="73"/>
        <v>205.16896438586656</v>
      </c>
      <c r="BY89" s="67">
        <f t="shared" si="74"/>
        <v>204.54246466747023</v>
      </c>
      <c r="BZ89" s="67">
        <f t="shared" si="75"/>
        <v>203.76569503629219</v>
      </c>
      <c r="CA89" s="67">
        <f t="shared" si="76"/>
        <v>203.02610951721641</v>
      </c>
      <c r="CB89" s="67">
        <f t="shared" si="77"/>
        <v>201.9071490026588</v>
      </c>
      <c r="CC89" s="67">
        <f t="shared" si="78"/>
        <v>200.9811371000844</v>
      </c>
      <c r="CD89" s="67">
        <f t="shared" si="79"/>
        <v>199.85231663277847</v>
      </c>
      <c r="CE89" s="67">
        <f t="shared" si="80"/>
        <v>198.39578587765743</v>
      </c>
      <c r="CF89" s="67">
        <f t="shared" si="81"/>
        <v>200.24405721589895</v>
      </c>
      <c r="CG89" s="67">
        <f t="shared" si="82"/>
        <v>204.60612051187502</v>
      </c>
      <c r="CH89" s="67">
        <f t="shared" si="83"/>
        <v>297.07529133533717</v>
      </c>
      <c r="CI89" s="67">
        <f t="shared" si="84"/>
        <v>286.35697376678957</v>
      </c>
      <c r="CJ89" s="68">
        <f t="shared" si="85"/>
        <v>178.86200985206995</v>
      </c>
      <c r="CL89" s="160"/>
      <c r="CM89" t="s">
        <v>14</v>
      </c>
      <c r="CN89" s="48">
        <f t="shared" si="108"/>
        <v>0</v>
      </c>
      <c r="CO89" s="66">
        <f t="shared" si="109"/>
        <v>0</v>
      </c>
      <c r="CP89" s="67">
        <f t="shared" si="86"/>
        <v>0</v>
      </c>
      <c r="CQ89" s="67">
        <f t="shared" si="87"/>
        <v>0</v>
      </c>
      <c r="CR89" s="67">
        <f t="shared" si="88"/>
        <v>0</v>
      </c>
      <c r="CS89" s="67">
        <f t="shared" si="89"/>
        <v>1.3014549779714248E-4</v>
      </c>
      <c r="CT89" s="67">
        <f t="shared" si="90"/>
        <v>6.2805543375255056E-3</v>
      </c>
      <c r="CU89" s="67">
        <f t="shared" si="91"/>
        <v>0</v>
      </c>
      <c r="CV89" s="67">
        <f t="shared" si="92"/>
        <v>1.2225076190681255E-2</v>
      </c>
      <c r="CW89" s="67">
        <f t="shared" si="93"/>
        <v>3.088378615841329E-3</v>
      </c>
      <c r="CX89" s="67">
        <f t="shared" si="94"/>
        <v>1.4000845667305067E-3</v>
      </c>
      <c r="CY89" s="67">
        <f t="shared" si="95"/>
        <v>2.7483681246617196E-4</v>
      </c>
      <c r="CZ89" s="67">
        <f t="shared" si="96"/>
        <v>6.2116163050417064E-4</v>
      </c>
      <c r="DA89" s="67">
        <f t="shared" si="97"/>
        <v>1.2115281281465293E-3</v>
      </c>
      <c r="DB89" s="67">
        <f t="shared" si="98"/>
        <v>6.5607828025155031E-3</v>
      </c>
      <c r="DC89" s="67">
        <f t="shared" si="99"/>
        <v>9.8168200188679649E-3</v>
      </c>
      <c r="DD89" s="67">
        <f t="shared" si="100"/>
        <v>3.9517195602381497E-2</v>
      </c>
      <c r="DE89" s="67">
        <f t="shared" si="101"/>
        <v>2.4210183422861863E-2</v>
      </c>
      <c r="DF89" s="68">
        <f t="shared" si="102"/>
        <v>7.6314406513803635E-3</v>
      </c>
    </row>
    <row r="90" spans="2:110">
      <c r="B90" s="160"/>
      <c r="C90" t="str">
        <f t="shared" si="48"/>
        <v>B+</v>
      </c>
      <c r="D90" s="53">
        <f t="shared" si="49"/>
        <v>88.177551920047534</v>
      </c>
      <c r="E90" s="61">
        <f t="shared" si="110"/>
        <v>204.93524402106885</v>
      </c>
      <c r="F90" s="171">
        <f t="shared" si="110"/>
        <v>204.58246224542876</v>
      </c>
      <c r="G90" s="171">
        <f t="shared" si="103"/>
        <v>204.23188444582075</v>
      </c>
      <c r="H90" s="171">
        <f t="shared" si="103"/>
        <v>203.75348620159198</v>
      </c>
      <c r="I90" s="171">
        <f t="shared" si="103"/>
        <v>203.28260233316166</v>
      </c>
      <c r="J90" s="171">
        <f t="shared" si="103"/>
        <v>202.82450645384415</v>
      </c>
      <c r="K90" s="171">
        <f t="shared" si="103"/>
        <v>202.19800673544782</v>
      </c>
      <c r="L90" s="171">
        <f t="shared" si="103"/>
        <v>201.42123710426978</v>
      </c>
      <c r="M90" s="171">
        <f t="shared" si="103"/>
        <v>200.681651585194</v>
      </c>
      <c r="N90" s="171">
        <f t="shared" si="103"/>
        <v>199.56269107063639</v>
      </c>
      <c r="O90" s="171">
        <f t="shared" si="103"/>
        <v>198.63667916806199</v>
      </c>
      <c r="P90" s="171">
        <f t="shared" si="103"/>
        <v>197.50785870075606</v>
      </c>
      <c r="Q90" s="171">
        <f t="shared" si="103"/>
        <v>196.05132794563502</v>
      </c>
      <c r="R90" s="171">
        <f t="shared" si="103"/>
        <v>197.89959928387654</v>
      </c>
      <c r="S90" s="171">
        <f t="shared" si="103"/>
        <v>202.26166257985261</v>
      </c>
      <c r="T90" s="171">
        <f t="shared" si="103"/>
        <v>294.7308334033147</v>
      </c>
      <c r="U90" s="171">
        <f t="shared" si="103"/>
        <v>284.01251583476716</v>
      </c>
      <c r="V90" s="62">
        <f t="shared" si="103"/>
        <v>176.51755192004754</v>
      </c>
      <c r="X90" s="165"/>
      <c r="Y90" s="122" t="s">
        <v>15</v>
      </c>
      <c r="Z90" s="64">
        <v>3.5999999999999999E-3</v>
      </c>
      <c r="AA90" s="63">
        <f t="shared" si="104"/>
        <v>0</v>
      </c>
      <c r="AB90" s="64">
        <f t="shared" si="51"/>
        <v>0</v>
      </c>
      <c r="AC90" s="64">
        <f t="shared" si="51"/>
        <v>0</v>
      </c>
      <c r="AD90" s="64">
        <f t="shared" si="51"/>
        <v>0</v>
      </c>
      <c r="AE90" s="64">
        <f t="shared" si="51"/>
        <v>1.368E-9</v>
      </c>
      <c r="AF90" s="64">
        <f t="shared" si="51"/>
        <v>6.6311999999999992E-8</v>
      </c>
      <c r="AG90" s="64">
        <f t="shared" si="51"/>
        <v>0</v>
      </c>
      <c r="AH90" s="64">
        <f t="shared" si="51"/>
        <v>1.3086E-7</v>
      </c>
      <c r="AI90" s="64">
        <f t="shared" si="51"/>
        <v>3.3299999999999994E-8</v>
      </c>
      <c r="AJ90" s="64">
        <f t="shared" si="51"/>
        <v>1.5264E-8</v>
      </c>
      <c r="AK90" s="64">
        <f t="shared" si="51"/>
        <v>3.0239999999999995E-9</v>
      </c>
      <c r="AL90" s="64">
        <f t="shared" si="51"/>
        <v>6.9119999999999993E-9</v>
      </c>
      <c r="AM90" s="64">
        <f t="shared" si="51"/>
        <v>1.3679999999999999E-8</v>
      </c>
      <c r="AN90" s="64">
        <f t="shared" si="51"/>
        <v>7.2719999999999992E-8</v>
      </c>
      <c r="AO90" s="64">
        <f t="shared" si="51"/>
        <v>1.0421999999999999E-7</v>
      </c>
      <c r="AP90" s="64">
        <f t="shared" si="51"/>
        <v>1.9900799999999998E-7</v>
      </c>
      <c r="AQ90" s="64">
        <f t="shared" si="51"/>
        <v>1.3121999999999998E-7</v>
      </c>
      <c r="AR90" s="65">
        <f t="shared" si="51"/>
        <v>1.0601999999999999E-7</v>
      </c>
      <c r="AT90" s="160"/>
      <c r="AU90" t="s">
        <v>15</v>
      </c>
      <c r="AV90" s="48">
        <f t="shared" si="111"/>
        <v>2.9999999999999997E-4</v>
      </c>
      <c r="AW90" s="66">
        <f t="shared" si="105"/>
        <v>0</v>
      </c>
      <c r="AX90" s="67">
        <f t="shared" si="52"/>
        <v>0</v>
      </c>
      <c r="AY90" s="67">
        <f t="shared" si="53"/>
        <v>0</v>
      </c>
      <c r="AZ90" s="67">
        <f t="shared" si="54"/>
        <v>0</v>
      </c>
      <c r="BA90" s="67">
        <f t="shared" si="55"/>
        <v>2.7809059999176518E-7</v>
      </c>
      <c r="BB90" s="67">
        <f t="shared" si="56"/>
        <v>1.3449698671967311E-5</v>
      </c>
      <c r="BC90" s="67">
        <f t="shared" si="57"/>
        <v>0</v>
      </c>
      <c r="BD90" s="67">
        <f t="shared" si="58"/>
        <v>2.6357983087464742E-5</v>
      </c>
      <c r="BE90" s="67">
        <f t="shared" si="59"/>
        <v>6.6826989977869589E-6</v>
      </c>
      <c r="BF90" s="67">
        <f t="shared" si="60"/>
        <v>3.0461249165021941E-6</v>
      </c>
      <c r="BG90" s="67">
        <f t="shared" si="61"/>
        <v>6.0067731780421936E-7</v>
      </c>
      <c r="BH90" s="67">
        <f t="shared" si="62"/>
        <v>1.3651743193396257E-6</v>
      </c>
      <c r="BI90" s="67">
        <f t="shared" si="63"/>
        <v>2.6819821662962868E-6</v>
      </c>
      <c r="BJ90" s="67">
        <f t="shared" si="64"/>
        <v>1.43912588599235E-5</v>
      </c>
      <c r="BK90" s="67">
        <f t="shared" si="65"/>
        <v>2.1079710474072236E-5</v>
      </c>
      <c r="BL90" s="67">
        <f t="shared" si="66"/>
        <v>5.8653793693926848E-5</v>
      </c>
      <c r="BM90" s="67">
        <f t="shared" si="67"/>
        <v>3.7268122327838143E-5</v>
      </c>
      <c r="BN90" s="68">
        <f t="shared" si="68"/>
        <v>1.8714390854563437E-5</v>
      </c>
      <c r="BP90" s="160"/>
      <c r="BQ90" t="s">
        <v>15</v>
      </c>
      <c r="BR90" s="48">
        <f t="shared" si="106"/>
        <v>0.98765432098765427</v>
      </c>
      <c r="BS90" s="66">
        <f t="shared" si="107"/>
        <v>204.8806418796882</v>
      </c>
      <c r="BT90" s="67">
        <f t="shared" si="69"/>
        <v>204.5278601040481</v>
      </c>
      <c r="BU90" s="67">
        <f t="shared" si="70"/>
        <v>204.1772823044401</v>
      </c>
      <c r="BV90" s="67">
        <f t="shared" si="71"/>
        <v>203.69888406021133</v>
      </c>
      <c r="BW90" s="67">
        <f t="shared" si="72"/>
        <v>203.22800019178101</v>
      </c>
      <c r="BX90" s="67">
        <f t="shared" si="73"/>
        <v>202.7699043124635</v>
      </c>
      <c r="BY90" s="67">
        <f t="shared" si="74"/>
        <v>202.14340459406716</v>
      </c>
      <c r="BZ90" s="67">
        <f t="shared" si="75"/>
        <v>201.36663496288912</v>
      </c>
      <c r="CA90" s="67">
        <f t="shared" si="76"/>
        <v>200.62704944381335</v>
      </c>
      <c r="CB90" s="67">
        <f t="shared" si="77"/>
        <v>199.50808892925573</v>
      </c>
      <c r="CC90" s="67">
        <f t="shared" si="78"/>
        <v>198.58207702668133</v>
      </c>
      <c r="CD90" s="67">
        <f t="shared" si="79"/>
        <v>197.4532565593754</v>
      </c>
      <c r="CE90" s="67">
        <f t="shared" si="80"/>
        <v>195.99672580425437</v>
      </c>
      <c r="CF90" s="67">
        <f t="shared" si="81"/>
        <v>197.84499714249588</v>
      </c>
      <c r="CG90" s="67">
        <f t="shared" si="82"/>
        <v>202.20706043847196</v>
      </c>
      <c r="CH90" s="67">
        <f t="shared" si="83"/>
        <v>294.67623126193405</v>
      </c>
      <c r="CI90" s="67">
        <f t="shared" si="84"/>
        <v>283.9579136933865</v>
      </c>
      <c r="CJ90" s="68">
        <f t="shared" si="85"/>
        <v>176.46294977866688</v>
      </c>
      <c r="CL90" s="160"/>
      <c r="CM90" t="s">
        <v>15</v>
      </c>
      <c r="CN90" s="48">
        <f t="shared" si="108"/>
        <v>0</v>
      </c>
      <c r="CO90" s="66">
        <f t="shared" si="109"/>
        <v>0</v>
      </c>
      <c r="CP90" s="67">
        <f t="shared" si="86"/>
        <v>0</v>
      </c>
      <c r="CQ90" s="67">
        <f t="shared" si="87"/>
        <v>0</v>
      </c>
      <c r="CR90" s="67">
        <f t="shared" si="88"/>
        <v>0</v>
      </c>
      <c r="CS90" s="67">
        <f t="shared" si="89"/>
        <v>5.6500616244748337E-5</v>
      </c>
      <c r="CT90" s="67">
        <f t="shared" si="90"/>
        <v>2.7264599281000535E-3</v>
      </c>
      <c r="CU90" s="67">
        <f t="shared" si="91"/>
        <v>0</v>
      </c>
      <c r="CV90" s="67">
        <f t="shared" si="92"/>
        <v>5.3061795465576657E-3</v>
      </c>
      <c r="CW90" s="67">
        <f t="shared" si="93"/>
        <v>1.3403653918520595E-3</v>
      </c>
      <c r="CX90" s="67">
        <f t="shared" si="94"/>
        <v>6.0756028129578304E-4</v>
      </c>
      <c r="CY90" s="67">
        <f t="shared" si="95"/>
        <v>1.1925096014028192E-4</v>
      </c>
      <c r="CZ90" s="67">
        <f t="shared" si="96"/>
        <v>2.6948359429103825E-4</v>
      </c>
      <c r="DA90" s="67">
        <f t="shared" si="97"/>
        <v>5.2551332207551678E-4</v>
      </c>
      <c r="DB90" s="67">
        <f t="shared" si="98"/>
        <v>2.8464529912745284E-3</v>
      </c>
      <c r="DC90" s="67">
        <f t="shared" si="99"/>
        <v>4.2613156032455133E-3</v>
      </c>
      <c r="DD90" s="67">
        <f t="shared" si="100"/>
        <v>1.7280676845526793E-2</v>
      </c>
      <c r="DE90" s="67">
        <f t="shared" si="101"/>
        <v>1.0580543735416996E-2</v>
      </c>
      <c r="DF90" s="68">
        <f t="shared" si="102"/>
        <v>3.3013750837792523E-3</v>
      </c>
    </row>
    <row r="91" spans="2:110">
      <c r="B91" s="160"/>
      <c r="C91" t="str">
        <f t="shared" si="48"/>
        <v>B</v>
      </c>
      <c r="D91" s="53">
        <f t="shared" si="49"/>
        <v>85.256904075350789</v>
      </c>
      <c r="E91" s="61">
        <f t="shared" si="110"/>
        <v>202.01459617637209</v>
      </c>
      <c r="F91" s="171">
        <f t="shared" si="110"/>
        <v>201.661814400732</v>
      </c>
      <c r="G91" s="171">
        <f t="shared" si="103"/>
        <v>201.31123660112399</v>
      </c>
      <c r="H91" s="171">
        <f t="shared" si="103"/>
        <v>200.83283835689522</v>
      </c>
      <c r="I91" s="171">
        <f t="shared" si="103"/>
        <v>200.36195448846496</v>
      </c>
      <c r="J91" s="171">
        <f t="shared" si="103"/>
        <v>199.90385860914742</v>
      </c>
      <c r="K91" s="171">
        <f t="shared" si="103"/>
        <v>199.27735889075106</v>
      </c>
      <c r="L91" s="171">
        <f t="shared" si="103"/>
        <v>198.50058925957308</v>
      </c>
      <c r="M91" s="171">
        <f t="shared" si="103"/>
        <v>197.76100374049724</v>
      </c>
      <c r="N91" s="171">
        <f t="shared" si="103"/>
        <v>196.64204322593963</v>
      </c>
      <c r="O91" s="171">
        <f t="shared" si="103"/>
        <v>195.71603132336523</v>
      </c>
      <c r="P91" s="171">
        <f t="shared" si="103"/>
        <v>194.58721085605933</v>
      </c>
      <c r="Q91" s="171">
        <f t="shared" si="103"/>
        <v>193.13068010093826</v>
      </c>
      <c r="R91" s="171">
        <f t="shared" si="103"/>
        <v>194.97895143917978</v>
      </c>
      <c r="S91" s="171">
        <f t="shared" si="103"/>
        <v>199.34101473515591</v>
      </c>
      <c r="T91" s="171">
        <f t="shared" si="103"/>
        <v>291.810185558618</v>
      </c>
      <c r="U91" s="171">
        <f t="shared" si="103"/>
        <v>281.09186799007045</v>
      </c>
      <c r="V91" s="62">
        <f t="shared" si="103"/>
        <v>173.59690407535078</v>
      </c>
      <c r="X91" s="165"/>
      <c r="Y91" s="122" t="s">
        <v>16</v>
      </c>
      <c r="Z91" s="64">
        <v>2.0999999999999999E-3</v>
      </c>
      <c r="AA91" s="63">
        <f t="shared" si="104"/>
        <v>0</v>
      </c>
      <c r="AB91" s="64">
        <f t="shared" si="51"/>
        <v>0</v>
      </c>
      <c r="AC91" s="64">
        <f t="shared" si="51"/>
        <v>0</v>
      </c>
      <c r="AD91" s="64">
        <f t="shared" si="51"/>
        <v>0</v>
      </c>
      <c r="AE91" s="64">
        <f t="shared" si="51"/>
        <v>7.9800000000000004E-10</v>
      </c>
      <c r="AF91" s="64">
        <f t="shared" si="51"/>
        <v>3.8681999999999995E-8</v>
      </c>
      <c r="AG91" s="64">
        <f t="shared" si="51"/>
        <v>0</v>
      </c>
      <c r="AH91" s="64">
        <f t="shared" si="51"/>
        <v>7.6334999999999988E-8</v>
      </c>
      <c r="AI91" s="64">
        <f t="shared" si="51"/>
        <v>1.9424999999999997E-8</v>
      </c>
      <c r="AJ91" s="64">
        <f t="shared" si="51"/>
        <v>8.9039999999999999E-9</v>
      </c>
      <c r="AK91" s="64">
        <f t="shared" si="51"/>
        <v>1.7639999999999997E-9</v>
      </c>
      <c r="AL91" s="64">
        <f t="shared" si="51"/>
        <v>4.0319999999999993E-9</v>
      </c>
      <c r="AM91" s="64">
        <f t="shared" si="51"/>
        <v>7.9799999999999993E-9</v>
      </c>
      <c r="AN91" s="64">
        <f t="shared" si="51"/>
        <v>4.2419999999999992E-8</v>
      </c>
      <c r="AO91" s="64">
        <f t="shared" si="51"/>
        <v>6.0794999999999996E-8</v>
      </c>
      <c r="AP91" s="64">
        <f t="shared" si="51"/>
        <v>1.1608799999999999E-7</v>
      </c>
      <c r="AQ91" s="64">
        <f t="shared" si="51"/>
        <v>7.6544999999999988E-8</v>
      </c>
      <c r="AR91" s="65">
        <f t="shared" si="51"/>
        <v>6.1844999999999996E-8</v>
      </c>
      <c r="AT91" s="160"/>
      <c r="AU91" t="s">
        <v>16</v>
      </c>
      <c r="AV91" s="48">
        <f t="shared" si="111"/>
        <v>8.0000000000000004E-4</v>
      </c>
      <c r="AW91" s="66">
        <f t="shared" si="105"/>
        <v>0</v>
      </c>
      <c r="AX91" s="67">
        <f t="shared" si="52"/>
        <v>0</v>
      </c>
      <c r="AY91" s="67">
        <f t="shared" si="53"/>
        <v>0</v>
      </c>
      <c r="AZ91" s="67">
        <f t="shared" si="54"/>
        <v>0</v>
      </c>
      <c r="BA91" s="67">
        <f t="shared" si="55"/>
        <v>1.5988883968179504E-7</v>
      </c>
      <c r="BB91" s="67">
        <f t="shared" si="56"/>
        <v>7.7326810587190389E-6</v>
      </c>
      <c r="BC91" s="67">
        <f t="shared" si="57"/>
        <v>0</v>
      </c>
      <c r="BD91" s="67">
        <f t="shared" si="58"/>
        <v>1.5152542481129509E-5</v>
      </c>
      <c r="BE91" s="67">
        <f t="shared" si="59"/>
        <v>3.8415074976591585E-6</v>
      </c>
      <c r="BF91" s="67">
        <f t="shared" si="60"/>
        <v>1.7509007528837665E-6</v>
      </c>
      <c r="BG91" s="67">
        <f t="shared" si="61"/>
        <v>3.4524307925441623E-7</v>
      </c>
      <c r="BH91" s="67">
        <f t="shared" si="62"/>
        <v>7.845756341716311E-7</v>
      </c>
      <c r="BI91" s="67">
        <f t="shared" si="63"/>
        <v>1.5411828272054873E-6</v>
      </c>
      <c r="BJ91" s="67">
        <f t="shared" si="64"/>
        <v>8.2710071200500051E-6</v>
      </c>
      <c r="BK91" s="67">
        <f t="shared" si="65"/>
        <v>1.2118936990823802E-5</v>
      </c>
      <c r="BL91" s="67">
        <f t="shared" si="66"/>
        <v>3.3875660821128846E-5</v>
      </c>
      <c r="BM91" s="67">
        <f t="shared" si="67"/>
        <v>2.1516177035299938E-5</v>
      </c>
      <c r="BN91" s="68">
        <f t="shared" si="68"/>
        <v>1.0736100532540068E-5</v>
      </c>
      <c r="BP91" s="160"/>
      <c r="BQ91" t="s">
        <v>16</v>
      </c>
      <c r="BR91" s="48">
        <f t="shared" si="106"/>
        <v>5.0002000050001003E-20</v>
      </c>
      <c r="BS91" s="66">
        <f t="shared" si="107"/>
        <v>201.95999403499144</v>
      </c>
      <c r="BT91" s="67">
        <f t="shared" si="69"/>
        <v>201.60721225935134</v>
      </c>
      <c r="BU91" s="67">
        <f t="shared" si="70"/>
        <v>201.25663445974334</v>
      </c>
      <c r="BV91" s="67">
        <f t="shared" si="71"/>
        <v>200.77823621551457</v>
      </c>
      <c r="BW91" s="67">
        <f t="shared" si="72"/>
        <v>200.3073523470843</v>
      </c>
      <c r="BX91" s="67">
        <f t="shared" si="73"/>
        <v>199.84925646776676</v>
      </c>
      <c r="BY91" s="67">
        <f t="shared" si="74"/>
        <v>199.2227567493704</v>
      </c>
      <c r="BZ91" s="67">
        <f t="shared" si="75"/>
        <v>198.44598711819242</v>
      </c>
      <c r="CA91" s="67">
        <f t="shared" si="76"/>
        <v>197.70640159911659</v>
      </c>
      <c r="CB91" s="67">
        <f t="shared" si="77"/>
        <v>196.58744108455898</v>
      </c>
      <c r="CC91" s="67">
        <f t="shared" si="78"/>
        <v>195.66142918198457</v>
      </c>
      <c r="CD91" s="67">
        <f t="shared" si="79"/>
        <v>194.53260871467867</v>
      </c>
      <c r="CE91" s="67">
        <f t="shared" si="80"/>
        <v>193.07607795955761</v>
      </c>
      <c r="CF91" s="67">
        <f t="shared" si="81"/>
        <v>194.92434929779913</v>
      </c>
      <c r="CG91" s="67">
        <f t="shared" si="82"/>
        <v>199.28641259377525</v>
      </c>
      <c r="CH91" s="67">
        <f t="shared" si="83"/>
        <v>291.75558341723735</v>
      </c>
      <c r="CI91" s="67">
        <f t="shared" si="84"/>
        <v>281.0372658486898</v>
      </c>
      <c r="CJ91" s="68">
        <f t="shared" si="85"/>
        <v>173.54230193397012</v>
      </c>
      <c r="CL91" s="160"/>
      <c r="CM91" t="s">
        <v>16</v>
      </c>
      <c r="CN91" s="48">
        <f t="shared" si="108"/>
        <v>0</v>
      </c>
      <c r="CO91" s="66">
        <f t="shared" si="109"/>
        <v>0</v>
      </c>
      <c r="CP91" s="67">
        <f t="shared" si="86"/>
        <v>0</v>
      </c>
      <c r="CQ91" s="67">
        <f t="shared" si="87"/>
        <v>0</v>
      </c>
      <c r="CR91" s="67">
        <f t="shared" si="88"/>
        <v>0</v>
      </c>
      <c r="CS91" s="67">
        <f>AE91*(BW91^2)</f>
        <v>3.2018182252630587E-5</v>
      </c>
      <c r="CT91" s="67">
        <f t="shared" si="90"/>
        <v>1.5449484544692404E-3</v>
      </c>
      <c r="CU91" s="67">
        <f t="shared" si="91"/>
        <v>0</v>
      </c>
      <c r="CV91" s="67">
        <f t="shared" si="92"/>
        <v>3.0061341163359579E-3</v>
      </c>
      <c r="CW91" s="67">
        <f t="shared" si="93"/>
        <v>7.5928092745629241E-4</v>
      </c>
      <c r="CX91" s="67">
        <f t="shared" si="94"/>
        <v>3.4410952221832571E-4</v>
      </c>
      <c r="CY91" s="67">
        <f t="shared" si="95"/>
        <v>6.753190854986284E-5</v>
      </c>
      <c r="CZ91" s="67">
        <f t="shared" si="96"/>
        <v>1.525827173606599E-4</v>
      </c>
      <c r="DA91" s="67">
        <f t="shared" si="97"/>
        <v>2.974814076043564E-4</v>
      </c>
      <c r="DB91" s="67">
        <f t="shared" si="98"/>
        <v>1.611769192683808E-3</v>
      </c>
      <c r="DC91" s="67">
        <f t="shared" si="99"/>
        <v>2.4144779386941601E-3</v>
      </c>
      <c r="DD91" s="67">
        <f t="shared" si="100"/>
        <v>9.8815638489954238E-3</v>
      </c>
      <c r="DE91" s="67">
        <f t="shared" si="101"/>
        <v>6.0456729643874017E-3</v>
      </c>
      <c r="DF91" s="68">
        <f t="shared" si="102"/>
        <v>1.8625815705166735E-3</v>
      </c>
    </row>
    <row r="92" spans="2:110">
      <c r="B92" s="160"/>
      <c r="C92" t="str">
        <f t="shared" si="48"/>
        <v>B-</v>
      </c>
      <c r="D92" s="53">
        <f t="shared" si="49"/>
        <v>81.553281483267199</v>
      </c>
      <c r="E92" s="61">
        <f t="shared" si="110"/>
        <v>198.31097358428852</v>
      </c>
      <c r="F92" s="171">
        <f t="shared" si="110"/>
        <v>197.95819180864842</v>
      </c>
      <c r="G92" s="171">
        <f t="shared" si="103"/>
        <v>197.60761400904039</v>
      </c>
      <c r="H92" s="171">
        <f t="shared" si="103"/>
        <v>197.12921576481165</v>
      </c>
      <c r="I92" s="171">
        <f t="shared" si="103"/>
        <v>196.65833189638136</v>
      </c>
      <c r="J92" s="171">
        <f t="shared" si="103"/>
        <v>196.20023601706384</v>
      </c>
      <c r="K92" s="171">
        <f t="shared" si="103"/>
        <v>195.57373629866748</v>
      </c>
      <c r="L92" s="171">
        <f t="shared" si="103"/>
        <v>194.79696666748947</v>
      </c>
      <c r="M92" s="171">
        <f t="shared" si="103"/>
        <v>194.05738114841367</v>
      </c>
      <c r="N92" s="171">
        <f t="shared" si="103"/>
        <v>192.93842063385603</v>
      </c>
      <c r="O92" s="171">
        <f t="shared" si="103"/>
        <v>192.01240873128162</v>
      </c>
      <c r="P92" s="171">
        <f t="shared" si="103"/>
        <v>190.88358826397572</v>
      </c>
      <c r="Q92" s="171">
        <f t="shared" si="103"/>
        <v>189.42705750885469</v>
      </c>
      <c r="R92" s="171">
        <f t="shared" si="103"/>
        <v>191.2753288470962</v>
      </c>
      <c r="S92" s="171">
        <f t="shared" si="103"/>
        <v>195.6373921430723</v>
      </c>
      <c r="T92" s="171">
        <f t="shared" si="103"/>
        <v>288.1065629665344</v>
      </c>
      <c r="U92" s="171">
        <f t="shared" si="103"/>
        <v>277.38824539798685</v>
      </c>
      <c r="V92" s="62">
        <f t="shared" si="103"/>
        <v>169.8932814832672</v>
      </c>
      <c r="X92" s="165"/>
      <c r="Y92" s="122" t="s">
        <v>17</v>
      </c>
      <c r="Z92" s="64">
        <v>1.5E-3</v>
      </c>
      <c r="AA92" s="63">
        <f t="shared" si="104"/>
        <v>0</v>
      </c>
      <c r="AB92" s="64">
        <f t="shared" si="104"/>
        <v>0</v>
      </c>
      <c r="AC92" s="64">
        <f t="shared" si="104"/>
        <v>0</v>
      </c>
      <c r="AD92" s="64">
        <f t="shared" si="104"/>
        <v>0</v>
      </c>
      <c r="AE92" s="64">
        <f t="shared" si="104"/>
        <v>5.700000000000001E-10</v>
      </c>
      <c r="AF92" s="64">
        <f t="shared" si="104"/>
        <v>2.763E-8</v>
      </c>
      <c r="AG92" s="64">
        <f t="shared" si="104"/>
        <v>0</v>
      </c>
      <c r="AH92" s="64">
        <f t="shared" si="104"/>
        <v>5.4525000000000007E-8</v>
      </c>
      <c r="AI92" s="64">
        <f t="shared" si="104"/>
        <v>1.3875E-8</v>
      </c>
      <c r="AJ92" s="64">
        <f t="shared" si="104"/>
        <v>6.3600000000000004E-9</v>
      </c>
      <c r="AK92" s="64">
        <f t="shared" si="104"/>
        <v>1.26E-9</v>
      </c>
      <c r="AL92" s="64">
        <f t="shared" si="104"/>
        <v>2.88E-9</v>
      </c>
      <c r="AM92" s="64">
        <f t="shared" si="104"/>
        <v>5.6999999999999998E-9</v>
      </c>
      <c r="AN92" s="64">
        <f t="shared" si="104"/>
        <v>3.03E-8</v>
      </c>
      <c r="AO92" s="64">
        <f t="shared" si="104"/>
        <v>4.3425E-8</v>
      </c>
      <c r="AP92" s="64">
        <f t="shared" si="104"/>
        <v>8.2920000000000004E-8</v>
      </c>
      <c r="AQ92" s="64">
        <f t="shared" ref="AQ92:AR94" si="112">$Z92*AQ$76*AQ$97</f>
        <v>5.4674999999999998E-8</v>
      </c>
      <c r="AR92" s="65">
        <f t="shared" si="112"/>
        <v>4.4175000000000003E-8</v>
      </c>
      <c r="AT92" s="160"/>
      <c r="AU92" t="s">
        <v>17</v>
      </c>
      <c r="AV92" s="48">
        <f t="shared" si="111"/>
        <v>0</v>
      </c>
      <c r="AW92" s="66">
        <f t="shared" si="105"/>
        <v>0</v>
      </c>
      <c r="AX92" s="67">
        <f t="shared" si="52"/>
        <v>0</v>
      </c>
      <c r="AY92" s="67">
        <f t="shared" si="53"/>
        <v>0</v>
      </c>
      <c r="AZ92" s="67">
        <f t="shared" si="54"/>
        <v>0</v>
      </c>
      <c r="BA92" s="67">
        <f t="shared" si="55"/>
        <v>1.120952491809374E-7</v>
      </c>
      <c r="BB92" s="67">
        <f t="shared" si="56"/>
        <v>5.4210125211514743E-6</v>
      </c>
      <c r="BC92" s="67">
        <f t="shared" si="57"/>
        <v>0</v>
      </c>
      <c r="BD92" s="67">
        <f t="shared" si="58"/>
        <v>1.0621304607544865E-5</v>
      </c>
      <c r="BE92" s="67">
        <f t="shared" si="59"/>
        <v>2.6925461634342398E-6</v>
      </c>
      <c r="BF92" s="67">
        <f t="shared" si="60"/>
        <v>1.2270883552313244E-6</v>
      </c>
      <c r="BG92" s="67">
        <f t="shared" si="61"/>
        <v>2.4193563500141487E-7</v>
      </c>
      <c r="BH92" s="67">
        <f t="shared" si="62"/>
        <v>5.4974473420025009E-7</v>
      </c>
      <c r="BI92" s="67">
        <f t="shared" si="63"/>
        <v>1.0797342278004717E-6</v>
      </c>
      <c r="BJ92" s="67">
        <f t="shared" si="64"/>
        <v>5.7956424640670146E-6</v>
      </c>
      <c r="BK92" s="67">
        <f t="shared" si="65"/>
        <v>8.4955537538129143E-6</v>
      </c>
      <c r="BL92" s="67">
        <f t="shared" si="66"/>
        <v>2.3889796201185035E-5</v>
      </c>
      <c r="BM92" s="67">
        <f t="shared" si="67"/>
        <v>1.516620231713493E-5</v>
      </c>
      <c r="BN92" s="68">
        <f t="shared" si="68"/>
        <v>7.5050357095233291E-6</v>
      </c>
      <c r="BP92" s="160"/>
      <c r="BQ92" t="s">
        <v>17</v>
      </c>
      <c r="BR92" s="48">
        <f t="shared" si="106"/>
        <v>5</v>
      </c>
      <c r="BS92" s="66">
        <f t="shared" si="107"/>
        <v>198.25637144290786</v>
      </c>
      <c r="BT92" s="67">
        <f t="shared" si="69"/>
        <v>197.90358966726777</v>
      </c>
      <c r="BU92" s="67">
        <f t="shared" si="70"/>
        <v>197.55301186765973</v>
      </c>
      <c r="BV92" s="67">
        <f t="shared" si="71"/>
        <v>197.07461362343099</v>
      </c>
      <c r="BW92" s="67">
        <f t="shared" si="72"/>
        <v>196.6037297550007</v>
      </c>
      <c r="BX92" s="67">
        <f t="shared" si="73"/>
        <v>196.14563387568319</v>
      </c>
      <c r="BY92" s="67">
        <f t="shared" si="74"/>
        <v>195.51913415728683</v>
      </c>
      <c r="BZ92" s="67">
        <f t="shared" si="75"/>
        <v>194.74236452610882</v>
      </c>
      <c r="CA92" s="67">
        <f t="shared" si="76"/>
        <v>194.00277900703301</v>
      </c>
      <c r="CB92" s="67">
        <f t="shared" si="77"/>
        <v>192.88381849247537</v>
      </c>
      <c r="CC92" s="67">
        <f t="shared" si="78"/>
        <v>191.95780658990097</v>
      </c>
      <c r="CD92" s="67">
        <f t="shared" si="79"/>
        <v>190.82898612259507</v>
      </c>
      <c r="CE92" s="67">
        <f t="shared" si="80"/>
        <v>189.37245536747403</v>
      </c>
      <c r="CF92" s="67">
        <f t="shared" si="81"/>
        <v>191.22072670571555</v>
      </c>
      <c r="CG92" s="67">
        <f t="shared" si="82"/>
        <v>195.58279000169165</v>
      </c>
      <c r="CH92" s="67">
        <f t="shared" si="83"/>
        <v>288.05196082515374</v>
      </c>
      <c r="CI92" s="67">
        <f t="shared" si="84"/>
        <v>277.33364325660619</v>
      </c>
      <c r="CJ92" s="68">
        <f t="shared" si="85"/>
        <v>169.83867934188655</v>
      </c>
      <c r="CL92" s="160"/>
      <c r="CM92" t="s">
        <v>17</v>
      </c>
      <c r="CN92" s="48">
        <f t="shared" si="108"/>
        <v>0</v>
      </c>
      <c r="CO92" s="66">
        <f t="shared" si="109"/>
        <v>0</v>
      </c>
      <c r="CP92" s="67">
        <f t="shared" si="86"/>
        <v>0</v>
      </c>
      <c r="CQ92" s="67">
        <f t="shared" si="87"/>
        <v>0</v>
      </c>
      <c r="CR92" s="67">
        <f t="shared" si="88"/>
        <v>0</v>
      </c>
      <c r="CS92" s="67">
        <f t="shared" si="89"/>
        <v>2.2032225135539092E-5</v>
      </c>
      <c r="CT92" s="67">
        <f t="shared" si="90"/>
        <v>1.0630120206930769E-3</v>
      </c>
      <c r="CU92" s="67">
        <f t="shared" si="91"/>
        <v>0</v>
      </c>
      <c r="CV92" s="67">
        <f t="shared" si="92"/>
        <v>2.0678381902100125E-3</v>
      </c>
      <c r="CW92" s="67">
        <f t="shared" si="93"/>
        <v>5.2221446089151713E-4</v>
      </c>
      <c r="CX92" s="67">
        <f t="shared" si="94"/>
        <v>2.3661850489447485E-4</v>
      </c>
      <c r="CY92" s="67">
        <f t="shared" si="95"/>
        <v>4.6428227383615344E-5</v>
      </c>
      <c r="CZ92" s="67">
        <f t="shared" si="96"/>
        <v>1.0487722160038343E-4</v>
      </c>
      <c r="DA92" s="67">
        <f t="shared" si="97"/>
        <v>2.0441298305586391E-4</v>
      </c>
      <c r="DB92" s="67">
        <f t="shared" si="98"/>
        <v>1.1079305995524173E-3</v>
      </c>
      <c r="DC92" s="67">
        <f t="shared" si="99"/>
        <v>1.6611203598199294E-3</v>
      </c>
      <c r="DD92" s="67">
        <f t="shared" si="100"/>
        <v>6.880198452652103E-3</v>
      </c>
      <c r="DE92" s="67">
        <f t="shared" si="101"/>
        <v>4.2052701988623941E-3</v>
      </c>
      <c r="DF92" s="68">
        <f t="shared" si="102"/>
        <v>1.2742356940013354E-3</v>
      </c>
    </row>
    <row r="93" spans="2:110">
      <c r="B93" s="160"/>
      <c r="C93" t="str">
        <f t="shared" si="48"/>
        <v>CCC/C</v>
      </c>
      <c r="D93" s="53">
        <f t="shared" si="49"/>
        <v>70.834963914719637</v>
      </c>
      <c r="E93" s="61">
        <f t="shared" si="110"/>
        <v>187.59265601574094</v>
      </c>
      <c r="F93" s="171">
        <f t="shared" si="110"/>
        <v>187.23987424010085</v>
      </c>
      <c r="G93" s="171">
        <f t="shared" si="103"/>
        <v>186.88929644049284</v>
      </c>
      <c r="H93" s="171">
        <f t="shared" si="103"/>
        <v>186.41089819626407</v>
      </c>
      <c r="I93" s="171">
        <f t="shared" si="103"/>
        <v>185.94001432783381</v>
      </c>
      <c r="J93" s="171">
        <f t="shared" si="103"/>
        <v>185.48191844851627</v>
      </c>
      <c r="K93" s="171">
        <f t="shared" si="103"/>
        <v>184.85541873011991</v>
      </c>
      <c r="L93" s="171">
        <f t="shared" si="103"/>
        <v>184.07864909894192</v>
      </c>
      <c r="M93" s="171">
        <f t="shared" si="103"/>
        <v>183.33906357986609</v>
      </c>
      <c r="N93" s="171">
        <f t="shared" si="103"/>
        <v>182.22010306530848</v>
      </c>
      <c r="O93" s="171">
        <f t="shared" si="103"/>
        <v>181.29409116273408</v>
      </c>
      <c r="P93" s="171">
        <f t="shared" si="103"/>
        <v>180.16527069542818</v>
      </c>
      <c r="Q93" s="171">
        <f t="shared" si="103"/>
        <v>178.70873994030711</v>
      </c>
      <c r="R93" s="171">
        <f t="shared" si="103"/>
        <v>180.55701127854863</v>
      </c>
      <c r="S93" s="171">
        <f t="shared" si="103"/>
        <v>184.91907457452476</v>
      </c>
      <c r="T93" s="171">
        <f t="shared" si="103"/>
        <v>277.38824539798685</v>
      </c>
      <c r="U93" s="171">
        <f t="shared" si="103"/>
        <v>266.6699278294393</v>
      </c>
      <c r="V93" s="62">
        <f t="shared" si="103"/>
        <v>159.17496391471963</v>
      </c>
      <c r="X93" s="165"/>
      <c r="Y93" s="122" t="s">
        <v>21</v>
      </c>
      <c r="Z93" s="64">
        <v>1.9E-3</v>
      </c>
      <c r="AA93" s="63">
        <f t="shared" si="104"/>
        <v>0</v>
      </c>
      <c r="AB93" s="64">
        <f t="shared" si="104"/>
        <v>0</v>
      </c>
      <c r="AC93" s="64">
        <f t="shared" si="104"/>
        <v>0</v>
      </c>
      <c r="AD93" s="64">
        <f t="shared" si="104"/>
        <v>0</v>
      </c>
      <c r="AE93" s="64">
        <f t="shared" si="104"/>
        <v>7.2200000000000009E-10</v>
      </c>
      <c r="AF93" s="64">
        <f t="shared" si="104"/>
        <v>3.4998E-8</v>
      </c>
      <c r="AG93" s="64">
        <f t="shared" si="104"/>
        <v>0</v>
      </c>
      <c r="AH93" s="64">
        <f t="shared" si="104"/>
        <v>6.9065000000000003E-8</v>
      </c>
      <c r="AI93" s="64">
        <f t="shared" si="104"/>
        <v>1.7575E-8</v>
      </c>
      <c r="AJ93" s="64">
        <f t="shared" si="104"/>
        <v>8.0560000000000011E-9</v>
      </c>
      <c r="AK93" s="64">
        <f t="shared" si="104"/>
        <v>1.5959999999999999E-9</v>
      </c>
      <c r="AL93" s="64">
        <f t="shared" si="104"/>
        <v>3.6479999999999998E-9</v>
      </c>
      <c r="AM93" s="64">
        <f t="shared" si="104"/>
        <v>7.2200000000000003E-9</v>
      </c>
      <c r="AN93" s="64">
        <f t="shared" si="104"/>
        <v>3.8379999999999997E-8</v>
      </c>
      <c r="AO93" s="64">
        <f t="shared" si="104"/>
        <v>5.5004999999999995E-8</v>
      </c>
      <c r="AP93" s="64">
        <f t="shared" si="104"/>
        <v>1.05032E-7</v>
      </c>
      <c r="AQ93" s="64">
        <f t="shared" si="112"/>
        <v>6.9254999999999994E-8</v>
      </c>
      <c r="AR93" s="65">
        <f t="shared" si="112"/>
        <v>5.5955E-8</v>
      </c>
      <c r="AT93" s="160"/>
      <c r="AU93" t="s">
        <v>21</v>
      </c>
      <c r="AV93" s="48">
        <f t="shared" si="111"/>
        <v>0</v>
      </c>
      <c r="AW93" s="66">
        <f t="shared" si="105"/>
        <v>0</v>
      </c>
      <c r="AX93" s="67">
        <f t="shared" si="52"/>
        <v>0</v>
      </c>
      <c r="AY93" s="67">
        <f t="shared" si="53"/>
        <v>0</v>
      </c>
      <c r="AZ93" s="67">
        <f t="shared" si="54"/>
        <v>0</v>
      </c>
      <c r="BA93" s="67">
        <f t="shared" si="55"/>
        <v>1.3424869034469602E-7</v>
      </c>
      <c r="BB93" s="67">
        <f t="shared" si="56"/>
        <v>6.4914961818611725E-6</v>
      </c>
      <c r="BC93" s="67">
        <f t="shared" si="57"/>
        <v>0</v>
      </c>
      <c r="BD93" s="67">
        <f t="shared" si="58"/>
        <v>1.2713391900018424E-5</v>
      </c>
      <c r="BE93" s="67">
        <f t="shared" si="59"/>
        <v>3.2221840424161466E-6</v>
      </c>
      <c r="BF93" s="67">
        <f t="shared" si="60"/>
        <v>1.4679651502941254E-6</v>
      </c>
      <c r="BG93" s="67">
        <f t="shared" si="61"/>
        <v>2.8934536949572356E-7</v>
      </c>
      <c r="BH93" s="67">
        <f t="shared" si="62"/>
        <v>6.5724290749692197E-7</v>
      </c>
      <c r="BI93" s="67">
        <f t="shared" si="63"/>
        <v>1.2902771023690174E-6</v>
      </c>
      <c r="BJ93" s="67">
        <f t="shared" si="64"/>
        <v>6.9297780928706955E-6</v>
      </c>
      <c r="BK93" s="67">
        <f t="shared" si="65"/>
        <v>1.0171473696971733E-5</v>
      </c>
      <c r="BL93" s="67">
        <f t="shared" si="66"/>
        <v>2.9134642190641355E-5</v>
      </c>
      <c r="BM93" s="67">
        <f t="shared" si="67"/>
        <v>1.8468225851827817E-5</v>
      </c>
      <c r="BN93" s="68">
        <f t="shared" si="68"/>
        <v>8.9066351058481368E-6</v>
      </c>
      <c r="BP93" s="160"/>
      <c r="BQ93" t="s">
        <v>21</v>
      </c>
      <c r="BR93" s="48">
        <f t="shared" si="106"/>
        <v>5</v>
      </c>
      <c r="BS93" s="66">
        <f t="shared" si="107"/>
        <v>187.53805387436029</v>
      </c>
      <c r="BT93" s="67">
        <f t="shared" si="69"/>
        <v>187.18527209872019</v>
      </c>
      <c r="BU93" s="67">
        <f t="shared" si="70"/>
        <v>186.83469429911219</v>
      </c>
      <c r="BV93" s="67">
        <f t="shared" si="71"/>
        <v>186.35629605488342</v>
      </c>
      <c r="BW93" s="67">
        <f t="shared" si="72"/>
        <v>185.88541218645315</v>
      </c>
      <c r="BX93" s="67">
        <f t="shared" si="73"/>
        <v>185.42731630713561</v>
      </c>
      <c r="BY93" s="67">
        <f t="shared" si="74"/>
        <v>184.80081658873925</v>
      </c>
      <c r="BZ93" s="67">
        <f t="shared" si="75"/>
        <v>184.02404695756127</v>
      </c>
      <c r="CA93" s="67">
        <f t="shared" si="76"/>
        <v>183.28446143848544</v>
      </c>
      <c r="CB93" s="67">
        <f t="shared" si="77"/>
        <v>182.16550092392782</v>
      </c>
      <c r="CC93" s="67">
        <f t="shared" si="78"/>
        <v>181.23948902135342</v>
      </c>
      <c r="CD93" s="67">
        <f t="shared" si="79"/>
        <v>180.11066855404752</v>
      </c>
      <c r="CE93" s="67">
        <f t="shared" si="80"/>
        <v>178.65413779892646</v>
      </c>
      <c r="CF93" s="67">
        <f t="shared" si="81"/>
        <v>180.50240913716797</v>
      </c>
      <c r="CG93" s="67">
        <f t="shared" si="82"/>
        <v>184.8644724331441</v>
      </c>
      <c r="CH93" s="67">
        <f t="shared" si="83"/>
        <v>277.33364325660619</v>
      </c>
      <c r="CI93" s="67">
        <f t="shared" si="84"/>
        <v>266.61532568805865</v>
      </c>
      <c r="CJ93" s="68">
        <f t="shared" si="85"/>
        <v>159.12036177333897</v>
      </c>
      <c r="CL93" s="160"/>
      <c r="CM93" t="s">
        <v>21</v>
      </c>
      <c r="CN93" s="48">
        <f t="shared" si="108"/>
        <v>0</v>
      </c>
      <c r="CO93" s="66">
        <f t="shared" si="109"/>
        <v>0</v>
      </c>
      <c r="CP93" s="67">
        <f t="shared" si="86"/>
        <v>0</v>
      </c>
      <c r="CQ93" s="67">
        <f t="shared" si="87"/>
        <v>0</v>
      </c>
      <c r="CR93" s="67">
        <f t="shared" si="88"/>
        <v>0</v>
      </c>
      <c r="CS93" s="67">
        <f t="shared" si="89"/>
        <v>2.4947545026811318E-5</v>
      </c>
      <c r="CT93" s="67">
        <f t="shared" si="90"/>
        <v>1.2033463705710627E-3</v>
      </c>
      <c r="CU93" s="67">
        <f t="shared" si="91"/>
        <v>0</v>
      </c>
      <c r="CV93" s="67">
        <f t="shared" si="92"/>
        <v>2.338875855486883E-3</v>
      </c>
      <c r="CW93" s="67">
        <f t="shared" si="93"/>
        <v>5.9040038111928363E-4</v>
      </c>
      <c r="CX93" s="67">
        <f t="shared" si="94"/>
        <v>2.6733247691962891E-4</v>
      </c>
      <c r="CY93" s="67">
        <f t="shared" si="95"/>
        <v>5.2425012799631167E-5</v>
      </c>
      <c r="CZ93" s="67">
        <f t="shared" si="96"/>
        <v>1.1834058347764478E-4</v>
      </c>
      <c r="DA93" s="67">
        <f t="shared" si="97"/>
        <v>2.3044291287833374E-4</v>
      </c>
      <c r="DB93" s="67">
        <f t="shared" si="98"/>
        <v>1.2504633742518622E-3</v>
      </c>
      <c r="DC93" s="67">
        <f t="shared" si="99"/>
        <v>1.879788898604998E-3</v>
      </c>
      <c r="DD93" s="67">
        <f t="shared" si="100"/>
        <v>8.0784259629979871E-3</v>
      </c>
      <c r="DE93" s="67">
        <f t="shared" si="101"/>
        <v>4.9229038521631172E-3</v>
      </c>
      <c r="DF93" s="68">
        <f t="shared" si="102"/>
        <v>1.416740845700294E-3</v>
      </c>
    </row>
    <row r="94" spans="2:110" ht="16" thickBot="1">
      <c r="B94" s="160"/>
      <c r="C94" t="str">
        <f t="shared" si="48"/>
        <v>D</v>
      </c>
      <c r="D94" s="53">
        <f t="shared" si="49"/>
        <v>43.18</v>
      </c>
      <c r="E94" s="69">
        <f t="shared" si="110"/>
        <v>159.93769210102133</v>
      </c>
      <c r="F94" s="70">
        <f t="shared" si="110"/>
        <v>159.58491032538123</v>
      </c>
      <c r="G94" s="70">
        <f t="shared" si="110"/>
        <v>159.2343325257732</v>
      </c>
      <c r="H94" s="70">
        <f t="shared" si="110"/>
        <v>158.75593428154446</v>
      </c>
      <c r="I94" s="70">
        <f t="shared" si="110"/>
        <v>158.28505041311416</v>
      </c>
      <c r="J94" s="70">
        <f t="shared" si="110"/>
        <v>157.82695453379662</v>
      </c>
      <c r="K94" s="70">
        <f t="shared" si="110"/>
        <v>157.20045481540029</v>
      </c>
      <c r="L94" s="70">
        <f t="shared" si="110"/>
        <v>156.42368518422228</v>
      </c>
      <c r="M94" s="70">
        <f t="shared" si="110"/>
        <v>155.68409966514648</v>
      </c>
      <c r="N94" s="70">
        <f t="shared" si="110"/>
        <v>154.56513915058883</v>
      </c>
      <c r="O94" s="70">
        <f t="shared" si="110"/>
        <v>153.63912724801443</v>
      </c>
      <c r="P94" s="70">
        <f t="shared" si="110"/>
        <v>152.51030678070853</v>
      </c>
      <c r="Q94" s="70">
        <f t="shared" si="110"/>
        <v>151.0537760255875</v>
      </c>
      <c r="R94" s="70">
        <f t="shared" si="110"/>
        <v>152.90204736382901</v>
      </c>
      <c r="S94" s="70">
        <f t="shared" si="110"/>
        <v>157.26411065980511</v>
      </c>
      <c r="T94" s="70">
        <f t="shared" si="110"/>
        <v>249.73328148326721</v>
      </c>
      <c r="U94" s="70">
        <f t="shared" ref="U94:V94" si="113">$D94+U$76+U$97</f>
        <v>239.01496391471963</v>
      </c>
      <c r="V94" s="71">
        <f t="shared" si="113"/>
        <v>131.51999999999998</v>
      </c>
      <c r="W94" s="49">
        <f>SUM(E77:V94)</f>
        <v>68950.172566003472</v>
      </c>
      <c r="X94" s="166"/>
      <c r="Y94" s="123" t="s">
        <v>19</v>
      </c>
      <c r="Z94" s="73">
        <v>2.3E-3</v>
      </c>
      <c r="AA94" s="72">
        <f t="shared" si="104"/>
        <v>0</v>
      </c>
      <c r="AB94" s="73">
        <f t="shared" si="104"/>
        <v>0</v>
      </c>
      <c r="AC94" s="73">
        <f t="shared" si="104"/>
        <v>0</v>
      </c>
      <c r="AD94" s="73">
        <f t="shared" si="104"/>
        <v>0</v>
      </c>
      <c r="AE94" s="73">
        <f t="shared" si="104"/>
        <v>8.7399999999999998E-10</v>
      </c>
      <c r="AF94" s="73">
        <f t="shared" si="104"/>
        <v>4.2365999999999997E-8</v>
      </c>
      <c r="AG94" s="73">
        <f t="shared" si="104"/>
        <v>0</v>
      </c>
      <c r="AH94" s="73">
        <f t="shared" si="104"/>
        <v>8.3605E-8</v>
      </c>
      <c r="AI94" s="73">
        <f t="shared" si="104"/>
        <v>2.1275E-8</v>
      </c>
      <c r="AJ94" s="73">
        <f t="shared" si="104"/>
        <v>9.7520000000000002E-9</v>
      </c>
      <c r="AK94" s="73">
        <f t="shared" si="104"/>
        <v>1.9319999999999999E-9</v>
      </c>
      <c r="AL94" s="73">
        <f t="shared" si="104"/>
        <v>4.4159999999999996E-9</v>
      </c>
      <c r="AM94" s="73">
        <f t="shared" si="104"/>
        <v>8.7399999999999992E-9</v>
      </c>
      <c r="AN94" s="73">
        <f t="shared" si="104"/>
        <v>4.646E-8</v>
      </c>
      <c r="AO94" s="73">
        <f t="shared" si="104"/>
        <v>6.6584999999999997E-8</v>
      </c>
      <c r="AP94" s="73">
        <f t="shared" si="104"/>
        <v>1.2714399999999999E-7</v>
      </c>
      <c r="AQ94" s="73">
        <f t="shared" si="112"/>
        <v>8.3834999999999996E-8</v>
      </c>
      <c r="AR94" s="74">
        <f t="shared" si="112"/>
        <v>6.7735000000000004E-8</v>
      </c>
      <c r="AT94" s="160"/>
      <c r="AU94" t="s">
        <v>19</v>
      </c>
      <c r="AV94" s="48">
        <f t="shared" si="111"/>
        <v>2.9999999999999997E-4</v>
      </c>
      <c r="AW94" s="75">
        <f t="shared" si="105"/>
        <v>0</v>
      </c>
      <c r="AX94" s="76">
        <f t="shared" si="52"/>
        <v>0</v>
      </c>
      <c r="AY94" s="76">
        <f t="shared" si="53"/>
        <v>0</v>
      </c>
      <c r="AZ94" s="76">
        <f t="shared" si="54"/>
        <v>0</v>
      </c>
      <c r="BA94" s="76">
        <f t="shared" si="55"/>
        <v>1.3834113406106178E-7</v>
      </c>
      <c r="BB94" s="76">
        <f t="shared" si="56"/>
        <v>6.6864967557788269E-6</v>
      </c>
      <c r="BC94" s="76">
        <f t="shared" si="57"/>
        <v>0</v>
      </c>
      <c r="BD94" s="76">
        <f t="shared" si="58"/>
        <v>1.3077802199826903E-5</v>
      </c>
      <c r="BE94" s="76">
        <f t="shared" si="59"/>
        <v>3.3121792203759914E-6</v>
      </c>
      <c r="BF94" s="76">
        <f t="shared" si="60"/>
        <v>1.5073192369965424E-6</v>
      </c>
      <c r="BG94" s="76">
        <f t="shared" si="61"/>
        <v>2.9683079384316387E-7</v>
      </c>
      <c r="BH94" s="76">
        <f t="shared" si="62"/>
        <v>6.7348551474360881E-7</v>
      </c>
      <c r="BI94" s="76">
        <f t="shared" si="63"/>
        <v>1.3202100024636346E-6</v>
      </c>
      <c r="BJ94" s="67">
        <f t="shared" si="64"/>
        <v>7.1038291205234963E-6</v>
      </c>
      <c r="BK94" s="67">
        <f t="shared" si="65"/>
        <v>1.0471430808283123E-5</v>
      </c>
      <c r="BL94" s="67">
        <f t="shared" si="66"/>
        <v>3.1752088340908526E-5</v>
      </c>
      <c r="BM94" s="67">
        <f t="shared" si="67"/>
        <v>2.0037819499790518E-5</v>
      </c>
      <c r="BN94" s="68">
        <f t="shared" si="68"/>
        <v>8.9085071999999985E-6</v>
      </c>
      <c r="BO94" s="53">
        <f>SUM(AW77:BN94)</f>
        <v>5.4602141380663827E-2</v>
      </c>
      <c r="BP94" s="160"/>
      <c r="BQ94" t="s">
        <v>19</v>
      </c>
      <c r="BR94" s="48">
        <f t="shared" si="106"/>
        <v>0</v>
      </c>
      <c r="BS94" s="75">
        <f t="shared" si="107"/>
        <v>159.88308995964067</v>
      </c>
      <c r="BT94" s="76">
        <f t="shared" si="69"/>
        <v>159.53030818400057</v>
      </c>
      <c r="BU94" s="76">
        <f t="shared" si="70"/>
        <v>159.17973038439254</v>
      </c>
      <c r="BV94" s="76">
        <f t="shared" si="71"/>
        <v>158.7013321401638</v>
      </c>
      <c r="BW94" s="76">
        <f t="shared" si="72"/>
        <v>158.23044827173351</v>
      </c>
      <c r="BX94" s="76">
        <f t="shared" si="73"/>
        <v>157.77235239241597</v>
      </c>
      <c r="BY94" s="76">
        <f t="shared" si="74"/>
        <v>157.14585267401964</v>
      </c>
      <c r="BZ94" s="76">
        <f t="shared" si="75"/>
        <v>156.36908304284162</v>
      </c>
      <c r="CA94" s="76">
        <f t="shared" si="76"/>
        <v>155.62949752376582</v>
      </c>
      <c r="CB94" s="76">
        <f t="shared" si="77"/>
        <v>154.51053700920818</v>
      </c>
      <c r="CC94" s="76">
        <f t="shared" si="78"/>
        <v>153.58452510663378</v>
      </c>
      <c r="CD94" s="76">
        <f t="shared" si="79"/>
        <v>152.45570463932788</v>
      </c>
      <c r="CE94" s="76">
        <f t="shared" si="80"/>
        <v>150.99917388420684</v>
      </c>
      <c r="CF94" s="76">
        <f t="shared" si="81"/>
        <v>152.84744522244836</v>
      </c>
      <c r="CG94" s="76">
        <f t="shared" si="82"/>
        <v>157.20950851842446</v>
      </c>
      <c r="CH94" s="76">
        <f t="shared" si="83"/>
        <v>249.67867934188655</v>
      </c>
      <c r="CI94" s="76">
        <f t="shared" si="84"/>
        <v>238.96036177333897</v>
      </c>
      <c r="CJ94" s="77">
        <f t="shared" si="85"/>
        <v>131.46539785861933</v>
      </c>
      <c r="CK94" s="53">
        <f>W94-BO94</f>
        <v>68950.117963862096</v>
      </c>
      <c r="CL94" s="160"/>
      <c r="CM94" t="s">
        <v>19</v>
      </c>
      <c r="CN94" s="48">
        <f t="shared" si="108"/>
        <v>0</v>
      </c>
      <c r="CO94" s="75">
        <f t="shared" si="109"/>
        <v>0</v>
      </c>
      <c r="CP94" s="76">
        <f t="shared" si="86"/>
        <v>0</v>
      </c>
      <c r="CQ94" s="76">
        <f t="shared" si="87"/>
        <v>0</v>
      </c>
      <c r="CR94" s="76">
        <f t="shared" si="88"/>
        <v>0</v>
      </c>
      <c r="CS94" s="76">
        <f t="shared" si="89"/>
        <v>2.1882228540479244E-5</v>
      </c>
      <c r="CT94" s="76">
        <f t="shared" si="90"/>
        <v>1.0545793516920146E-3</v>
      </c>
      <c r="CU94" s="76">
        <f t="shared" si="91"/>
        <v>0</v>
      </c>
      <c r="CV94" s="76">
        <f t="shared" si="92"/>
        <v>2.044250111457359E-3</v>
      </c>
      <c r="CW94" s="76">
        <f t="shared" si="93"/>
        <v>5.1529199912685891E-4</v>
      </c>
      <c r="CX94" s="76">
        <f t="shared" si="94"/>
        <v>2.3281443096911415E-4</v>
      </c>
      <c r="CY94" s="76">
        <f t="shared" si="95"/>
        <v>4.5572414672508784E-5</v>
      </c>
      <c r="CZ94" s="76">
        <f t="shared" si="96"/>
        <v>1.0263994812915868E-4</v>
      </c>
      <c r="DA94" s="76">
        <f t="shared" si="97"/>
        <v>1.9927855948985101E-4</v>
      </c>
      <c r="DB94" s="76">
        <f t="shared" si="98"/>
        <v>1.0854143866024235E-3</v>
      </c>
      <c r="DC94" s="76">
        <f t="shared" si="99"/>
        <v>1.6456369268255354E-3</v>
      </c>
      <c r="DD94" s="76">
        <f t="shared" si="100"/>
        <v>7.9260861303545715E-3</v>
      </c>
      <c r="DE94" s="76">
        <f t="shared" si="101"/>
        <v>4.7871507389106735E-3</v>
      </c>
      <c r="DF94" s="77">
        <f t="shared" si="102"/>
        <v>1.1706742217494617E-3</v>
      </c>
    </row>
    <row r="95" spans="2:110" ht="16" thickBot="1">
      <c r="V95" s="49"/>
      <c r="BJ95" s="42"/>
      <c r="BK95" s="100"/>
      <c r="BL95" s="100"/>
      <c r="BM95" s="101" t="s">
        <v>57</v>
      </c>
      <c r="BN95" s="129">
        <f>SUM(AW77:BN94)</f>
        <v>5.4602141380663827E-2</v>
      </c>
      <c r="CJ95" s="113"/>
      <c r="DE95" s="78" t="s">
        <v>58</v>
      </c>
      <c r="DF95" s="53">
        <f>SUM(CO77:DF94)</f>
        <v>13.542123280622196</v>
      </c>
    </row>
    <row r="96" spans="2:110" ht="16" thickBot="1">
      <c r="E96" s="118" t="s">
        <v>2</v>
      </c>
      <c r="F96" s="119" t="s">
        <v>3</v>
      </c>
      <c r="G96" s="119" t="s">
        <v>4</v>
      </c>
      <c r="H96" s="119" t="s">
        <v>5</v>
      </c>
      <c r="I96" s="119" t="s">
        <v>6</v>
      </c>
      <c r="J96" s="119" t="s">
        <v>7</v>
      </c>
      <c r="K96" s="119" t="s">
        <v>8</v>
      </c>
      <c r="L96" s="119" t="s">
        <v>9</v>
      </c>
      <c r="M96" s="119" t="s">
        <v>10</v>
      </c>
      <c r="N96" s="119" t="s">
        <v>11</v>
      </c>
      <c r="O96" s="119" t="s">
        <v>12</v>
      </c>
      <c r="P96" s="119" t="s">
        <v>13</v>
      </c>
      <c r="Q96" s="119" t="s">
        <v>14</v>
      </c>
      <c r="R96" s="119" t="s">
        <v>15</v>
      </c>
      <c r="S96" s="119" t="s">
        <v>16</v>
      </c>
      <c r="T96" s="119" t="s">
        <v>17</v>
      </c>
      <c r="U96" s="119" t="s">
        <v>21</v>
      </c>
      <c r="V96" s="120" t="s">
        <v>19</v>
      </c>
      <c r="DB96" s="42"/>
      <c r="DC96" s="100"/>
      <c r="DD96" s="100"/>
      <c r="DE96" s="101" t="s">
        <v>59</v>
      </c>
      <c r="DF96" s="105">
        <f>SQRT(DF95)</f>
        <v>3.6799624020663848</v>
      </c>
    </row>
    <row r="97" spans="5:110">
      <c r="E97" cm="1">
        <f t="array" ref="E97:V97">TRANSPOSE(AH53:AH70)</f>
        <v>15.000150534113853</v>
      </c>
      <c r="F97">
        <v>15.000645515501228</v>
      </c>
      <c r="G97">
        <v>15.001780545804261</v>
      </c>
      <c r="H97">
        <v>15.004448902524491</v>
      </c>
      <c r="I97">
        <v>15.0117115090233</v>
      </c>
      <c r="J97">
        <v>15.028862975421122</v>
      </c>
      <c r="K97">
        <v>15.04579326658207</v>
      </c>
      <c r="L97">
        <v>15.076433208260696</v>
      </c>
      <c r="M97">
        <v>15.135858640902995</v>
      </c>
      <c r="N97">
        <v>15.261645382031688</v>
      </c>
      <c r="O97">
        <v>15.560099485597428</v>
      </c>
      <c r="P97">
        <v>16.270294361955699</v>
      </c>
      <c r="Q97">
        <v>17.297164032136902</v>
      </c>
      <c r="R97">
        <v>21.544495443781475</v>
      </c>
      <c r="S97">
        <v>28.827206584454316</v>
      </c>
      <c r="T97">
        <v>125</v>
      </c>
      <c r="U97">
        <v>125</v>
      </c>
      <c r="V97">
        <v>44.17</v>
      </c>
      <c r="AA97" s="172">
        <f>B21</f>
        <v>0</v>
      </c>
      <c r="AB97" s="172">
        <f t="shared" ref="AB97:AR97" si="114">C21</f>
        <v>0</v>
      </c>
      <c r="AC97" s="172">
        <f t="shared" si="114"/>
        <v>0</v>
      </c>
      <c r="AD97" s="172">
        <f t="shared" si="114"/>
        <v>0</v>
      </c>
      <c r="AE97" s="172">
        <f t="shared" si="114"/>
        <v>1E-4</v>
      </c>
      <c r="AF97" s="172">
        <f t="shared" si="114"/>
        <v>2.9999999999999997E-4</v>
      </c>
      <c r="AG97" s="172">
        <f t="shared" si="114"/>
        <v>0</v>
      </c>
      <c r="AH97" s="172">
        <f t="shared" si="114"/>
        <v>5.0000000000000001E-4</v>
      </c>
      <c r="AI97" s="172">
        <f t="shared" si="114"/>
        <v>5.0000000000000001E-4</v>
      </c>
      <c r="AJ97" s="172">
        <f t="shared" si="114"/>
        <v>8.0000000000000004E-4</v>
      </c>
      <c r="AK97" s="172">
        <f t="shared" si="114"/>
        <v>6.9999999999999999E-4</v>
      </c>
      <c r="AL97" s="172">
        <f t="shared" si="114"/>
        <v>1.6000000000000001E-3</v>
      </c>
      <c r="AM97" s="172">
        <f t="shared" si="114"/>
        <v>3.8E-3</v>
      </c>
      <c r="AN97" s="172">
        <f t="shared" si="114"/>
        <v>2.0199999999999999E-2</v>
      </c>
      <c r="AO97" s="172">
        <f t="shared" si="114"/>
        <v>9.6500000000000002E-2</v>
      </c>
      <c r="AP97" s="172">
        <f t="shared" si="114"/>
        <v>0.55279999999999996</v>
      </c>
      <c r="AQ97" s="172">
        <f t="shared" si="114"/>
        <v>0.1215</v>
      </c>
      <c r="AR97" s="172">
        <f t="shared" si="114"/>
        <v>5.8900000000000001E-2</v>
      </c>
    </row>
    <row r="99" spans="5:110" ht="16" thickBot="1"/>
    <row r="100" spans="5:110">
      <c r="DC100" s="24" t="s">
        <v>60</v>
      </c>
      <c r="DD100" s="106">
        <v>0.95</v>
      </c>
      <c r="DE100" s="106">
        <v>0.99</v>
      </c>
      <c r="DF100" s="93">
        <v>0.999</v>
      </c>
    </row>
    <row r="101" spans="5:110">
      <c r="DC101" s="107" t="s">
        <v>61</v>
      </c>
      <c r="DD101" s="108">
        <f>NORMSINV(DD100)*$DF$96</f>
        <v>6.0529995040839424</v>
      </c>
      <c r="DE101" s="108">
        <f t="shared" ref="DE101:DF101" si="115">NORMSINV(DE100)*$DF$96</f>
        <v>8.5608727105973603</v>
      </c>
      <c r="DF101" s="109">
        <f t="shared" si="115"/>
        <v>11.37193870034845</v>
      </c>
    </row>
    <row r="102" spans="5:110" ht="16" thickBot="1">
      <c r="DC102" s="110"/>
      <c r="DD102" s="111"/>
      <c r="DE102" s="111"/>
      <c r="DF102" s="112"/>
    </row>
  </sheetData>
  <mergeCells count="10">
    <mergeCell ref="B77:B94"/>
    <mergeCell ref="X77:X94"/>
    <mergeCell ref="AT77:AT94"/>
    <mergeCell ref="BS74:CJ74"/>
    <mergeCell ref="BP77:BP94"/>
    <mergeCell ref="CO74:DF74"/>
    <mergeCell ref="CL77:CL94"/>
    <mergeCell ref="E74:V74"/>
    <mergeCell ref="AA74:AR74"/>
    <mergeCell ref="AW74:BN74"/>
  </mergeCells>
  <pageMargins left="0.7" right="0.7" top="0.75" bottom="0.75" header="0.3" footer="0.3"/>
  <ignoredErrors>
    <ignoredError sqref="C31:G31 C37:G37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E10C-6319-484B-BCCB-A9BFD0B4DA3B}">
  <dimension ref="A1:U35"/>
  <sheetViews>
    <sheetView showGridLines="0" zoomScale="80" zoomScaleNormal="80" workbookViewId="0">
      <selection activeCell="B17" sqref="B17"/>
    </sheetView>
  </sheetViews>
  <sheetFormatPr baseColWidth="10" defaultColWidth="11.5" defaultRowHeight="15"/>
  <cols>
    <col min="2" max="2" width="11.83203125" bestFit="1" customWidth="1"/>
    <col min="20" max="20" width="11.6640625" customWidth="1"/>
  </cols>
  <sheetData>
    <row r="1" spans="1:21" ht="16" thickBot="1"/>
    <row r="2" spans="1:21">
      <c r="A2" s="24" t="str">
        <f>'Ejemplo Indp Nvidia Henkel'!A2</f>
        <v>Nvidia</v>
      </c>
      <c r="B2" s="25" t="str">
        <f>'Ejemplo Indp Nvidia Henkel'!B2</f>
        <v>AA-</v>
      </c>
    </row>
    <row r="3" spans="1:21" ht="16" thickBot="1">
      <c r="A3" s="80" t="str">
        <f>'Ejemplo Indp Nvidia Henkel'!A3</f>
        <v>Henkel</v>
      </c>
      <c r="B3" s="81" t="str">
        <f>'Ejemplo Indp Nvidia Henkel'!B3</f>
        <v>A</v>
      </c>
    </row>
    <row r="4" spans="1:21" ht="16" thickBot="1"/>
    <row r="5" spans="1:21">
      <c r="A5" s="130" t="s">
        <v>1</v>
      </c>
      <c r="B5" s="131" t="s">
        <v>2</v>
      </c>
      <c r="C5" s="131" t="s">
        <v>3</v>
      </c>
      <c r="D5" s="131" t="s">
        <v>4</v>
      </c>
      <c r="E5" s="131" t="s">
        <v>5</v>
      </c>
      <c r="F5" s="131" t="s">
        <v>6</v>
      </c>
      <c r="G5" s="131" t="s">
        <v>7</v>
      </c>
      <c r="H5" s="131" t="s">
        <v>8</v>
      </c>
      <c r="I5" s="131" t="s">
        <v>9</v>
      </c>
      <c r="J5" s="131" t="s">
        <v>10</v>
      </c>
      <c r="K5" s="131" t="s">
        <v>11</v>
      </c>
      <c r="L5" s="131" t="s">
        <v>12</v>
      </c>
      <c r="M5" s="131" t="s">
        <v>13</v>
      </c>
      <c r="N5" s="131" t="s">
        <v>14</v>
      </c>
      <c r="O5" s="131" t="s">
        <v>15</v>
      </c>
      <c r="P5" s="131" t="s">
        <v>16</v>
      </c>
      <c r="Q5" s="131" t="s">
        <v>17</v>
      </c>
      <c r="R5" s="131" t="s">
        <v>18</v>
      </c>
      <c r="S5" s="131" t="s">
        <v>19</v>
      </c>
      <c r="T5" s="132" t="s">
        <v>20</v>
      </c>
    </row>
    <row r="6" spans="1:21">
      <c r="A6" s="107" t="s">
        <v>5</v>
      </c>
      <c r="B6" s="128">
        <f>Hoja1!B5</f>
        <v>4.1000000000000003E-3</v>
      </c>
      <c r="C6" s="128">
        <f>Hoja1!C5</f>
        <v>1.3100000000000001E-2</v>
      </c>
      <c r="D6" s="142">
        <f>Hoja1!D5</f>
        <v>0.80989999999999995</v>
      </c>
      <c r="E6" s="128">
        <f>Hoja1!E5</f>
        <v>8.4199999999999997E-2</v>
      </c>
      <c r="F6" s="128">
        <f>Hoja1!F5</f>
        <v>2.63E-2</v>
      </c>
      <c r="G6" s="128">
        <f>Hoja1!G5</f>
        <v>1.12E-2</v>
      </c>
      <c r="H6" s="128">
        <f>Hoja1!H5</f>
        <v>3.5000000000000001E-3</v>
      </c>
      <c r="I6" s="128">
        <f>Hoja1!I5</f>
        <v>3.8E-3</v>
      </c>
      <c r="J6" s="128">
        <f>Hoja1!J5</f>
        <v>1.2999999999999999E-3</v>
      </c>
      <c r="K6" s="128">
        <f>Hoja1!K5</f>
        <v>8.0000000000000004E-4</v>
      </c>
      <c r="L6" s="128">
        <f>Hoja1!L5</f>
        <v>5.0000000000000001E-4</v>
      </c>
      <c r="M6" s="128">
        <f>Hoja1!M5</f>
        <v>2.9999999999999997E-4</v>
      </c>
      <c r="N6" s="128">
        <f>Hoja1!N5</f>
        <v>2.0000000000000001E-4</v>
      </c>
      <c r="O6" s="128">
        <f>Hoja1!O5</f>
        <v>2.0000000000000001E-4</v>
      </c>
      <c r="P6" s="128">
        <f>Hoja1!P5</f>
        <v>0</v>
      </c>
      <c r="Q6" s="128">
        <f>Hoja1!Q5</f>
        <v>2.0000000000000001E-4</v>
      </c>
      <c r="R6" s="128">
        <f>Hoja1!R5</f>
        <v>5.0000000000000001E-4</v>
      </c>
      <c r="S6" s="128">
        <f>Hoja1!S5</f>
        <v>2.0000000000000001E-4</v>
      </c>
      <c r="T6" s="133">
        <f>Hoja1!T5</f>
        <v>3.9899999999999998E-2</v>
      </c>
      <c r="U6" s="89">
        <f>SMALL(B6:T6,6)</f>
        <v>2.9999999999999997E-4</v>
      </c>
    </row>
    <row r="7" spans="1:21">
      <c r="A7" s="107" t="s">
        <v>62</v>
      </c>
      <c r="B7" s="128">
        <f>SUM($B6:B6)</f>
        <v>4.1000000000000003E-3</v>
      </c>
      <c r="C7" s="128">
        <f>SUM($B6:C6)</f>
        <v>1.72E-2</v>
      </c>
      <c r="D7" s="142">
        <f>SUM($B6:D6)</f>
        <v>0.82709999999999995</v>
      </c>
      <c r="E7" s="128">
        <f>SUM($B6:E6)</f>
        <v>0.9113</v>
      </c>
      <c r="F7" s="128">
        <f>SUM($B6:F6)</f>
        <v>0.93759999999999999</v>
      </c>
      <c r="G7" s="128">
        <f>SUM($B6:G6)</f>
        <v>0.94879999999999998</v>
      </c>
      <c r="H7" s="128">
        <f>SUM($B6:H6)</f>
        <v>0.95229999999999992</v>
      </c>
      <c r="I7" s="128">
        <f>SUM($B6:I6)</f>
        <v>0.95609999999999995</v>
      </c>
      <c r="J7" s="128">
        <f>SUM($B6:J6)</f>
        <v>0.95739999999999992</v>
      </c>
      <c r="K7" s="128">
        <f>SUM($B6:K6)</f>
        <v>0.95819999999999994</v>
      </c>
      <c r="L7" s="128">
        <f>SUM($B6:L6)</f>
        <v>0.95869999999999989</v>
      </c>
      <c r="M7" s="128">
        <f>SUM($B6:M6)</f>
        <v>0.95899999999999985</v>
      </c>
      <c r="N7" s="128">
        <f>SUM($B6:N6)</f>
        <v>0.95919999999999983</v>
      </c>
      <c r="O7" s="128">
        <f>SUM($B6:O6)</f>
        <v>0.95939999999999981</v>
      </c>
      <c r="P7" s="128">
        <f>SUM($B6:P6)</f>
        <v>0.95939999999999981</v>
      </c>
      <c r="Q7" s="128">
        <f>SUM($B6:Q6)</f>
        <v>0.95959999999999979</v>
      </c>
      <c r="R7" s="128">
        <f>SUM($B6:R6)</f>
        <v>0.96009999999999973</v>
      </c>
      <c r="S7" s="128">
        <f>SUM($B6:S6)</f>
        <v>0.96029999999999971</v>
      </c>
      <c r="T7" s="133">
        <f>SUM($B6:T6)</f>
        <v>1.0001999999999998</v>
      </c>
      <c r="U7" s="89"/>
    </row>
    <row r="8" spans="1:21" ht="18" thickBot="1">
      <c r="A8" s="117" t="s">
        <v>63</v>
      </c>
      <c r="B8" s="134">
        <f>_xlfn.NORM.INV(B7,0,1)</f>
        <v>-2.6437218896354961</v>
      </c>
      <c r="C8" s="134">
        <f t="shared" ref="C8:T8" si="0">_xlfn.NORM.INV(C7,0,1)</f>
        <v>-2.1153515019401459</v>
      </c>
      <c r="D8" s="143">
        <f t="shared" si="0"/>
        <v>0.94276718479663946</v>
      </c>
      <c r="E8" s="134">
        <f t="shared" si="0"/>
        <v>1.3488037808146327</v>
      </c>
      <c r="F8" s="134">
        <f t="shared" si="0"/>
        <v>1.5349341662705662</v>
      </c>
      <c r="G8" s="134">
        <f t="shared" si="0"/>
        <v>1.6333281471098147</v>
      </c>
      <c r="H8" s="134">
        <f t="shared" si="0"/>
        <v>1.6675756266797332</v>
      </c>
      <c r="I8" s="134">
        <f t="shared" si="0"/>
        <v>1.7071186571644252</v>
      </c>
      <c r="J8" s="134">
        <f t="shared" si="0"/>
        <v>1.721280148399511</v>
      </c>
      <c r="K8" s="134">
        <f t="shared" si="0"/>
        <v>1.7301694770882545</v>
      </c>
      <c r="L8" s="134">
        <f t="shared" si="0"/>
        <v>1.7357955004578334</v>
      </c>
      <c r="M8" s="134">
        <f t="shared" si="0"/>
        <v>1.7391976652852499</v>
      </c>
      <c r="N8" s="134">
        <f t="shared" si="0"/>
        <v>1.7414770081960642</v>
      </c>
      <c r="O8" s="134">
        <f t="shared" si="0"/>
        <v>1.743765434864776</v>
      </c>
      <c r="P8" s="134">
        <f t="shared" si="0"/>
        <v>1.743765434864776</v>
      </c>
      <c r="Q8" s="134">
        <f t="shared" si="0"/>
        <v>1.7460630300638937</v>
      </c>
      <c r="R8" s="134">
        <f t="shared" si="0"/>
        <v>1.7518476977477329</v>
      </c>
      <c r="S8" s="134">
        <f t="shared" si="0"/>
        <v>1.7541780681726677</v>
      </c>
      <c r="T8" s="135" t="e">
        <f t="shared" si="0"/>
        <v>#NUM!</v>
      </c>
    </row>
    <row r="9" spans="1:21" ht="16" thickBot="1"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</row>
    <row r="10" spans="1:21">
      <c r="A10" s="136" t="s">
        <v>7</v>
      </c>
      <c r="B10" s="137">
        <f>Hoja1!B8</f>
        <v>2.9999999999999997E-4</v>
      </c>
      <c r="C10" s="137">
        <f>Hoja1!C8</f>
        <v>4.0000000000000002E-4</v>
      </c>
      <c r="D10" s="137">
        <f>Hoja1!D8</f>
        <v>2.0999999999999999E-3</v>
      </c>
      <c r="E10" s="137">
        <f>Hoja1!E8</f>
        <v>3.8999999999999998E-3</v>
      </c>
      <c r="F10" s="137">
        <f>Hoja1!F8</f>
        <v>5.1900000000000002E-2</v>
      </c>
      <c r="G10" s="144">
        <f>Hoja1!G8</f>
        <v>0.79359999999999997</v>
      </c>
      <c r="H10" s="137">
        <f>Hoja1!H8</f>
        <v>6.6100000000000006E-2</v>
      </c>
      <c r="I10" s="137">
        <f>Hoja1!I8</f>
        <v>2.3199999999999998E-2</v>
      </c>
      <c r="J10" s="137">
        <f>Hoja1!J8</f>
        <v>8.0999999999999996E-3</v>
      </c>
      <c r="K10" s="137">
        <f>Hoja1!K8</f>
        <v>2.5000000000000001E-3</v>
      </c>
      <c r="L10" s="137">
        <f>Hoja1!L8</f>
        <v>8.9999999999999998E-4</v>
      </c>
      <c r="M10" s="137">
        <f>Hoja1!M8</f>
        <v>1E-3</v>
      </c>
      <c r="N10" s="137">
        <f>Hoja1!N8</f>
        <v>5.9999999999999995E-4</v>
      </c>
      <c r="O10" s="137">
        <f>Hoja1!O8</f>
        <v>8.0000000000000004E-4</v>
      </c>
      <c r="P10" s="137">
        <f>Hoja1!P8</f>
        <v>2.0000000000000001E-4</v>
      </c>
      <c r="Q10" s="137">
        <f>Hoja1!Q8</f>
        <v>0</v>
      </c>
      <c r="R10" s="137">
        <f>Hoja1!R8</f>
        <v>1E-4</v>
      </c>
      <c r="S10" s="137">
        <f>Hoja1!S8</f>
        <v>5.0000000000000001E-4</v>
      </c>
      <c r="T10" s="138">
        <f>Hoja1!T8</f>
        <v>4.3999999999999997E-2</v>
      </c>
      <c r="U10" s="89">
        <f>SMALL(B10:T10,4)</f>
        <v>2.9999999999999997E-4</v>
      </c>
    </row>
    <row r="11" spans="1:21">
      <c r="A11" s="139" t="s">
        <v>62</v>
      </c>
      <c r="B11" s="140">
        <f>U10</f>
        <v>2.9999999999999997E-4</v>
      </c>
      <c r="C11" s="140">
        <f>SUM($B10:C10)</f>
        <v>6.9999999999999999E-4</v>
      </c>
      <c r="D11" s="140">
        <f>SUM($B10:D10)</f>
        <v>2.8E-3</v>
      </c>
      <c r="E11" s="140">
        <f>SUM($B10:E10)</f>
        <v>6.6999999999999994E-3</v>
      </c>
      <c r="F11" s="140">
        <f>SUM($B10:F10)</f>
        <v>5.8599999999999999E-2</v>
      </c>
      <c r="G11" s="142">
        <f>SUM($B10:G10)</f>
        <v>0.85219999999999996</v>
      </c>
      <c r="H11" s="140">
        <f>SUM($B10:H10)</f>
        <v>0.91830000000000001</v>
      </c>
      <c r="I11" s="140">
        <f>SUM($B10:I10)</f>
        <v>0.9415</v>
      </c>
      <c r="J11" s="140">
        <f>SUM($B10:J10)</f>
        <v>0.9496</v>
      </c>
      <c r="K11" s="140">
        <f>SUM($B10:K10)</f>
        <v>0.95209999999999995</v>
      </c>
      <c r="L11" s="140">
        <f>SUM($B10:L10)</f>
        <v>0.95299999999999996</v>
      </c>
      <c r="M11" s="140">
        <f>SUM($B10:M10)</f>
        <v>0.95399999999999996</v>
      </c>
      <c r="N11" s="140">
        <f>SUM($B10:N10)</f>
        <v>0.9546</v>
      </c>
      <c r="O11" s="140">
        <f>SUM($B10:O10)</f>
        <v>0.95540000000000003</v>
      </c>
      <c r="P11" s="140">
        <f>SUM($B10:P10)</f>
        <v>0.9556</v>
      </c>
      <c r="Q11" s="140">
        <f>SUM($B10:Q10)</f>
        <v>0.9556</v>
      </c>
      <c r="R11" s="140">
        <f>SUM($B10:R10)</f>
        <v>0.95569999999999999</v>
      </c>
      <c r="S11" s="140">
        <f>SUM($B10:S10)</f>
        <v>0.95619999999999994</v>
      </c>
      <c r="T11" s="141">
        <f>SUM($B10:T10)</f>
        <v>1.0002</v>
      </c>
      <c r="U11" s="89"/>
    </row>
    <row r="12" spans="1:21" ht="18" thickBot="1">
      <c r="A12" s="117" t="s">
        <v>63</v>
      </c>
      <c r="B12" s="134">
        <f>_xlfn.NORM.INV(B11,0,1)</f>
        <v>-3.4316144036232696</v>
      </c>
      <c r="C12" s="134">
        <f t="shared" ref="C12" si="1">_xlfn.NORM.INV(C11,0,1)</f>
        <v>-3.1946510537632862</v>
      </c>
      <c r="D12" s="134">
        <f t="shared" ref="D12" si="2">_xlfn.NORM.INV(D11,0,1)</f>
        <v>-2.7703272333521767</v>
      </c>
      <c r="E12" s="134">
        <f t="shared" ref="E12" si="3">_xlfn.NORM.INV(E11,0,1)</f>
        <v>-2.4729577066243884</v>
      </c>
      <c r="F12" s="134">
        <f t="shared" ref="F12" si="4">_xlfn.NORM.INV(F11,0,1)</f>
        <v>-1.5666351367069622</v>
      </c>
      <c r="G12" s="143">
        <f t="shared" ref="G12" si="5">_xlfn.NORM.INV(G11,0,1)</f>
        <v>1.0459156026503591</v>
      </c>
      <c r="H12" s="134">
        <f t="shared" ref="H12" si="6">_xlfn.NORM.INV(H11,0,1)</f>
        <v>1.393727197448188</v>
      </c>
      <c r="I12" s="134">
        <f t="shared" ref="I12" si="7">_xlfn.NORM.INV(I11,0,1)</f>
        <v>1.5674908641334397</v>
      </c>
      <c r="J12" s="134">
        <f t="shared" ref="J12" si="8">_xlfn.NORM.INV(J11,0,1)</f>
        <v>1.6409875481197955</v>
      </c>
      <c r="K12" s="134">
        <f t="shared" ref="K12" si="9">_xlfn.NORM.INV(K11,0,1)</f>
        <v>1.6655654371913415</v>
      </c>
      <c r="L12" s="134">
        <f t="shared" ref="L12" si="10">_xlfn.NORM.INV(L11,0,1)</f>
        <v>1.6746648890243248</v>
      </c>
      <c r="M12" s="134">
        <f t="shared" ref="M12" si="11">_xlfn.NORM.INV(M11,0,1)</f>
        <v>1.6849407678719139</v>
      </c>
      <c r="N12" s="134">
        <f t="shared" ref="N12" si="12">_xlfn.NORM.INV(N11,0,1)</f>
        <v>1.6911927250765728</v>
      </c>
      <c r="O12" s="134">
        <f t="shared" ref="O12" si="13">_xlfn.NORM.INV(O11,0,1)</f>
        <v>1.6996328888367569</v>
      </c>
      <c r="P12" s="134">
        <f t="shared" ref="P12" si="14">_xlfn.NORM.INV(P11,0,1)</f>
        <v>1.701761960676238</v>
      </c>
      <c r="Q12" s="134">
        <f t="shared" ref="Q12" si="15">_xlfn.NORM.INV(Q11,0,1)</f>
        <v>1.701761960676238</v>
      </c>
      <c r="R12" s="134">
        <f t="shared" ref="R12" si="16">_xlfn.NORM.INV(R11,0,1)</f>
        <v>1.702829395744341</v>
      </c>
      <c r="S12" s="134">
        <f t="shared" ref="S12:T12" si="17">_xlfn.NORM.INV(S11,0,1)</f>
        <v>1.7081958948150855</v>
      </c>
      <c r="T12" s="135" t="e">
        <f t="shared" si="17"/>
        <v>#NUM!</v>
      </c>
    </row>
    <row r="13" spans="1:21"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</row>
    <row r="14" spans="1:21" ht="17">
      <c r="A14" s="78" t="s">
        <v>64</v>
      </c>
      <c r="B14" s="91">
        <f ca="1">B17*B16+B18*_xlfn.NORM.S.INV(RAND())</f>
        <v>-0.27982970494322718</v>
      </c>
      <c r="C14" t="str">
        <f ca="1">_xlfn.FORMULATEXT(B14)</f>
        <v>=B17*B16+B18*NORM.S.INV(RAND())</v>
      </c>
    </row>
    <row r="15" spans="1:21" ht="17">
      <c r="A15" s="78" t="s">
        <v>65</v>
      </c>
      <c r="B15" s="91">
        <f ca="1">B17*B16+B18*_xlfn.NORM.S.INV(RAND())</f>
        <v>-4.7268518524709841E-2</v>
      </c>
      <c r="C15" t="str">
        <f ca="1">_xlfn.FORMULATEXT(B15)</f>
        <v>=B17*B16+B18*NORM.S.INV(RAND())</v>
      </c>
    </row>
    <row r="16" spans="1:21">
      <c r="A16" s="78" t="s">
        <v>66</v>
      </c>
      <c r="B16" s="91">
        <f ca="1">_xlfn.NORM.INV(RAND(),0,1)</f>
        <v>-0.78610178626213345</v>
      </c>
    </row>
    <row r="17" spans="1:19" ht="17">
      <c r="A17" s="78" t="s">
        <v>67</v>
      </c>
      <c r="B17" s="91">
        <f>CORREL('Henkel ST Stock Price History ('!G75:G574,NVIDIA!G65:G564)</f>
        <v>2.2918692557990564E-2</v>
      </c>
      <c r="C17" t="s">
        <v>68</v>
      </c>
    </row>
    <row r="18" spans="1:19" ht="18">
      <c r="A18" s="78" t="s">
        <v>69</v>
      </c>
      <c r="B18" s="91">
        <f>SQRT(1-(B17^2))</f>
        <v>0.99973733226854755</v>
      </c>
    </row>
    <row r="19" spans="1:19">
      <c r="A19" s="114" t="s">
        <v>70</v>
      </c>
      <c r="B19" s="49">
        <f>B17^2</f>
        <v>5.2526646856769206E-4</v>
      </c>
      <c r="C19" s="114" t="s">
        <v>71</v>
      </c>
      <c r="D19" s="49">
        <f>1-B19</f>
        <v>0.99947473353143235</v>
      </c>
    </row>
    <row r="20" spans="1:19">
      <c r="A20" s="114"/>
      <c r="B20" s="49"/>
      <c r="C20" s="114"/>
      <c r="D20" s="49"/>
    </row>
    <row r="21" spans="1:19" ht="16" thickBot="1">
      <c r="A21" s="114"/>
      <c r="B21" s="49"/>
      <c r="C21" s="114"/>
      <c r="D21" s="49"/>
    </row>
    <row r="22" spans="1:19" ht="17">
      <c r="A22" s="145" t="s">
        <v>72</v>
      </c>
      <c r="B22" s="146">
        <f ca="1">IF($B$14&lt;B8,1,0)</f>
        <v>0</v>
      </c>
      <c r="C22" s="146">
        <f ca="1">IF(AND($B$14&lt;C8,$B$14&gt;B8),1,0)</f>
        <v>0</v>
      </c>
      <c r="D22" s="152">
        <f ca="1">IF(AND($B$14&lt;D8,$B$14&gt;C8),1,0)</f>
        <v>1</v>
      </c>
      <c r="E22" s="146">
        <f t="shared" ref="E22:S22" ca="1" si="18">IF(AND($B$14&lt;E8,$B$14&gt;D8),1,0)</f>
        <v>0</v>
      </c>
      <c r="F22" s="146">
        <f t="shared" ca="1" si="18"/>
        <v>0</v>
      </c>
      <c r="G22" s="146">
        <f t="shared" ca="1" si="18"/>
        <v>0</v>
      </c>
      <c r="H22" s="146">
        <f t="shared" ca="1" si="18"/>
        <v>0</v>
      </c>
      <c r="I22" s="146">
        <f t="shared" ca="1" si="18"/>
        <v>0</v>
      </c>
      <c r="J22" s="146">
        <f t="shared" ca="1" si="18"/>
        <v>0</v>
      </c>
      <c r="K22" s="146">
        <f t="shared" ca="1" si="18"/>
        <v>0</v>
      </c>
      <c r="L22" s="146">
        <f t="shared" ca="1" si="18"/>
        <v>0</v>
      </c>
      <c r="M22" s="146">
        <f t="shared" ca="1" si="18"/>
        <v>0</v>
      </c>
      <c r="N22" s="146">
        <f t="shared" ca="1" si="18"/>
        <v>0</v>
      </c>
      <c r="O22" s="146">
        <f t="shared" ca="1" si="18"/>
        <v>0</v>
      </c>
      <c r="P22" s="146">
        <f t="shared" ca="1" si="18"/>
        <v>0</v>
      </c>
      <c r="Q22" s="146">
        <f t="shared" ca="1" si="18"/>
        <v>0</v>
      </c>
      <c r="R22" s="146">
        <f t="shared" ca="1" si="18"/>
        <v>0</v>
      </c>
      <c r="S22" s="147">
        <f t="shared" ca="1" si="18"/>
        <v>0</v>
      </c>
    </row>
    <row r="23" spans="1:19">
      <c r="A23" s="107"/>
      <c r="B23" s="148" cm="1">
        <f t="array" ref="B23:S23">TRANSPOSE('Ejemplo Indp Nvidia Henkel'!U53:U70)</f>
        <v>101.75754156690746</v>
      </c>
      <c r="C23" s="148">
        <v>101.40426480988</v>
      </c>
      <c r="D23" s="153">
        <v>101.05255197996895</v>
      </c>
      <c r="E23" s="148">
        <v>100.57148537901995</v>
      </c>
      <c r="F23" s="148">
        <v>100.09333890409084</v>
      </c>
      <c r="G23" s="148">
        <v>99.618091558375497</v>
      </c>
      <c r="H23" s="148">
        <v>98.974661548818204</v>
      </c>
      <c r="I23" s="148">
        <v>98.167251975961562</v>
      </c>
      <c r="J23" s="148">
        <v>97.368241024243474</v>
      </c>
      <c r="K23" s="148">
        <v>96.123493768557154</v>
      </c>
      <c r="L23" s="148">
        <v>94.89902776241702</v>
      </c>
      <c r="M23" s="148">
        <v>93.060012418752819</v>
      </c>
      <c r="N23" s="148">
        <v>90.576611993450598</v>
      </c>
      <c r="O23" s="148">
        <v>88.177551920047534</v>
      </c>
      <c r="P23" s="148">
        <v>85.256904075350789</v>
      </c>
      <c r="Q23" s="148">
        <v>81.553281483267199</v>
      </c>
      <c r="R23" s="148">
        <v>70.834963914719637</v>
      </c>
      <c r="S23" s="149">
        <v>44.17</v>
      </c>
    </row>
    <row r="24" spans="1:19" ht="16" thickBot="1">
      <c r="A24" s="110"/>
      <c r="B24" s="150">
        <f ca="1">B23*B22</f>
        <v>0</v>
      </c>
      <c r="C24" s="150">
        <f t="shared" ref="C24" ca="1" si="19">C23*C22</f>
        <v>0</v>
      </c>
      <c r="D24" s="143">
        <f t="shared" ref="D24" ca="1" si="20">D23*D22</f>
        <v>101.05255197996895</v>
      </c>
      <c r="E24" s="150">
        <f t="shared" ref="E24" ca="1" si="21">E23*E22</f>
        <v>0</v>
      </c>
      <c r="F24" s="150">
        <f t="shared" ref="F24" ca="1" si="22">F23*F22</f>
        <v>0</v>
      </c>
      <c r="G24" s="150">
        <f t="shared" ref="G24" ca="1" si="23">G23*G22</f>
        <v>0</v>
      </c>
      <c r="H24" s="150">
        <f t="shared" ref="H24" ca="1" si="24">H23*H22</f>
        <v>0</v>
      </c>
      <c r="I24" s="150">
        <f t="shared" ref="I24" ca="1" si="25">I23*I22</f>
        <v>0</v>
      </c>
      <c r="J24" s="150">
        <f t="shared" ref="J24" ca="1" si="26">J23*J22</f>
        <v>0</v>
      </c>
      <c r="K24" s="150">
        <f t="shared" ref="K24" ca="1" si="27">K23*K22</f>
        <v>0</v>
      </c>
      <c r="L24" s="150">
        <f t="shared" ref="L24" ca="1" si="28">L23*L22</f>
        <v>0</v>
      </c>
      <c r="M24" s="150">
        <f t="shared" ref="M24" ca="1" si="29">M23*M22</f>
        <v>0</v>
      </c>
      <c r="N24" s="150">
        <f t="shared" ref="N24" ca="1" si="30">N23*N22</f>
        <v>0</v>
      </c>
      <c r="O24" s="150">
        <f t="shared" ref="O24" ca="1" si="31">O23*O22</f>
        <v>0</v>
      </c>
      <c r="P24" s="150">
        <f t="shared" ref="P24" ca="1" si="32">P23*P22</f>
        <v>0</v>
      </c>
      <c r="Q24" s="150">
        <f t="shared" ref="Q24" ca="1" si="33">Q23*Q22</f>
        <v>0</v>
      </c>
      <c r="R24" s="150">
        <f t="shared" ref="R24" ca="1" si="34">R23*R22</f>
        <v>0</v>
      </c>
      <c r="S24" s="151">
        <f t="shared" ref="S24" ca="1" si="35">S23*S22</f>
        <v>0</v>
      </c>
    </row>
    <row r="25" spans="1:19">
      <c r="A25" s="114"/>
      <c r="B25" s="49"/>
      <c r="C25" s="114"/>
      <c r="D25" s="49"/>
    </row>
    <row r="26" spans="1:19">
      <c r="A26" s="114"/>
      <c r="B26" s="49"/>
      <c r="C26" s="114"/>
      <c r="D26" s="49"/>
    </row>
    <row r="27" spans="1:19" ht="17">
      <c r="A27" s="154" t="s">
        <v>73</v>
      </c>
      <c r="B27" s="155">
        <f ca="1">IF($B$15&lt;B12,1,0)</f>
        <v>0</v>
      </c>
      <c r="C27" s="155">
        <f ca="1">IF(AND($B$15&lt;C12,$B$15&gt;B12),1,0)</f>
        <v>0</v>
      </c>
      <c r="D27" s="155">
        <f ca="1">IF(AND($B$15&lt;D12,$B$15&gt;C12),1,0)</f>
        <v>0</v>
      </c>
      <c r="E27" s="155">
        <f t="shared" ref="E27:S27" ca="1" si="36">IF(AND($B$15&lt;E12,$B$15&gt;D12),1,0)</f>
        <v>0</v>
      </c>
      <c r="F27" s="155">
        <f t="shared" ca="1" si="36"/>
        <v>0</v>
      </c>
      <c r="G27" s="155">
        <f t="shared" ca="1" si="36"/>
        <v>1</v>
      </c>
      <c r="H27" s="155">
        <f t="shared" ca="1" si="36"/>
        <v>0</v>
      </c>
      <c r="I27" s="155">
        <f t="shared" ca="1" si="36"/>
        <v>0</v>
      </c>
      <c r="J27" s="155">
        <f t="shared" ca="1" si="36"/>
        <v>0</v>
      </c>
      <c r="K27" s="155">
        <f t="shared" ca="1" si="36"/>
        <v>0</v>
      </c>
      <c r="L27" s="155">
        <f t="shared" ca="1" si="36"/>
        <v>0</v>
      </c>
      <c r="M27" s="155">
        <f t="shared" ca="1" si="36"/>
        <v>0</v>
      </c>
      <c r="N27" s="155">
        <f t="shared" ca="1" si="36"/>
        <v>0</v>
      </c>
      <c r="O27" s="155">
        <f t="shared" ca="1" si="36"/>
        <v>0</v>
      </c>
      <c r="P27" s="155">
        <f t="shared" ca="1" si="36"/>
        <v>0</v>
      </c>
      <c r="Q27" s="155">
        <f t="shared" ca="1" si="36"/>
        <v>0</v>
      </c>
      <c r="R27" s="155">
        <f t="shared" ca="1" si="36"/>
        <v>0</v>
      </c>
      <c r="S27" s="155">
        <f t="shared" ca="1" si="36"/>
        <v>0</v>
      </c>
    </row>
    <row r="28" spans="1:19">
      <c r="A28" s="156"/>
      <c r="B28" s="155" cm="1">
        <f t="array" ref="B28:S28">TRANSPOSE('Ejemplo Indp Nvidia Henkel'!H53:H70)</f>
        <v>101.75754156690746</v>
      </c>
      <c r="C28" s="155">
        <v>101.40426480988</v>
      </c>
      <c r="D28" s="155">
        <v>101.05255197996895</v>
      </c>
      <c r="E28" s="155">
        <v>100.57148537901995</v>
      </c>
      <c r="F28" s="155">
        <v>100.09333890409084</v>
      </c>
      <c r="G28" s="155">
        <v>99.618091558375497</v>
      </c>
      <c r="H28" s="155">
        <v>98.974661548818204</v>
      </c>
      <c r="I28" s="155">
        <v>98.167251975961562</v>
      </c>
      <c r="J28" s="155">
        <v>97.368241024243474</v>
      </c>
      <c r="K28" s="155">
        <v>96.123493768557154</v>
      </c>
      <c r="L28" s="155">
        <v>94.89902776241702</v>
      </c>
      <c r="M28" s="155">
        <v>93.060012418752819</v>
      </c>
      <c r="N28" s="155">
        <v>90.576611993450598</v>
      </c>
      <c r="O28" s="155">
        <v>88.177551920047534</v>
      </c>
      <c r="P28" s="155">
        <v>85.256904075350789</v>
      </c>
      <c r="Q28" s="155">
        <v>81.553281483267199</v>
      </c>
      <c r="R28" s="155">
        <v>70.834963914719637</v>
      </c>
      <c r="S28" s="155">
        <v>43.18</v>
      </c>
    </row>
    <row r="29" spans="1:19">
      <c r="A29" s="156"/>
      <c r="B29" s="155">
        <f ca="1">B28*B27</f>
        <v>0</v>
      </c>
      <c r="C29" s="155">
        <f t="shared" ref="C29:S29" ca="1" si="37">C28*C27</f>
        <v>0</v>
      </c>
      <c r="D29" s="155">
        <f t="shared" ca="1" si="37"/>
        <v>0</v>
      </c>
      <c r="E29" s="155">
        <f t="shared" ca="1" si="37"/>
        <v>0</v>
      </c>
      <c r="F29" s="155">
        <f t="shared" ca="1" si="37"/>
        <v>0</v>
      </c>
      <c r="G29" s="155">
        <f t="shared" ca="1" si="37"/>
        <v>99.618091558375497</v>
      </c>
      <c r="H29" s="155">
        <f t="shared" ca="1" si="37"/>
        <v>0</v>
      </c>
      <c r="I29" s="155">
        <f t="shared" ca="1" si="37"/>
        <v>0</v>
      </c>
      <c r="J29" s="155">
        <f t="shared" ca="1" si="37"/>
        <v>0</v>
      </c>
      <c r="K29" s="155">
        <f t="shared" ca="1" si="37"/>
        <v>0</v>
      </c>
      <c r="L29" s="155">
        <f t="shared" ca="1" si="37"/>
        <v>0</v>
      </c>
      <c r="M29" s="155">
        <f t="shared" ca="1" si="37"/>
        <v>0</v>
      </c>
      <c r="N29" s="155">
        <f t="shared" ca="1" si="37"/>
        <v>0</v>
      </c>
      <c r="O29" s="155">
        <f t="shared" ca="1" si="37"/>
        <v>0</v>
      </c>
      <c r="P29" s="155">
        <f t="shared" ca="1" si="37"/>
        <v>0</v>
      </c>
      <c r="Q29" s="155">
        <f t="shared" ca="1" si="37"/>
        <v>0</v>
      </c>
      <c r="R29" s="155">
        <f t="shared" ca="1" si="37"/>
        <v>0</v>
      </c>
      <c r="S29" s="155">
        <f t="shared" ca="1" si="37"/>
        <v>0</v>
      </c>
    </row>
    <row r="30" spans="1:19"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4" spans="1:2" ht="16" thickBot="1"/>
    <row r="35" spans="1:2" ht="16" thickBot="1">
      <c r="A35" s="42" t="s">
        <v>74</v>
      </c>
      <c r="B35" s="92">
        <f ca="1">SUM(B29:S29)+SUM(B24:S24)</f>
        <v>200.67064353834445</v>
      </c>
    </row>
  </sheetData>
  <pageMargins left="0.7" right="0.7" top="0.75" bottom="0.75" header="0.3" footer="0.3"/>
  <pageSetup orientation="portrait" r:id="rId1"/>
  <ignoredErrors>
    <ignoredError sqref="C11:T11 C7:T7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B134-63BB-4A0C-B773-5A89A64EB758}">
  <dimension ref="A1:G564"/>
  <sheetViews>
    <sheetView topLeftCell="A65" workbookViewId="0">
      <selection activeCell="G564" sqref="G564"/>
    </sheetView>
  </sheetViews>
  <sheetFormatPr baseColWidth="10" defaultColWidth="8.83203125" defaultRowHeight="15"/>
  <cols>
    <col min="1" max="1" width="10.33203125" bestFit="1" customWidth="1"/>
  </cols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7">
      <c r="A2" s="79">
        <v>44986</v>
      </c>
      <c r="B2">
        <v>14.31</v>
      </c>
      <c r="C2">
        <v>14.85</v>
      </c>
      <c r="D2">
        <v>15</v>
      </c>
      <c r="E2">
        <v>14.1</v>
      </c>
      <c r="F2" t="s">
        <v>81</v>
      </c>
    </row>
    <row r="3" spans="1:7">
      <c r="A3" s="79">
        <v>45017</v>
      </c>
      <c r="B3">
        <v>14.75</v>
      </c>
      <c r="C3">
        <v>14.57</v>
      </c>
      <c r="D3">
        <v>14.85</v>
      </c>
      <c r="E3">
        <v>14.24</v>
      </c>
      <c r="F3" t="s">
        <v>82</v>
      </c>
      <c r="G3" s="48">
        <f>B3/B2-1</f>
        <v>3.0747728860936352E-2</v>
      </c>
    </row>
    <row r="4" spans="1:7">
      <c r="A4" s="79">
        <v>45047</v>
      </c>
      <c r="B4">
        <v>14.27</v>
      </c>
      <c r="C4">
        <v>14.49</v>
      </c>
      <c r="D4">
        <v>14.56</v>
      </c>
      <c r="E4">
        <v>14.15</v>
      </c>
      <c r="F4" t="s">
        <v>83</v>
      </c>
      <c r="G4" s="48">
        <f t="shared" ref="G4:G67" si="0">B4/B3-1</f>
        <v>-3.2542372881355974E-2</v>
      </c>
    </row>
    <row r="5" spans="1:7">
      <c r="A5" s="79">
        <v>45078</v>
      </c>
      <c r="B5">
        <v>14.86</v>
      </c>
      <c r="C5">
        <v>14.47</v>
      </c>
      <c r="D5">
        <v>15.01</v>
      </c>
      <c r="E5">
        <v>14.03</v>
      </c>
      <c r="F5" t="s">
        <v>84</v>
      </c>
      <c r="G5" s="48">
        <f t="shared" si="0"/>
        <v>4.1345480028030845E-2</v>
      </c>
    </row>
    <row r="6" spans="1:7">
      <c r="A6" s="79">
        <v>45170</v>
      </c>
      <c r="B6">
        <v>15.63</v>
      </c>
      <c r="C6">
        <v>15.28</v>
      </c>
      <c r="D6">
        <v>16.059999999999999</v>
      </c>
      <c r="E6">
        <v>15.14</v>
      </c>
      <c r="F6" t="s">
        <v>85</v>
      </c>
      <c r="G6" s="48">
        <f t="shared" si="0"/>
        <v>5.1816958277254521E-2</v>
      </c>
    </row>
    <row r="7" spans="1:7">
      <c r="A7" s="79">
        <v>45200</v>
      </c>
      <c r="B7">
        <v>15.91</v>
      </c>
      <c r="C7">
        <v>15.51</v>
      </c>
      <c r="D7">
        <v>15.96</v>
      </c>
      <c r="E7">
        <v>15.47</v>
      </c>
      <c r="F7" t="s">
        <v>86</v>
      </c>
      <c r="G7" s="48">
        <f t="shared" si="0"/>
        <v>1.7914267434421038E-2</v>
      </c>
    </row>
    <row r="8" spans="1:7">
      <c r="A8" s="79">
        <v>45231</v>
      </c>
      <c r="B8">
        <v>16</v>
      </c>
      <c r="C8">
        <v>15.84</v>
      </c>
      <c r="D8">
        <v>16.03</v>
      </c>
      <c r="E8">
        <v>15.56</v>
      </c>
      <c r="F8" t="s">
        <v>87</v>
      </c>
      <c r="G8" s="48">
        <f t="shared" si="0"/>
        <v>5.6568196103079504E-3</v>
      </c>
    </row>
    <row r="9" spans="1:7">
      <c r="A9" s="79">
        <v>45261</v>
      </c>
      <c r="B9">
        <v>16.510000000000002</v>
      </c>
      <c r="C9">
        <v>16.100000000000001</v>
      </c>
      <c r="D9">
        <v>16.64</v>
      </c>
      <c r="E9">
        <v>15.49</v>
      </c>
      <c r="F9" t="s">
        <v>88</v>
      </c>
      <c r="G9" s="48">
        <f t="shared" si="0"/>
        <v>3.1875000000000098E-2</v>
      </c>
    </row>
    <row r="10" spans="1:7">
      <c r="A10" t="s">
        <v>89</v>
      </c>
      <c r="B10">
        <v>16.899999999999999</v>
      </c>
      <c r="C10">
        <v>16.28</v>
      </c>
      <c r="D10">
        <v>16.920000000000002</v>
      </c>
      <c r="E10">
        <v>16.170000000000002</v>
      </c>
      <c r="F10" t="s">
        <v>90</v>
      </c>
      <c r="G10" s="48">
        <f t="shared" si="0"/>
        <v>2.3622047244094224E-2</v>
      </c>
    </row>
    <row r="11" spans="1:7">
      <c r="A11" t="s">
        <v>91</v>
      </c>
      <c r="B11">
        <v>17.7</v>
      </c>
      <c r="C11">
        <v>16.899999999999999</v>
      </c>
      <c r="D11">
        <v>17.73</v>
      </c>
      <c r="E11">
        <v>16.899999999999999</v>
      </c>
      <c r="F11" t="s">
        <v>92</v>
      </c>
      <c r="G11" s="48">
        <f t="shared" si="0"/>
        <v>4.7337278106508895E-2</v>
      </c>
    </row>
    <row r="12" spans="1:7">
      <c r="A12" t="s">
        <v>93</v>
      </c>
      <c r="B12">
        <v>17.38</v>
      </c>
      <c r="C12">
        <v>17.670000000000002</v>
      </c>
      <c r="D12">
        <v>17.87</v>
      </c>
      <c r="E12">
        <v>17.28</v>
      </c>
      <c r="F12" t="s">
        <v>94</v>
      </c>
      <c r="G12" s="48">
        <f t="shared" si="0"/>
        <v>-1.8079096045197751E-2</v>
      </c>
    </row>
    <row r="13" spans="1:7">
      <c r="A13" t="s">
        <v>95</v>
      </c>
      <c r="B13">
        <v>16.760000000000002</v>
      </c>
      <c r="C13">
        <v>17.04</v>
      </c>
      <c r="D13">
        <v>17.2</v>
      </c>
      <c r="E13">
        <v>16.73</v>
      </c>
      <c r="F13" t="s">
        <v>96</v>
      </c>
      <c r="G13" s="48">
        <f t="shared" si="0"/>
        <v>-3.5673187571921616E-2</v>
      </c>
    </row>
    <row r="14" spans="1:7">
      <c r="A14" t="s">
        <v>97</v>
      </c>
      <c r="B14">
        <v>17.84</v>
      </c>
      <c r="C14">
        <v>17.010000000000002</v>
      </c>
      <c r="D14">
        <v>17.86</v>
      </c>
      <c r="E14">
        <v>16.829999999999998</v>
      </c>
      <c r="F14" t="s">
        <v>98</v>
      </c>
      <c r="G14" s="48">
        <f t="shared" si="0"/>
        <v>6.4439140811455742E-2</v>
      </c>
    </row>
    <row r="15" spans="1:7">
      <c r="A15" t="s">
        <v>99</v>
      </c>
      <c r="B15">
        <v>19.190000000000001</v>
      </c>
      <c r="C15">
        <v>18.059999999999999</v>
      </c>
      <c r="D15">
        <v>19.25</v>
      </c>
      <c r="E15">
        <v>17.82</v>
      </c>
      <c r="F15" t="s">
        <v>100</v>
      </c>
      <c r="G15" s="48">
        <f t="shared" si="0"/>
        <v>7.5672645739910394E-2</v>
      </c>
    </row>
    <row r="16" spans="1:7">
      <c r="A16" t="s">
        <v>101</v>
      </c>
      <c r="B16">
        <v>19.260000000000002</v>
      </c>
      <c r="C16">
        <v>18.829999999999998</v>
      </c>
      <c r="D16">
        <v>19.5</v>
      </c>
      <c r="E16">
        <v>18.82</v>
      </c>
      <c r="F16" t="s">
        <v>102</v>
      </c>
      <c r="G16" s="48">
        <f t="shared" si="0"/>
        <v>3.6477331943720603E-3</v>
      </c>
    </row>
    <row r="17" spans="1:7">
      <c r="A17" t="s">
        <v>103</v>
      </c>
      <c r="B17">
        <v>19.32</v>
      </c>
      <c r="C17">
        <v>18.91</v>
      </c>
      <c r="D17">
        <v>19.37</v>
      </c>
      <c r="E17">
        <v>18.579999999999998</v>
      </c>
      <c r="F17" t="s">
        <v>104</v>
      </c>
      <c r="G17" s="48">
        <f t="shared" si="0"/>
        <v>3.1152647975076775E-3</v>
      </c>
    </row>
    <row r="18" spans="1:7">
      <c r="A18" t="s">
        <v>105</v>
      </c>
      <c r="B18">
        <v>19.8</v>
      </c>
      <c r="C18">
        <v>19.7</v>
      </c>
      <c r="D18">
        <v>20.170000000000002</v>
      </c>
      <c r="E18">
        <v>19.28</v>
      </c>
      <c r="F18" t="s">
        <v>106</v>
      </c>
      <c r="G18" s="48">
        <f t="shared" si="0"/>
        <v>2.4844720496894457E-2</v>
      </c>
    </row>
    <row r="19" spans="1:7">
      <c r="A19" t="s">
        <v>107</v>
      </c>
      <c r="B19">
        <v>20.36</v>
      </c>
      <c r="C19">
        <v>19.46</v>
      </c>
      <c r="D19">
        <v>20.63</v>
      </c>
      <c r="E19">
        <v>19.41</v>
      </c>
      <c r="F19" t="s">
        <v>108</v>
      </c>
      <c r="G19" s="48">
        <f t="shared" si="0"/>
        <v>2.8282828282828243E-2</v>
      </c>
    </row>
    <row r="20" spans="1:7">
      <c r="A20" t="s">
        <v>109</v>
      </c>
      <c r="B20">
        <v>19.16</v>
      </c>
      <c r="C20">
        <v>19.95</v>
      </c>
      <c r="D20">
        <v>20.14</v>
      </c>
      <c r="E20">
        <v>19.149999999999999</v>
      </c>
      <c r="F20" t="s">
        <v>110</v>
      </c>
      <c r="G20" s="48">
        <f t="shared" si="0"/>
        <v>-5.8939096267190516E-2</v>
      </c>
    </row>
    <row r="21" spans="1:7">
      <c r="A21" t="s">
        <v>111</v>
      </c>
      <c r="B21">
        <v>19.54</v>
      </c>
      <c r="C21">
        <v>19.170000000000002</v>
      </c>
      <c r="D21">
        <v>19.690000000000001</v>
      </c>
      <c r="E21">
        <v>18.95</v>
      </c>
      <c r="F21" t="s">
        <v>112</v>
      </c>
      <c r="G21" s="48">
        <f t="shared" si="0"/>
        <v>1.9832985386221136E-2</v>
      </c>
    </row>
    <row r="22" spans="1:7">
      <c r="A22" s="79">
        <v>44928</v>
      </c>
      <c r="B22">
        <v>20.94</v>
      </c>
      <c r="C22">
        <v>19.690000000000001</v>
      </c>
      <c r="D22">
        <v>21.19</v>
      </c>
      <c r="E22">
        <v>19.61</v>
      </c>
      <c r="F22" t="s">
        <v>113</v>
      </c>
      <c r="G22" s="48">
        <f t="shared" si="0"/>
        <v>7.164790174002067E-2</v>
      </c>
    </row>
    <row r="23" spans="1:7">
      <c r="A23" s="79">
        <v>44959</v>
      </c>
      <c r="B23">
        <v>21.71</v>
      </c>
      <c r="C23">
        <v>21</v>
      </c>
      <c r="D23">
        <v>21.95</v>
      </c>
      <c r="E23">
        <v>20.7</v>
      </c>
      <c r="F23" t="s">
        <v>114</v>
      </c>
      <c r="G23" s="48">
        <f t="shared" si="0"/>
        <v>3.6771728748806076E-2</v>
      </c>
    </row>
    <row r="24" spans="1:7">
      <c r="A24" s="79">
        <v>44987</v>
      </c>
      <c r="B24">
        <v>21.1</v>
      </c>
      <c r="C24">
        <v>21</v>
      </c>
      <c r="D24">
        <v>21.74</v>
      </c>
      <c r="E24">
        <v>20.79</v>
      </c>
      <c r="F24" t="s">
        <v>115</v>
      </c>
      <c r="G24" s="48">
        <f t="shared" si="0"/>
        <v>-2.8097650852141887E-2</v>
      </c>
    </row>
    <row r="25" spans="1:7">
      <c r="A25" s="79">
        <v>45079</v>
      </c>
      <c r="B25">
        <v>21.09</v>
      </c>
      <c r="C25">
        <v>20.81</v>
      </c>
      <c r="D25">
        <v>21.57</v>
      </c>
      <c r="E25">
        <v>20.79</v>
      </c>
      <c r="F25" t="s">
        <v>116</v>
      </c>
      <c r="G25" s="48">
        <f t="shared" si="0"/>
        <v>-4.7393364928915993E-4</v>
      </c>
    </row>
    <row r="26" spans="1:7">
      <c r="A26" s="79">
        <v>45109</v>
      </c>
      <c r="B26">
        <v>22.17</v>
      </c>
      <c r="C26">
        <v>21.38</v>
      </c>
      <c r="D26">
        <v>22.26</v>
      </c>
      <c r="E26">
        <v>21.15</v>
      </c>
      <c r="F26" t="s">
        <v>117</v>
      </c>
      <c r="G26" s="48">
        <f t="shared" si="0"/>
        <v>5.1209103840682779E-2</v>
      </c>
    </row>
    <row r="27" spans="1:7">
      <c r="A27" s="79">
        <v>45140</v>
      </c>
      <c r="B27">
        <v>22.2</v>
      </c>
      <c r="C27">
        <v>22.39</v>
      </c>
      <c r="D27">
        <v>22.88</v>
      </c>
      <c r="E27">
        <v>22.01</v>
      </c>
      <c r="F27" t="s">
        <v>118</v>
      </c>
      <c r="G27" s="48">
        <f t="shared" si="0"/>
        <v>1.3531799729362692E-3</v>
      </c>
    </row>
    <row r="28" spans="1:7">
      <c r="A28" s="79">
        <v>45171</v>
      </c>
      <c r="B28">
        <v>22.34</v>
      </c>
      <c r="C28">
        <v>22.61</v>
      </c>
      <c r="D28">
        <v>23.02</v>
      </c>
      <c r="E28">
        <v>22.12</v>
      </c>
      <c r="F28" t="s">
        <v>119</v>
      </c>
      <c r="G28" s="48">
        <f t="shared" si="0"/>
        <v>6.3063063063062419E-3</v>
      </c>
    </row>
    <row r="29" spans="1:7">
      <c r="A29" s="79">
        <v>45201</v>
      </c>
      <c r="B29">
        <v>21.26</v>
      </c>
      <c r="C29">
        <v>21.69</v>
      </c>
      <c r="D29">
        <v>22.08</v>
      </c>
      <c r="E29">
        <v>20.81</v>
      </c>
      <c r="F29" t="s">
        <v>120</v>
      </c>
      <c r="G29" s="48">
        <f t="shared" si="0"/>
        <v>-4.834377797672329E-2</v>
      </c>
    </row>
    <row r="30" spans="1:7">
      <c r="A30" t="s">
        <v>121</v>
      </c>
      <c r="B30">
        <v>21.79</v>
      </c>
      <c r="C30">
        <v>21.54</v>
      </c>
      <c r="D30">
        <v>22.05</v>
      </c>
      <c r="E30">
        <v>20.96</v>
      </c>
      <c r="F30" t="s">
        <v>122</v>
      </c>
      <c r="G30" s="48">
        <f t="shared" si="0"/>
        <v>2.4929444967074277E-2</v>
      </c>
    </row>
    <row r="31" spans="1:7">
      <c r="A31" t="s">
        <v>123</v>
      </c>
      <c r="B31">
        <v>22.97</v>
      </c>
      <c r="C31">
        <v>21.58</v>
      </c>
      <c r="D31">
        <v>23.05</v>
      </c>
      <c r="E31">
        <v>21.37</v>
      </c>
      <c r="F31" t="s">
        <v>124</v>
      </c>
      <c r="G31" s="48">
        <f t="shared" si="0"/>
        <v>5.4153281321707158E-2</v>
      </c>
    </row>
    <row r="32" spans="1:7">
      <c r="A32" t="s">
        <v>125</v>
      </c>
      <c r="B32">
        <v>22.76</v>
      </c>
      <c r="C32">
        <v>22.55</v>
      </c>
      <c r="D32">
        <v>22.85</v>
      </c>
      <c r="E32">
        <v>22.11</v>
      </c>
      <c r="F32" t="s">
        <v>126</v>
      </c>
      <c r="G32" s="48">
        <f t="shared" si="0"/>
        <v>-9.142359599477512E-3</v>
      </c>
    </row>
    <row r="33" spans="1:7">
      <c r="A33" t="s">
        <v>127</v>
      </c>
      <c r="B33">
        <v>22</v>
      </c>
      <c r="C33">
        <v>22.13</v>
      </c>
      <c r="D33">
        <v>22.55</v>
      </c>
      <c r="E33">
        <v>21.93</v>
      </c>
      <c r="F33" t="s">
        <v>128</v>
      </c>
      <c r="G33" s="48">
        <f t="shared" si="0"/>
        <v>-3.3391915641476366E-2</v>
      </c>
    </row>
    <row r="34" spans="1:7">
      <c r="A34" t="s">
        <v>129</v>
      </c>
      <c r="B34">
        <v>21.39</v>
      </c>
      <c r="C34">
        <v>21.63</v>
      </c>
      <c r="D34">
        <v>21.74</v>
      </c>
      <c r="E34">
        <v>20.98</v>
      </c>
      <c r="F34" t="s">
        <v>130</v>
      </c>
      <c r="G34" s="48">
        <f t="shared" si="0"/>
        <v>-2.7727272727272712E-2</v>
      </c>
    </row>
    <row r="35" spans="1:7">
      <c r="A35" t="s">
        <v>131</v>
      </c>
      <c r="B35">
        <v>20.66</v>
      </c>
      <c r="C35">
        <v>21</v>
      </c>
      <c r="D35">
        <v>21.49</v>
      </c>
      <c r="E35">
        <v>20.62</v>
      </c>
      <c r="F35" t="s">
        <v>132</v>
      </c>
      <c r="G35" s="48">
        <f t="shared" si="0"/>
        <v>-3.4128097241701738E-2</v>
      </c>
    </row>
    <row r="36" spans="1:7">
      <c r="A36" t="s">
        <v>133</v>
      </c>
      <c r="B36">
        <v>20.75</v>
      </c>
      <c r="C36">
        <v>20.71</v>
      </c>
      <c r="D36">
        <v>21.1</v>
      </c>
      <c r="E36">
        <v>20.420000000000002</v>
      </c>
      <c r="F36" t="s">
        <v>134</v>
      </c>
      <c r="G36" s="48">
        <f t="shared" si="0"/>
        <v>4.3562439496611649E-3</v>
      </c>
    </row>
    <row r="37" spans="1:7">
      <c r="A37" t="s">
        <v>135</v>
      </c>
      <c r="B37">
        <v>23.66</v>
      </c>
      <c r="C37">
        <v>23.44</v>
      </c>
      <c r="D37">
        <v>23.89</v>
      </c>
      <c r="E37">
        <v>23.02</v>
      </c>
      <c r="F37" t="s">
        <v>136</v>
      </c>
      <c r="G37" s="48">
        <f t="shared" si="0"/>
        <v>0.14024096385542162</v>
      </c>
    </row>
    <row r="38" spans="1:7">
      <c r="A38" t="s">
        <v>137</v>
      </c>
      <c r="B38">
        <v>23.29</v>
      </c>
      <c r="C38">
        <v>23.23</v>
      </c>
      <c r="D38">
        <v>23.47</v>
      </c>
      <c r="E38">
        <v>22.95</v>
      </c>
      <c r="F38" t="s">
        <v>138</v>
      </c>
      <c r="G38" s="48">
        <f t="shared" si="0"/>
        <v>-1.5638207945900318E-2</v>
      </c>
    </row>
    <row r="39" spans="1:7">
      <c r="A39" t="s">
        <v>139</v>
      </c>
      <c r="B39">
        <v>23.5</v>
      </c>
      <c r="C39">
        <v>23.67</v>
      </c>
      <c r="D39">
        <v>23.88</v>
      </c>
      <c r="E39">
        <v>23.45</v>
      </c>
      <c r="F39" t="s">
        <v>140</v>
      </c>
      <c r="G39" s="48">
        <f t="shared" si="0"/>
        <v>9.0167453842850964E-3</v>
      </c>
    </row>
    <row r="40" spans="1:7">
      <c r="A40" t="s">
        <v>141</v>
      </c>
      <c r="B40">
        <v>23.22</v>
      </c>
      <c r="C40">
        <v>23.37</v>
      </c>
      <c r="D40">
        <v>23.83</v>
      </c>
      <c r="E40">
        <v>23.21</v>
      </c>
      <c r="F40" t="s">
        <v>142</v>
      </c>
      <c r="G40" s="48">
        <f t="shared" si="0"/>
        <v>-1.191489361702136E-2</v>
      </c>
    </row>
    <row r="41" spans="1:7">
      <c r="A41" s="79">
        <v>44929</v>
      </c>
      <c r="B41">
        <v>22.7</v>
      </c>
      <c r="C41">
        <v>23.19</v>
      </c>
      <c r="D41">
        <v>23.26</v>
      </c>
      <c r="E41">
        <v>22.51</v>
      </c>
      <c r="F41" t="s">
        <v>143</v>
      </c>
      <c r="G41" s="48">
        <f t="shared" si="0"/>
        <v>-2.2394487510766559E-2</v>
      </c>
    </row>
    <row r="42" spans="1:7">
      <c r="A42" s="79">
        <v>44960</v>
      </c>
      <c r="B42">
        <v>23.31</v>
      </c>
      <c r="C42">
        <v>22.49</v>
      </c>
      <c r="D42">
        <v>23.38</v>
      </c>
      <c r="E42">
        <v>22.43</v>
      </c>
      <c r="F42" t="s">
        <v>144</v>
      </c>
      <c r="G42" s="48">
        <f t="shared" si="0"/>
        <v>2.6872246696035162E-2</v>
      </c>
    </row>
    <row r="43" spans="1:7">
      <c r="A43" s="79">
        <v>44988</v>
      </c>
      <c r="B43">
        <v>23.89</v>
      </c>
      <c r="C43">
        <v>23.32</v>
      </c>
      <c r="D43">
        <v>23.9</v>
      </c>
      <c r="E43">
        <v>23.13</v>
      </c>
      <c r="F43" t="s">
        <v>145</v>
      </c>
      <c r="G43" s="48">
        <f t="shared" si="0"/>
        <v>2.4882024882024956E-2</v>
      </c>
    </row>
    <row r="44" spans="1:7">
      <c r="A44" s="79">
        <v>45080</v>
      </c>
      <c r="B44">
        <v>23.55</v>
      </c>
      <c r="C44">
        <v>23.89</v>
      </c>
      <c r="D44">
        <v>24.25</v>
      </c>
      <c r="E44">
        <v>23.49</v>
      </c>
      <c r="F44" t="s">
        <v>146</v>
      </c>
      <c r="G44" s="48">
        <f t="shared" si="0"/>
        <v>-1.4231896190874838E-2</v>
      </c>
    </row>
    <row r="45" spans="1:7">
      <c r="A45" s="79">
        <v>45110</v>
      </c>
      <c r="B45">
        <v>23.29</v>
      </c>
      <c r="C45">
        <v>23.6</v>
      </c>
      <c r="D45">
        <v>24.13</v>
      </c>
      <c r="E45">
        <v>23.24</v>
      </c>
      <c r="F45" t="s">
        <v>147</v>
      </c>
      <c r="G45" s="48">
        <f t="shared" si="0"/>
        <v>-1.1040339702760193E-2</v>
      </c>
    </row>
    <row r="46" spans="1:7">
      <c r="A46" s="79">
        <v>45141</v>
      </c>
      <c r="B46">
        <v>24.18</v>
      </c>
      <c r="C46">
        <v>23.49</v>
      </c>
      <c r="D46">
        <v>24.2</v>
      </c>
      <c r="E46">
        <v>23.42</v>
      </c>
      <c r="F46" t="s">
        <v>148</v>
      </c>
      <c r="G46" s="48">
        <f t="shared" si="0"/>
        <v>3.8213825676255864E-2</v>
      </c>
    </row>
    <row r="47" spans="1:7">
      <c r="A47" s="79">
        <v>45172</v>
      </c>
      <c r="B47">
        <v>23.44</v>
      </c>
      <c r="C47">
        <v>24.17</v>
      </c>
      <c r="D47">
        <v>24.45</v>
      </c>
      <c r="E47">
        <v>23.38</v>
      </c>
      <c r="F47" t="s">
        <v>149</v>
      </c>
      <c r="G47" s="48">
        <f t="shared" si="0"/>
        <v>-3.060380479735314E-2</v>
      </c>
    </row>
    <row r="48" spans="1:7">
      <c r="A48" s="79">
        <v>45202</v>
      </c>
      <c r="B48">
        <v>22.97</v>
      </c>
      <c r="C48">
        <v>23.41</v>
      </c>
      <c r="D48">
        <v>23.63</v>
      </c>
      <c r="E48">
        <v>22.73</v>
      </c>
      <c r="F48" t="s">
        <v>150</v>
      </c>
      <c r="G48" s="48">
        <f t="shared" si="0"/>
        <v>-2.0051194539249195E-2</v>
      </c>
    </row>
    <row r="49" spans="1:7">
      <c r="A49" t="s">
        <v>151</v>
      </c>
      <c r="B49">
        <v>22.97</v>
      </c>
      <c r="C49">
        <v>22.75</v>
      </c>
      <c r="D49">
        <v>23.3</v>
      </c>
      <c r="E49">
        <v>22.3</v>
      </c>
      <c r="F49" t="s">
        <v>152</v>
      </c>
      <c r="G49" s="48">
        <f t="shared" si="0"/>
        <v>0</v>
      </c>
    </row>
    <row r="50" spans="1:7">
      <c r="A50" t="s">
        <v>153</v>
      </c>
      <c r="B50">
        <v>24.06</v>
      </c>
      <c r="C50">
        <v>23.5</v>
      </c>
      <c r="D50">
        <v>24.22</v>
      </c>
      <c r="E50">
        <v>23.46</v>
      </c>
      <c r="F50" t="s">
        <v>154</v>
      </c>
      <c r="G50" s="48">
        <f t="shared" si="0"/>
        <v>4.7453199825859826E-2</v>
      </c>
    </row>
    <row r="51" spans="1:7">
      <c r="A51" t="s">
        <v>155</v>
      </c>
      <c r="B51">
        <v>24.23</v>
      </c>
      <c r="C51">
        <v>23.76</v>
      </c>
      <c r="D51">
        <v>24.29</v>
      </c>
      <c r="E51">
        <v>23.36</v>
      </c>
      <c r="F51" t="s">
        <v>156</v>
      </c>
      <c r="G51" s="48">
        <f t="shared" si="0"/>
        <v>7.0656691604322752E-3</v>
      </c>
    </row>
    <row r="52" spans="1:7">
      <c r="A52" t="s">
        <v>157</v>
      </c>
      <c r="B52">
        <v>25.54</v>
      </c>
      <c r="C52">
        <v>24.03</v>
      </c>
      <c r="D52">
        <v>25.59</v>
      </c>
      <c r="E52">
        <v>23.89</v>
      </c>
      <c r="F52" t="s">
        <v>158</v>
      </c>
      <c r="G52" s="48">
        <f t="shared" si="0"/>
        <v>5.4065208419314947E-2</v>
      </c>
    </row>
    <row r="53" spans="1:7">
      <c r="A53" t="s">
        <v>159</v>
      </c>
      <c r="B53">
        <v>25.73</v>
      </c>
      <c r="C53">
        <v>25.98</v>
      </c>
      <c r="D53">
        <v>26.4</v>
      </c>
      <c r="E53">
        <v>25.67</v>
      </c>
      <c r="F53" t="s">
        <v>160</v>
      </c>
      <c r="G53" s="48">
        <f t="shared" si="0"/>
        <v>7.4393108848864742E-3</v>
      </c>
    </row>
    <row r="54" spans="1:7">
      <c r="A54" t="s">
        <v>161</v>
      </c>
      <c r="B54">
        <v>25.9</v>
      </c>
      <c r="C54">
        <v>25.61</v>
      </c>
      <c r="D54">
        <v>26.02</v>
      </c>
      <c r="E54">
        <v>25.13</v>
      </c>
      <c r="F54" t="s">
        <v>162</v>
      </c>
      <c r="G54" s="48">
        <f t="shared" si="0"/>
        <v>6.6070734551106902E-3</v>
      </c>
    </row>
    <row r="55" spans="1:7">
      <c r="A55" t="s">
        <v>163</v>
      </c>
      <c r="B55">
        <v>26.2</v>
      </c>
      <c r="C55">
        <v>26.18</v>
      </c>
      <c r="D55">
        <v>26.39</v>
      </c>
      <c r="E55">
        <v>25.38</v>
      </c>
      <c r="F55" t="s">
        <v>164</v>
      </c>
      <c r="G55" s="48">
        <f t="shared" si="0"/>
        <v>1.158301158301156E-2</v>
      </c>
    </row>
    <row r="56" spans="1:7">
      <c r="A56" t="s">
        <v>165</v>
      </c>
      <c r="B56">
        <v>26.47</v>
      </c>
      <c r="C56">
        <v>26.42</v>
      </c>
      <c r="D56">
        <v>27.59</v>
      </c>
      <c r="E56">
        <v>26.24</v>
      </c>
      <c r="F56" t="s">
        <v>166</v>
      </c>
      <c r="G56" s="48">
        <f t="shared" si="0"/>
        <v>1.0305343511450404E-2</v>
      </c>
    </row>
    <row r="57" spans="1:7">
      <c r="A57" t="s">
        <v>167</v>
      </c>
      <c r="B57">
        <v>27.19</v>
      </c>
      <c r="C57">
        <v>27.12</v>
      </c>
      <c r="D57">
        <v>27.5</v>
      </c>
      <c r="E57">
        <v>26.69</v>
      </c>
      <c r="F57" t="s">
        <v>168</v>
      </c>
      <c r="G57" s="48">
        <f t="shared" si="0"/>
        <v>2.7200604457876976E-2</v>
      </c>
    </row>
    <row r="58" spans="1:7">
      <c r="A58" t="s">
        <v>169</v>
      </c>
      <c r="B58">
        <v>26.78</v>
      </c>
      <c r="C58">
        <v>27.03</v>
      </c>
      <c r="D58">
        <v>27.17</v>
      </c>
      <c r="E58">
        <v>26.35</v>
      </c>
      <c r="F58" t="s">
        <v>170</v>
      </c>
      <c r="G58" s="48">
        <f t="shared" si="0"/>
        <v>-1.5079073188672298E-2</v>
      </c>
    </row>
    <row r="59" spans="1:7">
      <c r="A59" t="s">
        <v>171</v>
      </c>
      <c r="B59">
        <v>26.53</v>
      </c>
      <c r="C59">
        <v>26.84</v>
      </c>
      <c r="D59">
        <v>27</v>
      </c>
      <c r="E59">
        <v>26.36</v>
      </c>
      <c r="F59" t="s">
        <v>172</v>
      </c>
      <c r="G59" s="48">
        <f t="shared" si="0"/>
        <v>-9.3353248693054391E-3</v>
      </c>
    </row>
    <row r="60" spans="1:7">
      <c r="A60" t="s">
        <v>173</v>
      </c>
      <c r="B60">
        <v>26.41</v>
      </c>
      <c r="C60">
        <v>26.45</v>
      </c>
      <c r="D60">
        <v>26.51</v>
      </c>
      <c r="E60">
        <v>25.85</v>
      </c>
      <c r="F60" t="s">
        <v>174</v>
      </c>
      <c r="G60" s="48">
        <f t="shared" si="0"/>
        <v>-4.523181304183943E-3</v>
      </c>
    </row>
    <row r="61" spans="1:7">
      <c r="A61" t="s">
        <v>175</v>
      </c>
      <c r="B61">
        <v>26.98</v>
      </c>
      <c r="C61">
        <v>26.83</v>
      </c>
      <c r="D61">
        <v>27.08</v>
      </c>
      <c r="E61">
        <v>26.6</v>
      </c>
      <c r="F61" t="s">
        <v>176</v>
      </c>
      <c r="G61" s="48">
        <f t="shared" si="0"/>
        <v>2.1582733812949728E-2</v>
      </c>
    </row>
    <row r="62" spans="1:7">
      <c r="A62" t="s">
        <v>177</v>
      </c>
      <c r="B62">
        <v>27.38</v>
      </c>
      <c r="C62">
        <v>27.23</v>
      </c>
      <c r="D62">
        <v>27.5</v>
      </c>
      <c r="E62">
        <v>27.1</v>
      </c>
      <c r="F62" t="s">
        <v>178</v>
      </c>
      <c r="G62" s="48">
        <f t="shared" si="0"/>
        <v>1.4825796886582587E-2</v>
      </c>
    </row>
    <row r="63" spans="1:7">
      <c r="A63" t="s">
        <v>179</v>
      </c>
      <c r="B63">
        <v>27.78</v>
      </c>
      <c r="C63">
        <v>27.14</v>
      </c>
      <c r="D63">
        <v>27.83</v>
      </c>
      <c r="E63">
        <v>27.1</v>
      </c>
      <c r="F63" t="s">
        <v>180</v>
      </c>
      <c r="G63" s="48">
        <f t="shared" si="0"/>
        <v>1.4609203798393144E-2</v>
      </c>
    </row>
    <row r="64" spans="1:7">
      <c r="A64" s="79">
        <v>44989</v>
      </c>
      <c r="B64">
        <v>27.97</v>
      </c>
      <c r="C64">
        <v>27.51</v>
      </c>
      <c r="D64">
        <v>28</v>
      </c>
      <c r="E64">
        <v>27.34</v>
      </c>
      <c r="F64" t="s">
        <v>181</v>
      </c>
      <c r="G64" s="48">
        <f t="shared" si="0"/>
        <v>6.8394528437725199E-3</v>
      </c>
    </row>
    <row r="65" spans="1:7">
      <c r="A65" s="79">
        <v>45020</v>
      </c>
      <c r="B65">
        <v>27.45</v>
      </c>
      <c r="C65">
        <v>27.97</v>
      </c>
      <c r="D65">
        <v>28</v>
      </c>
      <c r="E65">
        <v>27.31</v>
      </c>
      <c r="F65" t="s">
        <v>182</v>
      </c>
      <c r="G65" s="48">
        <f t="shared" si="0"/>
        <v>-1.8591347872720765E-2</v>
      </c>
    </row>
    <row r="66" spans="1:7">
      <c r="A66" s="79">
        <v>45050</v>
      </c>
      <c r="B66">
        <v>26.88</v>
      </c>
      <c r="C66">
        <v>26.83</v>
      </c>
      <c r="D66">
        <v>27</v>
      </c>
      <c r="E66">
        <v>26.4</v>
      </c>
      <c r="F66" t="s">
        <v>183</v>
      </c>
      <c r="G66" s="48">
        <f t="shared" si="0"/>
        <v>-2.0765027322404372E-2</v>
      </c>
    </row>
    <row r="67" spans="1:7">
      <c r="A67" s="79">
        <v>45081</v>
      </c>
      <c r="B67">
        <v>27.04</v>
      </c>
      <c r="C67">
        <v>26.58</v>
      </c>
      <c r="D67">
        <v>27.08</v>
      </c>
      <c r="E67">
        <v>26.43</v>
      </c>
      <c r="F67" t="s">
        <v>184</v>
      </c>
      <c r="G67" s="48">
        <f t="shared" si="0"/>
        <v>5.9523809523809312E-3</v>
      </c>
    </row>
    <row r="68" spans="1:7">
      <c r="A68" s="79">
        <v>45203</v>
      </c>
      <c r="B68">
        <v>27.58</v>
      </c>
      <c r="C68">
        <v>26.82</v>
      </c>
      <c r="D68">
        <v>27.62</v>
      </c>
      <c r="E68">
        <v>26.67</v>
      </c>
      <c r="F68" t="s">
        <v>185</v>
      </c>
      <c r="G68" s="48">
        <f t="shared" ref="G68:G131" si="1">B68/B67-1</f>
        <v>1.9970414201183395E-2</v>
      </c>
    </row>
    <row r="69" spans="1:7">
      <c r="A69" s="79">
        <v>45234</v>
      </c>
      <c r="B69">
        <v>27.17</v>
      </c>
      <c r="C69">
        <v>27.72</v>
      </c>
      <c r="D69">
        <v>27.79</v>
      </c>
      <c r="E69">
        <v>27.13</v>
      </c>
      <c r="F69" t="s">
        <v>186</v>
      </c>
      <c r="G69" s="48">
        <f t="shared" si="1"/>
        <v>-1.486584481508324E-2</v>
      </c>
    </row>
    <row r="70" spans="1:7">
      <c r="A70" s="79">
        <v>45264</v>
      </c>
      <c r="B70">
        <v>26.5</v>
      </c>
      <c r="C70">
        <v>27.37</v>
      </c>
      <c r="D70">
        <v>27.47</v>
      </c>
      <c r="E70">
        <v>26.45</v>
      </c>
      <c r="F70" t="s">
        <v>187</v>
      </c>
      <c r="G70" s="48">
        <f t="shared" si="1"/>
        <v>-2.4659550975340561E-2</v>
      </c>
    </row>
    <row r="71" spans="1:7">
      <c r="A71" t="s">
        <v>188</v>
      </c>
      <c r="B71">
        <v>26.46</v>
      </c>
      <c r="C71">
        <v>26.73</v>
      </c>
      <c r="D71">
        <v>26.89</v>
      </c>
      <c r="E71">
        <v>26.33</v>
      </c>
      <c r="F71" t="s">
        <v>189</v>
      </c>
      <c r="G71" s="48">
        <f t="shared" si="1"/>
        <v>-1.5094339622641062E-3</v>
      </c>
    </row>
    <row r="72" spans="1:7">
      <c r="A72" t="s">
        <v>190</v>
      </c>
      <c r="B72">
        <v>26.76</v>
      </c>
      <c r="C72">
        <v>26.5</v>
      </c>
      <c r="D72">
        <v>26.88</v>
      </c>
      <c r="E72">
        <v>26.22</v>
      </c>
      <c r="F72" t="s">
        <v>191</v>
      </c>
      <c r="G72" s="48">
        <f t="shared" si="1"/>
        <v>1.133786848072571E-2</v>
      </c>
    </row>
    <row r="73" spans="1:7">
      <c r="A73" t="s">
        <v>192</v>
      </c>
      <c r="B73">
        <v>27</v>
      </c>
      <c r="C73">
        <v>26.57</v>
      </c>
      <c r="D73">
        <v>27.01</v>
      </c>
      <c r="E73">
        <v>26.43</v>
      </c>
      <c r="F73" t="s">
        <v>193</v>
      </c>
      <c r="G73" s="48">
        <f t="shared" si="1"/>
        <v>8.9686098654708779E-3</v>
      </c>
    </row>
    <row r="74" spans="1:7">
      <c r="A74" t="s">
        <v>194</v>
      </c>
      <c r="B74">
        <v>27.67</v>
      </c>
      <c r="C74">
        <v>27.53</v>
      </c>
      <c r="D74">
        <v>28.11</v>
      </c>
      <c r="E74">
        <v>27.36</v>
      </c>
      <c r="F74" t="s">
        <v>195</v>
      </c>
      <c r="G74" s="48">
        <f t="shared" si="1"/>
        <v>2.4814814814814845E-2</v>
      </c>
    </row>
    <row r="75" spans="1:7">
      <c r="A75" t="s">
        <v>196</v>
      </c>
      <c r="B75">
        <v>27.93</v>
      </c>
      <c r="C75">
        <v>27.36</v>
      </c>
      <c r="D75">
        <v>28</v>
      </c>
      <c r="E75">
        <v>27.23</v>
      </c>
      <c r="F75" t="s">
        <v>197</v>
      </c>
      <c r="G75" s="48">
        <f t="shared" si="1"/>
        <v>9.3964582580410294E-3</v>
      </c>
    </row>
    <row r="76" spans="1:7">
      <c r="A76" t="s">
        <v>198</v>
      </c>
      <c r="B76">
        <v>27.1</v>
      </c>
      <c r="C76">
        <v>27.67</v>
      </c>
      <c r="D76">
        <v>28.03</v>
      </c>
      <c r="E76">
        <v>27</v>
      </c>
      <c r="F76" t="s">
        <v>199</v>
      </c>
      <c r="G76" s="48">
        <f t="shared" si="1"/>
        <v>-2.9717150017901872E-2</v>
      </c>
    </row>
    <row r="77" spans="1:7">
      <c r="A77" t="s">
        <v>200</v>
      </c>
      <c r="B77">
        <v>27.12</v>
      </c>
      <c r="C77">
        <v>26.95</v>
      </c>
      <c r="D77">
        <v>27.18</v>
      </c>
      <c r="E77">
        <v>26.72</v>
      </c>
      <c r="F77" t="s">
        <v>201</v>
      </c>
      <c r="G77" s="48">
        <f t="shared" si="1"/>
        <v>7.3800738007379074E-4</v>
      </c>
    </row>
    <row r="78" spans="1:7">
      <c r="A78" t="s">
        <v>202</v>
      </c>
      <c r="B78">
        <v>27.04</v>
      </c>
      <c r="C78">
        <v>27.01</v>
      </c>
      <c r="D78">
        <v>27.37</v>
      </c>
      <c r="E78">
        <v>26.67</v>
      </c>
      <c r="F78" t="s">
        <v>203</v>
      </c>
      <c r="G78" s="48">
        <f t="shared" si="1"/>
        <v>-2.9498525073746729E-3</v>
      </c>
    </row>
    <row r="79" spans="1:7">
      <c r="A79" t="s">
        <v>204</v>
      </c>
      <c r="B79">
        <v>26.24</v>
      </c>
      <c r="C79">
        <v>27.08</v>
      </c>
      <c r="D79">
        <v>27.25</v>
      </c>
      <c r="E79">
        <v>26.23</v>
      </c>
      <c r="F79" t="s">
        <v>205</v>
      </c>
      <c r="G79" s="48">
        <f t="shared" si="1"/>
        <v>-2.9585798816568087E-2</v>
      </c>
    </row>
    <row r="80" spans="1:7">
      <c r="A80" t="s">
        <v>206</v>
      </c>
      <c r="B80">
        <v>26.96</v>
      </c>
      <c r="C80">
        <v>27</v>
      </c>
      <c r="D80">
        <v>27.33</v>
      </c>
      <c r="E80">
        <v>26.71</v>
      </c>
      <c r="F80" t="s">
        <v>207</v>
      </c>
      <c r="G80" s="48">
        <f t="shared" si="1"/>
        <v>2.7439024390244038E-2</v>
      </c>
    </row>
    <row r="81" spans="1:7">
      <c r="A81" t="s">
        <v>208</v>
      </c>
      <c r="B81">
        <v>27.23</v>
      </c>
      <c r="C81">
        <v>27.36</v>
      </c>
      <c r="D81">
        <v>27.5</v>
      </c>
      <c r="E81">
        <v>26.63</v>
      </c>
      <c r="F81" t="s">
        <v>209</v>
      </c>
      <c r="G81" s="48">
        <f t="shared" si="1"/>
        <v>1.0014836795252169E-2</v>
      </c>
    </row>
    <row r="82" spans="1:7">
      <c r="A82" t="s">
        <v>210</v>
      </c>
      <c r="B82">
        <v>27.75</v>
      </c>
      <c r="C82">
        <v>27.23</v>
      </c>
      <c r="D82">
        <v>27.76</v>
      </c>
      <c r="E82">
        <v>27.07</v>
      </c>
      <c r="F82" t="s">
        <v>211</v>
      </c>
      <c r="G82" s="48">
        <f t="shared" si="1"/>
        <v>1.9096584649283876E-2</v>
      </c>
    </row>
    <row r="83" spans="1:7">
      <c r="A83" s="79">
        <v>44931</v>
      </c>
      <c r="B83">
        <v>28.91</v>
      </c>
      <c r="C83">
        <v>27.84</v>
      </c>
      <c r="D83">
        <v>29.06</v>
      </c>
      <c r="E83">
        <v>27.78</v>
      </c>
      <c r="F83" t="s">
        <v>212</v>
      </c>
      <c r="G83" s="48">
        <f t="shared" si="1"/>
        <v>4.1801801801801819E-2</v>
      </c>
    </row>
    <row r="84" spans="1:7">
      <c r="A84" s="79">
        <v>44962</v>
      </c>
      <c r="B84">
        <v>28.21</v>
      </c>
      <c r="C84">
        <v>28.68</v>
      </c>
      <c r="D84">
        <v>28.84</v>
      </c>
      <c r="E84">
        <v>28.08</v>
      </c>
      <c r="F84" t="s">
        <v>213</v>
      </c>
      <c r="G84" s="48">
        <f t="shared" si="1"/>
        <v>-2.4213075060532718E-2</v>
      </c>
    </row>
    <row r="85" spans="1:7">
      <c r="A85" s="79">
        <v>44990</v>
      </c>
      <c r="B85">
        <v>27.8</v>
      </c>
      <c r="C85">
        <v>27.84</v>
      </c>
      <c r="D85">
        <v>28.37</v>
      </c>
      <c r="E85">
        <v>27.47</v>
      </c>
      <c r="F85" t="s">
        <v>214</v>
      </c>
      <c r="G85" s="48">
        <f t="shared" si="1"/>
        <v>-1.4533853243530626E-2</v>
      </c>
    </row>
    <row r="86" spans="1:7">
      <c r="A86" s="79">
        <v>45021</v>
      </c>
      <c r="B86">
        <v>27.56</v>
      </c>
      <c r="C86">
        <v>27.65</v>
      </c>
      <c r="D86">
        <v>27.86</v>
      </c>
      <c r="E86">
        <v>27.24</v>
      </c>
      <c r="F86" t="s">
        <v>215</v>
      </c>
      <c r="G86" s="48">
        <f t="shared" si="1"/>
        <v>-8.6330935251799357E-3</v>
      </c>
    </row>
    <row r="87" spans="1:7">
      <c r="A87" s="79">
        <v>45051</v>
      </c>
      <c r="B87">
        <v>28.68</v>
      </c>
      <c r="C87">
        <v>27.83</v>
      </c>
      <c r="D87">
        <v>28.75</v>
      </c>
      <c r="E87">
        <v>27.73</v>
      </c>
      <c r="F87" t="s">
        <v>216</v>
      </c>
      <c r="G87" s="48">
        <f t="shared" si="1"/>
        <v>4.063860667634267E-2</v>
      </c>
    </row>
    <row r="88" spans="1:7">
      <c r="A88" s="79">
        <v>45143</v>
      </c>
      <c r="B88">
        <v>29.15</v>
      </c>
      <c r="C88">
        <v>28.52</v>
      </c>
      <c r="D88">
        <v>29.22</v>
      </c>
      <c r="E88">
        <v>28.35</v>
      </c>
      <c r="F88" t="s">
        <v>217</v>
      </c>
      <c r="G88" s="48">
        <f t="shared" si="1"/>
        <v>1.6387726638772637E-2</v>
      </c>
    </row>
    <row r="89" spans="1:7">
      <c r="A89" s="79">
        <v>45174</v>
      </c>
      <c r="B89">
        <v>28.57</v>
      </c>
      <c r="C89">
        <v>28.9</v>
      </c>
      <c r="D89">
        <v>28.97</v>
      </c>
      <c r="E89">
        <v>28.45</v>
      </c>
      <c r="F89" t="s">
        <v>218</v>
      </c>
      <c r="G89" s="48">
        <f t="shared" si="1"/>
        <v>-1.9897084048027369E-2</v>
      </c>
    </row>
    <row r="90" spans="1:7">
      <c r="A90" s="79">
        <v>45204</v>
      </c>
      <c r="B90">
        <v>28.89</v>
      </c>
      <c r="C90">
        <v>29</v>
      </c>
      <c r="D90">
        <v>29.11</v>
      </c>
      <c r="E90">
        <v>28.46</v>
      </c>
      <c r="F90" t="s">
        <v>219</v>
      </c>
      <c r="G90" s="48">
        <f t="shared" si="1"/>
        <v>1.1200560028001405E-2</v>
      </c>
    </row>
    <row r="91" spans="1:7">
      <c r="A91" s="79">
        <v>45235</v>
      </c>
      <c r="B91">
        <v>28.58</v>
      </c>
      <c r="C91">
        <v>28.9</v>
      </c>
      <c r="D91">
        <v>28.95</v>
      </c>
      <c r="E91">
        <v>28.25</v>
      </c>
      <c r="F91" t="s">
        <v>220</v>
      </c>
      <c r="G91" s="48">
        <f t="shared" si="1"/>
        <v>-1.0730356524749074E-2</v>
      </c>
    </row>
    <row r="92" spans="1:7">
      <c r="A92" s="79">
        <v>45265</v>
      </c>
      <c r="B92">
        <v>28.34</v>
      </c>
      <c r="C92">
        <v>28.53</v>
      </c>
      <c r="D92">
        <v>28.78</v>
      </c>
      <c r="E92">
        <v>28.05</v>
      </c>
      <c r="F92" t="s">
        <v>221</v>
      </c>
      <c r="G92" s="48">
        <f t="shared" si="1"/>
        <v>-8.397480755773179E-3</v>
      </c>
    </row>
    <row r="93" spans="1:7">
      <c r="A93" t="s">
        <v>222</v>
      </c>
      <c r="B93">
        <v>28.95</v>
      </c>
      <c r="C93">
        <v>28.51</v>
      </c>
      <c r="D93">
        <v>28.97</v>
      </c>
      <c r="E93">
        <v>28.15</v>
      </c>
      <c r="F93" t="s">
        <v>223</v>
      </c>
      <c r="G93" s="48">
        <f t="shared" si="1"/>
        <v>2.1524347212420691E-2</v>
      </c>
    </row>
    <row r="94" spans="1:7">
      <c r="A94" t="s">
        <v>224</v>
      </c>
      <c r="B94">
        <v>29.21</v>
      </c>
      <c r="C94">
        <v>28.84</v>
      </c>
      <c r="D94">
        <v>29.87</v>
      </c>
      <c r="E94">
        <v>28.83</v>
      </c>
      <c r="F94" t="s">
        <v>225</v>
      </c>
      <c r="G94" s="48">
        <f t="shared" si="1"/>
        <v>8.9810017271156894E-3</v>
      </c>
    </row>
    <row r="95" spans="1:7">
      <c r="A95" t="s">
        <v>226</v>
      </c>
      <c r="B95">
        <v>30.18</v>
      </c>
      <c r="C95">
        <v>29.58</v>
      </c>
      <c r="D95">
        <v>30.2</v>
      </c>
      <c r="E95">
        <v>29.43</v>
      </c>
      <c r="F95" t="s">
        <v>227</v>
      </c>
      <c r="G95" s="48">
        <f t="shared" si="1"/>
        <v>3.3207805546045854E-2</v>
      </c>
    </row>
    <row r="96" spans="1:7">
      <c r="A96" t="s">
        <v>228</v>
      </c>
      <c r="B96">
        <v>31.68</v>
      </c>
      <c r="C96">
        <v>30.41</v>
      </c>
      <c r="D96">
        <v>31.83</v>
      </c>
      <c r="E96">
        <v>30.32</v>
      </c>
      <c r="F96" t="s">
        <v>229</v>
      </c>
      <c r="G96" s="48">
        <f t="shared" si="1"/>
        <v>4.9701789264413598E-2</v>
      </c>
    </row>
    <row r="97" spans="1:7">
      <c r="A97" t="s">
        <v>230</v>
      </c>
      <c r="B97">
        <v>31.26</v>
      </c>
      <c r="C97">
        <v>31.54</v>
      </c>
      <c r="D97">
        <v>31.58</v>
      </c>
      <c r="E97">
        <v>30.92</v>
      </c>
      <c r="F97" t="s">
        <v>231</v>
      </c>
      <c r="G97" s="48">
        <f t="shared" si="1"/>
        <v>-1.325757575757569E-2</v>
      </c>
    </row>
    <row r="98" spans="1:7">
      <c r="A98" t="s">
        <v>232</v>
      </c>
      <c r="B98">
        <v>31.18</v>
      </c>
      <c r="C98">
        <v>30.9</v>
      </c>
      <c r="D98">
        <v>31.52</v>
      </c>
      <c r="E98">
        <v>30.68</v>
      </c>
      <c r="F98" t="s">
        <v>233</v>
      </c>
      <c r="G98" s="48">
        <f t="shared" si="1"/>
        <v>-2.5591810620602118E-3</v>
      </c>
    </row>
    <row r="99" spans="1:7">
      <c r="A99" t="s">
        <v>234</v>
      </c>
      <c r="B99">
        <v>30.69</v>
      </c>
      <c r="C99">
        <v>31</v>
      </c>
      <c r="D99">
        <v>31.29</v>
      </c>
      <c r="E99">
        <v>30.63</v>
      </c>
      <c r="F99" t="s">
        <v>235</v>
      </c>
      <c r="G99" s="48">
        <f t="shared" si="1"/>
        <v>-1.5715202052597799E-2</v>
      </c>
    </row>
    <row r="100" spans="1:7">
      <c r="A100" t="s">
        <v>236</v>
      </c>
      <c r="B100">
        <v>30.54</v>
      </c>
      <c r="C100">
        <v>30.21</v>
      </c>
      <c r="D100">
        <v>30.61</v>
      </c>
      <c r="E100">
        <v>29.81</v>
      </c>
      <c r="F100" t="s">
        <v>237</v>
      </c>
      <c r="G100" s="48">
        <f t="shared" si="1"/>
        <v>-4.8875855327469298E-3</v>
      </c>
    </row>
    <row r="101" spans="1:7">
      <c r="A101" t="s">
        <v>238</v>
      </c>
      <c r="B101">
        <v>37.979999999999997</v>
      </c>
      <c r="C101">
        <v>38.520000000000003</v>
      </c>
      <c r="D101">
        <v>39.479999999999997</v>
      </c>
      <c r="E101">
        <v>36.630000000000003</v>
      </c>
      <c r="F101" t="s">
        <v>239</v>
      </c>
      <c r="G101" s="48">
        <f t="shared" si="1"/>
        <v>0.24361493123772093</v>
      </c>
    </row>
    <row r="102" spans="1:7">
      <c r="A102" t="s">
        <v>240</v>
      </c>
      <c r="B102">
        <v>38.950000000000003</v>
      </c>
      <c r="C102">
        <v>37.89</v>
      </c>
      <c r="D102">
        <v>39.17</v>
      </c>
      <c r="E102">
        <v>37.549999999999997</v>
      </c>
      <c r="F102" t="s">
        <v>241</v>
      </c>
      <c r="G102" s="48">
        <f t="shared" si="1"/>
        <v>2.5539757767246041E-2</v>
      </c>
    </row>
    <row r="103" spans="1:7">
      <c r="A103" t="s">
        <v>242</v>
      </c>
      <c r="B103">
        <v>40.11</v>
      </c>
      <c r="C103">
        <v>40.6</v>
      </c>
      <c r="D103">
        <v>41.94</v>
      </c>
      <c r="E103">
        <v>39.950000000000003</v>
      </c>
      <c r="F103" t="s">
        <v>243</v>
      </c>
      <c r="G103" s="48">
        <f t="shared" si="1"/>
        <v>2.9781771501925514E-2</v>
      </c>
    </row>
    <row r="104" spans="1:7">
      <c r="A104" t="s">
        <v>244</v>
      </c>
      <c r="B104">
        <v>37.83</v>
      </c>
      <c r="C104">
        <v>39.49</v>
      </c>
      <c r="D104">
        <v>40.29</v>
      </c>
      <c r="E104">
        <v>37.82</v>
      </c>
      <c r="F104" t="s">
        <v>245</v>
      </c>
      <c r="G104" s="48">
        <f t="shared" si="1"/>
        <v>-5.6843679880329123E-2</v>
      </c>
    </row>
    <row r="105" spans="1:7">
      <c r="A105" s="79">
        <v>44932</v>
      </c>
      <c r="B105">
        <v>39.770000000000003</v>
      </c>
      <c r="C105">
        <v>38.49</v>
      </c>
      <c r="D105">
        <v>40.049999999999997</v>
      </c>
      <c r="E105">
        <v>38.340000000000003</v>
      </c>
      <c r="F105" t="s">
        <v>246</v>
      </c>
      <c r="G105" s="48">
        <f t="shared" si="1"/>
        <v>5.1282051282051322E-2</v>
      </c>
    </row>
    <row r="106" spans="1:7">
      <c r="A106" s="79">
        <v>44963</v>
      </c>
      <c r="B106">
        <v>39.33</v>
      </c>
      <c r="C106">
        <v>40.1</v>
      </c>
      <c r="D106">
        <v>40.5</v>
      </c>
      <c r="E106">
        <v>39.06</v>
      </c>
      <c r="F106" t="s">
        <v>247</v>
      </c>
      <c r="G106" s="48">
        <f t="shared" si="1"/>
        <v>-1.1063615790797177E-2</v>
      </c>
    </row>
    <row r="107" spans="1:7">
      <c r="A107" s="79">
        <v>45052</v>
      </c>
      <c r="B107">
        <v>39.17</v>
      </c>
      <c r="C107">
        <v>38.909999999999997</v>
      </c>
      <c r="D107">
        <v>39.57</v>
      </c>
      <c r="E107">
        <v>38.71</v>
      </c>
      <c r="F107" t="s">
        <v>248</v>
      </c>
      <c r="G107" s="48">
        <f t="shared" si="1"/>
        <v>-4.0681413679124478E-3</v>
      </c>
    </row>
    <row r="108" spans="1:7">
      <c r="A108" s="79">
        <v>45083</v>
      </c>
      <c r="B108">
        <v>38.65</v>
      </c>
      <c r="C108">
        <v>38.83</v>
      </c>
      <c r="D108">
        <v>39.159999999999997</v>
      </c>
      <c r="E108">
        <v>38.15</v>
      </c>
      <c r="F108" t="s">
        <v>249</v>
      </c>
      <c r="G108" s="48">
        <f t="shared" si="1"/>
        <v>-1.3275465917794271E-2</v>
      </c>
    </row>
    <row r="109" spans="1:7">
      <c r="A109" s="79">
        <v>45113</v>
      </c>
      <c r="B109">
        <v>37.47</v>
      </c>
      <c r="C109">
        <v>38.92</v>
      </c>
      <c r="D109">
        <v>39.5</v>
      </c>
      <c r="E109">
        <v>37.36</v>
      </c>
      <c r="F109" t="s">
        <v>250</v>
      </c>
      <c r="G109" s="48">
        <f t="shared" si="1"/>
        <v>-3.0530401034928878E-2</v>
      </c>
    </row>
    <row r="110" spans="1:7">
      <c r="A110" s="79">
        <v>45144</v>
      </c>
      <c r="B110">
        <v>38.51</v>
      </c>
      <c r="C110">
        <v>37.72</v>
      </c>
      <c r="D110">
        <v>38.86</v>
      </c>
      <c r="E110">
        <v>37.51</v>
      </c>
      <c r="F110" t="s">
        <v>251</v>
      </c>
      <c r="G110" s="48">
        <f t="shared" si="1"/>
        <v>2.7755537763544114E-2</v>
      </c>
    </row>
    <row r="111" spans="1:7">
      <c r="A111" s="79">
        <v>45175</v>
      </c>
      <c r="B111">
        <v>38.770000000000003</v>
      </c>
      <c r="C111">
        <v>39.04</v>
      </c>
      <c r="D111">
        <v>39.71</v>
      </c>
      <c r="E111">
        <v>38.57</v>
      </c>
      <c r="F111" t="s">
        <v>252</v>
      </c>
      <c r="G111" s="48">
        <f t="shared" si="1"/>
        <v>6.7514931186705152E-3</v>
      </c>
    </row>
    <row r="112" spans="1:7">
      <c r="A112" s="79">
        <v>45266</v>
      </c>
      <c r="B112">
        <v>39.479999999999997</v>
      </c>
      <c r="C112">
        <v>39.200000000000003</v>
      </c>
      <c r="D112">
        <v>39.53</v>
      </c>
      <c r="E112">
        <v>38.619999999999997</v>
      </c>
      <c r="F112" t="s">
        <v>253</v>
      </c>
      <c r="G112" s="48">
        <f t="shared" si="1"/>
        <v>1.8313128707763582E-2</v>
      </c>
    </row>
    <row r="113" spans="1:7">
      <c r="A113" t="s">
        <v>254</v>
      </c>
      <c r="B113">
        <v>41.02</v>
      </c>
      <c r="C113">
        <v>40.19</v>
      </c>
      <c r="D113">
        <v>41.1</v>
      </c>
      <c r="E113">
        <v>39.74</v>
      </c>
      <c r="F113" t="s">
        <v>255</v>
      </c>
      <c r="G113" s="48">
        <f t="shared" si="1"/>
        <v>3.9007092198581672E-2</v>
      </c>
    </row>
    <row r="114" spans="1:7">
      <c r="A114" t="s">
        <v>256</v>
      </c>
      <c r="B114">
        <v>43</v>
      </c>
      <c r="C114">
        <v>40.82</v>
      </c>
      <c r="D114">
        <v>43</v>
      </c>
      <c r="E114">
        <v>40.549999999999997</v>
      </c>
      <c r="F114" t="s">
        <v>257</v>
      </c>
      <c r="G114" s="48">
        <f t="shared" si="1"/>
        <v>4.8269137006338392E-2</v>
      </c>
    </row>
    <row r="115" spans="1:7">
      <c r="A115" t="s">
        <v>258</v>
      </c>
      <c r="B115">
        <v>42.65</v>
      </c>
      <c r="C115">
        <v>42.6</v>
      </c>
      <c r="D115">
        <v>43.29</v>
      </c>
      <c r="E115">
        <v>42.15</v>
      </c>
      <c r="F115" t="s">
        <v>259</v>
      </c>
      <c r="G115" s="48">
        <f t="shared" si="1"/>
        <v>-8.1395348837209891E-3</v>
      </c>
    </row>
    <row r="116" spans="1:7">
      <c r="A116" t="s">
        <v>260</v>
      </c>
      <c r="B116">
        <v>42.69</v>
      </c>
      <c r="C116">
        <v>43.45</v>
      </c>
      <c r="D116">
        <v>43.72</v>
      </c>
      <c r="E116">
        <v>42.66</v>
      </c>
      <c r="F116" t="s">
        <v>261</v>
      </c>
      <c r="G116" s="48">
        <f t="shared" si="1"/>
        <v>9.3786635404446983E-4</v>
      </c>
    </row>
    <row r="117" spans="1:7">
      <c r="A117" t="s">
        <v>262</v>
      </c>
      <c r="B117">
        <v>43.81</v>
      </c>
      <c r="C117">
        <v>43</v>
      </c>
      <c r="D117">
        <v>43.99</v>
      </c>
      <c r="E117">
        <v>42.67</v>
      </c>
      <c r="F117" t="s">
        <v>263</v>
      </c>
      <c r="G117" s="48">
        <f t="shared" si="1"/>
        <v>2.6235652377606167E-2</v>
      </c>
    </row>
    <row r="118" spans="1:7">
      <c r="A118" t="s">
        <v>264</v>
      </c>
      <c r="B118">
        <v>43.04</v>
      </c>
      <c r="C118">
        <v>43.5</v>
      </c>
      <c r="D118">
        <v>43.62</v>
      </c>
      <c r="E118">
        <v>42.08</v>
      </c>
      <c r="F118" t="s">
        <v>265</v>
      </c>
      <c r="G118" s="48">
        <f t="shared" si="1"/>
        <v>-1.7575895914174966E-2</v>
      </c>
    </row>
    <row r="119" spans="1:7">
      <c r="A119" t="s">
        <v>266</v>
      </c>
      <c r="B119">
        <v>43.03</v>
      </c>
      <c r="C119">
        <v>42.25</v>
      </c>
      <c r="D119">
        <v>43.43</v>
      </c>
      <c r="E119">
        <v>42.23</v>
      </c>
      <c r="F119" t="s">
        <v>267</v>
      </c>
      <c r="G119" s="48">
        <f t="shared" si="1"/>
        <v>-2.3234200743493805E-4</v>
      </c>
    </row>
    <row r="120" spans="1:7">
      <c r="A120" t="s">
        <v>268</v>
      </c>
      <c r="B120">
        <v>42.21</v>
      </c>
      <c r="C120">
        <v>42.46</v>
      </c>
      <c r="D120">
        <v>42.81</v>
      </c>
      <c r="E120">
        <v>42.01</v>
      </c>
      <c r="F120" t="s">
        <v>269</v>
      </c>
      <c r="G120" s="48">
        <f t="shared" si="1"/>
        <v>-1.9056472228677679E-2</v>
      </c>
    </row>
    <row r="121" spans="1:7">
      <c r="A121" t="s">
        <v>270</v>
      </c>
      <c r="B121">
        <v>40.630000000000003</v>
      </c>
      <c r="C121">
        <v>42.46</v>
      </c>
      <c r="D121">
        <v>42.76</v>
      </c>
      <c r="E121">
        <v>40.1</v>
      </c>
      <c r="F121" t="s">
        <v>271</v>
      </c>
      <c r="G121" s="48">
        <f t="shared" si="1"/>
        <v>-3.7431888178156791E-2</v>
      </c>
    </row>
    <row r="122" spans="1:7">
      <c r="A122" t="s">
        <v>272</v>
      </c>
      <c r="B122">
        <v>41.88</v>
      </c>
      <c r="C122">
        <v>40.799999999999997</v>
      </c>
      <c r="D122">
        <v>41.94</v>
      </c>
      <c r="E122">
        <v>40.450000000000003</v>
      </c>
      <c r="F122" t="s">
        <v>273</v>
      </c>
      <c r="G122" s="48">
        <f t="shared" si="1"/>
        <v>3.0765444253014973E-2</v>
      </c>
    </row>
    <row r="123" spans="1:7">
      <c r="A123" t="s">
        <v>274</v>
      </c>
      <c r="B123">
        <v>41.12</v>
      </c>
      <c r="C123">
        <v>40.659999999999997</v>
      </c>
      <c r="D123">
        <v>41.85</v>
      </c>
      <c r="E123">
        <v>40.520000000000003</v>
      </c>
      <c r="F123" t="s">
        <v>275</v>
      </c>
      <c r="G123" s="48">
        <f t="shared" si="1"/>
        <v>-1.8147086914995336E-2</v>
      </c>
    </row>
    <row r="124" spans="1:7">
      <c r="A124" t="s">
        <v>276</v>
      </c>
      <c r="B124">
        <v>40.82</v>
      </c>
      <c r="C124">
        <v>41.56</v>
      </c>
      <c r="D124">
        <v>41.6</v>
      </c>
      <c r="E124">
        <v>40.6</v>
      </c>
      <c r="F124" t="s">
        <v>277</v>
      </c>
      <c r="G124" s="48">
        <f t="shared" si="1"/>
        <v>-7.2957198443579507E-3</v>
      </c>
    </row>
    <row r="125" spans="1:7">
      <c r="A125" t="s">
        <v>278</v>
      </c>
      <c r="B125">
        <v>42.3</v>
      </c>
      <c r="C125">
        <v>41.68</v>
      </c>
      <c r="D125">
        <v>42.55</v>
      </c>
      <c r="E125">
        <v>41.5</v>
      </c>
      <c r="F125" t="s">
        <v>279</v>
      </c>
      <c r="G125" s="48">
        <f t="shared" si="1"/>
        <v>3.6256736893679475E-2</v>
      </c>
    </row>
    <row r="126" spans="1:7">
      <c r="A126" s="79">
        <v>44992</v>
      </c>
      <c r="B126">
        <v>42.41</v>
      </c>
      <c r="C126">
        <v>42.52</v>
      </c>
      <c r="D126">
        <v>42.9</v>
      </c>
      <c r="E126">
        <v>42.2</v>
      </c>
      <c r="F126" t="s">
        <v>280</v>
      </c>
      <c r="G126" s="48">
        <f t="shared" si="1"/>
        <v>2.6004728132387189E-3</v>
      </c>
    </row>
    <row r="127" spans="1:7">
      <c r="A127" s="79">
        <v>45053</v>
      </c>
      <c r="B127">
        <v>42.32</v>
      </c>
      <c r="C127">
        <v>42.13</v>
      </c>
      <c r="D127">
        <v>43.18</v>
      </c>
      <c r="E127">
        <v>42.08</v>
      </c>
      <c r="F127" t="s">
        <v>281</v>
      </c>
      <c r="G127" s="48">
        <f t="shared" si="1"/>
        <v>-2.1221410044799383E-3</v>
      </c>
    </row>
    <row r="128" spans="1:7">
      <c r="A128" s="79">
        <v>45084</v>
      </c>
      <c r="B128">
        <v>42.1</v>
      </c>
      <c r="C128">
        <v>41.84</v>
      </c>
      <c r="D128">
        <v>42.18</v>
      </c>
      <c r="E128">
        <v>41.35</v>
      </c>
      <c r="F128" t="s">
        <v>282</v>
      </c>
      <c r="G128" s="48">
        <f t="shared" si="1"/>
        <v>-5.1984877126654006E-3</v>
      </c>
    </row>
    <row r="129" spans="1:7">
      <c r="A129" s="79">
        <v>45114</v>
      </c>
      <c r="B129">
        <v>42.5</v>
      </c>
      <c r="C129">
        <v>42.32</v>
      </c>
      <c r="D129">
        <v>43.21</v>
      </c>
      <c r="E129">
        <v>42.18</v>
      </c>
      <c r="F129" t="s">
        <v>283</v>
      </c>
      <c r="G129" s="48">
        <f t="shared" si="1"/>
        <v>9.5011876484560887E-3</v>
      </c>
    </row>
    <row r="130" spans="1:7">
      <c r="A130" s="79">
        <v>45206</v>
      </c>
      <c r="B130">
        <v>42.18</v>
      </c>
      <c r="C130">
        <v>42.66</v>
      </c>
      <c r="D130">
        <v>42.81</v>
      </c>
      <c r="E130">
        <v>41.65</v>
      </c>
      <c r="F130" t="s">
        <v>284</v>
      </c>
      <c r="G130" s="48">
        <f t="shared" si="1"/>
        <v>-7.5294117647058956E-3</v>
      </c>
    </row>
    <row r="131" spans="1:7">
      <c r="A131" s="79">
        <v>45237</v>
      </c>
      <c r="B131">
        <v>42.4</v>
      </c>
      <c r="C131">
        <v>42.48</v>
      </c>
      <c r="D131">
        <v>42.76</v>
      </c>
      <c r="E131">
        <v>42.07</v>
      </c>
      <c r="F131" t="s">
        <v>285</v>
      </c>
      <c r="G131" s="48">
        <f t="shared" si="1"/>
        <v>5.2157420578473612E-3</v>
      </c>
    </row>
    <row r="132" spans="1:7">
      <c r="A132" s="79">
        <v>45267</v>
      </c>
      <c r="B132">
        <v>43.9</v>
      </c>
      <c r="C132">
        <v>43.03</v>
      </c>
      <c r="D132">
        <v>43.94</v>
      </c>
      <c r="E132">
        <v>42.78</v>
      </c>
      <c r="F132" t="s">
        <v>286</v>
      </c>
      <c r="G132" s="48">
        <f t="shared" ref="G132:G195" si="2">B132/B131-1</f>
        <v>3.5377358490566113E-2</v>
      </c>
    </row>
    <row r="133" spans="1:7">
      <c r="A133" t="s">
        <v>287</v>
      </c>
      <c r="B133">
        <v>45.98</v>
      </c>
      <c r="C133">
        <v>44.52</v>
      </c>
      <c r="D133">
        <v>46.15</v>
      </c>
      <c r="E133">
        <v>44.49</v>
      </c>
      <c r="F133" t="s">
        <v>288</v>
      </c>
      <c r="G133" s="48">
        <f t="shared" si="2"/>
        <v>4.738041002277904E-2</v>
      </c>
    </row>
    <row r="134" spans="1:7">
      <c r="A134" t="s">
        <v>289</v>
      </c>
      <c r="B134">
        <v>45.47</v>
      </c>
      <c r="C134">
        <v>46.58</v>
      </c>
      <c r="D134">
        <v>48.09</v>
      </c>
      <c r="E134">
        <v>45.06</v>
      </c>
      <c r="F134" t="s">
        <v>290</v>
      </c>
      <c r="G134" s="48">
        <f t="shared" si="2"/>
        <v>-1.1091779034362759E-2</v>
      </c>
    </row>
    <row r="135" spans="1:7">
      <c r="A135" t="s">
        <v>291</v>
      </c>
      <c r="B135">
        <v>46.46</v>
      </c>
      <c r="C135">
        <v>46.29</v>
      </c>
      <c r="D135">
        <v>46.5</v>
      </c>
      <c r="E135">
        <v>45.26</v>
      </c>
      <c r="F135" t="s">
        <v>292</v>
      </c>
      <c r="G135" s="48">
        <f t="shared" si="2"/>
        <v>2.1772597316912279E-2</v>
      </c>
    </row>
    <row r="136" spans="1:7">
      <c r="A136" t="s">
        <v>293</v>
      </c>
      <c r="B136">
        <v>47.49</v>
      </c>
      <c r="C136">
        <v>46.7</v>
      </c>
      <c r="D136">
        <v>47.9</v>
      </c>
      <c r="E136">
        <v>45.73</v>
      </c>
      <c r="F136" t="s">
        <v>294</v>
      </c>
      <c r="G136" s="48">
        <f t="shared" si="2"/>
        <v>2.2169608265174334E-2</v>
      </c>
    </row>
    <row r="137" spans="1:7">
      <c r="A137" t="s">
        <v>295</v>
      </c>
      <c r="B137">
        <v>47.08</v>
      </c>
      <c r="C137">
        <v>47.46</v>
      </c>
      <c r="D137">
        <v>47.82</v>
      </c>
      <c r="E137">
        <v>46.74</v>
      </c>
      <c r="F137" t="s">
        <v>296</v>
      </c>
      <c r="G137" s="48">
        <f t="shared" si="2"/>
        <v>-8.6333965045273242E-3</v>
      </c>
    </row>
    <row r="138" spans="1:7">
      <c r="A138" t="s">
        <v>297</v>
      </c>
      <c r="B138">
        <v>45.52</v>
      </c>
      <c r="C138">
        <v>46.51</v>
      </c>
      <c r="D138">
        <v>47.09</v>
      </c>
      <c r="E138">
        <v>45.06</v>
      </c>
      <c r="F138" t="s">
        <v>298</v>
      </c>
      <c r="G138" s="48">
        <f t="shared" si="2"/>
        <v>-3.3135089209855417E-2</v>
      </c>
    </row>
    <row r="139" spans="1:7">
      <c r="A139" t="s">
        <v>299</v>
      </c>
      <c r="B139">
        <v>44.31</v>
      </c>
      <c r="C139">
        <v>45.79</v>
      </c>
      <c r="D139">
        <v>45.87</v>
      </c>
      <c r="E139">
        <v>44.1</v>
      </c>
      <c r="F139" t="s">
        <v>300</v>
      </c>
      <c r="G139" s="48">
        <f t="shared" si="2"/>
        <v>-2.6581722319859447E-2</v>
      </c>
    </row>
    <row r="140" spans="1:7">
      <c r="A140" t="s">
        <v>301</v>
      </c>
      <c r="B140">
        <v>44.61</v>
      </c>
      <c r="C140">
        <v>44.73</v>
      </c>
      <c r="D140">
        <v>45.11</v>
      </c>
      <c r="E140">
        <v>44.04</v>
      </c>
      <c r="F140" t="s">
        <v>302</v>
      </c>
      <c r="G140" s="48">
        <f t="shared" si="2"/>
        <v>6.7704807041299997E-3</v>
      </c>
    </row>
    <row r="141" spans="1:7">
      <c r="A141" t="s">
        <v>303</v>
      </c>
      <c r="B141">
        <v>45.68</v>
      </c>
      <c r="C141">
        <v>44.94</v>
      </c>
      <c r="D141">
        <v>46.18</v>
      </c>
      <c r="E141">
        <v>44.92</v>
      </c>
      <c r="F141" t="s">
        <v>304</v>
      </c>
      <c r="G141" s="48">
        <f t="shared" si="2"/>
        <v>2.3985653440932619E-2</v>
      </c>
    </row>
    <row r="142" spans="1:7">
      <c r="A142" t="s">
        <v>305</v>
      </c>
      <c r="B142">
        <v>45.45</v>
      </c>
      <c r="C142">
        <v>46.02</v>
      </c>
      <c r="D142">
        <v>46.05</v>
      </c>
      <c r="E142">
        <v>44.63</v>
      </c>
      <c r="F142" t="s">
        <v>306</v>
      </c>
      <c r="G142" s="48">
        <f t="shared" si="2"/>
        <v>-5.035026269702203E-3</v>
      </c>
    </row>
    <row r="143" spans="1:7">
      <c r="A143" t="s">
        <v>307</v>
      </c>
      <c r="B143">
        <v>45.9</v>
      </c>
      <c r="C143">
        <v>46.52</v>
      </c>
      <c r="D143">
        <v>47.4</v>
      </c>
      <c r="E143">
        <v>45.75</v>
      </c>
      <c r="F143" t="s">
        <v>308</v>
      </c>
      <c r="G143" s="48">
        <f t="shared" si="2"/>
        <v>9.9009900990099098E-3</v>
      </c>
    </row>
    <row r="144" spans="1:7">
      <c r="A144" t="s">
        <v>309</v>
      </c>
      <c r="B144">
        <v>46.75</v>
      </c>
      <c r="C144">
        <v>46.67</v>
      </c>
      <c r="D144">
        <v>47.03</v>
      </c>
      <c r="E144">
        <v>46.38</v>
      </c>
      <c r="F144" t="s">
        <v>310</v>
      </c>
      <c r="G144" s="48">
        <f t="shared" si="2"/>
        <v>1.8518518518518601E-2</v>
      </c>
    </row>
    <row r="145" spans="1:7">
      <c r="A145" t="s">
        <v>311</v>
      </c>
      <c r="B145">
        <v>46.73</v>
      </c>
      <c r="C145">
        <v>46.75</v>
      </c>
      <c r="D145">
        <v>47.13</v>
      </c>
      <c r="E145">
        <v>46.51</v>
      </c>
      <c r="F145" t="s">
        <v>312</v>
      </c>
      <c r="G145" s="48">
        <f t="shared" si="2"/>
        <v>-4.2780748663107104E-4</v>
      </c>
    </row>
    <row r="146" spans="1:7">
      <c r="A146" s="79">
        <v>44934</v>
      </c>
      <c r="B146">
        <v>46.51</v>
      </c>
      <c r="C146">
        <v>46.46</v>
      </c>
      <c r="D146">
        <v>46.9</v>
      </c>
      <c r="E146">
        <v>46.03</v>
      </c>
      <c r="F146" t="s">
        <v>313</v>
      </c>
      <c r="G146" s="48">
        <f t="shared" si="2"/>
        <v>-4.7078964262785572E-3</v>
      </c>
    </row>
    <row r="147" spans="1:7">
      <c r="A147" s="79">
        <v>44965</v>
      </c>
      <c r="B147">
        <v>44.27</v>
      </c>
      <c r="C147">
        <v>45.83</v>
      </c>
      <c r="D147">
        <v>45.84</v>
      </c>
      <c r="E147">
        <v>43.39</v>
      </c>
      <c r="F147" t="s">
        <v>314</v>
      </c>
      <c r="G147" s="48">
        <f t="shared" si="2"/>
        <v>-4.8161685658997921E-2</v>
      </c>
    </row>
    <row r="148" spans="1:7">
      <c r="A148" s="79">
        <v>44993</v>
      </c>
      <c r="B148">
        <v>44.51</v>
      </c>
      <c r="C148">
        <v>43.8</v>
      </c>
      <c r="D148">
        <v>45.12</v>
      </c>
      <c r="E148">
        <v>43.8</v>
      </c>
      <c r="F148" t="s">
        <v>315</v>
      </c>
      <c r="G148" s="48">
        <f t="shared" si="2"/>
        <v>5.4212785181837475E-3</v>
      </c>
    </row>
    <row r="149" spans="1:7">
      <c r="A149" s="79">
        <v>45024</v>
      </c>
      <c r="B149">
        <v>44.68</v>
      </c>
      <c r="C149">
        <v>44.99</v>
      </c>
      <c r="D149">
        <v>45.64</v>
      </c>
      <c r="E149">
        <v>44.39</v>
      </c>
      <c r="F149" t="s">
        <v>316</v>
      </c>
      <c r="G149" s="48">
        <f t="shared" si="2"/>
        <v>3.8193664345091971E-3</v>
      </c>
    </row>
    <row r="150" spans="1:7">
      <c r="A150" s="79">
        <v>45115</v>
      </c>
      <c r="B150">
        <v>45.42</v>
      </c>
      <c r="C150">
        <v>45.11</v>
      </c>
      <c r="D150">
        <v>45.54</v>
      </c>
      <c r="E150">
        <v>44.56</v>
      </c>
      <c r="F150" t="s">
        <v>220</v>
      </c>
      <c r="G150" s="48">
        <f t="shared" si="2"/>
        <v>1.6562220232766434E-2</v>
      </c>
    </row>
    <row r="151" spans="1:7">
      <c r="A151" s="79">
        <v>45146</v>
      </c>
      <c r="B151">
        <v>44.66</v>
      </c>
      <c r="C151">
        <v>44.85</v>
      </c>
      <c r="D151">
        <v>45.24</v>
      </c>
      <c r="E151">
        <v>44.06</v>
      </c>
      <c r="F151" t="s">
        <v>317</v>
      </c>
      <c r="G151" s="48">
        <f t="shared" si="2"/>
        <v>-1.6732716864817365E-2</v>
      </c>
    </row>
    <row r="152" spans="1:7">
      <c r="A152" s="79">
        <v>45177</v>
      </c>
      <c r="B152">
        <v>42.55</v>
      </c>
      <c r="C152">
        <v>44.27</v>
      </c>
      <c r="D152">
        <v>44.31</v>
      </c>
      <c r="E152">
        <v>42.13</v>
      </c>
      <c r="F152" t="s">
        <v>318</v>
      </c>
      <c r="G152" s="48">
        <f t="shared" si="2"/>
        <v>-4.7245857590685114E-2</v>
      </c>
    </row>
    <row r="153" spans="1:7">
      <c r="A153" s="79">
        <v>45207</v>
      </c>
      <c r="B153">
        <v>42.39</v>
      </c>
      <c r="C153">
        <v>42.16</v>
      </c>
      <c r="D153">
        <v>43.57</v>
      </c>
      <c r="E153">
        <v>41.83</v>
      </c>
      <c r="F153" t="s">
        <v>319</v>
      </c>
      <c r="G153" s="48">
        <f t="shared" si="2"/>
        <v>-3.7602820211515287E-3</v>
      </c>
    </row>
    <row r="154" spans="1:7">
      <c r="A154" s="79">
        <v>45238</v>
      </c>
      <c r="B154">
        <v>40.85</v>
      </c>
      <c r="C154">
        <v>41.75</v>
      </c>
      <c r="D154">
        <v>42.02</v>
      </c>
      <c r="E154">
        <v>40.64</v>
      </c>
      <c r="F154" t="s">
        <v>320</v>
      </c>
      <c r="G154" s="48">
        <f t="shared" si="2"/>
        <v>-3.6329322953526755E-2</v>
      </c>
    </row>
    <row r="155" spans="1:7">
      <c r="A155" t="s">
        <v>321</v>
      </c>
      <c r="B155">
        <v>43.75</v>
      </c>
      <c r="C155">
        <v>40.49</v>
      </c>
      <c r="D155">
        <v>43.8</v>
      </c>
      <c r="E155">
        <v>40.31</v>
      </c>
      <c r="F155" t="s">
        <v>322</v>
      </c>
      <c r="G155" s="48">
        <f t="shared" si="2"/>
        <v>7.0991432068543414E-2</v>
      </c>
    </row>
    <row r="156" spans="1:7">
      <c r="A156" t="s">
        <v>323</v>
      </c>
      <c r="B156">
        <v>43.94</v>
      </c>
      <c r="C156">
        <v>44.56</v>
      </c>
      <c r="D156">
        <v>45.27</v>
      </c>
      <c r="E156">
        <v>43.71</v>
      </c>
      <c r="F156" t="s">
        <v>324</v>
      </c>
      <c r="G156" s="48">
        <f t="shared" si="2"/>
        <v>4.3428571428569818E-3</v>
      </c>
    </row>
    <row r="157" spans="1:7">
      <c r="A157" t="s">
        <v>325</v>
      </c>
      <c r="B157">
        <v>43.49</v>
      </c>
      <c r="C157">
        <v>44.52</v>
      </c>
      <c r="D157">
        <v>44.67</v>
      </c>
      <c r="E157">
        <v>43.41</v>
      </c>
      <c r="F157" t="s">
        <v>326</v>
      </c>
      <c r="G157" s="48">
        <f t="shared" si="2"/>
        <v>-1.0241238051888812E-2</v>
      </c>
    </row>
    <row r="158" spans="1:7">
      <c r="A158" t="s">
        <v>327</v>
      </c>
      <c r="B158">
        <v>43.34</v>
      </c>
      <c r="C158">
        <v>43.97</v>
      </c>
      <c r="D158">
        <v>44.06</v>
      </c>
      <c r="E158">
        <v>43</v>
      </c>
      <c r="F158" t="s">
        <v>328</v>
      </c>
      <c r="G158" s="48">
        <f t="shared" si="2"/>
        <v>-3.4490687514371343E-3</v>
      </c>
    </row>
    <row r="159" spans="1:7">
      <c r="A159" t="s">
        <v>329</v>
      </c>
      <c r="B159">
        <v>43.3</v>
      </c>
      <c r="C159">
        <v>42.63</v>
      </c>
      <c r="D159">
        <v>43.58</v>
      </c>
      <c r="E159">
        <v>41.66</v>
      </c>
      <c r="F159" t="s">
        <v>330</v>
      </c>
      <c r="G159" s="48">
        <f t="shared" si="2"/>
        <v>-9.2293493308737151E-4</v>
      </c>
    </row>
    <row r="160" spans="1:7">
      <c r="A160" t="s">
        <v>331</v>
      </c>
      <c r="B160">
        <v>46.97</v>
      </c>
      <c r="C160">
        <v>44.49</v>
      </c>
      <c r="D160">
        <v>47.06</v>
      </c>
      <c r="E160">
        <v>44.22</v>
      </c>
      <c r="F160" t="s">
        <v>332</v>
      </c>
      <c r="G160" s="48">
        <f t="shared" si="2"/>
        <v>8.4757505773672026E-2</v>
      </c>
    </row>
    <row r="161" spans="1:7">
      <c r="A161" t="s">
        <v>333</v>
      </c>
      <c r="B161">
        <v>45.67</v>
      </c>
      <c r="C161">
        <v>48.13</v>
      </c>
      <c r="D161">
        <v>48.19</v>
      </c>
      <c r="E161">
        <v>45.33</v>
      </c>
      <c r="F161" t="s">
        <v>334</v>
      </c>
      <c r="G161" s="48">
        <f t="shared" si="2"/>
        <v>-2.767724079199485E-2</v>
      </c>
    </row>
    <row r="162" spans="1:7">
      <c r="A162" t="s">
        <v>335</v>
      </c>
      <c r="B162">
        <v>47.12</v>
      </c>
      <c r="C162">
        <v>45.87</v>
      </c>
      <c r="D162">
        <v>47.2</v>
      </c>
      <c r="E162">
        <v>45.21</v>
      </c>
      <c r="F162" t="s">
        <v>336</v>
      </c>
      <c r="G162" s="48">
        <f t="shared" si="2"/>
        <v>3.1749507335230964E-2</v>
      </c>
    </row>
    <row r="163" spans="1:7">
      <c r="A163" t="s">
        <v>337</v>
      </c>
      <c r="B163">
        <v>47.16</v>
      </c>
      <c r="C163">
        <v>50.22</v>
      </c>
      <c r="D163">
        <v>50.27</v>
      </c>
      <c r="E163">
        <v>47.16</v>
      </c>
      <c r="F163" t="s">
        <v>338</v>
      </c>
      <c r="G163" s="48">
        <f t="shared" si="2"/>
        <v>8.4889643463492703E-4</v>
      </c>
    </row>
    <row r="164" spans="1:7">
      <c r="A164" t="s">
        <v>339</v>
      </c>
      <c r="B164">
        <v>46.02</v>
      </c>
      <c r="C164">
        <v>47.01</v>
      </c>
      <c r="D164">
        <v>47.81</v>
      </c>
      <c r="E164">
        <v>45.02</v>
      </c>
      <c r="F164" t="s">
        <v>340</v>
      </c>
      <c r="G164" s="48">
        <f t="shared" si="2"/>
        <v>-2.4173027989821794E-2</v>
      </c>
    </row>
    <row r="165" spans="1:7">
      <c r="A165" t="s">
        <v>341</v>
      </c>
      <c r="B165">
        <v>46.83</v>
      </c>
      <c r="C165">
        <v>46.48</v>
      </c>
      <c r="D165">
        <v>46.98</v>
      </c>
      <c r="E165">
        <v>44.89</v>
      </c>
      <c r="F165" t="s">
        <v>342</v>
      </c>
      <c r="G165" s="48">
        <f t="shared" si="2"/>
        <v>1.7601043024771723E-2</v>
      </c>
    </row>
    <row r="166" spans="1:7">
      <c r="A166" t="s">
        <v>343</v>
      </c>
      <c r="B166">
        <v>48.78</v>
      </c>
      <c r="C166">
        <v>46.67</v>
      </c>
      <c r="D166">
        <v>49.08</v>
      </c>
      <c r="E166">
        <v>46.39</v>
      </c>
      <c r="F166" t="s">
        <v>344</v>
      </c>
      <c r="G166" s="48">
        <f t="shared" si="2"/>
        <v>4.1639974375400346E-2</v>
      </c>
    </row>
    <row r="167" spans="1:7">
      <c r="A167" t="s">
        <v>345</v>
      </c>
      <c r="B167">
        <v>49.26</v>
      </c>
      <c r="C167">
        <v>49.04</v>
      </c>
      <c r="D167">
        <v>49.93</v>
      </c>
      <c r="E167">
        <v>48.42</v>
      </c>
      <c r="F167" t="s">
        <v>346</v>
      </c>
      <c r="G167" s="48">
        <f t="shared" si="2"/>
        <v>9.8400984009838766E-3</v>
      </c>
    </row>
    <row r="168" spans="1:7">
      <c r="A168" t="s">
        <v>347</v>
      </c>
      <c r="B168">
        <v>49.35</v>
      </c>
      <c r="C168">
        <v>49.38</v>
      </c>
      <c r="D168">
        <v>49.74</v>
      </c>
      <c r="E168">
        <v>48.96</v>
      </c>
      <c r="F168" t="s">
        <v>348</v>
      </c>
      <c r="G168" s="48">
        <f t="shared" si="2"/>
        <v>1.8270401948843329E-3</v>
      </c>
    </row>
    <row r="169" spans="1:7">
      <c r="A169" s="79">
        <v>44935</v>
      </c>
      <c r="B169">
        <v>48.51</v>
      </c>
      <c r="C169">
        <v>49.76</v>
      </c>
      <c r="D169">
        <v>49.8</v>
      </c>
      <c r="E169">
        <v>48.14</v>
      </c>
      <c r="F169" t="s">
        <v>349</v>
      </c>
      <c r="G169" s="48">
        <f t="shared" si="2"/>
        <v>-1.7021276595744705E-2</v>
      </c>
    </row>
    <row r="170" spans="1:7">
      <c r="A170" s="79">
        <v>45055</v>
      </c>
      <c r="B170">
        <v>48.55</v>
      </c>
      <c r="C170">
        <v>48.22</v>
      </c>
      <c r="D170">
        <v>48.85</v>
      </c>
      <c r="E170">
        <v>47.86</v>
      </c>
      <c r="F170" t="s">
        <v>350</v>
      </c>
      <c r="G170" s="48">
        <f t="shared" si="2"/>
        <v>8.2457225314369609E-4</v>
      </c>
    </row>
    <row r="171" spans="1:7">
      <c r="A171" s="79">
        <v>45086</v>
      </c>
      <c r="B171">
        <v>47.06</v>
      </c>
      <c r="C171">
        <v>48.44</v>
      </c>
      <c r="D171">
        <v>48.55</v>
      </c>
      <c r="E171">
        <v>46.58</v>
      </c>
      <c r="F171" t="s">
        <v>351</v>
      </c>
      <c r="G171" s="48">
        <f t="shared" si="2"/>
        <v>-3.069001029866103E-2</v>
      </c>
    </row>
    <row r="172" spans="1:7">
      <c r="A172" s="79">
        <v>45116</v>
      </c>
      <c r="B172">
        <v>46.24</v>
      </c>
      <c r="C172">
        <v>45.53</v>
      </c>
      <c r="D172">
        <v>46.34</v>
      </c>
      <c r="E172">
        <v>45.15</v>
      </c>
      <c r="F172" t="s">
        <v>352</v>
      </c>
      <c r="G172" s="48">
        <f t="shared" si="2"/>
        <v>-1.7424564385890351E-2</v>
      </c>
    </row>
    <row r="173" spans="1:7">
      <c r="A173" s="79">
        <v>45147</v>
      </c>
      <c r="B173">
        <v>45.57</v>
      </c>
      <c r="C173">
        <v>45.94</v>
      </c>
      <c r="D173">
        <v>46.61</v>
      </c>
      <c r="E173">
        <v>45.27</v>
      </c>
      <c r="F173" t="s">
        <v>353</v>
      </c>
      <c r="G173" s="48">
        <f t="shared" si="2"/>
        <v>-1.4489619377162644E-2</v>
      </c>
    </row>
    <row r="174" spans="1:7">
      <c r="A174" s="79">
        <v>45239</v>
      </c>
      <c r="B174">
        <v>45.18</v>
      </c>
      <c r="C174">
        <v>46.15</v>
      </c>
      <c r="D174">
        <v>46.16</v>
      </c>
      <c r="E174">
        <v>44.31</v>
      </c>
      <c r="F174" t="s">
        <v>354</v>
      </c>
      <c r="G174" s="48">
        <f t="shared" si="2"/>
        <v>-8.5582620144831756E-3</v>
      </c>
    </row>
    <row r="175" spans="1:7">
      <c r="A175" s="79">
        <v>45269</v>
      </c>
      <c r="B175">
        <v>44.87</v>
      </c>
      <c r="C175">
        <v>44.74</v>
      </c>
      <c r="D175">
        <v>45.67</v>
      </c>
      <c r="E175">
        <v>44.53</v>
      </c>
      <c r="F175" t="s">
        <v>355</v>
      </c>
      <c r="G175" s="48">
        <f t="shared" si="2"/>
        <v>-6.861443116423227E-3</v>
      </c>
    </row>
    <row r="176" spans="1:7">
      <c r="A176" t="s">
        <v>356</v>
      </c>
      <c r="B176">
        <v>45.49</v>
      </c>
      <c r="C176">
        <v>44.6</v>
      </c>
      <c r="D176">
        <v>45.93</v>
      </c>
      <c r="E176">
        <v>44.5</v>
      </c>
      <c r="F176" t="s">
        <v>357</v>
      </c>
      <c r="G176" s="48">
        <f t="shared" si="2"/>
        <v>1.3817695564965593E-2</v>
      </c>
    </row>
    <row r="177" spans="1:7">
      <c r="A177" t="s">
        <v>358</v>
      </c>
      <c r="B177">
        <v>45.58</v>
      </c>
      <c r="C177">
        <v>45.95</v>
      </c>
      <c r="D177">
        <v>45.99</v>
      </c>
      <c r="E177">
        <v>45.13</v>
      </c>
      <c r="F177" t="s">
        <v>359</v>
      </c>
      <c r="G177" s="48">
        <f t="shared" si="2"/>
        <v>1.9784568036931294E-3</v>
      </c>
    </row>
    <row r="178" spans="1:7">
      <c r="A178" t="s">
        <v>360</v>
      </c>
      <c r="B178">
        <v>43.9</v>
      </c>
      <c r="C178">
        <v>45.34</v>
      </c>
      <c r="D178">
        <v>45.6</v>
      </c>
      <c r="E178">
        <v>43.81</v>
      </c>
      <c r="F178" t="s">
        <v>361</v>
      </c>
      <c r="G178" s="48">
        <f t="shared" si="2"/>
        <v>-3.6858271171566481E-2</v>
      </c>
    </row>
    <row r="179" spans="1:7">
      <c r="A179" t="s">
        <v>362</v>
      </c>
      <c r="B179">
        <v>43.97</v>
      </c>
      <c r="C179">
        <v>42.75</v>
      </c>
      <c r="D179">
        <v>44.24</v>
      </c>
      <c r="E179">
        <v>42</v>
      </c>
      <c r="F179" t="s">
        <v>363</v>
      </c>
      <c r="G179" s="48">
        <f t="shared" si="2"/>
        <v>1.5945330296127658E-3</v>
      </c>
    </row>
    <row r="180" spans="1:7">
      <c r="A180" t="s">
        <v>364</v>
      </c>
      <c r="B180">
        <v>43.52</v>
      </c>
      <c r="C180">
        <v>43.83</v>
      </c>
      <c r="D180">
        <v>43.97</v>
      </c>
      <c r="E180">
        <v>43</v>
      </c>
      <c r="F180" t="s">
        <v>365</v>
      </c>
      <c r="G180" s="48">
        <f t="shared" si="2"/>
        <v>-1.0234250625426378E-2</v>
      </c>
    </row>
    <row r="181" spans="1:7">
      <c r="A181" t="s">
        <v>366</v>
      </c>
      <c r="B181">
        <v>42.24</v>
      </c>
      <c r="C181">
        <v>43.6</v>
      </c>
      <c r="D181">
        <v>43.9</v>
      </c>
      <c r="E181">
        <v>42.22</v>
      </c>
      <c r="F181" t="s">
        <v>367</v>
      </c>
      <c r="G181" s="48">
        <f t="shared" si="2"/>
        <v>-2.9411764705882359E-2</v>
      </c>
    </row>
    <row r="182" spans="1:7">
      <c r="A182" t="s">
        <v>368</v>
      </c>
      <c r="B182">
        <v>41.02</v>
      </c>
      <c r="C182">
        <v>41.58</v>
      </c>
      <c r="D182">
        <v>42.1</v>
      </c>
      <c r="E182">
        <v>40.98</v>
      </c>
      <c r="F182" t="s">
        <v>369</v>
      </c>
      <c r="G182" s="48">
        <f t="shared" si="2"/>
        <v>-2.888257575757569E-2</v>
      </c>
    </row>
    <row r="183" spans="1:7">
      <c r="A183" t="s">
        <v>370</v>
      </c>
      <c r="B183">
        <v>41.61</v>
      </c>
      <c r="C183">
        <v>41.57</v>
      </c>
      <c r="D183">
        <v>42.12</v>
      </c>
      <c r="E183">
        <v>41.23</v>
      </c>
      <c r="F183" t="s">
        <v>371</v>
      </c>
      <c r="G183" s="48">
        <f t="shared" si="2"/>
        <v>1.4383227693807843E-2</v>
      </c>
    </row>
    <row r="184" spans="1:7">
      <c r="A184" t="s">
        <v>372</v>
      </c>
      <c r="B184">
        <v>42.22</v>
      </c>
      <c r="C184">
        <v>41.59</v>
      </c>
      <c r="D184">
        <v>42.54</v>
      </c>
      <c r="E184">
        <v>41.18</v>
      </c>
      <c r="F184" t="s">
        <v>373</v>
      </c>
      <c r="G184" s="48">
        <f t="shared" si="2"/>
        <v>1.4659937515020482E-2</v>
      </c>
    </row>
    <row r="185" spans="1:7">
      <c r="A185" t="s">
        <v>374</v>
      </c>
      <c r="B185">
        <v>41.91</v>
      </c>
      <c r="C185">
        <v>42</v>
      </c>
      <c r="D185">
        <v>42.82</v>
      </c>
      <c r="E185">
        <v>41.65</v>
      </c>
      <c r="F185" t="s">
        <v>375</v>
      </c>
      <c r="G185" s="48">
        <f t="shared" si="2"/>
        <v>-7.3424917100900489E-3</v>
      </c>
    </row>
    <row r="186" spans="1:7">
      <c r="A186" t="s">
        <v>376</v>
      </c>
      <c r="B186">
        <v>42.47</v>
      </c>
      <c r="C186">
        <v>42.33</v>
      </c>
      <c r="D186">
        <v>42.87</v>
      </c>
      <c r="E186">
        <v>41.63</v>
      </c>
      <c r="F186" t="s">
        <v>377</v>
      </c>
      <c r="G186" s="48">
        <f t="shared" si="2"/>
        <v>1.336196611787166E-2</v>
      </c>
    </row>
    <row r="187" spans="1:7">
      <c r="A187" t="s">
        <v>378</v>
      </c>
      <c r="B187">
        <v>43.09</v>
      </c>
      <c r="C187">
        <v>42.46</v>
      </c>
      <c r="D187">
        <v>43.45</v>
      </c>
      <c r="E187">
        <v>42.12</v>
      </c>
      <c r="F187" t="s">
        <v>379</v>
      </c>
      <c r="G187" s="48">
        <f t="shared" si="2"/>
        <v>1.4598540145985606E-2</v>
      </c>
    </row>
    <row r="188" spans="1:7">
      <c r="A188" t="s">
        <v>380</v>
      </c>
      <c r="B188">
        <v>43.5</v>
      </c>
      <c r="C188">
        <v>43.83</v>
      </c>
      <c r="D188">
        <v>44.14</v>
      </c>
      <c r="E188">
        <v>43.31</v>
      </c>
      <c r="F188" t="s">
        <v>381</v>
      </c>
      <c r="G188" s="48">
        <f t="shared" si="2"/>
        <v>9.5149686702249436E-3</v>
      </c>
    </row>
    <row r="189" spans="1:7">
      <c r="A189" s="79">
        <v>44967</v>
      </c>
      <c r="B189">
        <v>44.78</v>
      </c>
      <c r="C189">
        <v>44.03</v>
      </c>
      <c r="D189">
        <v>45.17</v>
      </c>
      <c r="E189">
        <v>43.86</v>
      </c>
      <c r="F189" t="s">
        <v>382</v>
      </c>
      <c r="G189" s="48">
        <f t="shared" si="2"/>
        <v>2.9425287356321883E-2</v>
      </c>
    </row>
    <row r="190" spans="1:7">
      <c r="A190" s="79">
        <v>44995</v>
      </c>
      <c r="B190">
        <v>43.52</v>
      </c>
      <c r="C190">
        <v>44.81</v>
      </c>
      <c r="D190">
        <v>45.13</v>
      </c>
      <c r="E190">
        <v>43.25</v>
      </c>
      <c r="F190" t="s">
        <v>383</v>
      </c>
      <c r="G190" s="48">
        <f t="shared" si="2"/>
        <v>-2.813756141134427E-2</v>
      </c>
    </row>
    <row r="191" spans="1:7">
      <c r="A191" s="79">
        <v>45026</v>
      </c>
      <c r="B191">
        <v>44.04</v>
      </c>
      <c r="C191">
        <v>43.74</v>
      </c>
      <c r="D191">
        <v>44.14</v>
      </c>
      <c r="E191">
        <v>43.29</v>
      </c>
      <c r="F191" t="s">
        <v>384</v>
      </c>
      <c r="G191" s="48">
        <f t="shared" si="2"/>
        <v>1.1948529411764719E-2</v>
      </c>
    </row>
    <row r="192" spans="1:7">
      <c r="A192" s="79">
        <v>45056</v>
      </c>
      <c r="B192">
        <v>44.69</v>
      </c>
      <c r="C192">
        <v>44.05</v>
      </c>
      <c r="D192">
        <v>44.9</v>
      </c>
      <c r="E192">
        <v>43.89</v>
      </c>
      <c r="F192" t="s">
        <v>385</v>
      </c>
      <c r="G192" s="48">
        <f t="shared" si="2"/>
        <v>1.4759309718437752E-2</v>
      </c>
    </row>
    <row r="193" spans="1:7">
      <c r="A193" s="79">
        <v>45087</v>
      </c>
      <c r="B193">
        <v>45.76</v>
      </c>
      <c r="C193">
        <v>44.19</v>
      </c>
      <c r="D193">
        <v>45.79</v>
      </c>
      <c r="E193">
        <v>44.03</v>
      </c>
      <c r="F193" t="s">
        <v>386</v>
      </c>
      <c r="G193" s="48">
        <f t="shared" si="2"/>
        <v>2.3942716491385019E-2</v>
      </c>
    </row>
    <row r="194" spans="1:7">
      <c r="A194" s="79">
        <v>45179</v>
      </c>
      <c r="B194">
        <v>45.27</v>
      </c>
      <c r="C194">
        <v>44.84</v>
      </c>
      <c r="D194">
        <v>45.6</v>
      </c>
      <c r="E194">
        <v>44.37</v>
      </c>
      <c r="F194" t="s">
        <v>387</v>
      </c>
      <c r="G194" s="48">
        <f t="shared" si="2"/>
        <v>-1.070804195804187E-2</v>
      </c>
    </row>
    <row r="195" spans="1:7">
      <c r="A195" s="79">
        <v>45209</v>
      </c>
      <c r="B195">
        <v>45.8</v>
      </c>
      <c r="C195">
        <v>45.31</v>
      </c>
      <c r="D195">
        <v>46.26</v>
      </c>
      <c r="E195">
        <v>45.09</v>
      </c>
      <c r="F195" t="s">
        <v>388</v>
      </c>
      <c r="G195" s="48">
        <f t="shared" si="2"/>
        <v>1.1707532582283964E-2</v>
      </c>
    </row>
    <row r="196" spans="1:7">
      <c r="A196" s="79">
        <v>45240</v>
      </c>
      <c r="B196">
        <v>46.81</v>
      </c>
      <c r="C196">
        <v>46.2</v>
      </c>
      <c r="D196">
        <v>46.86</v>
      </c>
      <c r="E196">
        <v>46.05</v>
      </c>
      <c r="F196" t="s">
        <v>389</v>
      </c>
      <c r="G196" s="48">
        <f t="shared" ref="G196:G259" si="3">B196/B195-1</f>
        <v>2.2052401746724959E-2</v>
      </c>
    </row>
    <row r="197" spans="1:7">
      <c r="A197" s="79">
        <v>45270</v>
      </c>
      <c r="B197">
        <v>46.94</v>
      </c>
      <c r="C197">
        <v>46.78</v>
      </c>
      <c r="D197">
        <v>47.61</v>
      </c>
      <c r="E197">
        <v>46.33</v>
      </c>
      <c r="F197" t="s">
        <v>390</v>
      </c>
      <c r="G197" s="48">
        <f t="shared" si="3"/>
        <v>2.7771843623156656E-3</v>
      </c>
    </row>
    <row r="198" spans="1:7">
      <c r="A198" t="s">
        <v>391</v>
      </c>
      <c r="B198">
        <v>45.46</v>
      </c>
      <c r="C198">
        <v>46.96</v>
      </c>
      <c r="D198">
        <v>47.12</v>
      </c>
      <c r="E198">
        <v>45.28</v>
      </c>
      <c r="F198" t="s">
        <v>392</v>
      </c>
      <c r="G198" s="48">
        <f t="shared" si="3"/>
        <v>-3.1529612270984164E-2</v>
      </c>
    </row>
    <row r="199" spans="1:7">
      <c r="A199" t="s">
        <v>393</v>
      </c>
      <c r="B199">
        <v>46.1</v>
      </c>
      <c r="C199">
        <v>45.06</v>
      </c>
      <c r="D199">
        <v>46.22</v>
      </c>
      <c r="E199">
        <v>44.91</v>
      </c>
      <c r="F199" t="s">
        <v>394</v>
      </c>
      <c r="G199" s="48">
        <f t="shared" si="3"/>
        <v>1.4078310602727795E-2</v>
      </c>
    </row>
    <row r="200" spans="1:7">
      <c r="A200" t="s">
        <v>395</v>
      </c>
      <c r="B200">
        <v>43.94</v>
      </c>
      <c r="C200">
        <v>44</v>
      </c>
      <c r="D200">
        <v>44.75</v>
      </c>
      <c r="E200">
        <v>42.48</v>
      </c>
      <c r="F200" t="s">
        <v>396</v>
      </c>
      <c r="G200" s="48">
        <f t="shared" si="3"/>
        <v>-4.6854663774403504E-2</v>
      </c>
    </row>
    <row r="201" spans="1:7">
      <c r="A201" t="s">
        <v>397</v>
      </c>
      <c r="B201">
        <v>42.2</v>
      </c>
      <c r="C201">
        <v>42.59</v>
      </c>
      <c r="D201">
        <v>43.22</v>
      </c>
      <c r="E201">
        <v>41.83</v>
      </c>
      <c r="F201" t="s">
        <v>398</v>
      </c>
      <c r="G201" s="48">
        <f t="shared" si="3"/>
        <v>-3.9599453800637119E-2</v>
      </c>
    </row>
    <row r="202" spans="1:7">
      <c r="A202" t="s">
        <v>399</v>
      </c>
      <c r="B202">
        <v>42.1</v>
      </c>
      <c r="C202">
        <v>42.81</v>
      </c>
      <c r="D202">
        <v>43.3</v>
      </c>
      <c r="E202">
        <v>41.88</v>
      </c>
      <c r="F202" t="s">
        <v>400</v>
      </c>
      <c r="G202" s="48">
        <f t="shared" si="3"/>
        <v>-2.3696682464455776E-3</v>
      </c>
    </row>
    <row r="203" spans="1:7">
      <c r="A203" t="s">
        <v>401</v>
      </c>
      <c r="B203">
        <v>41.39</v>
      </c>
      <c r="C203">
        <v>41.89</v>
      </c>
      <c r="D203">
        <v>42.47</v>
      </c>
      <c r="E203">
        <v>41.08</v>
      </c>
      <c r="F203" t="s">
        <v>402</v>
      </c>
      <c r="G203" s="48">
        <f t="shared" si="3"/>
        <v>-1.6864608076009535E-2</v>
      </c>
    </row>
    <row r="204" spans="1:7">
      <c r="A204" t="s">
        <v>403</v>
      </c>
      <c r="B204">
        <v>42.97</v>
      </c>
      <c r="C204">
        <v>41.23</v>
      </c>
      <c r="D204">
        <v>43.25</v>
      </c>
      <c r="E204">
        <v>40.94</v>
      </c>
      <c r="F204" t="s">
        <v>404</v>
      </c>
      <c r="G204" s="48">
        <f t="shared" si="3"/>
        <v>3.8173471853104601E-2</v>
      </c>
    </row>
    <row r="205" spans="1:7">
      <c r="A205" t="s">
        <v>405</v>
      </c>
      <c r="B205">
        <v>43.66</v>
      </c>
      <c r="C205">
        <v>43.08</v>
      </c>
      <c r="D205">
        <v>43.7</v>
      </c>
      <c r="E205">
        <v>42.69</v>
      </c>
      <c r="F205" t="s">
        <v>406</v>
      </c>
      <c r="G205" s="48">
        <f t="shared" si="3"/>
        <v>1.605771468466366E-2</v>
      </c>
    </row>
    <row r="206" spans="1:7">
      <c r="A206" t="s">
        <v>407</v>
      </c>
      <c r="B206">
        <v>41.78</v>
      </c>
      <c r="C206">
        <v>43.4</v>
      </c>
      <c r="D206">
        <v>43.65</v>
      </c>
      <c r="E206">
        <v>41.56</v>
      </c>
      <c r="F206" t="s">
        <v>408</v>
      </c>
      <c r="G206" s="48">
        <f t="shared" si="3"/>
        <v>-4.3060009161703938E-2</v>
      </c>
    </row>
    <row r="207" spans="1:7">
      <c r="A207" t="s">
        <v>409</v>
      </c>
      <c r="B207">
        <v>40.33</v>
      </c>
      <c r="C207">
        <v>41.85</v>
      </c>
      <c r="D207">
        <v>42.26</v>
      </c>
      <c r="E207">
        <v>39.880000000000003</v>
      </c>
      <c r="F207" t="s">
        <v>410</v>
      </c>
      <c r="G207" s="48">
        <f t="shared" si="3"/>
        <v>-3.4705600765916778E-2</v>
      </c>
    </row>
    <row r="208" spans="1:7">
      <c r="A208" t="s">
        <v>411</v>
      </c>
      <c r="B208">
        <v>40.5</v>
      </c>
      <c r="C208">
        <v>41.13</v>
      </c>
      <c r="D208">
        <v>41.21</v>
      </c>
      <c r="E208">
        <v>40.01</v>
      </c>
      <c r="F208" t="s">
        <v>412</v>
      </c>
      <c r="G208" s="48">
        <f t="shared" si="3"/>
        <v>4.215224398710582E-3</v>
      </c>
    </row>
    <row r="209" spans="1:7">
      <c r="A209" t="s">
        <v>413</v>
      </c>
      <c r="B209">
        <v>41.16</v>
      </c>
      <c r="C209">
        <v>41.09</v>
      </c>
      <c r="D209">
        <v>41.77</v>
      </c>
      <c r="E209">
        <v>40.479999999999997</v>
      </c>
      <c r="F209" t="s">
        <v>414</v>
      </c>
      <c r="G209" s="48">
        <f t="shared" si="3"/>
        <v>1.6296296296296253E-2</v>
      </c>
    </row>
    <row r="210" spans="1:7">
      <c r="A210" t="s">
        <v>415</v>
      </c>
      <c r="B210">
        <v>40.78</v>
      </c>
      <c r="C210">
        <v>40.450000000000003</v>
      </c>
      <c r="D210">
        <v>40.880000000000003</v>
      </c>
      <c r="E210">
        <v>39.229999999999997</v>
      </c>
      <c r="F210" t="s">
        <v>416</v>
      </c>
      <c r="G210" s="48">
        <f t="shared" si="3"/>
        <v>-9.2322643343050181E-3</v>
      </c>
    </row>
    <row r="211" spans="1:7">
      <c r="A211" s="79">
        <v>44937</v>
      </c>
      <c r="B211">
        <v>42.33</v>
      </c>
      <c r="C211">
        <v>40.880000000000003</v>
      </c>
      <c r="D211">
        <v>42.38</v>
      </c>
      <c r="E211">
        <v>40.869999999999997</v>
      </c>
      <c r="F211" t="s">
        <v>417</v>
      </c>
      <c r="G211" s="48">
        <f t="shared" si="3"/>
        <v>3.8008827856792493E-2</v>
      </c>
    </row>
    <row r="212" spans="1:7">
      <c r="A212" s="79">
        <v>44968</v>
      </c>
      <c r="B212">
        <v>43.51</v>
      </c>
      <c r="C212">
        <v>43.33</v>
      </c>
      <c r="D212">
        <v>43.88</v>
      </c>
      <c r="E212">
        <v>42.89</v>
      </c>
      <c r="F212" t="s">
        <v>418</v>
      </c>
      <c r="G212" s="48">
        <f t="shared" si="3"/>
        <v>2.7876210725253925E-2</v>
      </c>
    </row>
    <row r="213" spans="1:7">
      <c r="A213" s="79">
        <v>44996</v>
      </c>
      <c r="B213">
        <v>45.01</v>
      </c>
      <c r="C213">
        <v>44.02</v>
      </c>
      <c r="D213">
        <v>45.31</v>
      </c>
      <c r="E213">
        <v>43.72</v>
      </c>
      <c r="F213" t="s">
        <v>419</v>
      </c>
      <c r="G213" s="48">
        <f t="shared" si="3"/>
        <v>3.4474833371638702E-2</v>
      </c>
    </row>
    <row r="214" spans="1:7">
      <c r="A214" s="79">
        <v>45088</v>
      </c>
      <c r="B214">
        <v>45.75</v>
      </c>
      <c r="C214">
        <v>45.28</v>
      </c>
      <c r="D214">
        <v>45.94</v>
      </c>
      <c r="E214">
        <v>44.9</v>
      </c>
      <c r="F214" t="s">
        <v>420</v>
      </c>
      <c r="G214" s="48">
        <f t="shared" si="3"/>
        <v>1.6440790935347671E-2</v>
      </c>
    </row>
    <row r="215" spans="1:7">
      <c r="A215" s="79">
        <v>45118</v>
      </c>
      <c r="B215">
        <v>45.96</v>
      </c>
      <c r="C215">
        <v>45.72</v>
      </c>
      <c r="D215">
        <v>46.22</v>
      </c>
      <c r="E215">
        <v>45.16</v>
      </c>
      <c r="F215" t="s">
        <v>421</v>
      </c>
      <c r="G215" s="48">
        <f t="shared" si="3"/>
        <v>4.5901639344263501E-3</v>
      </c>
    </row>
    <row r="216" spans="1:7">
      <c r="A216" s="79">
        <v>45149</v>
      </c>
      <c r="B216">
        <v>46.57</v>
      </c>
      <c r="C216">
        <v>46.1</v>
      </c>
      <c r="D216">
        <v>46.87</v>
      </c>
      <c r="E216">
        <v>45.97</v>
      </c>
      <c r="F216" t="s">
        <v>422</v>
      </c>
      <c r="G216" s="48">
        <f t="shared" si="3"/>
        <v>1.3272410791993039E-2</v>
      </c>
    </row>
    <row r="217" spans="1:7">
      <c r="A217" s="79">
        <v>45180</v>
      </c>
      <c r="B217">
        <v>46.95</v>
      </c>
      <c r="C217">
        <v>47.47</v>
      </c>
      <c r="D217">
        <v>48.23</v>
      </c>
      <c r="E217">
        <v>46.75</v>
      </c>
      <c r="F217" t="s">
        <v>423</v>
      </c>
      <c r="G217" s="48">
        <f t="shared" si="3"/>
        <v>8.1597595018252367E-3</v>
      </c>
    </row>
    <row r="218" spans="1:7">
      <c r="A218" s="79">
        <v>45210</v>
      </c>
      <c r="B218">
        <v>48.33</v>
      </c>
      <c r="C218">
        <v>47.5</v>
      </c>
      <c r="D218">
        <v>48.47</v>
      </c>
      <c r="E218">
        <v>47.28</v>
      </c>
      <c r="F218" t="s">
        <v>424</v>
      </c>
      <c r="G218" s="48">
        <f t="shared" si="3"/>
        <v>2.9392971246006372E-2</v>
      </c>
    </row>
    <row r="219" spans="1:7">
      <c r="A219" t="s">
        <v>425</v>
      </c>
      <c r="B219">
        <v>48.62</v>
      </c>
      <c r="C219">
        <v>48.32</v>
      </c>
      <c r="D219">
        <v>49.12</v>
      </c>
      <c r="E219">
        <v>48.1</v>
      </c>
      <c r="F219" t="s">
        <v>426</v>
      </c>
      <c r="G219" s="48">
        <f t="shared" si="3"/>
        <v>6.0004138216429581E-3</v>
      </c>
    </row>
    <row r="220" spans="1:7">
      <c r="A220" t="s">
        <v>427</v>
      </c>
      <c r="B220">
        <v>49.66</v>
      </c>
      <c r="C220">
        <v>49.68</v>
      </c>
      <c r="D220">
        <v>49.83</v>
      </c>
      <c r="E220">
        <v>49.04</v>
      </c>
      <c r="F220" t="s">
        <v>428</v>
      </c>
      <c r="G220" s="48">
        <f t="shared" si="3"/>
        <v>2.1390374331550888E-2</v>
      </c>
    </row>
    <row r="221" spans="1:7">
      <c r="A221" t="s">
        <v>429</v>
      </c>
      <c r="B221">
        <v>48.89</v>
      </c>
      <c r="C221">
        <v>49.94</v>
      </c>
      <c r="D221">
        <v>49.96</v>
      </c>
      <c r="E221">
        <v>48.2</v>
      </c>
      <c r="F221" t="s">
        <v>430</v>
      </c>
      <c r="G221" s="48">
        <f t="shared" si="3"/>
        <v>-1.5505436971405495E-2</v>
      </c>
    </row>
    <row r="222" spans="1:7">
      <c r="A222" t="s">
        <v>431</v>
      </c>
      <c r="B222">
        <v>49.48</v>
      </c>
      <c r="C222">
        <v>48.68</v>
      </c>
      <c r="D222">
        <v>49.52</v>
      </c>
      <c r="E222">
        <v>48.33</v>
      </c>
      <c r="F222" t="s">
        <v>432</v>
      </c>
      <c r="G222" s="48">
        <f t="shared" si="3"/>
        <v>1.2067907547555601E-2</v>
      </c>
    </row>
    <row r="223" spans="1:7">
      <c r="A223" t="s">
        <v>433</v>
      </c>
      <c r="B223">
        <v>49.3</v>
      </c>
      <c r="C223">
        <v>49.52</v>
      </c>
      <c r="D223">
        <v>49.72</v>
      </c>
      <c r="E223">
        <v>49.01</v>
      </c>
      <c r="F223" t="s">
        <v>434</v>
      </c>
      <c r="G223" s="48">
        <f t="shared" si="3"/>
        <v>-3.637833468067897E-3</v>
      </c>
    </row>
    <row r="224" spans="1:7">
      <c r="A224" t="s">
        <v>435</v>
      </c>
      <c r="B224">
        <v>50.41</v>
      </c>
      <c r="C224">
        <v>49.31</v>
      </c>
      <c r="D224">
        <v>50.55</v>
      </c>
      <c r="E224">
        <v>49.18</v>
      </c>
      <c r="F224" t="s">
        <v>436</v>
      </c>
      <c r="G224" s="48">
        <f t="shared" si="3"/>
        <v>2.2515212981744304E-2</v>
      </c>
    </row>
    <row r="225" spans="1:7">
      <c r="A225" t="s">
        <v>437</v>
      </c>
      <c r="B225">
        <v>49.94</v>
      </c>
      <c r="C225">
        <v>50.13</v>
      </c>
      <c r="D225">
        <v>50.52</v>
      </c>
      <c r="E225">
        <v>49.22</v>
      </c>
      <c r="F225" t="s">
        <v>438</v>
      </c>
      <c r="G225" s="48">
        <f t="shared" si="3"/>
        <v>-9.3235469152945782E-3</v>
      </c>
    </row>
    <row r="226" spans="1:7">
      <c r="A226" t="s">
        <v>439</v>
      </c>
      <c r="B226">
        <v>48.72</v>
      </c>
      <c r="C226">
        <v>49.85</v>
      </c>
      <c r="D226">
        <v>50.33</v>
      </c>
      <c r="E226">
        <v>47.69</v>
      </c>
      <c r="F226" t="s">
        <v>440</v>
      </c>
      <c r="G226" s="48">
        <f t="shared" si="3"/>
        <v>-2.4429315178213784E-2</v>
      </c>
    </row>
    <row r="227" spans="1:7">
      <c r="A227" t="s">
        <v>441</v>
      </c>
      <c r="B227">
        <v>47.78</v>
      </c>
      <c r="C227">
        <v>48.47</v>
      </c>
      <c r="D227">
        <v>48.92</v>
      </c>
      <c r="E227">
        <v>47.74</v>
      </c>
      <c r="F227" t="s">
        <v>442</v>
      </c>
      <c r="G227" s="48">
        <f t="shared" si="3"/>
        <v>-1.9293924466338264E-2</v>
      </c>
    </row>
    <row r="228" spans="1:7">
      <c r="A228" t="s">
        <v>443</v>
      </c>
      <c r="B228">
        <v>48.24</v>
      </c>
      <c r="C228">
        <v>47.8</v>
      </c>
      <c r="D228">
        <v>48.53</v>
      </c>
      <c r="E228">
        <v>47.65</v>
      </c>
      <c r="F228" t="s">
        <v>191</v>
      </c>
      <c r="G228" s="48">
        <f t="shared" si="3"/>
        <v>9.6274591879448312E-3</v>
      </c>
    </row>
    <row r="229" spans="1:7">
      <c r="A229" t="s">
        <v>444</v>
      </c>
      <c r="B229">
        <v>47.82</v>
      </c>
      <c r="C229">
        <v>48.24</v>
      </c>
      <c r="D229">
        <v>48.32</v>
      </c>
      <c r="E229">
        <v>47.47</v>
      </c>
      <c r="F229" t="s">
        <v>445</v>
      </c>
      <c r="G229" s="48">
        <f t="shared" si="3"/>
        <v>-8.7064676616915859E-3</v>
      </c>
    </row>
    <row r="230" spans="1:7">
      <c r="A230" t="s">
        <v>446</v>
      </c>
      <c r="B230">
        <v>48.14</v>
      </c>
      <c r="C230">
        <v>48.38</v>
      </c>
      <c r="D230">
        <v>48.76</v>
      </c>
      <c r="E230">
        <v>47.86</v>
      </c>
      <c r="F230" t="s">
        <v>447</v>
      </c>
      <c r="G230" s="48">
        <f t="shared" si="3"/>
        <v>6.6917607695524683E-3</v>
      </c>
    </row>
    <row r="231" spans="1:7">
      <c r="A231" t="s">
        <v>448</v>
      </c>
      <c r="B231">
        <v>46.77</v>
      </c>
      <c r="C231">
        <v>48.02</v>
      </c>
      <c r="D231">
        <v>48.11</v>
      </c>
      <c r="E231">
        <v>46.42</v>
      </c>
      <c r="F231" t="s">
        <v>449</v>
      </c>
      <c r="G231" s="48">
        <f t="shared" si="3"/>
        <v>-2.8458662235147481E-2</v>
      </c>
    </row>
    <row r="232" spans="1:7">
      <c r="A232" s="79">
        <v>44938</v>
      </c>
      <c r="B232">
        <v>46.76</v>
      </c>
      <c r="C232">
        <v>46.53</v>
      </c>
      <c r="D232">
        <v>47.2</v>
      </c>
      <c r="E232">
        <v>46.19</v>
      </c>
      <c r="F232" t="s">
        <v>450</v>
      </c>
      <c r="G232" s="48">
        <f t="shared" si="3"/>
        <v>-2.1381227282457616E-4</v>
      </c>
    </row>
    <row r="233" spans="1:7">
      <c r="A233" s="79">
        <v>45028</v>
      </c>
      <c r="B233">
        <v>45.51</v>
      </c>
      <c r="C233">
        <v>46.08</v>
      </c>
      <c r="D233">
        <v>46.08</v>
      </c>
      <c r="E233">
        <v>45.01</v>
      </c>
      <c r="F233" t="s">
        <v>451</v>
      </c>
      <c r="G233" s="48">
        <f t="shared" si="3"/>
        <v>-2.6732249786141971E-2</v>
      </c>
    </row>
    <row r="234" spans="1:7">
      <c r="A234" s="79">
        <v>45058</v>
      </c>
      <c r="B234">
        <v>46.57</v>
      </c>
      <c r="C234">
        <v>45.47</v>
      </c>
      <c r="D234">
        <v>46.6</v>
      </c>
      <c r="E234">
        <v>45.27</v>
      </c>
      <c r="F234" t="s">
        <v>452</v>
      </c>
      <c r="G234" s="48">
        <f t="shared" si="3"/>
        <v>2.3291584267194132E-2</v>
      </c>
    </row>
    <row r="235" spans="1:7">
      <c r="A235" s="79">
        <v>45089</v>
      </c>
      <c r="B235">
        <v>45.5</v>
      </c>
      <c r="C235">
        <v>47.21</v>
      </c>
      <c r="D235">
        <v>47.39</v>
      </c>
      <c r="E235">
        <v>45.41</v>
      </c>
      <c r="F235" t="s">
        <v>453</v>
      </c>
      <c r="G235" s="48">
        <f t="shared" si="3"/>
        <v>-2.2976164913034114E-2</v>
      </c>
    </row>
    <row r="236" spans="1:7">
      <c r="A236" s="79">
        <v>45119</v>
      </c>
      <c r="B236">
        <v>46.6</v>
      </c>
      <c r="C236">
        <v>45.7</v>
      </c>
      <c r="D236">
        <v>46.63</v>
      </c>
      <c r="E236">
        <v>45.6</v>
      </c>
      <c r="F236" t="s">
        <v>454</v>
      </c>
      <c r="G236" s="48">
        <f t="shared" si="3"/>
        <v>2.4175824175824312E-2</v>
      </c>
    </row>
    <row r="237" spans="1:7">
      <c r="A237" s="79">
        <v>45150</v>
      </c>
      <c r="B237">
        <v>47.51</v>
      </c>
      <c r="C237">
        <v>46.6</v>
      </c>
      <c r="D237">
        <v>47.74</v>
      </c>
      <c r="E237">
        <v>46.55</v>
      </c>
      <c r="F237" t="s">
        <v>455</v>
      </c>
      <c r="G237" s="48">
        <f t="shared" si="3"/>
        <v>1.9527896995708005E-2</v>
      </c>
    </row>
    <row r="238" spans="1:7">
      <c r="A238" s="79">
        <v>45242</v>
      </c>
      <c r="B238">
        <v>46.63</v>
      </c>
      <c r="C238">
        <v>47.49</v>
      </c>
      <c r="D238">
        <v>47.53</v>
      </c>
      <c r="E238">
        <v>45.83</v>
      </c>
      <c r="F238" t="s">
        <v>456</v>
      </c>
      <c r="G238" s="48">
        <f t="shared" si="3"/>
        <v>-1.8522416333403346E-2</v>
      </c>
    </row>
    <row r="239" spans="1:7">
      <c r="A239" s="79">
        <v>45272</v>
      </c>
      <c r="B239">
        <v>47.66</v>
      </c>
      <c r="C239">
        <v>46.05</v>
      </c>
      <c r="D239">
        <v>47.67</v>
      </c>
      <c r="E239">
        <v>46.05</v>
      </c>
      <c r="F239" t="s">
        <v>457</v>
      </c>
      <c r="G239" s="48">
        <f t="shared" si="3"/>
        <v>2.2088784044606458E-2</v>
      </c>
    </row>
    <row r="240" spans="1:7">
      <c r="A240" t="s">
        <v>458</v>
      </c>
      <c r="B240">
        <v>48.09</v>
      </c>
      <c r="C240">
        <v>47.63</v>
      </c>
      <c r="D240">
        <v>48.59</v>
      </c>
      <c r="E240">
        <v>47.61</v>
      </c>
      <c r="F240" t="s">
        <v>459</v>
      </c>
      <c r="G240" s="48">
        <f t="shared" si="3"/>
        <v>9.0222408728495296E-3</v>
      </c>
    </row>
    <row r="241" spans="1:7">
      <c r="A241" t="s">
        <v>460</v>
      </c>
      <c r="B241">
        <v>48.35</v>
      </c>
      <c r="C241">
        <v>48.39</v>
      </c>
      <c r="D241">
        <v>48.67</v>
      </c>
      <c r="E241">
        <v>47.42</v>
      </c>
      <c r="F241" t="s">
        <v>461</v>
      </c>
      <c r="G241" s="48">
        <f t="shared" si="3"/>
        <v>5.4065294239966644E-3</v>
      </c>
    </row>
    <row r="242" spans="1:7">
      <c r="A242" t="s">
        <v>462</v>
      </c>
      <c r="B242">
        <v>48.89</v>
      </c>
      <c r="C242">
        <v>48.19</v>
      </c>
      <c r="D242">
        <v>49.4</v>
      </c>
      <c r="E242">
        <v>48.12</v>
      </c>
      <c r="F242" t="s">
        <v>463</v>
      </c>
      <c r="G242" s="48">
        <f t="shared" si="3"/>
        <v>1.1168562564632945E-2</v>
      </c>
    </row>
    <row r="243" spans="1:7">
      <c r="A243" t="s">
        <v>464</v>
      </c>
      <c r="B243">
        <v>50.08</v>
      </c>
      <c r="C243">
        <v>49.4</v>
      </c>
      <c r="D243">
        <v>50.43</v>
      </c>
      <c r="E243">
        <v>49.15</v>
      </c>
      <c r="F243" t="s">
        <v>465</v>
      </c>
      <c r="G243" s="48">
        <f t="shared" si="3"/>
        <v>2.4340355901002253E-2</v>
      </c>
    </row>
    <row r="244" spans="1:7">
      <c r="A244" t="s">
        <v>466</v>
      </c>
      <c r="B244">
        <v>49.6</v>
      </c>
      <c r="C244">
        <v>49.42</v>
      </c>
      <c r="D244">
        <v>49.7</v>
      </c>
      <c r="E244">
        <v>48.9</v>
      </c>
      <c r="F244" t="s">
        <v>467</v>
      </c>
      <c r="G244" s="48">
        <f t="shared" si="3"/>
        <v>-9.5846645367411165E-3</v>
      </c>
    </row>
    <row r="245" spans="1:7">
      <c r="A245" t="s">
        <v>468</v>
      </c>
      <c r="B245">
        <v>48.11</v>
      </c>
      <c r="C245">
        <v>49.65</v>
      </c>
      <c r="D245">
        <v>50</v>
      </c>
      <c r="E245">
        <v>48.1</v>
      </c>
      <c r="F245" t="s">
        <v>469</v>
      </c>
      <c r="G245" s="48">
        <f t="shared" si="3"/>
        <v>-3.0040322580645151E-2</v>
      </c>
    </row>
    <row r="246" spans="1:7">
      <c r="A246" t="s">
        <v>470</v>
      </c>
      <c r="B246">
        <v>48.99</v>
      </c>
      <c r="C246">
        <v>48.81</v>
      </c>
      <c r="D246">
        <v>49.1</v>
      </c>
      <c r="E246">
        <v>48.42</v>
      </c>
      <c r="F246" t="s">
        <v>471</v>
      </c>
      <c r="G246" s="48">
        <f t="shared" si="3"/>
        <v>1.8291415506131781E-2</v>
      </c>
    </row>
    <row r="247" spans="1:7">
      <c r="A247" t="s">
        <v>472</v>
      </c>
      <c r="B247">
        <v>48.83</v>
      </c>
      <c r="C247">
        <v>49.19</v>
      </c>
      <c r="D247">
        <v>49.38</v>
      </c>
      <c r="E247">
        <v>48.47</v>
      </c>
      <c r="F247" t="s">
        <v>473</v>
      </c>
      <c r="G247" s="48">
        <f t="shared" si="3"/>
        <v>-3.2659726474791873E-3</v>
      </c>
    </row>
    <row r="248" spans="1:7">
      <c r="A248" t="s">
        <v>474</v>
      </c>
      <c r="B248">
        <v>49.28</v>
      </c>
      <c r="C248">
        <v>48.97</v>
      </c>
      <c r="D248">
        <v>49.6</v>
      </c>
      <c r="E248">
        <v>48.96</v>
      </c>
      <c r="F248" t="s">
        <v>475</v>
      </c>
      <c r="G248" s="48">
        <f t="shared" si="3"/>
        <v>9.2156461191890138E-3</v>
      </c>
    </row>
    <row r="249" spans="1:7">
      <c r="A249" t="s">
        <v>476</v>
      </c>
      <c r="B249">
        <v>49.42</v>
      </c>
      <c r="C249">
        <v>49.51</v>
      </c>
      <c r="D249">
        <v>49.68</v>
      </c>
      <c r="E249">
        <v>49.08</v>
      </c>
      <c r="F249" t="s">
        <v>477</v>
      </c>
      <c r="G249" s="48">
        <f t="shared" si="3"/>
        <v>2.8409090909091717E-3</v>
      </c>
    </row>
    <row r="250" spans="1:7">
      <c r="A250" t="s">
        <v>478</v>
      </c>
      <c r="B250">
        <v>49.52</v>
      </c>
      <c r="C250">
        <v>49.64</v>
      </c>
      <c r="D250">
        <v>49.88</v>
      </c>
      <c r="E250">
        <v>49.41</v>
      </c>
      <c r="F250" t="s">
        <v>479</v>
      </c>
      <c r="G250" s="48">
        <f t="shared" si="3"/>
        <v>2.0234722784298054E-3</v>
      </c>
    </row>
    <row r="251" spans="1:7">
      <c r="A251" t="s">
        <v>480</v>
      </c>
      <c r="B251">
        <v>49.52</v>
      </c>
      <c r="C251">
        <v>49.81</v>
      </c>
      <c r="D251">
        <v>50</v>
      </c>
      <c r="E251">
        <v>48.75</v>
      </c>
      <c r="F251" t="s">
        <v>481</v>
      </c>
      <c r="G251" s="48">
        <f t="shared" si="3"/>
        <v>0</v>
      </c>
    </row>
    <row r="252" spans="1:7">
      <c r="A252" s="79">
        <v>45323</v>
      </c>
      <c r="B252">
        <v>48.17</v>
      </c>
      <c r="C252">
        <v>49.24</v>
      </c>
      <c r="D252">
        <v>49.29</v>
      </c>
      <c r="E252">
        <v>47.6</v>
      </c>
      <c r="F252" t="s">
        <v>482</v>
      </c>
      <c r="G252" s="48">
        <f t="shared" si="3"/>
        <v>-2.726171243941844E-2</v>
      </c>
    </row>
    <row r="253" spans="1:7">
      <c r="A253" s="79">
        <v>45352</v>
      </c>
      <c r="B253">
        <v>47.57</v>
      </c>
      <c r="C253">
        <v>47.49</v>
      </c>
      <c r="D253">
        <v>48.18</v>
      </c>
      <c r="E253">
        <v>47.32</v>
      </c>
      <c r="F253" t="s">
        <v>483</v>
      </c>
      <c r="G253" s="48">
        <f t="shared" si="3"/>
        <v>-1.2455885405854294E-2</v>
      </c>
    </row>
    <row r="254" spans="1:7">
      <c r="A254" s="79">
        <v>45383</v>
      </c>
      <c r="B254">
        <v>48</v>
      </c>
      <c r="C254">
        <v>47.77</v>
      </c>
      <c r="D254">
        <v>48.5</v>
      </c>
      <c r="E254">
        <v>47.51</v>
      </c>
      <c r="F254" t="s">
        <v>484</v>
      </c>
      <c r="G254" s="48">
        <f t="shared" si="3"/>
        <v>9.0393104898045529E-3</v>
      </c>
    </row>
    <row r="255" spans="1:7">
      <c r="A255" s="79">
        <v>45413</v>
      </c>
      <c r="B255">
        <v>49.1</v>
      </c>
      <c r="C255">
        <v>48.46</v>
      </c>
      <c r="D255">
        <v>49.55</v>
      </c>
      <c r="E255">
        <v>48.31</v>
      </c>
      <c r="F255" t="s">
        <v>485</v>
      </c>
      <c r="G255" s="48">
        <f t="shared" si="3"/>
        <v>2.2916666666666696E-2</v>
      </c>
    </row>
    <row r="256" spans="1:7">
      <c r="A256" s="79">
        <v>45505</v>
      </c>
      <c r="B256">
        <v>52.25</v>
      </c>
      <c r="C256">
        <v>49.51</v>
      </c>
      <c r="D256">
        <v>52.28</v>
      </c>
      <c r="E256">
        <v>49.48</v>
      </c>
      <c r="F256" t="s">
        <v>486</v>
      </c>
      <c r="G256" s="48">
        <f t="shared" si="3"/>
        <v>6.4154786150712795E-2</v>
      </c>
    </row>
    <row r="257" spans="1:7">
      <c r="A257" s="79">
        <v>45536</v>
      </c>
      <c r="B257">
        <v>53.14</v>
      </c>
      <c r="C257">
        <v>52.4</v>
      </c>
      <c r="D257">
        <v>54.33</v>
      </c>
      <c r="E257">
        <v>51.69</v>
      </c>
      <c r="F257" t="s">
        <v>487</v>
      </c>
      <c r="G257" s="48">
        <f t="shared" si="3"/>
        <v>1.7033492822966512E-2</v>
      </c>
    </row>
    <row r="258" spans="1:7">
      <c r="A258" s="79">
        <v>45566</v>
      </c>
      <c r="B258">
        <v>54.35</v>
      </c>
      <c r="C258">
        <v>53.62</v>
      </c>
      <c r="D258">
        <v>54.6</v>
      </c>
      <c r="E258">
        <v>53.49</v>
      </c>
      <c r="F258" t="s">
        <v>488</v>
      </c>
      <c r="G258" s="48">
        <f t="shared" si="3"/>
        <v>2.2770041400075325E-2</v>
      </c>
    </row>
    <row r="259" spans="1:7">
      <c r="A259" s="79">
        <v>45597</v>
      </c>
      <c r="B259">
        <v>54.82</v>
      </c>
      <c r="C259">
        <v>55</v>
      </c>
      <c r="D259">
        <v>55.35</v>
      </c>
      <c r="E259">
        <v>53.56</v>
      </c>
      <c r="F259" t="s">
        <v>489</v>
      </c>
      <c r="G259" s="48">
        <f t="shared" si="3"/>
        <v>8.6476540938362767E-3</v>
      </c>
    </row>
    <row r="260" spans="1:7">
      <c r="A260" s="79">
        <v>45627</v>
      </c>
      <c r="B260">
        <v>54.71</v>
      </c>
      <c r="C260">
        <v>54.62</v>
      </c>
      <c r="D260">
        <v>54.97</v>
      </c>
      <c r="E260">
        <v>54.33</v>
      </c>
      <c r="F260" t="s">
        <v>490</v>
      </c>
      <c r="G260" s="48">
        <f t="shared" ref="G260:G323" si="4">B260/B259-1</f>
        <v>-2.0065669463699143E-3</v>
      </c>
    </row>
    <row r="261" spans="1:7">
      <c r="A261" t="s">
        <v>491</v>
      </c>
      <c r="B261">
        <v>56.38</v>
      </c>
      <c r="C261">
        <v>55.02</v>
      </c>
      <c r="D261">
        <v>56.83</v>
      </c>
      <c r="E261">
        <v>54.9</v>
      </c>
      <c r="F261" t="s">
        <v>492</v>
      </c>
      <c r="G261" s="48">
        <f t="shared" si="4"/>
        <v>3.0524584171083946E-2</v>
      </c>
    </row>
    <row r="262" spans="1:7">
      <c r="A262" t="s">
        <v>493</v>
      </c>
      <c r="B262">
        <v>56.05</v>
      </c>
      <c r="C262">
        <v>56.35</v>
      </c>
      <c r="D262">
        <v>56.47</v>
      </c>
      <c r="E262">
        <v>54.74</v>
      </c>
      <c r="F262" t="s">
        <v>494</v>
      </c>
      <c r="G262" s="48">
        <f t="shared" si="4"/>
        <v>-5.8531394111388524E-3</v>
      </c>
    </row>
    <row r="263" spans="1:7">
      <c r="A263" t="s">
        <v>495</v>
      </c>
      <c r="B263">
        <v>57.11</v>
      </c>
      <c r="C263">
        <v>57.26</v>
      </c>
      <c r="D263">
        <v>57.6</v>
      </c>
      <c r="E263">
        <v>56.11</v>
      </c>
      <c r="F263" t="s">
        <v>496</v>
      </c>
      <c r="G263" s="48">
        <f t="shared" si="4"/>
        <v>1.8911685994647653E-2</v>
      </c>
    </row>
    <row r="264" spans="1:7">
      <c r="A264" t="s">
        <v>497</v>
      </c>
      <c r="B264">
        <v>59.49</v>
      </c>
      <c r="C264">
        <v>57.99</v>
      </c>
      <c r="D264">
        <v>59.5</v>
      </c>
      <c r="E264">
        <v>57.22</v>
      </c>
      <c r="F264" t="s">
        <v>498</v>
      </c>
      <c r="G264" s="48">
        <f t="shared" si="4"/>
        <v>4.1673962528453901E-2</v>
      </c>
    </row>
    <row r="265" spans="1:7">
      <c r="A265" t="s">
        <v>499</v>
      </c>
      <c r="B265">
        <v>59.65</v>
      </c>
      <c r="C265">
        <v>60.05</v>
      </c>
      <c r="D265">
        <v>60.33</v>
      </c>
      <c r="E265">
        <v>59.07</v>
      </c>
      <c r="F265" t="s">
        <v>500</v>
      </c>
      <c r="G265" s="48">
        <f t="shared" si="4"/>
        <v>2.6895276517060474E-3</v>
      </c>
    </row>
    <row r="266" spans="1:7">
      <c r="A266" t="s">
        <v>501</v>
      </c>
      <c r="B266">
        <v>59.87</v>
      </c>
      <c r="C266">
        <v>59.57</v>
      </c>
      <c r="D266">
        <v>59.91</v>
      </c>
      <c r="E266">
        <v>58.58</v>
      </c>
      <c r="F266" t="s">
        <v>502</v>
      </c>
      <c r="G266" s="48">
        <f t="shared" si="4"/>
        <v>3.6881810561608663E-3</v>
      </c>
    </row>
    <row r="267" spans="1:7">
      <c r="A267" t="s">
        <v>503</v>
      </c>
      <c r="B267">
        <v>61.36</v>
      </c>
      <c r="C267">
        <v>60.3</v>
      </c>
      <c r="D267">
        <v>62.85</v>
      </c>
      <c r="E267">
        <v>59.94</v>
      </c>
      <c r="F267" t="s">
        <v>504</v>
      </c>
      <c r="G267" s="48">
        <f t="shared" si="4"/>
        <v>2.4887255720728252E-2</v>
      </c>
    </row>
    <row r="268" spans="1:7">
      <c r="A268" t="s">
        <v>505</v>
      </c>
      <c r="B268">
        <v>61.62</v>
      </c>
      <c r="C268">
        <v>62.35</v>
      </c>
      <c r="D268">
        <v>62.72</v>
      </c>
      <c r="E268">
        <v>60.85</v>
      </c>
      <c r="F268" t="s">
        <v>506</v>
      </c>
      <c r="G268" s="48">
        <f t="shared" si="4"/>
        <v>4.237288135593209E-3</v>
      </c>
    </row>
    <row r="269" spans="1:7">
      <c r="A269" t="s">
        <v>507</v>
      </c>
      <c r="B269">
        <v>61.03</v>
      </c>
      <c r="C269">
        <v>60.96</v>
      </c>
      <c r="D269">
        <v>61.78</v>
      </c>
      <c r="E269">
        <v>60.57</v>
      </c>
      <c r="F269" t="s">
        <v>508</v>
      </c>
      <c r="G269" s="48">
        <f t="shared" si="4"/>
        <v>-9.5748133722817208E-3</v>
      </c>
    </row>
    <row r="270" spans="1:7">
      <c r="A270" t="s">
        <v>509</v>
      </c>
      <c r="B270">
        <v>62.47</v>
      </c>
      <c r="C270">
        <v>61.23</v>
      </c>
      <c r="D270">
        <v>62.49</v>
      </c>
      <c r="E270">
        <v>60.91</v>
      </c>
      <c r="F270" t="s">
        <v>510</v>
      </c>
      <c r="G270" s="48">
        <f t="shared" si="4"/>
        <v>2.3594953301654842E-2</v>
      </c>
    </row>
    <row r="271" spans="1:7">
      <c r="A271" t="s">
        <v>511</v>
      </c>
      <c r="B271">
        <v>62.77</v>
      </c>
      <c r="C271">
        <v>62.9</v>
      </c>
      <c r="D271">
        <v>63.49</v>
      </c>
      <c r="E271">
        <v>62.26</v>
      </c>
      <c r="F271" t="s">
        <v>512</v>
      </c>
      <c r="G271" s="48">
        <f t="shared" si="4"/>
        <v>4.8023051064511879E-3</v>
      </c>
    </row>
    <row r="272" spans="1:7">
      <c r="A272" t="s">
        <v>513</v>
      </c>
      <c r="B272">
        <v>61.53</v>
      </c>
      <c r="C272">
        <v>61.44</v>
      </c>
      <c r="D272">
        <v>62.27</v>
      </c>
      <c r="E272">
        <v>60.7</v>
      </c>
      <c r="F272" t="s">
        <v>514</v>
      </c>
      <c r="G272" s="48">
        <f t="shared" si="4"/>
        <v>-1.9754659869364422E-2</v>
      </c>
    </row>
    <row r="273" spans="1:7">
      <c r="A273" s="79">
        <v>45293</v>
      </c>
      <c r="B273">
        <v>63.03</v>
      </c>
      <c r="C273">
        <v>62.1</v>
      </c>
      <c r="D273">
        <v>63.19</v>
      </c>
      <c r="E273">
        <v>61.65</v>
      </c>
      <c r="F273" t="s">
        <v>515</v>
      </c>
      <c r="G273" s="48">
        <f t="shared" si="4"/>
        <v>2.4378352023403327E-2</v>
      </c>
    </row>
    <row r="274" spans="1:7">
      <c r="A274" s="79">
        <v>45324</v>
      </c>
      <c r="B274">
        <v>66.16</v>
      </c>
      <c r="C274">
        <v>63.97</v>
      </c>
      <c r="D274">
        <v>66.599999999999994</v>
      </c>
      <c r="E274">
        <v>63.69</v>
      </c>
      <c r="F274" t="s">
        <v>516</v>
      </c>
      <c r="G274" s="48">
        <f t="shared" si="4"/>
        <v>4.9658892590829673E-2</v>
      </c>
    </row>
    <row r="275" spans="1:7">
      <c r="A275" s="79">
        <v>45414</v>
      </c>
      <c r="B275">
        <v>69.33</v>
      </c>
      <c r="C275">
        <v>68.22</v>
      </c>
      <c r="D275">
        <v>69.5</v>
      </c>
      <c r="E275">
        <v>67.209999999999994</v>
      </c>
      <c r="F275" t="s">
        <v>517</v>
      </c>
      <c r="G275" s="48">
        <f t="shared" si="4"/>
        <v>4.7914147521160855E-2</v>
      </c>
    </row>
    <row r="276" spans="1:7">
      <c r="A276" s="79">
        <v>45445</v>
      </c>
      <c r="B276">
        <v>68.22</v>
      </c>
      <c r="C276">
        <v>69.63</v>
      </c>
      <c r="D276">
        <v>69.75</v>
      </c>
      <c r="E276">
        <v>66.3</v>
      </c>
      <c r="F276" t="s">
        <v>518</v>
      </c>
      <c r="G276" s="48">
        <f t="shared" si="4"/>
        <v>-1.6010385114669012E-2</v>
      </c>
    </row>
    <row r="277" spans="1:7">
      <c r="A277" s="79">
        <v>45475</v>
      </c>
      <c r="B277">
        <v>70.099999999999994</v>
      </c>
      <c r="C277">
        <v>68.319999999999993</v>
      </c>
      <c r="D277">
        <v>70.22</v>
      </c>
      <c r="E277">
        <v>67.599999999999994</v>
      </c>
      <c r="F277" t="s">
        <v>519</v>
      </c>
      <c r="G277" s="48">
        <f t="shared" si="4"/>
        <v>2.7557900908824262E-2</v>
      </c>
    </row>
    <row r="278" spans="1:7">
      <c r="A278" s="79">
        <v>45506</v>
      </c>
      <c r="B278">
        <v>69.64</v>
      </c>
      <c r="C278">
        <v>70.069999999999993</v>
      </c>
      <c r="D278">
        <v>70.790000000000006</v>
      </c>
      <c r="E278">
        <v>69.459999999999994</v>
      </c>
      <c r="F278" t="s">
        <v>520</v>
      </c>
      <c r="G278" s="48">
        <f t="shared" si="4"/>
        <v>-6.5620542082738265E-3</v>
      </c>
    </row>
    <row r="279" spans="1:7">
      <c r="A279" s="79">
        <v>45537</v>
      </c>
      <c r="B279">
        <v>72.13</v>
      </c>
      <c r="C279">
        <v>70.53</v>
      </c>
      <c r="D279">
        <v>72.180000000000007</v>
      </c>
      <c r="E279">
        <v>70.209999999999994</v>
      </c>
      <c r="F279" t="s">
        <v>521</v>
      </c>
      <c r="G279" s="48">
        <f t="shared" si="4"/>
        <v>3.575531303848356E-2</v>
      </c>
    </row>
    <row r="280" spans="1:7">
      <c r="A280" s="79">
        <v>45628</v>
      </c>
      <c r="B280">
        <v>72.25</v>
      </c>
      <c r="C280">
        <v>72.599999999999994</v>
      </c>
      <c r="D280">
        <v>74.61</v>
      </c>
      <c r="E280">
        <v>71.25</v>
      </c>
      <c r="F280" t="s">
        <v>522</v>
      </c>
      <c r="G280" s="48">
        <f t="shared" si="4"/>
        <v>1.6636628309996127E-3</v>
      </c>
    </row>
    <row r="281" spans="1:7">
      <c r="A281" t="s">
        <v>523</v>
      </c>
      <c r="B281">
        <v>72.13</v>
      </c>
      <c r="C281">
        <v>70.400000000000006</v>
      </c>
      <c r="D281">
        <v>73.45</v>
      </c>
      <c r="E281">
        <v>69.62</v>
      </c>
      <c r="F281" t="s">
        <v>524</v>
      </c>
      <c r="G281" s="48">
        <f t="shared" si="4"/>
        <v>-1.6608996539793086E-3</v>
      </c>
    </row>
    <row r="282" spans="1:7">
      <c r="A282" t="s">
        <v>525</v>
      </c>
      <c r="B282">
        <v>73.900000000000006</v>
      </c>
      <c r="C282">
        <v>73.2</v>
      </c>
      <c r="D282">
        <v>74.239999999999995</v>
      </c>
      <c r="E282">
        <v>71.94</v>
      </c>
      <c r="F282" t="s">
        <v>526</v>
      </c>
      <c r="G282" s="48">
        <f t="shared" si="4"/>
        <v>2.4539026757244065E-2</v>
      </c>
    </row>
    <row r="283" spans="1:7">
      <c r="A283" t="s">
        <v>527</v>
      </c>
      <c r="B283">
        <v>72.66</v>
      </c>
      <c r="C283">
        <v>73.87</v>
      </c>
      <c r="D283">
        <v>73.97</v>
      </c>
      <c r="E283">
        <v>72.400000000000006</v>
      </c>
      <c r="F283" t="s">
        <v>528</v>
      </c>
      <c r="G283" s="48">
        <f t="shared" si="4"/>
        <v>-1.6779431664411537E-2</v>
      </c>
    </row>
    <row r="284" spans="1:7">
      <c r="A284" t="s">
        <v>529</v>
      </c>
      <c r="B284">
        <v>72.61</v>
      </c>
      <c r="C284">
        <v>74.099999999999994</v>
      </c>
      <c r="D284">
        <v>74.400000000000006</v>
      </c>
      <c r="E284">
        <v>72.5</v>
      </c>
      <c r="F284" t="s">
        <v>530</v>
      </c>
      <c r="G284" s="48">
        <f t="shared" si="4"/>
        <v>-6.8813652628674227E-4</v>
      </c>
    </row>
    <row r="285" spans="1:7">
      <c r="A285" t="s">
        <v>531</v>
      </c>
      <c r="B285">
        <v>69.45</v>
      </c>
      <c r="C285">
        <v>71.95</v>
      </c>
      <c r="D285">
        <v>71.959999999999994</v>
      </c>
      <c r="E285">
        <v>67.73</v>
      </c>
      <c r="F285" t="s">
        <v>532</v>
      </c>
      <c r="G285" s="48">
        <f t="shared" si="4"/>
        <v>-4.3520176284258305E-2</v>
      </c>
    </row>
    <row r="286" spans="1:7">
      <c r="A286" t="s">
        <v>533</v>
      </c>
      <c r="B286">
        <v>67.47</v>
      </c>
      <c r="C286">
        <v>68.010000000000005</v>
      </c>
      <c r="D286">
        <v>68.89</v>
      </c>
      <c r="E286">
        <v>66.25</v>
      </c>
      <c r="F286" t="s">
        <v>534</v>
      </c>
      <c r="G286" s="48">
        <f t="shared" si="4"/>
        <v>-2.850971922246226E-2</v>
      </c>
    </row>
    <row r="287" spans="1:7">
      <c r="A287" t="s">
        <v>535</v>
      </c>
      <c r="B287">
        <v>78.540000000000006</v>
      </c>
      <c r="C287">
        <v>75.03</v>
      </c>
      <c r="D287">
        <v>78.569999999999993</v>
      </c>
      <c r="E287">
        <v>74.22</v>
      </c>
      <c r="F287" t="s">
        <v>536</v>
      </c>
      <c r="G287" s="48">
        <f t="shared" si="4"/>
        <v>0.16407292129835493</v>
      </c>
    </row>
    <row r="288" spans="1:7">
      <c r="A288" t="s">
        <v>537</v>
      </c>
      <c r="B288">
        <v>78.819999999999993</v>
      </c>
      <c r="C288">
        <v>80.790000000000006</v>
      </c>
      <c r="D288">
        <v>82.39</v>
      </c>
      <c r="E288">
        <v>77.569999999999993</v>
      </c>
      <c r="F288" t="s">
        <v>538</v>
      </c>
      <c r="G288" s="48">
        <f t="shared" si="4"/>
        <v>3.5650623885916666E-3</v>
      </c>
    </row>
    <row r="289" spans="1:7">
      <c r="A289" t="s">
        <v>539</v>
      </c>
      <c r="B289">
        <v>79.09</v>
      </c>
      <c r="C289">
        <v>79.7</v>
      </c>
      <c r="D289">
        <v>80.650000000000006</v>
      </c>
      <c r="E289">
        <v>78.5</v>
      </c>
      <c r="F289" t="s">
        <v>540</v>
      </c>
      <c r="G289" s="48">
        <f t="shared" si="4"/>
        <v>3.4255265161127202E-3</v>
      </c>
    </row>
    <row r="290" spans="1:7">
      <c r="A290" t="s">
        <v>541</v>
      </c>
      <c r="B290">
        <v>78.7</v>
      </c>
      <c r="C290">
        <v>79.38</v>
      </c>
      <c r="D290">
        <v>79.48</v>
      </c>
      <c r="E290">
        <v>77.16</v>
      </c>
      <c r="F290" t="s">
        <v>542</v>
      </c>
      <c r="G290" s="48">
        <f t="shared" si="4"/>
        <v>-4.931091161967438E-3</v>
      </c>
    </row>
    <row r="291" spans="1:7">
      <c r="A291" t="s">
        <v>543</v>
      </c>
      <c r="B291">
        <v>77.66</v>
      </c>
      <c r="C291">
        <v>77.62</v>
      </c>
      <c r="D291">
        <v>78.930000000000007</v>
      </c>
      <c r="E291">
        <v>77.13</v>
      </c>
      <c r="F291" t="s">
        <v>544</v>
      </c>
      <c r="G291" s="48">
        <f t="shared" si="4"/>
        <v>-1.3214739517153795E-2</v>
      </c>
    </row>
    <row r="292" spans="1:7">
      <c r="A292" t="s">
        <v>545</v>
      </c>
      <c r="B292">
        <v>79.11</v>
      </c>
      <c r="C292">
        <v>79.09</v>
      </c>
      <c r="D292">
        <v>79.989999999999995</v>
      </c>
      <c r="E292">
        <v>78.349999999999994</v>
      </c>
      <c r="F292" t="s">
        <v>546</v>
      </c>
      <c r="G292" s="48">
        <f t="shared" si="4"/>
        <v>1.8671130569147598E-2</v>
      </c>
    </row>
    <row r="293" spans="1:7">
      <c r="A293" s="79">
        <v>45294</v>
      </c>
      <c r="B293">
        <v>82.28</v>
      </c>
      <c r="C293">
        <v>80</v>
      </c>
      <c r="D293">
        <v>82.3</v>
      </c>
      <c r="E293">
        <v>79.44</v>
      </c>
      <c r="F293" t="s">
        <v>547</v>
      </c>
      <c r="G293" s="48">
        <f t="shared" si="4"/>
        <v>4.0070787511060635E-2</v>
      </c>
    </row>
    <row r="294" spans="1:7">
      <c r="A294" s="79">
        <v>45385</v>
      </c>
      <c r="B294">
        <v>85.24</v>
      </c>
      <c r="C294">
        <v>84.13</v>
      </c>
      <c r="D294">
        <v>87.69</v>
      </c>
      <c r="E294">
        <v>83.72</v>
      </c>
      <c r="F294" t="s">
        <v>548</v>
      </c>
      <c r="G294" s="48">
        <f t="shared" si="4"/>
        <v>3.5974720466698917E-2</v>
      </c>
    </row>
    <row r="295" spans="1:7">
      <c r="A295" s="79">
        <v>45415</v>
      </c>
      <c r="B295">
        <v>85.96</v>
      </c>
      <c r="C295">
        <v>85.27</v>
      </c>
      <c r="D295">
        <v>86.1</v>
      </c>
      <c r="E295">
        <v>83.42</v>
      </c>
      <c r="F295" t="s">
        <v>549</v>
      </c>
      <c r="G295" s="48">
        <f t="shared" si="4"/>
        <v>8.4467386203659345E-3</v>
      </c>
    </row>
    <row r="296" spans="1:7">
      <c r="A296" s="79">
        <v>45446</v>
      </c>
      <c r="B296">
        <v>88.7</v>
      </c>
      <c r="C296">
        <v>88.02</v>
      </c>
      <c r="D296">
        <v>89.72</v>
      </c>
      <c r="E296">
        <v>87.03</v>
      </c>
      <c r="F296" t="s">
        <v>550</v>
      </c>
      <c r="G296" s="48">
        <f t="shared" si="4"/>
        <v>3.1875290832945602E-2</v>
      </c>
    </row>
    <row r="297" spans="1:7">
      <c r="A297" s="79">
        <v>45476</v>
      </c>
      <c r="B297">
        <v>92.67</v>
      </c>
      <c r="C297">
        <v>90.16</v>
      </c>
      <c r="D297">
        <v>92.77</v>
      </c>
      <c r="E297">
        <v>89.6</v>
      </c>
      <c r="F297" t="s">
        <v>551</v>
      </c>
      <c r="G297" s="48">
        <f t="shared" si="4"/>
        <v>4.4757609921082242E-2</v>
      </c>
    </row>
    <row r="298" spans="1:7">
      <c r="A298" s="79">
        <v>45507</v>
      </c>
      <c r="B298">
        <v>87.53</v>
      </c>
      <c r="C298">
        <v>95.14</v>
      </c>
      <c r="D298">
        <v>97.4</v>
      </c>
      <c r="E298">
        <v>86.51</v>
      </c>
      <c r="F298" t="s">
        <v>552</v>
      </c>
      <c r="G298" s="48">
        <f t="shared" si="4"/>
        <v>-5.5465630732707494E-2</v>
      </c>
    </row>
    <row r="299" spans="1:7">
      <c r="A299" s="79">
        <v>45599</v>
      </c>
      <c r="B299">
        <v>85.77</v>
      </c>
      <c r="C299">
        <v>86.43</v>
      </c>
      <c r="D299">
        <v>88.8</v>
      </c>
      <c r="E299">
        <v>84.17</v>
      </c>
      <c r="F299" t="s">
        <v>553</v>
      </c>
      <c r="G299" s="48">
        <f t="shared" si="4"/>
        <v>-2.0107391751399528E-2</v>
      </c>
    </row>
    <row r="300" spans="1:7">
      <c r="A300" s="79">
        <v>45629</v>
      </c>
      <c r="B300">
        <v>91.91</v>
      </c>
      <c r="C300">
        <v>88.05</v>
      </c>
      <c r="D300">
        <v>91.96</v>
      </c>
      <c r="E300">
        <v>86.15</v>
      </c>
      <c r="F300" t="s">
        <v>554</v>
      </c>
      <c r="G300" s="48">
        <f t="shared" si="4"/>
        <v>7.1586801912090436E-2</v>
      </c>
    </row>
    <row r="301" spans="1:7">
      <c r="A301" t="s">
        <v>555</v>
      </c>
      <c r="B301">
        <v>90.89</v>
      </c>
      <c r="C301">
        <v>91.06</v>
      </c>
      <c r="D301">
        <v>91.5</v>
      </c>
      <c r="E301">
        <v>88.43</v>
      </c>
      <c r="F301" t="s">
        <v>556</v>
      </c>
      <c r="G301" s="48">
        <f t="shared" si="4"/>
        <v>-1.1097813078011054E-2</v>
      </c>
    </row>
    <row r="302" spans="1:7">
      <c r="A302" t="s">
        <v>557</v>
      </c>
      <c r="B302">
        <v>87.94</v>
      </c>
      <c r="C302">
        <v>89.58</v>
      </c>
      <c r="D302">
        <v>90.65</v>
      </c>
      <c r="E302">
        <v>86.6</v>
      </c>
      <c r="F302" t="s">
        <v>558</v>
      </c>
      <c r="G302" s="48">
        <f t="shared" si="4"/>
        <v>-3.2456815931345639E-2</v>
      </c>
    </row>
    <row r="303" spans="1:7">
      <c r="A303" t="s">
        <v>559</v>
      </c>
      <c r="B303">
        <v>87.84</v>
      </c>
      <c r="C303">
        <v>86.93</v>
      </c>
      <c r="D303">
        <v>89.55</v>
      </c>
      <c r="E303">
        <v>86.26</v>
      </c>
      <c r="F303" t="s">
        <v>560</v>
      </c>
      <c r="G303" s="48">
        <f t="shared" si="4"/>
        <v>-1.1371389583806346E-3</v>
      </c>
    </row>
    <row r="304" spans="1:7">
      <c r="A304" t="s">
        <v>561</v>
      </c>
      <c r="B304">
        <v>88.46</v>
      </c>
      <c r="C304">
        <v>90.39</v>
      </c>
      <c r="D304">
        <v>92.4</v>
      </c>
      <c r="E304">
        <v>87.08</v>
      </c>
      <c r="F304" t="s">
        <v>562</v>
      </c>
      <c r="G304" s="48">
        <f t="shared" si="4"/>
        <v>7.0582877959926016E-3</v>
      </c>
    </row>
    <row r="305" spans="1:7">
      <c r="A305" t="s">
        <v>563</v>
      </c>
      <c r="B305">
        <v>89.4</v>
      </c>
      <c r="C305">
        <v>86.7</v>
      </c>
      <c r="D305">
        <v>90.54</v>
      </c>
      <c r="E305">
        <v>85.01</v>
      </c>
      <c r="F305" t="s">
        <v>564</v>
      </c>
      <c r="G305" s="48">
        <f t="shared" si="4"/>
        <v>1.0626271761248196E-2</v>
      </c>
    </row>
    <row r="306" spans="1:7">
      <c r="A306" t="s">
        <v>565</v>
      </c>
      <c r="B306">
        <v>90.37</v>
      </c>
      <c r="C306">
        <v>89.8</v>
      </c>
      <c r="D306">
        <v>90.41</v>
      </c>
      <c r="E306">
        <v>88.22</v>
      </c>
      <c r="F306" t="s">
        <v>566</v>
      </c>
      <c r="G306" s="48">
        <f t="shared" si="4"/>
        <v>1.0850111856823164E-2</v>
      </c>
    </row>
    <row r="307" spans="1:7">
      <c r="A307" t="s">
        <v>567</v>
      </c>
      <c r="B307">
        <v>91.43</v>
      </c>
      <c r="C307">
        <v>92.3</v>
      </c>
      <c r="D307">
        <v>92.65</v>
      </c>
      <c r="E307">
        <v>90.4</v>
      </c>
      <c r="F307" t="s">
        <v>568</v>
      </c>
      <c r="G307" s="48">
        <f t="shared" si="4"/>
        <v>1.1729556268673225E-2</v>
      </c>
    </row>
    <row r="308" spans="1:7">
      <c r="A308" t="s">
        <v>569</v>
      </c>
      <c r="B308">
        <v>94.29</v>
      </c>
      <c r="C308">
        <v>91.14</v>
      </c>
      <c r="D308">
        <v>94.78</v>
      </c>
      <c r="E308">
        <v>90.83</v>
      </c>
      <c r="F308" t="s">
        <v>570</v>
      </c>
      <c r="G308" s="48">
        <f t="shared" si="4"/>
        <v>3.1280761238105637E-2</v>
      </c>
    </row>
    <row r="309" spans="1:7">
      <c r="A309" t="s">
        <v>571</v>
      </c>
      <c r="B309">
        <v>95</v>
      </c>
      <c r="C309">
        <v>93.94</v>
      </c>
      <c r="D309">
        <v>96.77</v>
      </c>
      <c r="E309">
        <v>93.51</v>
      </c>
      <c r="F309" t="s">
        <v>572</v>
      </c>
      <c r="G309" s="48">
        <f t="shared" si="4"/>
        <v>7.5299607593592999E-3</v>
      </c>
    </row>
    <row r="310" spans="1:7">
      <c r="A310" t="s">
        <v>573</v>
      </c>
      <c r="B310">
        <v>92.56</v>
      </c>
      <c r="C310">
        <v>95.85</v>
      </c>
      <c r="D310">
        <v>96.38</v>
      </c>
      <c r="E310">
        <v>92.5</v>
      </c>
      <c r="F310" t="s">
        <v>574</v>
      </c>
      <c r="G310" s="48">
        <f t="shared" si="4"/>
        <v>-2.5684210526315754E-2</v>
      </c>
    </row>
    <row r="311" spans="1:7">
      <c r="A311" t="s">
        <v>575</v>
      </c>
      <c r="B311">
        <v>90.25</v>
      </c>
      <c r="C311">
        <v>93.11</v>
      </c>
      <c r="D311">
        <v>93.24</v>
      </c>
      <c r="E311">
        <v>89.12</v>
      </c>
      <c r="F311" t="s">
        <v>576</v>
      </c>
      <c r="G311" s="48">
        <f t="shared" si="4"/>
        <v>-2.4956784788245479E-2</v>
      </c>
    </row>
    <row r="312" spans="1:7">
      <c r="A312" t="s">
        <v>577</v>
      </c>
      <c r="B312">
        <v>90.36</v>
      </c>
      <c r="C312">
        <v>90</v>
      </c>
      <c r="D312">
        <v>91.3</v>
      </c>
      <c r="E312">
        <v>89.19</v>
      </c>
      <c r="F312" t="s">
        <v>578</v>
      </c>
      <c r="G312" s="48">
        <f t="shared" si="4"/>
        <v>1.2188365650969146E-3</v>
      </c>
    </row>
    <row r="313" spans="1:7">
      <c r="A313" s="79">
        <v>45295</v>
      </c>
      <c r="B313">
        <v>90.36</v>
      </c>
      <c r="C313">
        <v>90.3</v>
      </c>
      <c r="D313">
        <v>92.22</v>
      </c>
      <c r="E313">
        <v>89.2</v>
      </c>
      <c r="F313" t="s">
        <v>579</v>
      </c>
      <c r="G313" s="48">
        <f t="shared" si="4"/>
        <v>0</v>
      </c>
    </row>
    <row r="314" spans="1:7">
      <c r="A314" s="79">
        <v>45326</v>
      </c>
      <c r="B314">
        <v>89.45</v>
      </c>
      <c r="C314">
        <v>88.45</v>
      </c>
      <c r="D314">
        <v>90.09</v>
      </c>
      <c r="E314">
        <v>87.62</v>
      </c>
      <c r="F314" t="s">
        <v>580</v>
      </c>
      <c r="G314" s="48">
        <f t="shared" si="4"/>
        <v>-1.0070827799911419E-2</v>
      </c>
    </row>
    <row r="315" spans="1:7">
      <c r="A315" s="79">
        <v>45355</v>
      </c>
      <c r="B315">
        <v>88.96</v>
      </c>
      <c r="C315">
        <v>88.48</v>
      </c>
      <c r="D315">
        <v>90.37</v>
      </c>
      <c r="E315">
        <v>88.4</v>
      </c>
      <c r="F315" t="s">
        <v>581</v>
      </c>
      <c r="G315" s="48">
        <f t="shared" si="4"/>
        <v>-5.4779206260481272E-3</v>
      </c>
    </row>
    <row r="316" spans="1:7">
      <c r="A316" s="79">
        <v>45386</v>
      </c>
      <c r="B316">
        <v>85.9</v>
      </c>
      <c r="C316">
        <v>90.41</v>
      </c>
      <c r="D316">
        <v>90.63</v>
      </c>
      <c r="E316">
        <v>85.88</v>
      </c>
      <c r="F316" t="s">
        <v>582</v>
      </c>
      <c r="G316" s="48">
        <f t="shared" si="4"/>
        <v>-3.4397482014388303E-2</v>
      </c>
    </row>
    <row r="317" spans="1:7">
      <c r="A317" s="79">
        <v>45416</v>
      </c>
      <c r="B317">
        <v>88.01</v>
      </c>
      <c r="C317">
        <v>86.87</v>
      </c>
      <c r="D317">
        <v>88.48</v>
      </c>
      <c r="E317">
        <v>85.93</v>
      </c>
      <c r="F317" t="s">
        <v>583</v>
      </c>
      <c r="G317" s="48">
        <f t="shared" si="4"/>
        <v>2.4563445867287426E-2</v>
      </c>
    </row>
    <row r="318" spans="1:7">
      <c r="A318" s="79">
        <v>45508</v>
      </c>
      <c r="B318">
        <v>87.13</v>
      </c>
      <c r="C318">
        <v>88.7</v>
      </c>
      <c r="D318">
        <v>88.83</v>
      </c>
      <c r="E318">
        <v>86.73</v>
      </c>
      <c r="F318" t="s">
        <v>584</v>
      </c>
      <c r="G318" s="48">
        <f t="shared" si="4"/>
        <v>-9.9988637654813139E-3</v>
      </c>
    </row>
    <row r="319" spans="1:7">
      <c r="A319" s="79">
        <v>45539</v>
      </c>
      <c r="B319">
        <v>85.35</v>
      </c>
      <c r="C319">
        <v>87.44</v>
      </c>
      <c r="D319">
        <v>87.64</v>
      </c>
      <c r="E319">
        <v>83.02</v>
      </c>
      <c r="F319" t="s">
        <v>585</v>
      </c>
      <c r="G319" s="48">
        <f t="shared" si="4"/>
        <v>-2.0429243658900531E-2</v>
      </c>
    </row>
    <row r="320" spans="1:7">
      <c r="A320" s="79">
        <v>45569</v>
      </c>
      <c r="B320">
        <v>87.04</v>
      </c>
      <c r="C320">
        <v>83.93</v>
      </c>
      <c r="D320">
        <v>87.4</v>
      </c>
      <c r="E320">
        <v>83.71</v>
      </c>
      <c r="F320" t="s">
        <v>586</v>
      </c>
      <c r="G320" s="48">
        <f t="shared" si="4"/>
        <v>1.9800820152314103E-2</v>
      </c>
    </row>
    <row r="321" spans="1:7">
      <c r="A321" s="79">
        <v>45600</v>
      </c>
      <c r="B321">
        <v>90.62</v>
      </c>
      <c r="C321">
        <v>87.42</v>
      </c>
      <c r="D321">
        <v>90.74</v>
      </c>
      <c r="E321">
        <v>86.93</v>
      </c>
      <c r="F321" t="s">
        <v>587</v>
      </c>
      <c r="G321" s="48">
        <f t="shared" si="4"/>
        <v>4.1130514705882248E-2</v>
      </c>
    </row>
    <row r="322" spans="1:7">
      <c r="A322" s="79">
        <v>45630</v>
      </c>
      <c r="B322">
        <v>88.19</v>
      </c>
      <c r="C322">
        <v>89.7</v>
      </c>
      <c r="D322">
        <v>90.17</v>
      </c>
      <c r="E322">
        <v>87.53</v>
      </c>
      <c r="F322" t="s">
        <v>588</v>
      </c>
      <c r="G322" s="48">
        <f t="shared" si="4"/>
        <v>-2.6815272566762416E-2</v>
      </c>
    </row>
    <row r="323" spans="1:7">
      <c r="A323" t="s">
        <v>589</v>
      </c>
      <c r="B323">
        <v>86</v>
      </c>
      <c r="C323">
        <v>89.1</v>
      </c>
      <c r="D323">
        <v>90.61</v>
      </c>
      <c r="E323">
        <v>85.93</v>
      </c>
      <c r="F323" t="s">
        <v>590</v>
      </c>
      <c r="G323" s="48">
        <f t="shared" si="4"/>
        <v>-2.4832747477038231E-2</v>
      </c>
    </row>
    <row r="324" spans="1:7">
      <c r="A324" t="s">
        <v>591</v>
      </c>
      <c r="B324">
        <v>87.42</v>
      </c>
      <c r="C324">
        <v>86.43</v>
      </c>
      <c r="D324">
        <v>88.12</v>
      </c>
      <c r="E324">
        <v>86.06</v>
      </c>
      <c r="F324" t="s">
        <v>592</v>
      </c>
      <c r="G324" s="48">
        <f t="shared" ref="G324:G387" si="5">B324/B323-1</f>
        <v>1.65116279069768E-2</v>
      </c>
    </row>
    <row r="325" spans="1:7">
      <c r="A325" t="s">
        <v>593</v>
      </c>
      <c r="B325">
        <v>84.04</v>
      </c>
      <c r="C325">
        <v>88.34</v>
      </c>
      <c r="D325">
        <v>88.78</v>
      </c>
      <c r="E325">
        <v>83.95</v>
      </c>
      <c r="F325" t="s">
        <v>594</v>
      </c>
      <c r="G325" s="48">
        <f t="shared" si="5"/>
        <v>-3.8663921299473714E-2</v>
      </c>
    </row>
    <row r="326" spans="1:7">
      <c r="A326" t="s">
        <v>595</v>
      </c>
      <c r="B326">
        <v>84.67</v>
      </c>
      <c r="C326">
        <v>84.97</v>
      </c>
      <c r="D326">
        <v>86.19</v>
      </c>
      <c r="E326">
        <v>82.4</v>
      </c>
      <c r="F326" t="s">
        <v>596</v>
      </c>
      <c r="G326" s="48">
        <f t="shared" si="5"/>
        <v>7.4964302712994257E-3</v>
      </c>
    </row>
    <row r="327" spans="1:7">
      <c r="A327" t="s">
        <v>597</v>
      </c>
      <c r="B327">
        <v>76.2</v>
      </c>
      <c r="C327">
        <v>83.15</v>
      </c>
      <c r="D327">
        <v>84.32</v>
      </c>
      <c r="E327">
        <v>75.61</v>
      </c>
      <c r="F327" t="s">
        <v>598</v>
      </c>
      <c r="G327" s="48">
        <f t="shared" si="5"/>
        <v>-0.10003543167591822</v>
      </c>
    </row>
    <row r="328" spans="1:7">
      <c r="A328" t="s">
        <v>599</v>
      </c>
      <c r="B328">
        <v>79.52</v>
      </c>
      <c r="C328">
        <v>78.099999999999994</v>
      </c>
      <c r="D328">
        <v>80.069999999999993</v>
      </c>
      <c r="E328">
        <v>76.400000000000006</v>
      </c>
      <c r="F328" t="s">
        <v>600</v>
      </c>
      <c r="G328" s="48">
        <f t="shared" si="5"/>
        <v>4.3569553805774097E-2</v>
      </c>
    </row>
    <row r="329" spans="1:7">
      <c r="A329" t="s">
        <v>601</v>
      </c>
      <c r="B329">
        <v>82.42</v>
      </c>
      <c r="C329">
        <v>80.77</v>
      </c>
      <c r="D329">
        <v>82.77</v>
      </c>
      <c r="E329">
        <v>80.260000000000005</v>
      </c>
      <c r="F329" t="s">
        <v>602</v>
      </c>
      <c r="G329" s="48">
        <f t="shared" si="5"/>
        <v>3.6468812877263668E-2</v>
      </c>
    </row>
    <row r="330" spans="1:7">
      <c r="A330" t="s">
        <v>603</v>
      </c>
      <c r="B330">
        <v>79.680000000000007</v>
      </c>
      <c r="C330">
        <v>83.95</v>
      </c>
      <c r="D330">
        <v>84.08</v>
      </c>
      <c r="E330">
        <v>79.180000000000007</v>
      </c>
      <c r="F330" t="s">
        <v>604</v>
      </c>
      <c r="G330" s="48">
        <f t="shared" si="5"/>
        <v>-3.3244358165493759E-2</v>
      </c>
    </row>
    <row r="331" spans="1:7">
      <c r="A331" t="s">
        <v>605</v>
      </c>
      <c r="B331">
        <v>82.63</v>
      </c>
      <c r="C331">
        <v>78.87</v>
      </c>
      <c r="D331">
        <v>83.32</v>
      </c>
      <c r="E331">
        <v>78.22</v>
      </c>
      <c r="F331" t="s">
        <v>606</v>
      </c>
      <c r="G331" s="48">
        <f t="shared" si="5"/>
        <v>3.7023092369477872E-2</v>
      </c>
    </row>
    <row r="332" spans="1:7">
      <c r="A332" t="s">
        <v>607</v>
      </c>
      <c r="B332">
        <v>87.74</v>
      </c>
      <c r="C332">
        <v>83.82</v>
      </c>
      <c r="D332">
        <v>88.33</v>
      </c>
      <c r="E332">
        <v>83.39</v>
      </c>
      <c r="F332" t="s">
        <v>608</v>
      </c>
      <c r="G332" s="48">
        <f t="shared" si="5"/>
        <v>6.184194602444637E-2</v>
      </c>
    </row>
    <row r="333" spans="1:7">
      <c r="A333" t="s">
        <v>609</v>
      </c>
      <c r="B333">
        <v>87.76</v>
      </c>
      <c r="C333">
        <v>87.6</v>
      </c>
      <c r="D333">
        <v>87.99</v>
      </c>
      <c r="E333">
        <v>85.27</v>
      </c>
      <c r="F333" t="s">
        <v>610</v>
      </c>
      <c r="G333" s="48">
        <f t="shared" si="5"/>
        <v>2.2794620469590576E-4</v>
      </c>
    </row>
    <row r="334" spans="1:7">
      <c r="A334" t="s">
        <v>611</v>
      </c>
      <c r="B334">
        <v>86.4</v>
      </c>
      <c r="C334">
        <v>87.24</v>
      </c>
      <c r="D334">
        <v>88.82</v>
      </c>
      <c r="E334">
        <v>86.3</v>
      </c>
      <c r="F334" t="s">
        <v>612</v>
      </c>
      <c r="G334" s="48">
        <f t="shared" si="5"/>
        <v>-1.5496809480401108E-2</v>
      </c>
    </row>
    <row r="335" spans="1:7">
      <c r="A335" s="79">
        <v>45296</v>
      </c>
      <c r="B335">
        <v>83.04</v>
      </c>
      <c r="C335">
        <v>85.08</v>
      </c>
      <c r="D335">
        <v>86</v>
      </c>
      <c r="E335">
        <v>81.25</v>
      </c>
      <c r="F335" t="s">
        <v>613</v>
      </c>
      <c r="G335" s="48">
        <f t="shared" si="5"/>
        <v>-3.8888888888888862E-2</v>
      </c>
    </row>
    <row r="336" spans="1:7">
      <c r="A336" s="79">
        <v>45327</v>
      </c>
      <c r="B336">
        <v>85.82</v>
      </c>
      <c r="C336">
        <v>84.45</v>
      </c>
      <c r="D336">
        <v>86.24</v>
      </c>
      <c r="E336">
        <v>83.2</v>
      </c>
      <c r="F336" t="s">
        <v>614</v>
      </c>
      <c r="G336" s="48">
        <f t="shared" si="5"/>
        <v>3.3477842003853509E-2</v>
      </c>
    </row>
    <row r="337" spans="1:7">
      <c r="A337" s="79">
        <v>45356</v>
      </c>
      <c r="B337">
        <v>88.79</v>
      </c>
      <c r="C337">
        <v>87.79</v>
      </c>
      <c r="D337">
        <v>89.28</v>
      </c>
      <c r="E337">
        <v>87.04</v>
      </c>
      <c r="F337" t="s">
        <v>615</v>
      </c>
      <c r="G337" s="48">
        <f t="shared" si="5"/>
        <v>3.4607317641575541E-2</v>
      </c>
    </row>
    <row r="338" spans="1:7">
      <c r="A338" s="79">
        <v>45448</v>
      </c>
      <c r="B338">
        <v>92.14</v>
      </c>
      <c r="C338">
        <v>89.39</v>
      </c>
      <c r="D338">
        <v>92.22</v>
      </c>
      <c r="E338">
        <v>89.06</v>
      </c>
      <c r="F338" t="s">
        <v>616</v>
      </c>
      <c r="G338" s="48">
        <f t="shared" si="5"/>
        <v>3.772947403986926E-2</v>
      </c>
    </row>
    <row r="339" spans="1:7">
      <c r="A339" s="79">
        <v>45478</v>
      </c>
      <c r="B339">
        <v>90.55</v>
      </c>
      <c r="C339">
        <v>91.1</v>
      </c>
      <c r="D339">
        <v>91.78</v>
      </c>
      <c r="E339">
        <v>89.01</v>
      </c>
      <c r="F339" t="s">
        <v>617</v>
      </c>
      <c r="G339" s="48">
        <f t="shared" si="5"/>
        <v>-1.7256349034078577E-2</v>
      </c>
    </row>
    <row r="340" spans="1:7">
      <c r="A340" s="79">
        <v>45509</v>
      </c>
      <c r="B340">
        <v>90.41</v>
      </c>
      <c r="C340">
        <v>89.48</v>
      </c>
      <c r="D340">
        <v>91.19</v>
      </c>
      <c r="E340">
        <v>89.42</v>
      </c>
      <c r="F340" t="s">
        <v>618</v>
      </c>
      <c r="G340" s="48">
        <f t="shared" si="5"/>
        <v>-1.5461071231364087E-3</v>
      </c>
    </row>
    <row r="341" spans="1:7">
      <c r="A341" s="79">
        <v>45540</v>
      </c>
      <c r="B341">
        <v>88.75</v>
      </c>
      <c r="C341">
        <v>90.53</v>
      </c>
      <c r="D341">
        <v>91.07</v>
      </c>
      <c r="E341">
        <v>88.23</v>
      </c>
      <c r="F341" t="s">
        <v>619</v>
      </c>
      <c r="G341" s="48">
        <f t="shared" si="5"/>
        <v>-1.8360800796372034E-2</v>
      </c>
    </row>
    <row r="342" spans="1:7">
      <c r="A342" s="79">
        <v>45570</v>
      </c>
      <c r="B342">
        <v>89.88</v>
      </c>
      <c r="C342">
        <v>90.3</v>
      </c>
      <c r="D342">
        <v>91.4</v>
      </c>
      <c r="E342">
        <v>89.23</v>
      </c>
      <c r="F342" t="s">
        <v>620</v>
      </c>
      <c r="G342" s="48">
        <f t="shared" si="5"/>
        <v>1.2732394366197219E-2</v>
      </c>
    </row>
    <row r="343" spans="1:7">
      <c r="A343" t="s">
        <v>621</v>
      </c>
      <c r="B343">
        <v>90.4</v>
      </c>
      <c r="C343">
        <v>90.48</v>
      </c>
      <c r="D343">
        <v>91</v>
      </c>
      <c r="E343">
        <v>88.53</v>
      </c>
      <c r="F343" t="s">
        <v>622</v>
      </c>
      <c r="G343" s="48">
        <f t="shared" si="5"/>
        <v>5.7854917668003214E-3</v>
      </c>
    </row>
    <row r="344" spans="1:7">
      <c r="A344" t="s">
        <v>623</v>
      </c>
      <c r="B344">
        <v>91.36</v>
      </c>
      <c r="C344">
        <v>89.6</v>
      </c>
      <c r="D344">
        <v>91.65</v>
      </c>
      <c r="E344">
        <v>88.93</v>
      </c>
      <c r="F344" t="s">
        <v>624</v>
      </c>
      <c r="G344" s="48">
        <f t="shared" si="5"/>
        <v>1.0619469026548645E-2</v>
      </c>
    </row>
    <row r="345" spans="1:7">
      <c r="A345" t="s">
        <v>625</v>
      </c>
      <c r="B345">
        <v>94.63</v>
      </c>
      <c r="C345">
        <v>92.47</v>
      </c>
      <c r="D345">
        <v>94.86</v>
      </c>
      <c r="E345">
        <v>91.6</v>
      </c>
      <c r="F345" t="s">
        <v>267</v>
      </c>
      <c r="G345" s="48">
        <f t="shared" si="5"/>
        <v>3.5792469352013967E-2</v>
      </c>
    </row>
    <row r="346" spans="1:7">
      <c r="A346" t="s">
        <v>626</v>
      </c>
      <c r="B346">
        <v>94.36</v>
      </c>
      <c r="C346">
        <v>94.91</v>
      </c>
      <c r="D346">
        <v>95.82</v>
      </c>
      <c r="E346">
        <v>94.1</v>
      </c>
      <c r="F346" t="s">
        <v>627</v>
      </c>
      <c r="G346" s="48">
        <f t="shared" si="5"/>
        <v>-2.8532177956249738E-3</v>
      </c>
    </row>
    <row r="347" spans="1:7">
      <c r="A347" t="s">
        <v>628</v>
      </c>
      <c r="B347">
        <v>92.48</v>
      </c>
      <c r="C347">
        <v>94.37</v>
      </c>
      <c r="D347">
        <v>94.74</v>
      </c>
      <c r="E347">
        <v>91.81</v>
      </c>
      <c r="F347" t="s">
        <v>629</v>
      </c>
      <c r="G347" s="48">
        <f t="shared" si="5"/>
        <v>-1.9923696481559894E-2</v>
      </c>
    </row>
    <row r="348" spans="1:7">
      <c r="A348" t="s">
        <v>630</v>
      </c>
      <c r="B348">
        <v>94.78</v>
      </c>
      <c r="C348">
        <v>93.75</v>
      </c>
      <c r="D348">
        <v>95.2</v>
      </c>
      <c r="E348">
        <v>93.44</v>
      </c>
      <c r="F348" t="s">
        <v>631</v>
      </c>
      <c r="G348" s="48">
        <f t="shared" si="5"/>
        <v>2.4870242214532823E-2</v>
      </c>
    </row>
    <row r="349" spans="1:7">
      <c r="A349" t="s">
        <v>632</v>
      </c>
      <c r="B349">
        <v>95.39</v>
      </c>
      <c r="C349">
        <v>93.6</v>
      </c>
      <c r="D349">
        <v>95.4</v>
      </c>
      <c r="E349">
        <v>93.18</v>
      </c>
      <c r="F349" t="s">
        <v>633</v>
      </c>
      <c r="G349" s="48">
        <f t="shared" si="5"/>
        <v>6.4359569529437444E-3</v>
      </c>
    </row>
    <row r="350" spans="1:7">
      <c r="A350" t="s">
        <v>634</v>
      </c>
      <c r="B350">
        <v>94.95</v>
      </c>
      <c r="C350">
        <v>95.46</v>
      </c>
      <c r="D350">
        <v>96.02</v>
      </c>
      <c r="E350">
        <v>93.25</v>
      </c>
      <c r="F350" t="s">
        <v>635</v>
      </c>
      <c r="G350" s="48">
        <f t="shared" si="5"/>
        <v>-4.6126428346786597E-3</v>
      </c>
    </row>
    <row r="351" spans="1:7">
      <c r="A351" t="s">
        <v>636</v>
      </c>
      <c r="B351">
        <v>103.8</v>
      </c>
      <c r="C351">
        <v>102.03</v>
      </c>
      <c r="D351">
        <v>106.32</v>
      </c>
      <c r="E351">
        <v>101.52</v>
      </c>
      <c r="F351" t="s">
        <v>637</v>
      </c>
      <c r="G351" s="48">
        <f t="shared" si="5"/>
        <v>9.3206951026856277E-2</v>
      </c>
    </row>
    <row r="352" spans="1:7">
      <c r="A352" t="s">
        <v>638</v>
      </c>
      <c r="B352">
        <v>106.47</v>
      </c>
      <c r="C352">
        <v>104.45</v>
      </c>
      <c r="D352">
        <v>106.47</v>
      </c>
      <c r="E352">
        <v>103</v>
      </c>
      <c r="F352" t="s">
        <v>639</v>
      </c>
      <c r="G352" s="48">
        <f t="shared" si="5"/>
        <v>2.5722543352601157E-2</v>
      </c>
    </row>
    <row r="353" spans="1:7">
      <c r="A353" t="s">
        <v>640</v>
      </c>
      <c r="B353">
        <v>113.9</v>
      </c>
      <c r="C353">
        <v>110.24</v>
      </c>
      <c r="D353">
        <v>114.94</v>
      </c>
      <c r="E353">
        <v>109.88</v>
      </c>
      <c r="F353" t="s">
        <v>641</v>
      </c>
      <c r="G353" s="48">
        <f t="shared" si="5"/>
        <v>6.9784915938762238E-2</v>
      </c>
    </row>
    <row r="354" spans="1:7">
      <c r="A354" t="s">
        <v>642</v>
      </c>
      <c r="B354">
        <v>114.82</v>
      </c>
      <c r="C354">
        <v>113.05</v>
      </c>
      <c r="D354">
        <v>115.49</v>
      </c>
      <c r="E354">
        <v>110.9</v>
      </c>
      <c r="F354" t="s">
        <v>643</v>
      </c>
      <c r="G354" s="48">
        <f t="shared" si="5"/>
        <v>8.0772607550481101E-3</v>
      </c>
    </row>
    <row r="355" spans="1:7">
      <c r="A355" t="s">
        <v>644</v>
      </c>
      <c r="B355">
        <v>110.5</v>
      </c>
      <c r="C355">
        <v>114.65</v>
      </c>
      <c r="D355">
        <v>115.82</v>
      </c>
      <c r="E355">
        <v>109.66</v>
      </c>
      <c r="F355" t="s">
        <v>645</v>
      </c>
      <c r="G355" s="48">
        <f t="shared" si="5"/>
        <v>-3.7624107298380061E-2</v>
      </c>
    </row>
    <row r="356" spans="1:7">
      <c r="A356" t="s">
        <v>646</v>
      </c>
      <c r="B356">
        <v>109.63</v>
      </c>
      <c r="C356">
        <v>112.52</v>
      </c>
      <c r="D356">
        <v>112.72</v>
      </c>
      <c r="E356">
        <v>106.94</v>
      </c>
      <c r="F356" t="s">
        <v>647</v>
      </c>
      <c r="G356" s="48">
        <f t="shared" si="5"/>
        <v>-7.8733031674208531E-3</v>
      </c>
    </row>
    <row r="357" spans="1:7">
      <c r="A357" s="79">
        <v>45357</v>
      </c>
      <c r="B357">
        <v>115</v>
      </c>
      <c r="C357">
        <v>113.62</v>
      </c>
      <c r="D357">
        <v>115</v>
      </c>
      <c r="E357">
        <v>112</v>
      </c>
      <c r="F357" t="s">
        <v>648</v>
      </c>
      <c r="G357" s="48">
        <f t="shared" si="5"/>
        <v>4.8982942625193981E-2</v>
      </c>
    </row>
    <row r="358" spans="1:7">
      <c r="A358" s="79">
        <v>45388</v>
      </c>
      <c r="B358">
        <v>116.44</v>
      </c>
      <c r="C358">
        <v>115.72</v>
      </c>
      <c r="D358">
        <v>116.6</v>
      </c>
      <c r="E358">
        <v>114.04</v>
      </c>
      <c r="F358" t="s">
        <v>649</v>
      </c>
      <c r="G358" s="48">
        <f t="shared" si="5"/>
        <v>1.2521739130434861E-2</v>
      </c>
    </row>
    <row r="359" spans="1:7">
      <c r="A359" s="79">
        <v>45418</v>
      </c>
      <c r="B359">
        <v>122.44</v>
      </c>
      <c r="C359">
        <v>118.37</v>
      </c>
      <c r="D359">
        <v>122.45</v>
      </c>
      <c r="E359">
        <v>117.47</v>
      </c>
      <c r="F359" t="s">
        <v>650</v>
      </c>
      <c r="G359" s="48">
        <f t="shared" si="5"/>
        <v>5.1528684300927496E-2</v>
      </c>
    </row>
    <row r="360" spans="1:7">
      <c r="A360" s="79">
        <v>45449</v>
      </c>
      <c r="B360">
        <v>121</v>
      </c>
      <c r="C360">
        <v>124.05</v>
      </c>
      <c r="D360">
        <v>125.59</v>
      </c>
      <c r="E360">
        <v>118.32</v>
      </c>
      <c r="F360" t="s">
        <v>651</v>
      </c>
      <c r="G360" s="48">
        <f t="shared" si="5"/>
        <v>-1.1760862463247257E-2</v>
      </c>
    </row>
    <row r="361" spans="1:7">
      <c r="A361" s="79">
        <v>45479</v>
      </c>
      <c r="B361">
        <v>120.89</v>
      </c>
      <c r="C361">
        <v>119.77</v>
      </c>
      <c r="D361">
        <v>121.69</v>
      </c>
      <c r="E361">
        <v>118.02</v>
      </c>
      <c r="F361" t="s">
        <v>145</v>
      </c>
      <c r="G361" s="48">
        <f t="shared" si="5"/>
        <v>-9.0909090909085943E-4</v>
      </c>
    </row>
    <row r="362" spans="1:7">
      <c r="A362" s="79">
        <v>45571</v>
      </c>
      <c r="B362">
        <v>121.79</v>
      </c>
      <c r="C362">
        <v>120.37</v>
      </c>
      <c r="D362">
        <v>123.1</v>
      </c>
      <c r="E362">
        <v>117.01</v>
      </c>
      <c r="F362" t="s">
        <v>652</v>
      </c>
      <c r="G362" s="48">
        <f t="shared" si="5"/>
        <v>7.4447845148482017E-3</v>
      </c>
    </row>
    <row r="363" spans="1:7">
      <c r="A363" s="79">
        <v>45602</v>
      </c>
      <c r="B363">
        <v>120.91</v>
      </c>
      <c r="C363">
        <v>121.77</v>
      </c>
      <c r="D363">
        <v>122.87</v>
      </c>
      <c r="E363">
        <v>118.74</v>
      </c>
      <c r="F363" t="s">
        <v>653</v>
      </c>
      <c r="G363" s="48">
        <f t="shared" si="5"/>
        <v>-7.2255521799819977E-3</v>
      </c>
    </row>
    <row r="364" spans="1:7">
      <c r="A364" s="79">
        <v>45632</v>
      </c>
      <c r="B364">
        <v>125.2</v>
      </c>
      <c r="C364">
        <v>123.06</v>
      </c>
      <c r="D364">
        <v>126.88</v>
      </c>
      <c r="E364">
        <v>122.57</v>
      </c>
      <c r="F364" t="s">
        <v>654</v>
      </c>
      <c r="G364" s="48">
        <f t="shared" si="5"/>
        <v>3.5480936233562188E-2</v>
      </c>
    </row>
    <row r="365" spans="1:7">
      <c r="A365" t="s">
        <v>655</v>
      </c>
      <c r="B365">
        <v>129.61000000000001</v>
      </c>
      <c r="C365">
        <v>129.38999999999999</v>
      </c>
      <c r="D365">
        <v>129.80000000000001</v>
      </c>
      <c r="E365">
        <v>127.16</v>
      </c>
      <c r="F365" t="s">
        <v>656</v>
      </c>
      <c r="G365" s="48">
        <f t="shared" si="5"/>
        <v>3.522364217252405E-2</v>
      </c>
    </row>
    <row r="366" spans="1:7">
      <c r="A366" t="s">
        <v>657</v>
      </c>
      <c r="B366">
        <v>131.88</v>
      </c>
      <c r="C366">
        <v>129.96</v>
      </c>
      <c r="D366">
        <v>132.84</v>
      </c>
      <c r="E366">
        <v>128.32</v>
      </c>
      <c r="F366" t="s">
        <v>658</v>
      </c>
      <c r="G366" s="48">
        <f t="shared" si="5"/>
        <v>1.7514080703649348E-2</v>
      </c>
    </row>
    <row r="367" spans="1:7">
      <c r="A367" t="s">
        <v>659</v>
      </c>
      <c r="B367">
        <v>130.97999999999999</v>
      </c>
      <c r="C367">
        <v>132.99</v>
      </c>
      <c r="D367">
        <v>133.72999999999999</v>
      </c>
      <c r="E367">
        <v>129.58000000000001</v>
      </c>
      <c r="F367" t="s">
        <v>660</v>
      </c>
      <c r="G367" s="48">
        <f t="shared" si="5"/>
        <v>-6.8243858052775552E-3</v>
      </c>
    </row>
    <row r="368" spans="1:7">
      <c r="A368" t="s">
        <v>661</v>
      </c>
      <c r="B368">
        <v>135.58000000000001</v>
      </c>
      <c r="C368">
        <v>131.13999999999999</v>
      </c>
      <c r="D368">
        <v>136.33000000000001</v>
      </c>
      <c r="E368">
        <v>130.69</v>
      </c>
      <c r="F368" t="s">
        <v>662</v>
      </c>
      <c r="G368" s="48">
        <f t="shared" si="5"/>
        <v>3.5119865628340463E-2</v>
      </c>
    </row>
    <row r="369" spans="1:7">
      <c r="A369" t="s">
        <v>663</v>
      </c>
      <c r="B369">
        <v>130.78</v>
      </c>
      <c r="C369">
        <v>139.80000000000001</v>
      </c>
      <c r="D369">
        <v>140.76</v>
      </c>
      <c r="E369">
        <v>129.52000000000001</v>
      </c>
      <c r="F369" t="s">
        <v>664</v>
      </c>
      <c r="G369" s="48">
        <f t="shared" si="5"/>
        <v>-3.5403451836554134E-2</v>
      </c>
    </row>
    <row r="370" spans="1:7">
      <c r="A370" t="s">
        <v>665</v>
      </c>
      <c r="B370">
        <v>126.57</v>
      </c>
      <c r="C370">
        <v>127.12</v>
      </c>
      <c r="D370">
        <v>130.63</v>
      </c>
      <c r="E370">
        <v>124.3</v>
      </c>
      <c r="F370" t="s">
        <v>666</v>
      </c>
      <c r="G370" s="48">
        <f t="shared" si="5"/>
        <v>-3.2191466585104855E-2</v>
      </c>
    </row>
    <row r="371" spans="1:7">
      <c r="A371" t="s">
        <v>667</v>
      </c>
      <c r="B371">
        <v>118.11</v>
      </c>
      <c r="C371">
        <v>123.24</v>
      </c>
      <c r="D371">
        <v>124.46</v>
      </c>
      <c r="E371">
        <v>118.04</v>
      </c>
      <c r="F371" t="s">
        <v>668</v>
      </c>
      <c r="G371" s="48">
        <f t="shared" si="5"/>
        <v>-6.6840483526902084E-2</v>
      </c>
    </row>
    <row r="372" spans="1:7">
      <c r="A372" t="s">
        <v>669</v>
      </c>
      <c r="B372">
        <v>126.09</v>
      </c>
      <c r="C372">
        <v>121.2</v>
      </c>
      <c r="D372">
        <v>126.5</v>
      </c>
      <c r="E372">
        <v>119.32</v>
      </c>
      <c r="F372" t="s">
        <v>670</v>
      </c>
      <c r="G372" s="48">
        <f t="shared" si="5"/>
        <v>6.7564135128270308E-2</v>
      </c>
    </row>
    <row r="373" spans="1:7">
      <c r="A373" t="s">
        <v>671</v>
      </c>
      <c r="B373">
        <v>126.4</v>
      </c>
      <c r="C373">
        <v>126.13</v>
      </c>
      <c r="D373">
        <v>128.12</v>
      </c>
      <c r="E373">
        <v>122.6</v>
      </c>
      <c r="F373" t="s">
        <v>672</v>
      </c>
      <c r="G373" s="48">
        <f t="shared" si="5"/>
        <v>2.458561345070942E-3</v>
      </c>
    </row>
    <row r="374" spans="1:7">
      <c r="A374" t="s">
        <v>673</v>
      </c>
      <c r="B374">
        <v>123.99</v>
      </c>
      <c r="C374">
        <v>124.1</v>
      </c>
      <c r="D374">
        <v>126.41</v>
      </c>
      <c r="E374">
        <v>122.92</v>
      </c>
      <c r="F374" t="s">
        <v>674</v>
      </c>
      <c r="G374" s="48">
        <f t="shared" si="5"/>
        <v>-1.9066455696202578E-2</v>
      </c>
    </row>
    <row r="375" spans="1:7">
      <c r="A375" t="s">
        <v>675</v>
      </c>
      <c r="B375">
        <v>123.54</v>
      </c>
      <c r="C375">
        <v>124.58</v>
      </c>
      <c r="D375">
        <v>127.71</v>
      </c>
      <c r="E375">
        <v>122.75</v>
      </c>
      <c r="F375" t="s">
        <v>676</v>
      </c>
      <c r="G375" s="48">
        <f t="shared" si="5"/>
        <v>-3.6293249455600085E-3</v>
      </c>
    </row>
    <row r="376" spans="1:7">
      <c r="A376" s="79">
        <v>45298</v>
      </c>
      <c r="B376">
        <v>124.3</v>
      </c>
      <c r="C376">
        <v>123.47</v>
      </c>
      <c r="D376">
        <v>124.84</v>
      </c>
      <c r="E376">
        <v>118.83</v>
      </c>
      <c r="F376" t="s">
        <v>677</v>
      </c>
      <c r="G376" s="48">
        <f t="shared" si="5"/>
        <v>6.1518536506393051E-3</v>
      </c>
    </row>
    <row r="377" spans="1:7">
      <c r="A377" s="79">
        <v>45329</v>
      </c>
      <c r="B377">
        <v>122.67</v>
      </c>
      <c r="C377">
        <v>121.13</v>
      </c>
      <c r="D377">
        <v>123.41</v>
      </c>
      <c r="E377">
        <v>121.03</v>
      </c>
      <c r="F377" t="s">
        <v>678</v>
      </c>
      <c r="G377" s="48">
        <f t="shared" si="5"/>
        <v>-1.3113435237328996E-2</v>
      </c>
    </row>
    <row r="378" spans="1:7">
      <c r="A378" s="79">
        <v>45358</v>
      </c>
      <c r="B378">
        <v>128.28</v>
      </c>
      <c r="C378">
        <v>121.66</v>
      </c>
      <c r="D378">
        <v>128.28</v>
      </c>
      <c r="E378">
        <v>121.36</v>
      </c>
      <c r="F378" t="s">
        <v>679</v>
      </c>
      <c r="G378" s="48">
        <f t="shared" si="5"/>
        <v>4.5732452922474964E-2</v>
      </c>
    </row>
    <row r="379" spans="1:7">
      <c r="A379" s="79">
        <v>45419</v>
      </c>
      <c r="B379">
        <v>125.83</v>
      </c>
      <c r="C379">
        <v>127.38</v>
      </c>
      <c r="D379">
        <v>128.85</v>
      </c>
      <c r="E379">
        <v>125.68</v>
      </c>
      <c r="F379" t="s">
        <v>680</v>
      </c>
      <c r="G379" s="48">
        <f t="shared" si="5"/>
        <v>-1.9098846273776116E-2</v>
      </c>
    </row>
    <row r="380" spans="1:7">
      <c r="A380" s="79">
        <v>45511</v>
      </c>
      <c r="B380">
        <v>128.19999999999999</v>
      </c>
      <c r="C380">
        <v>127.49</v>
      </c>
      <c r="D380">
        <v>130.77000000000001</v>
      </c>
      <c r="E380">
        <v>127.04</v>
      </c>
      <c r="F380" t="s">
        <v>681</v>
      </c>
      <c r="G380" s="48">
        <f t="shared" si="5"/>
        <v>1.8834936024795246E-2</v>
      </c>
    </row>
    <row r="381" spans="1:7">
      <c r="A381" s="79">
        <v>45542</v>
      </c>
      <c r="B381">
        <v>131.38</v>
      </c>
      <c r="C381">
        <v>130.35</v>
      </c>
      <c r="D381">
        <v>133.82</v>
      </c>
      <c r="E381">
        <v>128.65</v>
      </c>
      <c r="F381" t="s">
        <v>682</v>
      </c>
      <c r="G381" s="48">
        <f t="shared" si="5"/>
        <v>2.4804992199688014E-2</v>
      </c>
    </row>
    <row r="382" spans="1:7">
      <c r="A382" s="79">
        <v>45572</v>
      </c>
      <c r="B382">
        <v>134.91</v>
      </c>
      <c r="C382">
        <v>134.03</v>
      </c>
      <c r="D382">
        <v>135.1</v>
      </c>
      <c r="E382">
        <v>132.41999999999999</v>
      </c>
      <c r="F382" t="s">
        <v>683</v>
      </c>
      <c r="G382" s="48">
        <f t="shared" si="5"/>
        <v>2.6868625361546661E-2</v>
      </c>
    </row>
    <row r="383" spans="1:7">
      <c r="A383" s="79">
        <v>45603</v>
      </c>
      <c r="B383">
        <v>127.4</v>
      </c>
      <c r="C383">
        <v>135.75</v>
      </c>
      <c r="D383">
        <v>136.15</v>
      </c>
      <c r="E383">
        <v>127.05</v>
      </c>
      <c r="F383" t="s">
        <v>684</v>
      </c>
      <c r="G383" s="48">
        <f t="shared" si="5"/>
        <v>-5.5666740790156322E-2</v>
      </c>
    </row>
    <row r="384" spans="1:7">
      <c r="A384" s="79">
        <v>45633</v>
      </c>
      <c r="B384">
        <v>129.24</v>
      </c>
      <c r="C384">
        <v>128.26</v>
      </c>
      <c r="D384">
        <v>131.91999999999999</v>
      </c>
      <c r="E384">
        <v>127.22</v>
      </c>
      <c r="F384" t="s">
        <v>685</v>
      </c>
      <c r="G384" s="48">
        <f t="shared" si="5"/>
        <v>1.4442700156985788E-2</v>
      </c>
    </row>
    <row r="385" spans="1:7">
      <c r="A385" t="s">
        <v>686</v>
      </c>
      <c r="B385">
        <v>128.44</v>
      </c>
      <c r="C385">
        <v>130.56</v>
      </c>
      <c r="D385">
        <v>131.38999999999999</v>
      </c>
      <c r="E385">
        <v>127.18</v>
      </c>
      <c r="F385" t="s">
        <v>687</v>
      </c>
      <c r="G385" s="48">
        <f t="shared" si="5"/>
        <v>-6.1900340451873648E-3</v>
      </c>
    </row>
    <row r="386" spans="1:7">
      <c r="A386" t="s">
        <v>688</v>
      </c>
      <c r="B386">
        <v>126.36</v>
      </c>
      <c r="C386">
        <v>128.44</v>
      </c>
      <c r="D386">
        <v>129.04</v>
      </c>
      <c r="E386">
        <v>124.58</v>
      </c>
      <c r="F386" t="s">
        <v>689</v>
      </c>
      <c r="G386" s="48">
        <f t="shared" si="5"/>
        <v>-1.619433198380571E-2</v>
      </c>
    </row>
    <row r="387" spans="1:7">
      <c r="A387" t="s">
        <v>690</v>
      </c>
      <c r="B387">
        <v>117.99</v>
      </c>
      <c r="C387">
        <v>121.35</v>
      </c>
      <c r="D387">
        <v>121.85</v>
      </c>
      <c r="E387">
        <v>116.72</v>
      </c>
      <c r="F387" t="s">
        <v>691</v>
      </c>
      <c r="G387" s="48">
        <f t="shared" si="5"/>
        <v>-6.6239316239316226E-2</v>
      </c>
    </row>
    <row r="388" spans="1:7">
      <c r="A388" t="s">
        <v>692</v>
      </c>
      <c r="B388">
        <v>121.09</v>
      </c>
      <c r="C388">
        <v>121.85</v>
      </c>
      <c r="D388">
        <v>122.4</v>
      </c>
      <c r="E388">
        <v>116.56</v>
      </c>
      <c r="F388" t="s">
        <v>693</v>
      </c>
      <c r="G388" s="48">
        <f t="shared" ref="G388:G451" si="6">B388/B387-1</f>
        <v>2.6273413001101753E-2</v>
      </c>
    </row>
    <row r="389" spans="1:7">
      <c r="A389" t="s">
        <v>694</v>
      </c>
      <c r="B389">
        <v>117.93</v>
      </c>
      <c r="C389">
        <v>120.35</v>
      </c>
      <c r="D389">
        <v>121.6</v>
      </c>
      <c r="E389">
        <v>117.37</v>
      </c>
      <c r="F389" t="s">
        <v>695</v>
      </c>
      <c r="G389" s="48">
        <f t="shared" si="6"/>
        <v>-2.609629201420427E-2</v>
      </c>
    </row>
    <row r="390" spans="1:7">
      <c r="A390" t="s">
        <v>696</v>
      </c>
      <c r="B390">
        <v>123.54</v>
      </c>
      <c r="C390">
        <v>120.35</v>
      </c>
      <c r="D390">
        <v>124.07</v>
      </c>
      <c r="E390">
        <v>119.86</v>
      </c>
      <c r="F390" t="s">
        <v>697</v>
      </c>
      <c r="G390" s="48">
        <f t="shared" si="6"/>
        <v>4.7570592724497596E-2</v>
      </c>
    </row>
    <row r="391" spans="1:7">
      <c r="A391" t="s">
        <v>698</v>
      </c>
      <c r="B391">
        <v>122.59</v>
      </c>
      <c r="C391">
        <v>122.78</v>
      </c>
      <c r="D391">
        <v>124.69</v>
      </c>
      <c r="E391">
        <v>122.1</v>
      </c>
      <c r="F391" t="s">
        <v>699</v>
      </c>
      <c r="G391" s="48">
        <f t="shared" si="6"/>
        <v>-7.689817063299409E-3</v>
      </c>
    </row>
    <row r="392" spans="1:7">
      <c r="A392" t="s">
        <v>700</v>
      </c>
      <c r="B392">
        <v>114.25</v>
      </c>
      <c r="C392">
        <v>119.17</v>
      </c>
      <c r="D392">
        <v>119.95</v>
      </c>
      <c r="E392">
        <v>113.44</v>
      </c>
      <c r="F392" t="s">
        <v>701</v>
      </c>
      <c r="G392" s="48">
        <f t="shared" si="6"/>
        <v>-6.8031650216167749E-2</v>
      </c>
    </row>
    <row r="393" spans="1:7">
      <c r="A393" t="s">
        <v>702</v>
      </c>
      <c r="B393">
        <v>112.28</v>
      </c>
      <c r="C393">
        <v>113.04</v>
      </c>
      <c r="D393">
        <v>116.63</v>
      </c>
      <c r="E393">
        <v>106.3</v>
      </c>
      <c r="F393" t="s">
        <v>703</v>
      </c>
      <c r="G393" s="48">
        <f t="shared" si="6"/>
        <v>-1.7242888402625778E-2</v>
      </c>
    </row>
    <row r="394" spans="1:7">
      <c r="A394" t="s">
        <v>704</v>
      </c>
      <c r="B394">
        <v>113.06</v>
      </c>
      <c r="C394">
        <v>116.19</v>
      </c>
      <c r="D394">
        <v>116.2</v>
      </c>
      <c r="E394">
        <v>111.58</v>
      </c>
      <c r="F394" t="s">
        <v>705</v>
      </c>
      <c r="G394" s="48">
        <f t="shared" si="6"/>
        <v>6.9469184182400223E-3</v>
      </c>
    </row>
    <row r="395" spans="1:7">
      <c r="A395" t="s">
        <v>706</v>
      </c>
      <c r="B395">
        <v>111.59</v>
      </c>
      <c r="C395">
        <v>113.69</v>
      </c>
      <c r="D395">
        <v>116.28</v>
      </c>
      <c r="E395">
        <v>111.3</v>
      </c>
      <c r="F395" t="s">
        <v>707</v>
      </c>
      <c r="G395" s="48">
        <f t="shared" si="6"/>
        <v>-1.3001945869449805E-2</v>
      </c>
    </row>
    <row r="396" spans="1:7">
      <c r="A396" t="s">
        <v>708</v>
      </c>
      <c r="B396">
        <v>103.73</v>
      </c>
      <c r="C396">
        <v>111.52</v>
      </c>
      <c r="D396">
        <v>111.99</v>
      </c>
      <c r="E396">
        <v>102.54</v>
      </c>
      <c r="F396" t="s">
        <v>709</v>
      </c>
      <c r="G396" s="48">
        <f t="shared" si="6"/>
        <v>-7.0436419033963582E-2</v>
      </c>
    </row>
    <row r="397" spans="1:7">
      <c r="A397" t="s">
        <v>710</v>
      </c>
      <c r="B397">
        <v>117.02</v>
      </c>
      <c r="C397">
        <v>112.9</v>
      </c>
      <c r="D397">
        <v>118.34</v>
      </c>
      <c r="E397">
        <v>110.88</v>
      </c>
      <c r="F397" t="s">
        <v>711</v>
      </c>
      <c r="G397" s="48">
        <f t="shared" si="6"/>
        <v>0.12812108358237717</v>
      </c>
    </row>
    <row r="398" spans="1:7">
      <c r="A398" s="79">
        <v>45299</v>
      </c>
      <c r="B398">
        <v>109.21</v>
      </c>
      <c r="C398">
        <v>117.53</v>
      </c>
      <c r="D398">
        <v>120.16</v>
      </c>
      <c r="E398">
        <v>106.81</v>
      </c>
      <c r="F398" t="s">
        <v>712</v>
      </c>
      <c r="G398" s="48">
        <f t="shared" si="6"/>
        <v>-6.6740728080669998E-2</v>
      </c>
    </row>
    <row r="399" spans="1:7">
      <c r="A399" s="79">
        <v>45330</v>
      </c>
      <c r="B399">
        <v>107.27</v>
      </c>
      <c r="C399">
        <v>103.76</v>
      </c>
      <c r="D399">
        <v>108.72</v>
      </c>
      <c r="E399">
        <v>101.37</v>
      </c>
      <c r="F399" t="s">
        <v>713</v>
      </c>
      <c r="G399" s="48">
        <f t="shared" si="6"/>
        <v>-1.7763941031041064E-2</v>
      </c>
    </row>
    <row r="400" spans="1:7">
      <c r="A400" s="79">
        <v>45420</v>
      </c>
      <c r="B400">
        <v>100.45</v>
      </c>
      <c r="C400">
        <v>92.06</v>
      </c>
      <c r="D400">
        <v>103.41</v>
      </c>
      <c r="E400">
        <v>90.69</v>
      </c>
      <c r="F400" t="s">
        <v>714</v>
      </c>
      <c r="G400" s="48">
        <f t="shared" si="6"/>
        <v>-6.3577887573412872E-2</v>
      </c>
    </row>
    <row r="401" spans="1:7">
      <c r="A401" s="79">
        <v>45451</v>
      </c>
      <c r="B401">
        <v>104.25</v>
      </c>
      <c r="C401">
        <v>103.84</v>
      </c>
      <c r="D401">
        <v>107.71</v>
      </c>
      <c r="E401">
        <v>100.55</v>
      </c>
      <c r="F401" t="s">
        <v>715</v>
      </c>
      <c r="G401" s="48">
        <f t="shared" si="6"/>
        <v>3.7829766052762448E-2</v>
      </c>
    </row>
    <row r="402" spans="1:7">
      <c r="A402" s="79">
        <v>45481</v>
      </c>
      <c r="B402">
        <v>98.91</v>
      </c>
      <c r="C402">
        <v>107.81</v>
      </c>
      <c r="D402">
        <v>108.8</v>
      </c>
      <c r="E402">
        <v>98.69</v>
      </c>
      <c r="F402" t="s">
        <v>716</v>
      </c>
      <c r="G402" s="48">
        <f t="shared" si="6"/>
        <v>-5.1223021582733841E-2</v>
      </c>
    </row>
    <row r="403" spans="1:7">
      <c r="A403" s="79">
        <v>45512</v>
      </c>
      <c r="B403">
        <v>104.97</v>
      </c>
      <c r="C403">
        <v>102</v>
      </c>
      <c r="D403">
        <v>105.5</v>
      </c>
      <c r="E403">
        <v>97.52</v>
      </c>
      <c r="F403" t="s">
        <v>717</v>
      </c>
      <c r="G403" s="48">
        <f t="shared" si="6"/>
        <v>6.1267819229602782E-2</v>
      </c>
    </row>
    <row r="404" spans="1:7">
      <c r="A404" s="79">
        <v>45543</v>
      </c>
      <c r="B404">
        <v>104.75</v>
      </c>
      <c r="C404">
        <v>105.64</v>
      </c>
      <c r="D404">
        <v>106.6</v>
      </c>
      <c r="E404">
        <v>103.43</v>
      </c>
      <c r="F404" t="s">
        <v>718</v>
      </c>
      <c r="G404" s="48">
        <f t="shared" si="6"/>
        <v>-2.0958369057826332E-3</v>
      </c>
    </row>
    <row r="405" spans="1:7">
      <c r="A405" s="79">
        <v>45634</v>
      </c>
      <c r="B405">
        <v>109.02</v>
      </c>
      <c r="C405">
        <v>106.32</v>
      </c>
      <c r="D405">
        <v>111.07</v>
      </c>
      <c r="E405">
        <v>106.26</v>
      </c>
      <c r="F405" t="s">
        <v>719</v>
      </c>
      <c r="G405" s="48">
        <f t="shared" si="6"/>
        <v>4.0763723150357922E-2</v>
      </c>
    </row>
    <row r="406" spans="1:7">
      <c r="A406" t="s">
        <v>720</v>
      </c>
      <c r="B406">
        <v>116.14</v>
      </c>
      <c r="C406">
        <v>112.44</v>
      </c>
      <c r="D406">
        <v>116.23</v>
      </c>
      <c r="E406">
        <v>111.58</v>
      </c>
      <c r="F406" t="s">
        <v>721</v>
      </c>
      <c r="G406" s="48">
        <f t="shared" si="6"/>
        <v>6.5309117593102206E-2</v>
      </c>
    </row>
    <row r="407" spans="1:7">
      <c r="A407" t="s">
        <v>722</v>
      </c>
      <c r="B407">
        <v>118.08</v>
      </c>
      <c r="C407">
        <v>118.53</v>
      </c>
      <c r="D407">
        <v>118.6</v>
      </c>
      <c r="E407">
        <v>114.07</v>
      </c>
      <c r="F407" t="s">
        <v>723</v>
      </c>
      <c r="G407" s="48">
        <f t="shared" si="6"/>
        <v>1.6703977957637228E-2</v>
      </c>
    </row>
    <row r="408" spans="1:7">
      <c r="A408" t="s">
        <v>724</v>
      </c>
      <c r="B408">
        <v>122.86</v>
      </c>
      <c r="C408">
        <v>118.76</v>
      </c>
      <c r="D408">
        <v>123.24</v>
      </c>
      <c r="E408">
        <v>117.47</v>
      </c>
      <c r="F408" t="s">
        <v>725</v>
      </c>
      <c r="G408" s="48">
        <f t="shared" si="6"/>
        <v>4.0481029810298219E-2</v>
      </c>
    </row>
    <row r="409" spans="1:7">
      <c r="A409" t="s">
        <v>726</v>
      </c>
      <c r="B409">
        <v>124.58</v>
      </c>
      <c r="C409">
        <v>121.94</v>
      </c>
      <c r="D409">
        <v>125</v>
      </c>
      <c r="E409">
        <v>121.18</v>
      </c>
      <c r="F409" t="s">
        <v>727</v>
      </c>
      <c r="G409" s="48">
        <f t="shared" si="6"/>
        <v>1.3999674426176112E-2</v>
      </c>
    </row>
    <row r="410" spans="1:7">
      <c r="A410" t="s">
        <v>728</v>
      </c>
      <c r="B410">
        <v>130</v>
      </c>
      <c r="C410">
        <v>124.28</v>
      </c>
      <c r="D410">
        <v>130</v>
      </c>
      <c r="E410">
        <v>123.42</v>
      </c>
      <c r="F410" t="s">
        <v>729</v>
      </c>
      <c r="G410" s="48">
        <f t="shared" si="6"/>
        <v>4.3506180767378444E-2</v>
      </c>
    </row>
    <row r="411" spans="1:7">
      <c r="A411" t="s">
        <v>730</v>
      </c>
      <c r="B411">
        <v>127.25</v>
      </c>
      <c r="C411">
        <v>128.4</v>
      </c>
      <c r="D411">
        <v>129.88</v>
      </c>
      <c r="E411">
        <v>125.89</v>
      </c>
      <c r="F411" t="s">
        <v>731</v>
      </c>
      <c r="G411" s="48">
        <f t="shared" si="6"/>
        <v>-2.115384615384619E-2</v>
      </c>
    </row>
    <row r="412" spans="1:7">
      <c r="A412" t="s">
        <v>732</v>
      </c>
      <c r="B412">
        <v>128.5</v>
      </c>
      <c r="C412">
        <v>127.32</v>
      </c>
      <c r="D412">
        <v>129.35</v>
      </c>
      <c r="E412">
        <v>126.66</v>
      </c>
      <c r="F412" t="s">
        <v>733</v>
      </c>
      <c r="G412" s="48">
        <f t="shared" si="6"/>
        <v>9.8231827111985304E-3</v>
      </c>
    </row>
    <row r="413" spans="1:7">
      <c r="A413" t="s">
        <v>734</v>
      </c>
      <c r="B413">
        <v>123.74</v>
      </c>
      <c r="C413">
        <v>130.02000000000001</v>
      </c>
      <c r="D413">
        <v>130.75</v>
      </c>
      <c r="E413">
        <v>123.1</v>
      </c>
      <c r="F413" t="s">
        <v>735</v>
      </c>
      <c r="G413" s="48">
        <f t="shared" si="6"/>
        <v>-3.7042801556420257E-2</v>
      </c>
    </row>
    <row r="414" spans="1:7">
      <c r="A414" t="s">
        <v>736</v>
      </c>
      <c r="B414">
        <v>129.37</v>
      </c>
      <c r="C414">
        <v>125.86</v>
      </c>
      <c r="D414">
        <v>129.6</v>
      </c>
      <c r="E414">
        <v>125.22</v>
      </c>
      <c r="F414" t="s">
        <v>737</v>
      </c>
      <c r="G414" s="48">
        <f t="shared" si="6"/>
        <v>4.5498626151608379E-2</v>
      </c>
    </row>
    <row r="415" spans="1:7">
      <c r="A415" t="s">
        <v>738</v>
      </c>
      <c r="B415">
        <v>126.46</v>
      </c>
      <c r="C415">
        <v>129.57</v>
      </c>
      <c r="D415">
        <v>131.26</v>
      </c>
      <c r="E415">
        <v>124.37</v>
      </c>
      <c r="F415" t="s">
        <v>739</v>
      </c>
      <c r="G415" s="48">
        <f t="shared" si="6"/>
        <v>-2.2493622941949565E-2</v>
      </c>
    </row>
    <row r="416" spans="1:7">
      <c r="A416" t="s">
        <v>740</v>
      </c>
      <c r="B416">
        <v>128.30000000000001</v>
      </c>
      <c r="C416">
        <v>125.05</v>
      </c>
      <c r="D416">
        <v>129.19999999999999</v>
      </c>
      <c r="E416">
        <v>123.88</v>
      </c>
      <c r="F416" t="s">
        <v>741</v>
      </c>
      <c r="G416" s="48">
        <f t="shared" si="6"/>
        <v>1.4550055353471647E-2</v>
      </c>
    </row>
    <row r="417" spans="1:7">
      <c r="A417" t="s">
        <v>742</v>
      </c>
      <c r="B417">
        <v>125.61</v>
      </c>
      <c r="C417">
        <v>128.12</v>
      </c>
      <c r="D417">
        <v>128.33000000000001</v>
      </c>
      <c r="E417">
        <v>122.64</v>
      </c>
      <c r="F417" t="s">
        <v>743</v>
      </c>
      <c r="G417" s="48">
        <f t="shared" si="6"/>
        <v>-2.0966484801247187E-2</v>
      </c>
    </row>
    <row r="418" spans="1:7">
      <c r="A418" t="s">
        <v>744</v>
      </c>
      <c r="B418">
        <v>117.59</v>
      </c>
      <c r="C418">
        <v>121.36</v>
      </c>
      <c r="D418">
        <v>124.43</v>
      </c>
      <c r="E418">
        <v>116.71</v>
      </c>
      <c r="F418" t="s">
        <v>745</v>
      </c>
      <c r="G418" s="48">
        <f t="shared" si="6"/>
        <v>-6.3848419711806326E-2</v>
      </c>
    </row>
    <row r="419" spans="1:7">
      <c r="A419" t="s">
        <v>746</v>
      </c>
      <c r="B419">
        <v>119.37</v>
      </c>
      <c r="C419">
        <v>119.53</v>
      </c>
      <c r="D419">
        <v>121.75</v>
      </c>
      <c r="E419">
        <v>117.22</v>
      </c>
      <c r="F419" t="s">
        <v>747</v>
      </c>
      <c r="G419" s="48">
        <f t="shared" si="6"/>
        <v>1.5137341610681254E-2</v>
      </c>
    </row>
    <row r="420" spans="1:7">
      <c r="A420" s="79">
        <v>45360</v>
      </c>
      <c r="B420">
        <v>108</v>
      </c>
      <c r="C420">
        <v>116.01</v>
      </c>
      <c r="D420">
        <v>116.21</v>
      </c>
      <c r="E420">
        <v>107.29</v>
      </c>
      <c r="F420" t="s">
        <v>748</v>
      </c>
      <c r="G420" s="48">
        <f t="shared" si="6"/>
        <v>-9.5250062829856819E-2</v>
      </c>
    </row>
    <row r="421" spans="1:7">
      <c r="A421" s="79">
        <v>45391</v>
      </c>
      <c r="B421">
        <v>106.21</v>
      </c>
      <c r="C421">
        <v>105.41</v>
      </c>
      <c r="D421">
        <v>113.27</v>
      </c>
      <c r="E421">
        <v>104.12</v>
      </c>
      <c r="F421" t="s">
        <v>749</v>
      </c>
      <c r="G421" s="48">
        <f t="shared" si="6"/>
        <v>-1.6574074074074185E-2</v>
      </c>
    </row>
    <row r="422" spans="1:7">
      <c r="A422" s="79">
        <v>45421</v>
      </c>
      <c r="B422">
        <v>107.21</v>
      </c>
      <c r="C422">
        <v>104.99</v>
      </c>
      <c r="D422">
        <v>109.65</v>
      </c>
      <c r="E422">
        <v>104.76</v>
      </c>
      <c r="F422" t="s">
        <v>750</v>
      </c>
      <c r="G422" s="48">
        <f t="shared" si="6"/>
        <v>9.4153092929103455E-3</v>
      </c>
    </row>
    <row r="423" spans="1:7">
      <c r="A423" s="79">
        <v>45452</v>
      </c>
      <c r="B423">
        <v>102.83</v>
      </c>
      <c r="C423">
        <v>108.04</v>
      </c>
      <c r="D423">
        <v>108.15</v>
      </c>
      <c r="E423">
        <v>100.95</v>
      </c>
      <c r="F423" t="s">
        <v>751</v>
      </c>
      <c r="G423" s="48">
        <f t="shared" si="6"/>
        <v>-4.0854397910642604E-2</v>
      </c>
    </row>
    <row r="424" spans="1:7">
      <c r="A424" s="79">
        <v>45544</v>
      </c>
      <c r="B424">
        <v>106.47</v>
      </c>
      <c r="C424">
        <v>104.88</v>
      </c>
      <c r="D424">
        <v>106.55</v>
      </c>
      <c r="E424">
        <v>103.69</v>
      </c>
      <c r="F424" t="s">
        <v>752</v>
      </c>
      <c r="G424" s="48">
        <f t="shared" si="6"/>
        <v>3.539823008849563E-2</v>
      </c>
    </row>
    <row r="425" spans="1:7">
      <c r="A425" s="79">
        <v>45574</v>
      </c>
      <c r="B425">
        <v>108.1</v>
      </c>
      <c r="C425">
        <v>107.81</v>
      </c>
      <c r="D425">
        <v>109.4</v>
      </c>
      <c r="E425">
        <v>104.95</v>
      </c>
      <c r="F425" t="s">
        <v>753</v>
      </c>
      <c r="G425" s="48">
        <f t="shared" si="6"/>
        <v>1.5309476847938264E-2</v>
      </c>
    </row>
    <row r="426" spans="1:7">
      <c r="A426" s="79">
        <v>45605</v>
      </c>
      <c r="B426">
        <v>116.91</v>
      </c>
      <c r="C426">
        <v>109.39</v>
      </c>
      <c r="D426">
        <v>117.19</v>
      </c>
      <c r="E426">
        <v>107.42</v>
      </c>
      <c r="F426" t="s">
        <v>754</v>
      </c>
      <c r="G426" s="48">
        <f t="shared" si="6"/>
        <v>8.1498612395929815E-2</v>
      </c>
    </row>
    <row r="427" spans="1:7">
      <c r="A427" s="79">
        <v>45635</v>
      </c>
      <c r="B427">
        <v>119.14</v>
      </c>
      <c r="C427">
        <v>116.84</v>
      </c>
      <c r="D427">
        <v>120.79</v>
      </c>
      <c r="E427">
        <v>115.38</v>
      </c>
      <c r="F427" t="s">
        <v>755</v>
      </c>
      <c r="G427" s="48">
        <f t="shared" si="6"/>
        <v>1.9074501753485684E-2</v>
      </c>
    </row>
    <row r="428" spans="1:7">
      <c r="A428" t="s">
        <v>756</v>
      </c>
      <c r="B428">
        <v>119.1</v>
      </c>
      <c r="C428">
        <v>119.08</v>
      </c>
      <c r="D428">
        <v>119.96</v>
      </c>
      <c r="E428">
        <v>117.6</v>
      </c>
      <c r="F428" t="s">
        <v>757</v>
      </c>
      <c r="G428" s="48">
        <f t="shared" si="6"/>
        <v>-3.3573946617426742E-4</v>
      </c>
    </row>
    <row r="429" spans="1:7">
      <c r="A429" t="s">
        <v>758</v>
      </c>
      <c r="B429">
        <v>116.78</v>
      </c>
      <c r="C429">
        <v>116.79</v>
      </c>
      <c r="D429">
        <v>118.18</v>
      </c>
      <c r="E429">
        <v>114.36</v>
      </c>
      <c r="F429" t="s">
        <v>759</v>
      </c>
      <c r="G429" s="48">
        <f t="shared" si="6"/>
        <v>-1.9479429051217356E-2</v>
      </c>
    </row>
    <row r="430" spans="1:7">
      <c r="A430" t="s">
        <v>760</v>
      </c>
      <c r="B430">
        <v>115.59</v>
      </c>
      <c r="C430">
        <v>118.17</v>
      </c>
      <c r="D430">
        <v>118.8</v>
      </c>
      <c r="E430">
        <v>114.83</v>
      </c>
      <c r="F430" t="s">
        <v>761</v>
      </c>
      <c r="G430" s="48">
        <f t="shared" si="6"/>
        <v>-1.0190101044699418E-2</v>
      </c>
    </row>
    <row r="431" spans="1:7">
      <c r="A431" t="s">
        <v>762</v>
      </c>
      <c r="B431">
        <v>113.37</v>
      </c>
      <c r="C431">
        <v>115.89</v>
      </c>
      <c r="D431">
        <v>117.7</v>
      </c>
      <c r="E431">
        <v>113.22</v>
      </c>
      <c r="F431" t="s">
        <v>763</v>
      </c>
      <c r="G431" s="48">
        <f t="shared" si="6"/>
        <v>-1.9205813651699932E-2</v>
      </c>
    </row>
    <row r="432" spans="1:7">
      <c r="A432" t="s">
        <v>764</v>
      </c>
      <c r="B432">
        <v>117.87</v>
      </c>
      <c r="C432">
        <v>117.35</v>
      </c>
      <c r="D432">
        <v>119.66</v>
      </c>
      <c r="E432">
        <v>117.25</v>
      </c>
      <c r="F432" t="s">
        <v>765</v>
      </c>
      <c r="G432" s="48">
        <f t="shared" si="6"/>
        <v>3.9693040486901365E-2</v>
      </c>
    </row>
    <row r="433" spans="1:7">
      <c r="A433" t="s">
        <v>766</v>
      </c>
      <c r="B433">
        <v>116</v>
      </c>
      <c r="C433">
        <v>117.06</v>
      </c>
      <c r="D433">
        <v>118.62</v>
      </c>
      <c r="E433">
        <v>115.39</v>
      </c>
      <c r="F433" t="s">
        <v>767</v>
      </c>
      <c r="G433" s="48">
        <f t="shared" si="6"/>
        <v>-1.5864935946381609E-2</v>
      </c>
    </row>
    <row r="434" spans="1:7">
      <c r="A434" t="s">
        <v>768</v>
      </c>
      <c r="B434">
        <v>116.26</v>
      </c>
      <c r="C434">
        <v>116.55</v>
      </c>
      <c r="D434">
        <v>116.99</v>
      </c>
      <c r="E434">
        <v>114.86</v>
      </c>
      <c r="F434" t="s">
        <v>769</v>
      </c>
      <c r="G434" s="48">
        <f t="shared" si="6"/>
        <v>2.2413793103448487E-3</v>
      </c>
    </row>
    <row r="435" spans="1:7">
      <c r="A435" t="s">
        <v>770</v>
      </c>
      <c r="B435">
        <v>120.87</v>
      </c>
      <c r="C435">
        <v>116.51</v>
      </c>
      <c r="D435">
        <v>121.8</v>
      </c>
      <c r="E435">
        <v>115.38</v>
      </c>
      <c r="F435" t="s">
        <v>771</v>
      </c>
      <c r="G435" s="48">
        <f t="shared" si="6"/>
        <v>3.9652503010493723E-2</v>
      </c>
    </row>
    <row r="436" spans="1:7">
      <c r="A436" t="s">
        <v>772</v>
      </c>
      <c r="B436">
        <v>123.51</v>
      </c>
      <c r="C436">
        <v>122.02</v>
      </c>
      <c r="D436">
        <v>124.94</v>
      </c>
      <c r="E436">
        <v>121.61</v>
      </c>
      <c r="F436" t="s">
        <v>773</v>
      </c>
      <c r="G436" s="48">
        <f t="shared" si="6"/>
        <v>2.1841648051625695E-2</v>
      </c>
    </row>
    <row r="437" spans="1:7">
      <c r="A437" t="s">
        <v>774</v>
      </c>
      <c r="B437">
        <v>124.04</v>
      </c>
      <c r="C437">
        <v>126.8</v>
      </c>
      <c r="D437">
        <v>127.67</v>
      </c>
      <c r="E437">
        <v>121.8</v>
      </c>
      <c r="F437" t="s">
        <v>775</v>
      </c>
      <c r="G437" s="48">
        <f t="shared" si="6"/>
        <v>4.2911505141283168E-3</v>
      </c>
    </row>
    <row r="438" spans="1:7">
      <c r="A438" t="s">
        <v>776</v>
      </c>
      <c r="B438">
        <v>121.4</v>
      </c>
      <c r="C438">
        <v>123.97</v>
      </c>
      <c r="D438">
        <v>124.03</v>
      </c>
      <c r="E438">
        <v>119.26</v>
      </c>
      <c r="F438" t="s">
        <v>777</v>
      </c>
      <c r="G438" s="48">
        <f t="shared" si="6"/>
        <v>-2.1283456949371171E-2</v>
      </c>
    </row>
    <row r="439" spans="1:7">
      <c r="A439" t="s">
        <v>778</v>
      </c>
      <c r="B439">
        <v>121.44</v>
      </c>
      <c r="C439">
        <v>118.31</v>
      </c>
      <c r="D439">
        <v>121.5</v>
      </c>
      <c r="E439">
        <v>118.15</v>
      </c>
      <c r="F439" t="s">
        <v>779</v>
      </c>
      <c r="G439" s="48">
        <f t="shared" si="6"/>
        <v>3.2948929159792861E-4</v>
      </c>
    </row>
    <row r="440" spans="1:7">
      <c r="A440" s="79">
        <v>45301</v>
      </c>
      <c r="B440">
        <v>117</v>
      </c>
      <c r="C440">
        <v>121.76</v>
      </c>
      <c r="D440">
        <v>122.44</v>
      </c>
      <c r="E440">
        <v>115.79</v>
      </c>
      <c r="F440" t="s">
        <v>780</v>
      </c>
      <c r="G440" s="48">
        <f t="shared" si="6"/>
        <v>-3.6561264822134398E-2</v>
      </c>
    </row>
    <row r="441" spans="1:7">
      <c r="A441" s="79">
        <v>45332</v>
      </c>
      <c r="B441">
        <v>118.85</v>
      </c>
      <c r="C441">
        <v>116.44</v>
      </c>
      <c r="D441">
        <v>119.38</v>
      </c>
      <c r="E441">
        <v>115.14</v>
      </c>
      <c r="F441" t="s">
        <v>781</v>
      </c>
      <c r="G441" s="48">
        <f t="shared" si="6"/>
        <v>1.5811965811965756E-2</v>
      </c>
    </row>
    <row r="442" spans="1:7">
      <c r="A442" s="79">
        <v>45361</v>
      </c>
      <c r="B442">
        <v>122.85</v>
      </c>
      <c r="C442">
        <v>120.92</v>
      </c>
      <c r="D442">
        <v>124.36</v>
      </c>
      <c r="E442">
        <v>120.34</v>
      </c>
      <c r="F442" t="s">
        <v>782</v>
      </c>
      <c r="G442" s="48">
        <f t="shared" si="6"/>
        <v>3.3655868742112016E-2</v>
      </c>
    </row>
    <row r="443" spans="1:7">
      <c r="A443" s="79">
        <v>45392</v>
      </c>
      <c r="B443">
        <v>124.92</v>
      </c>
      <c r="C443">
        <v>124.94</v>
      </c>
      <c r="D443">
        <v>125.04</v>
      </c>
      <c r="E443">
        <v>121.83</v>
      </c>
      <c r="F443" t="s">
        <v>783</v>
      </c>
      <c r="G443" s="48">
        <f t="shared" si="6"/>
        <v>1.6849816849817012E-2</v>
      </c>
    </row>
    <row r="444" spans="1:7">
      <c r="A444" s="79">
        <v>45483</v>
      </c>
      <c r="B444">
        <v>127.72</v>
      </c>
      <c r="C444">
        <v>124.99</v>
      </c>
      <c r="D444">
        <v>130.63999999999999</v>
      </c>
      <c r="E444">
        <v>124.95</v>
      </c>
      <c r="F444" t="s">
        <v>784</v>
      </c>
      <c r="G444" s="48">
        <f t="shared" si="6"/>
        <v>2.2414345180915785E-2</v>
      </c>
    </row>
    <row r="445" spans="1:7">
      <c r="A445" s="79">
        <v>45514</v>
      </c>
      <c r="B445">
        <v>132.88999999999999</v>
      </c>
      <c r="C445">
        <v>130.26</v>
      </c>
      <c r="D445">
        <v>133.47999999999999</v>
      </c>
      <c r="E445">
        <v>129.41999999999999</v>
      </c>
      <c r="F445" t="s">
        <v>785</v>
      </c>
      <c r="G445" s="48">
        <f t="shared" si="6"/>
        <v>4.0479173191356077E-2</v>
      </c>
    </row>
    <row r="446" spans="1:7">
      <c r="A446" s="79">
        <v>45545</v>
      </c>
      <c r="B446">
        <v>132.65</v>
      </c>
      <c r="C446">
        <v>134.11000000000001</v>
      </c>
      <c r="D446">
        <v>134.52000000000001</v>
      </c>
      <c r="E446">
        <v>131.38</v>
      </c>
      <c r="F446" t="s">
        <v>786</v>
      </c>
      <c r="G446" s="48">
        <f t="shared" si="6"/>
        <v>-1.8060049665135081E-3</v>
      </c>
    </row>
    <row r="447" spans="1:7">
      <c r="A447" s="79">
        <v>45575</v>
      </c>
      <c r="B447">
        <v>134.81</v>
      </c>
      <c r="C447">
        <v>131.91</v>
      </c>
      <c r="D447">
        <v>135</v>
      </c>
      <c r="E447">
        <v>131</v>
      </c>
      <c r="F447" t="s">
        <v>787</v>
      </c>
      <c r="G447" s="48">
        <f t="shared" si="6"/>
        <v>1.6283452695062151E-2</v>
      </c>
    </row>
    <row r="448" spans="1:7">
      <c r="A448" s="79">
        <v>45606</v>
      </c>
      <c r="B448">
        <v>134.80000000000001</v>
      </c>
      <c r="C448">
        <v>134.01</v>
      </c>
      <c r="D448">
        <v>135.78</v>
      </c>
      <c r="E448">
        <v>133.66</v>
      </c>
      <c r="F448" t="s">
        <v>788</v>
      </c>
      <c r="G448" s="48">
        <f t="shared" si="6"/>
        <v>-7.4178473406960599E-5</v>
      </c>
    </row>
    <row r="449" spans="1:7">
      <c r="A449" t="s">
        <v>789</v>
      </c>
      <c r="B449">
        <v>138.07</v>
      </c>
      <c r="C449">
        <v>136.47</v>
      </c>
      <c r="D449">
        <v>139.6</v>
      </c>
      <c r="E449">
        <v>136.30000000000001</v>
      </c>
      <c r="F449" t="s">
        <v>790</v>
      </c>
      <c r="G449" s="48">
        <f t="shared" si="6"/>
        <v>2.4258160237388582E-2</v>
      </c>
    </row>
    <row r="450" spans="1:7">
      <c r="A450" t="s">
        <v>791</v>
      </c>
      <c r="B450">
        <v>131.6</v>
      </c>
      <c r="C450">
        <v>137.87</v>
      </c>
      <c r="D450">
        <v>138.57</v>
      </c>
      <c r="E450">
        <v>128.74</v>
      </c>
      <c r="F450" t="s">
        <v>792</v>
      </c>
      <c r="G450" s="48">
        <f t="shared" si="6"/>
        <v>-4.6860288259578442E-2</v>
      </c>
    </row>
    <row r="451" spans="1:7">
      <c r="A451" t="s">
        <v>793</v>
      </c>
      <c r="B451">
        <v>135.72</v>
      </c>
      <c r="C451">
        <v>133.97999999999999</v>
      </c>
      <c r="D451">
        <v>136.62</v>
      </c>
      <c r="E451">
        <v>131.58000000000001</v>
      </c>
      <c r="F451" t="s">
        <v>794</v>
      </c>
      <c r="G451" s="48">
        <f t="shared" si="6"/>
        <v>3.130699088145894E-2</v>
      </c>
    </row>
    <row r="452" spans="1:7">
      <c r="A452" t="s">
        <v>795</v>
      </c>
      <c r="B452">
        <v>136.93</v>
      </c>
      <c r="C452">
        <v>139.34</v>
      </c>
      <c r="D452">
        <v>140.88999999999999</v>
      </c>
      <c r="E452">
        <v>136.87</v>
      </c>
      <c r="F452" t="s">
        <v>796</v>
      </c>
      <c r="G452" s="48">
        <f t="shared" ref="G452:G515" si="7">B452/B451-1</f>
        <v>8.915414087828033E-3</v>
      </c>
    </row>
    <row r="453" spans="1:7">
      <c r="A453" t="s">
        <v>797</v>
      </c>
      <c r="B453">
        <v>138</v>
      </c>
      <c r="C453">
        <v>138.66</v>
      </c>
      <c r="D453">
        <v>138.9</v>
      </c>
      <c r="E453">
        <v>137.28</v>
      </c>
      <c r="F453" t="s">
        <v>798</v>
      </c>
      <c r="G453" s="48">
        <f t="shared" si="7"/>
        <v>7.814211640984503E-3</v>
      </c>
    </row>
    <row r="454" spans="1:7">
      <c r="A454" t="s">
        <v>799</v>
      </c>
      <c r="B454">
        <v>143.71</v>
      </c>
      <c r="C454">
        <v>138.13</v>
      </c>
      <c r="D454">
        <v>143.71</v>
      </c>
      <c r="E454">
        <v>138</v>
      </c>
      <c r="F454" t="s">
        <v>800</v>
      </c>
      <c r="G454" s="48">
        <f t="shared" si="7"/>
        <v>4.1376811594203033E-2</v>
      </c>
    </row>
    <row r="455" spans="1:7">
      <c r="A455" t="s">
        <v>801</v>
      </c>
      <c r="B455">
        <v>143.59</v>
      </c>
      <c r="C455">
        <v>142.91</v>
      </c>
      <c r="D455">
        <v>144.41999999999999</v>
      </c>
      <c r="E455">
        <v>141.78</v>
      </c>
      <c r="F455" t="s">
        <v>802</v>
      </c>
      <c r="G455" s="48">
        <f t="shared" si="7"/>
        <v>-8.3501496068472125E-4</v>
      </c>
    </row>
    <row r="456" spans="1:7">
      <c r="A456" t="s">
        <v>803</v>
      </c>
      <c r="B456">
        <v>139.56</v>
      </c>
      <c r="C456">
        <v>142.03</v>
      </c>
      <c r="D456">
        <v>142.43</v>
      </c>
      <c r="E456">
        <v>137.46</v>
      </c>
      <c r="F456" t="s">
        <v>804</v>
      </c>
      <c r="G456" s="48">
        <f t="shared" si="7"/>
        <v>-2.8066021310676259E-2</v>
      </c>
    </row>
    <row r="457" spans="1:7">
      <c r="A457" t="s">
        <v>805</v>
      </c>
      <c r="B457">
        <v>140.41</v>
      </c>
      <c r="C457">
        <v>140.82</v>
      </c>
      <c r="D457">
        <v>141.35</v>
      </c>
      <c r="E457">
        <v>138.46</v>
      </c>
      <c r="F457" t="s">
        <v>806</v>
      </c>
      <c r="G457" s="48">
        <f t="shared" si="7"/>
        <v>6.0905703640010689E-3</v>
      </c>
    </row>
    <row r="458" spans="1:7">
      <c r="A458" t="s">
        <v>807</v>
      </c>
      <c r="B458">
        <v>141.54</v>
      </c>
      <c r="C458">
        <v>140.93</v>
      </c>
      <c r="D458">
        <v>144.13</v>
      </c>
      <c r="E458">
        <v>140.80000000000001</v>
      </c>
      <c r="F458" t="s">
        <v>808</v>
      </c>
      <c r="G458" s="48">
        <f t="shared" si="7"/>
        <v>8.0478598390427702E-3</v>
      </c>
    </row>
    <row r="459" spans="1:7">
      <c r="A459" t="s">
        <v>809</v>
      </c>
      <c r="B459">
        <v>140.52000000000001</v>
      </c>
      <c r="C459">
        <v>143</v>
      </c>
      <c r="D459">
        <v>143.13999999999999</v>
      </c>
      <c r="E459">
        <v>140.05000000000001</v>
      </c>
      <c r="F459" t="s">
        <v>810</v>
      </c>
      <c r="G459" s="48">
        <f t="shared" si="7"/>
        <v>-7.2064434082237394E-3</v>
      </c>
    </row>
    <row r="460" spans="1:7">
      <c r="A460" t="s">
        <v>811</v>
      </c>
      <c r="B460">
        <v>141.25</v>
      </c>
      <c r="C460">
        <v>140.29</v>
      </c>
      <c r="D460">
        <v>142.26</v>
      </c>
      <c r="E460">
        <v>138.9</v>
      </c>
      <c r="F460" t="s">
        <v>812</v>
      </c>
      <c r="G460" s="48">
        <f t="shared" si="7"/>
        <v>5.1949900370054092E-3</v>
      </c>
    </row>
    <row r="461" spans="1:7">
      <c r="A461" t="s">
        <v>813</v>
      </c>
      <c r="B461">
        <v>139.34</v>
      </c>
      <c r="C461">
        <v>139.54</v>
      </c>
      <c r="D461">
        <v>140.33000000000001</v>
      </c>
      <c r="E461">
        <v>136.81</v>
      </c>
      <c r="F461" t="s">
        <v>814</v>
      </c>
      <c r="G461" s="48">
        <f t="shared" si="7"/>
        <v>-1.3522123893805249E-2</v>
      </c>
    </row>
    <row r="462" spans="1:7">
      <c r="A462" t="s">
        <v>815</v>
      </c>
      <c r="B462">
        <v>132.76</v>
      </c>
      <c r="C462">
        <v>137.6</v>
      </c>
      <c r="D462">
        <v>137.61000000000001</v>
      </c>
      <c r="E462">
        <v>132.11000000000001</v>
      </c>
      <c r="F462" t="s">
        <v>816</v>
      </c>
      <c r="G462" s="48">
        <f t="shared" si="7"/>
        <v>-4.7222620927228398E-2</v>
      </c>
    </row>
    <row r="463" spans="1:7">
      <c r="A463" s="79">
        <v>45302</v>
      </c>
      <c r="B463">
        <v>135.4</v>
      </c>
      <c r="C463">
        <v>134.69999999999999</v>
      </c>
      <c r="D463">
        <v>137.31</v>
      </c>
      <c r="E463">
        <v>134.57</v>
      </c>
      <c r="F463" t="s">
        <v>817</v>
      </c>
      <c r="G463" s="48">
        <f t="shared" si="7"/>
        <v>1.9885507683037096E-2</v>
      </c>
    </row>
    <row r="464" spans="1:7">
      <c r="A464" s="79">
        <v>45393</v>
      </c>
      <c r="B464">
        <v>136.05000000000001</v>
      </c>
      <c r="C464">
        <v>137.21</v>
      </c>
      <c r="D464">
        <v>138.96</v>
      </c>
      <c r="E464">
        <v>135.57</v>
      </c>
      <c r="F464" t="s">
        <v>818</v>
      </c>
      <c r="G464" s="48">
        <f t="shared" si="7"/>
        <v>4.8005908419497256E-3</v>
      </c>
    </row>
    <row r="465" spans="1:7">
      <c r="A465" s="79">
        <v>45423</v>
      </c>
      <c r="B465">
        <v>139.91</v>
      </c>
      <c r="C465">
        <v>137.44999999999999</v>
      </c>
      <c r="D465">
        <v>140.37</v>
      </c>
      <c r="E465">
        <v>137.33000000000001</v>
      </c>
      <c r="F465" t="s">
        <v>819</v>
      </c>
      <c r="G465" s="48">
        <f t="shared" si="7"/>
        <v>2.8371922087467638E-2</v>
      </c>
    </row>
    <row r="466" spans="1:7">
      <c r="A466" s="79">
        <v>45454</v>
      </c>
      <c r="B466">
        <v>145.61000000000001</v>
      </c>
      <c r="C466">
        <v>142.96</v>
      </c>
      <c r="D466">
        <v>146.49</v>
      </c>
      <c r="E466">
        <v>141.96</v>
      </c>
      <c r="F466" t="s">
        <v>820</v>
      </c>
      <c r="G466" s="48">
        <f t="shared" si="7"/>
        <v>4.0740476020298955E-2</v>
      </c>
    </row>
    <row r="467" spans="1:7">
      <c r="A467" s="79">
        <v>45484</v>
      </c>
      <c r="B467">
        <v>148.88</v>
      </c>
      <c r="C467">
        <v>146.38999999999999</v>
      </c>
      <c r="D467">
        <v>148.93</v>
      </c>
      <c r="E467">
        <v>146.16999999999999</v>
      </c>
      <c r="F467" t="s">
        <v>821</v>
      </c>
      <c r="G467" s="48">
        <f t="shared" si="7"/>
        <v>2.2457248815328512E-2</v>
      </c>
    </row>
    <row r="468" spans="1:7">
      <c r="A468" s="79">
        <v>45515</v>
      </c>
      <c r="B468">
        <v>147.63</v>
      </c>
      <c r="C468">
        <v>148.77000000000001</v>
      </c>
      <c r="D468">
        <v>149.77000000000001</v>
      </c>
      <c r="E468">
        <v>146.26</v>
      </c>
      <c r="F468" t="s">
        <v>822</v>
      </c>
      <c r="G468" s="48">
        <f t="shared" si="7"/>
        <v>-8.396023643202577E-3</v>
      </c>
    </row>
    <row r="469" spans="1:7">
      <c r="A469" s="79">
        <v>45607</v>
      </c>
      <c r="B469">
        <v>145.26</v>
      </c>
      <c r="C469">
        <v>148.68</v>
      </c>
      <c r="D469">
        <v>148.85</v>
      </c>
      <c r="E469">
        <v>143.57</v>
      </c>
      <c r="F469" t="s">
        <v>823</v>
      </c>
      <c r="G469" s="48">
        <f t="shared" si="7"/>
        <v>-1.6053647632594981E-2</v>
      </c>
    </row>
    <row r="470" spans="1:7">
      <c r="A470" s="79">
        <v>45637</v>
      </c>
      <c r="B470">
        <v>148.29</v>
      </c>
      <c r="C470">
        <v>146.78</v>
      </c>
      <c r="D470">
        <v>149.65</v>
      </c>
      <c r="E470">
        <v>146.01</v>
      </c>
      <c r="F470" t="s">
        <v>824</v>
      </c>
      <c r="G470" s="48">
        <f t="shared" si="7"/>
        <v>2.0859149111937203E-2</v>
      </c>
    </row>
    <row r="471" spans="1:7">
      <c r="A471" t="s">
        <v>825</v>
      </c>
      <c r="B471">
        <v>146.27000000000001</v>
      </c>
      <c r="C471">
        <v>149.07</v>
      </c>
      <c r="D471">
        <v>149.33000000000001</v>
      </c>
      <c r="E471">
        <v>145.9</v>
      </c>
      <c r="F471" t="s">
        <v>826</v>
      </c>
      <c r="G471" s="48">
        <f t="shared" si="7"/>
        <v>-1.3621956976195171E-2</v>
      </c>
    </row>
    <row r="472" spans="1:7">
      <c r="A472" t="s">
        <v>827</v>
      </c>
      <c r="B472">
        <v>146.76</v>
      </c>
      <c r="C472">
        <v>147.63999999999999</v>
      </c>
      <c r="D472">
        <v>149</v>
      </c>
      <c r="E472">
        <v>145.55000000000001</v>
      </c>
      <c r="F472" t="s">
        <v>828</v>
      </c>
      <c r="G472" s="48">
        <f t="shared" si="7"/>
        <v>3.3499692349763244E-3</v>
      </c>
    </row>
    <row r="473" spans="1:7">
      <c r="A473" t="s">
        <v>829</v>
      </c>
      <c r="B473">
        <v>141.97999999999999</v>
      </c>
      <c r="C473">
        <v>144.87</v>
      </c>
      <c r="D473">
        <v>145.24</v>
      </c>
      <c r="E473">
        <v>140.08000000000001</v>
      </c>
      <c r="F473" t="s">
        <v>830</v>
      </c>
      <c r="G473" s="48">
        <f t="shared" si="7"/>
        <v>-3.2570182611065701E-2</v>
      </c>
    </row>
    <row r="474" spans="1:7">
      <c r="A474" t="s">
        <v>831</v>
      </c>
      <c r="B474">
        <v>140.15</v>
      </c>
      <c r="C474">
        <v>139.5</v>
      </c>
      <c r="D474">
        <v>141.55000000000001</v>
      </c>
      <c r="E474">
        <v>137.15</v>
      </c>
      <c r="F474" t="s">
        <v>832</v>
      </c>
      <c r="G474" s="48">
        <f t="shared" si="7"/>
        <v>-1.288913931539637E-2</v>
      </c>
    </row>
    <row r="475" spans="1:7">
      <c r="A475" t="s">
        <v>833</v>
      </c>
      <c r="B475">
        <v>147.01</v>
      </c>
      <c r="C475">
        <v>141.32</v>
      </c>
      <c r="D475">
        <v>147.13</v>
      </c>
      <c r="E475">
        <v>140.99</v>
      </c>
      <c r="F475" t="s">
        <v>834</v>
      </c>
      <c r="G475" s="48">
        <f t="shared" si="7"/>
        <v>4.8947556189796515E-2</v>
      </c>
    </row>
    <row r="476" spans="1:7">
      <c r="A476" t="s">
        <v>835</v>
      </c>
      <c r="B476">
        <v>145.88999999999999</v>
      </c>
      <c r="C476">
        <v>147.41</v>
      </c>
      <c r="D476">
        <v>147.56</v>
      </c>
      <c r="E476">
        <v>142.72999999999999</v>
      </c>
      <c r="F476" t="s">
        <v>836</v>
      </c>
      <c r="G476" s="48">
        <f t="shared" si="7"/>
        <v>-7.618529351744785E-3</v>
      </c>
    </row>
    <row r="477" spans="1:7">
      <c r="A477" t="s">
        <v>837</v>
      </c>
      <c r="B477">
        <v>146.66999999999999</v>
      </c>
      <c r="C477">
        <v>149.35</v>
      </c>
      <c r="D477">
        <v>152.88999999999999</v>
      </c>
      <c r="E477">
        <v>140.69999999999999</v>
      </c>
      <c r="F477" t="s">
        <v>838</v>
      </c>
      <c r="G477" s="48">
        <f t="shared" si="7"/>
        <v>5.3464939337857231E-3</v>
      </c>
    </row>
    <row r="478" spans="1:7">
      <c r="A478" t="s">
        <v>839</v>
      </c>
      <c r="B478">
        <v>141.94999999999999</v>
      </c>
      <c r="C478">
        <v>145.93</v>
      </c>
      <c r="D478">
        <v>147.16</v>
      </c>
      <c r="E478">
        <v>141.1</v>
      </c>
      <c r="F478" t="s">
        <v>840</v>
      </c>
      <c r="G478" s="48">
        <f t="shared" si="7"/>
        <v>-3.2181086793481972E-2</v>
      </c>
    </row>
    <row r="479" spans="1:7">
      <c r="A479" t="s">
        <v>841</v>
      </c>
      <c r="B479">
        <v>136.02000000000001</v>
      </c>
      <c r="C479">
        <v>141.99</v>
      </c>
      <c r="D479">
        <v>142.05000000000001</v>
      </c>
      <c r="E479">
        <v>135.82</v>
      </c>
      <c r="F479" t="s">
        <v>842</v>
      </c>
      <c r="G479" s="48">
        <f t="shared" si="7"/>
        <v>-4.1775272983444744E-2</v>
      </c>
    </row>
    <row r="480" spans="1:7">
      <c r="A480" t="s">
        <v>843</v>
      </c>
      <c r="B480">
        <v>136.91999999999999</v>
      </c>
      <c r="C480">
        <v>137.69999999999999</v>
      </c>
      <c r="D480">
        <v>139.30000000000001</v>
      </c>
      <c r="E480">
        <v>135.66999999999999</v>
      </c>
      <c r="F480" t="s">
        <v>844</v>
      </c>
      <c r="G480" s="48">
        <f t="shared" si="7"/>
        <v>6.6166740185265027E-3</v>
      </c>
    </row>
    <row r="481" spans="1:7">
      <c r="A481" t="s">
        <v>845</v>
      </c>
      <c r="B481">
        <v>135.34</v>
      </c>
      <c r="C481">
        <v>135.01</v>
      </c>
      <c r="D481">
        <v>137.22</v>
      </c>
      <c r="E481">
        <v>131.80000000000001</v>
      </c>
      <c r="F481" t="s">
        <v>846</v>
      </c>
      <c r="G481" s="48">
        <f t="shared" si="7"/>
        <v>-1.1539585159216936E-2</v>
      </c>
    </row>
    <row r="482" spans="1:7">
      <c r="A482" t="s">
        <v>847</v>
      </c>
      <c r="B482">
        <v>138.25</v>
      </c>
      <c r="C482">
        <v>136.78</v>
      </c>
      <c r="D482">
        <v>139.35</v>
      </c>
      <c r="E482">
        <v>136.05000000000001</v>
      </c>
      <c r="F482" t="s">
        <v>848</v>
      </c>
      <c r="G482" s="48">
        <f t="shared" si="7"/>
        <v>2.1501403871730496E-2</v>
      </c>
    </row>
    <row r="483" spans="1:7">
      <c r="A483" s="79">
        <v>45334</v>
      </c>
      <c r="B483">
        <v>138.63</v>
      </c>
      <c r="C483">
        <v>138.83000000000001</v>
      </c>
      <c r="D483">
        <v>140.44999999999999</v>
      </c>
      <c r="E483">
        <v>137.82</v>
      </c>
      <c r="F483" t="s">
        <v>849</v>
      </c>
      <c r="G483" s="48">
        <f t="shared" si="7"/>
        <v>2.7486437613020165E-3</v>
      </c>
    </row>
    <row r="484" spans="1:7">
      <c r="A484" s="79">
        <v>45363</v>
      </c>
      <c r="B484">
        <v>140.26</v>
      </c>
      <c r="C484">
        <v>138.26</v>
      </c>
      <c r="D484">
        <v>140.54</v>
      </c>
      <c r="E484">
        <v>137.94999999999999</v>
      </c>
      <c r="F484" t="s">
        <v>850</v>
      </c>
      <c r="G484" s="48">
        <f t="shared" si="7"/>
        <v>1.1757916756834685E-2</v>
      </c>
    </row>
    <row r="485" spans="1:7">
      <c r="A485" s="79">
        <v>45394</v>
      </c>
      <c r="B485">
        <v>145.13999999999999</v>
      </c>
      <c r="C485">
        <v>141.99</v>
      </c>
      <c r="D485">
        <v>145.79</v>
      </c>
      <c r="E485">
        <v>140.29</v>
      </c>
      <c r="F485" t="s">
        <v>851</v>
      </c>
      <c r="G485" s="48">
        <f t="shared" si="7"/>
        <v>3.4792528161984748E-2</v>
      </c>
    </row>
    <row r="486" spans="1:7">
      <c r="A486" s="79">
        <v>45424</v>
      </c>
      <c r="B486">
        <v>145.06</v>
      </c>
      <c r="C486">
        <v>145.11000000000001</v>
      </c>
      <c r="D486">
        <v>146.54</v>
      </c>
      <c r="E486">
        <v>143.94999999999999</v>
      </c>
      <c r="F486" t="s">
        <v>852</v>
      </c>
      <c r="G486" s="48">
        <f t="shared" si="7"/>
        <v>-5.5119195259734077E-4</v>
      </c>
    </row>
    <row r="487" spans="1:7">
      <c r="A487" s="79">
        <v>45455</v>
      </c>
      <c r="B487">
        <v>142.44</v>
      </c>
      <c r="C487">
        <v>144.6</v>
      </c>
      <c r="D487">
        <v>145.69999999999999</v>
      </c>
      <c r="E487">
        <v>141.31</v>
      </c>
      <c r="F487" t="s">
        <v>853</v>
      </c>
      <c r="G487" s="48">
        <f t="shared" si="7"/>
        <v>-1.8061491796498075E-2</v>
      </c>
    </row>
    <row r="488" spans="1:7">
      <c r="A488" s="79">
        <v>45547</v>
      </c>
      <c r="B488">
        <v>138.81</v>
      </c>
      <c r="C488">
        <v>138.97</v>
      </c>
      <c r="D488">
        <v>139.94999999999999</v>
      </c>
      <c r="E488">
        <v>137.13</v>
      </c>
      <c r="F488" t="s">
        <v>854</v>
      </c>
      <c r="G488" s="48">
        <f t="shared" si="7"/>
        <v>-2.5484414490311691E-2</v>
      </c>
    </row>
    <row r="489" spans="1:7">
      <c r="A489" s="79">
        <v>45577</v>
      </c>
      <c r="B489">
        <v>135.07</v>
      </c>
      <c r="C489">
        <v>139.01</v>
      </c>
      <c r="D489">
        <v>141.82</v>
      </c>
      <c r="E489">
        <v>133.79</v>
      </c>
      <c r="F489" t="s">
        <v>855</v>
      </c>
      <c r="G489" s="48">
        <f t="shared" si="7"/>
        <v>-2.6943303796556517E-2</v>
      </c>
    </row>
    <row r="490" spans="1:7">
      <c r="A490" s="79">
        <v>45608</v>
      </c>
      <c r="B490">
        <v>139.31</v>
      </c>
      <c r="C490">
        <v>137.36000000000001</v>
      </c>
      <c r="D490">
        <v>140.16999999999999</v>
      </c>
      <c r="E490">
        <v>135.21</v>
      </c>
      <c r="F490" t="s">
        <v>856</v>
      </c>
      <c r="G490" s="48">
        <f t="shared" si="7"/>
        <v>3.1391130524913047E-2</v>
      </c>
    </row>
    <row r="491" spans="1:7">
      <c r="A491" s="79">
        <v>45638</v>
      </c>
      <c r="B491">
        <v>137.34</v>
      </c>
      <c r="C491">
        <v>137.08000000000001</v>
      </c>
      <c r="D491">
        <v>138.44</v>
      </c>
      <c r="E491">
        <v>135.80000000000001</v>
      </c>
      <c r="F491" t="s">
        <v>857</v>
      </c>
      <c r="G491" s="48">
        <f t="shared" si="7"/>
        <v>-1.4141124111693326E-2</v>
      </c>
    </row>
    <row r="492" spans="1:7">
      <c r="A492" t="s">
        <v>858</v>
      </c>
      <c r="B492">
        <v>134.25</v>
      </c>
      <c r="C492">
        <v>138.94</v>
      </c>
      <c r="D492">
        <v>139.6</v>
      </c>
      <c r="E492">
        <v>132.54</v>
      </c>
      <c r="F492" t="s">
        <v>859</v>
      </c>
      <c r="G492" s="48">
        <f t="shared" si="7"/>
        <v>-2.249890782000874E-2</v>
      </c>
    </row>
    <row r="493" spans="1:7">
      <c r="A493" t="s">
        <v>860</v>
      </c>
      <c r="B493">
        <v>132</v>
      </c>
      <c r="C493">
        <v>134.18</v>
      </c>
      <c r="D493">
        <v>134.4</v>
      </c>
      <c r="E493">
        <v>130.41999999999999</v>
      </c>
      <c r="F493" t="s">
        <v>861</v>
      </c>
      <c r="G493" s="48">
        <f t="shared" si="7"/>
        <v>-1.6759776536312887E-2</v>
      </c>
    </row>
    <row r="494" spans="1:7">
      <c r="A494" t="s">
        <v>862</v>
      </c>
      <c r="B494">
        <v>130.38999999999999</v>
      </c>
      <c r="C494">
        <v>129.09</v>
      </c>
      <c r="D494">
        <v>131.59</v>
      </c>
      <c r="E494">
        <v>126.86</v>
      </c>
      <c r="F494" t="s">
        <v>863</v>
      </c>
      <c r="G494" s="48">
        <f t="shared" si="7"/>
        <v>-1.2196969696969817E-2</v>
      </c>
    </row>
    <row r="495" spans="1:7">
      <c r="A495" t="s">
        <v>864</v>
      </c>
      <c r="B495">
        <v>128.91</v>
      </c>
      <c r="C495">
        <v>133.86000000000001</v>
      </c>
      <c r="D495">
        <v>136.69999999999999</v>
      </c>
      <c r="E495">
        <v>128.28</v>
      </c>
      <c r="F495" t="s">
        <v>865</v>
      </c>
      <c r="G495" s="48">
        <f t="shared" si="7"/>
        <v>-1.135056369353471E-2</v>
      </c>
    </row>
    <row r="496" spans="1:7">
      <c r="A496" t="s">
        <v>866</v>
      </c>
      <c r="B496">
        <v>130.68</v>
      </c>
      <c r="C496">
        <v>131.76</v>
      </c>
      <c r="D496">
        <v>134.03</v>
      </c>
      <c r="E496">
        <v>129.55000000000001</v>
      </c>
      <c r="F496" t="s">
        <v>867</v>
      </c>
      <c r="G496" s="48">
        <f t="shared" si="7"/>
        <v>1.3730509657901013E-2</v>
      </c>
    </row>
    <row r="497" spans="1:7">
      <c r="A497" t="s">
        <v>868</v>
      </c>
      <c r="B497">
        <v>134.69999999999999</v>
      </c>
      <c r="C497">
        <v>129.81</v>
      </c>
      <c r="D497">
        <v>135.28</v>
      </c>
      <c r="E497">
        <v>128.22</v>
      </c>
      <c r="F497" t="s">
        <v>869</v>
      </c>
      <c r="G497" s="48">
        <f t="shared" si="7"/>
        <v>3.0762167125803375E-2</v>
      </c>
    </row>
    <row r="498" spans="1:7">
      <c r="A498" t="s">
        <v>870</v>
      </c>
      <c r="B498">
        <v>139.66999999999999</v>
      </c>
      <c r="C498">
        <v>136.28</v>
      </c>
      <c r="D498">
        <v>139.79</v>
      </c>
      <c r="E498">
        <v>135.12</v>
      </c>
      <c r="F498" t="s">
        <v>871</v>
      </c>
      <c r="G498" s="48">
        <f t="shared" si="7"/>
        <v>3.6896807720861124E-2</v>
      </c>
    </row>
    <row r="499" spans="1:7">
      <c r="A499" t="s">
        <v>872</v>
      </c>
      <c r="B499">
        <v>140.22</v>
      </c>
      <c r="C499">
        <v>140</v>
      </c>
      <c r="D499">
        <v>141.9</v>
      </c>
      <c r="E499">
        <v>138.65</v>
      </c>
      <c r="F499" t="s">
        <v>873</v>
      </c>
      <c r="G499" s="48">
        <f t="shared" si="7"/>
        <v>3.9378535118494984E-3</v>
      </c>
    </row>
    <row r="500" spans="1:7">
      <c r="A500" t="s">
        <v>874</v>
      </c>
      <c r="B500">
        <v>139.93</v>
      </c>
      <c r="C500">
        <v>139.69999999999999</v>
      </c>
      <c r="D500">
        <v>140.85</v>
      </c>
      <c r="E500">
        <v>137.72999999999999</v>
      </c>
      <c r="F500" t="s">
        <v>875</v>
      </c>
      <c r="G500" s="48">
        <f t="shared" si="7"/>
        <v>-2.068178576522528E-3</v>
      </c>
    </row>
    <row r="501" spans="1:7">
      <c r="A501" t="s">
        <v>876</v>
      </c>
      <c r="B501">
        <v>137.01</v>
      </c>
      <c r="C501">
        <v>138.55000000000001</v>
      </c>
      <c r="D501">
        <v>139.02000000000001</v>
      </c>
      <c r="E501">
        <v>134.71</v>
      </c>
      <c r="F501" t="s">
        <v>877</v>
      </c>
      <c r="G501" s="48">
        <f t="shared" si="7"/>
        <v>-2.086757664546568E-2</v>
      </c>
    </row>
    <row r="502" spans="1:7">
      <c r="A502" t="s">
        <v>878</v>
      </c>
      <c r="B502">
        <v>137.49</v>
      </c>
      <c r="C502">
        <v>134.83000000000001</v>
      </c>
      <c r="D502">
        <v>140.27000000000001</v>
      </c>
      <c r="E502">
        <v>134.02000000000001</v>
      </c>
      <c r="F502" t="s">
        <v>879</v>
      </c>
      <c r="G502" s="48">
        <f t="shared" si="7"/>
        <v>3.5033939128532587E-3</v>
      </c>
    </row>
    <row r="503" spans="1:7">
      <c r="A503" t="s">
        <v>880</v>
      </c>
      <c r="B503">
        <v>134.29</v>
      </c>
      <c r="C503">
        <v>138.03</v>
      </c>
      <c r="D503">
        <v>138.07</v>
      </c>
      <c r="E503">
        <v>133.83000000000001</v>
      </c>
      <c r="F503" t="s">
        <v>881</v>
      </c>
      <c r="G503" s="48">
        <f t="shared" si="7"/>
        <v>-2.3274419957815207E-2</v>
      </c>
    </row>
    <row r="504" spans="1:7">
      <c r="A504" s="79">
        <v>45689</v>
      </c>
      <c r="B504">
        <v>138.31</v>
      </c>
      <c r="C504">
        <v>136</v>
      </c>
      <c r="D504">
        <v>138.88</v>
      </c>
      <c r="E504">
        <v>134.63</v>
      </c>
      <c r="F504" t="s">
        <v>882</v>
      </c>
      <c r="G504" s="48">
        <f t="shared" si="7"/>
        <v>2.9935214833569201E-2</v>
      </c>
    </row>
    <row r="505" spans="1:7">
      <c r="A505" s="79">
        <v>45717</v>
      </c>
      <c r="B505">
        <v>144.47</v>
      </c>
      <c r="C505">
        <v>140.01</v>
      </c>
      <c r="D505">
        <v>144.9</v>
      </c>
      <c r="E505">
        <v>139.72999999999999</v>
      </c>
      <c r="F505" t="s">
        <v>883</v>
      </c>
      <c r="G505" s="48">
        <f t="shared" si="7"/>
        <v>4.4537632853734355E-2</v>
      </c>
    </row>
    <row r="506" spans="1:7">
      <c r="A506" s="79">
        <v>45809</v>
      </c>
      <c r="B506">
        <v>149.43</v>
      </c>
      <c r="C506">
        <v>148.59</v>
      </c>
      <c r="D506">
        <v>152.16</v>
      </c>
      <c r="E506">
        <v>147.82</v>
      </c>
      <c r="F506" t="s">
        <v>884</v>
      </c>
      <c r="G506" s="48">
        <f t="shared" si="7"/>
        <v>3.4332387346854176E-2</v>
      </c>
    </row>
    <row r="507" spans="1:7">
      <c r="A507" s="79">
        <v>45839</v>
      </c>
      <c r="B507">
        <v>140.13999999999999</v>
      </c>
      <c r="C507">
        <v>153.03</v>
      </c>
      <c r="D507">
        <v>153.13</v>
      </c>
      <c r="E507">
        <v>140.01</v>
      </c>
      <c r="F507" t="s">
        <v>885</v>
      </c>
      <c r="G507" s="48">
        <f t="shared" si="7"/>
        <v>-6.2169577728702574E-2</v>
      </c>
    </row>
    <row r="508" spans="1:7">
      <c r="A508" s="79">
        <v>45870</v>
      </c>
      <c r="B508">
        <v>140.11000000000001</v>
      </c>
      <c r="C508">
        <v>142.58000000000001</v>
      </c>
      <c r="D508">
        <v>143.94999999999999</v>
      </c>
      <c r="E508">
        <v>137.56</v>
      </c>
      <c r="F508" t="s">
        <v>886</v>
      </c>
      <c r="G508" s="48">
        <f t="shared" si="7"/>
        <v>-2.1407164264286571E-4</v>
      </c>
    </row>
    <row r="509" spans="1:7">
      <c r="A509" s="79">
        <v>45931</v>
      </c>
      <c r="B509">
        <v>135.91</v>
      </c>
      <c r="C509">
        <v>137.44999999999999</v>
      </c>
      <c r="D509">
        <v>139.91999999999999</v>
      </c>
      <c r="E509">
        <v>134.22</v>
      </c>
      <c r="F509" t="s">
        <v>887</v>
      </c>
      <c r="G509" s="48">
        <f t="shared" si="7"/>
        <v>-2.997644707729652E-2</v>
      </c>
    </row>
    <row r="510" spans="1:7">
      <c r="A510" t="s">
        <v>888</v>
      </c>
      <c r="B510">
        <v>133.22999999999999</v>
      </c>
      <c r="C510">
        <v>129.99</v>
      </c>
      <c r="D510">
        <v>133.49</v>
      </c>
      <c r="E510">
        <v>129.51</v>
      </c>
      <c r="F510" t="s">
        <v>889</v>
      </c>
      <c r="G510" s="48">
        <f t="shared" si="7"/>
        <v>-1.9718931645942184E-2</v>
      </c>
    </row>
    <row r="511" spans="1:7">
      <c r="A511" t="s">
        <v>890</v>
      </c>
      <c r="B511">
        <v>131.76</v>
      </c>
      <c r="C511">
        <v>136.05000000000001</v>
      </c>
      <c r="D511">
        <v>136.38</v>
      </c>
      <c r="E511">
        <v>130.05000000000001</v>
      </c>
      <c r="F511" t="s">
        <v>891</v>
      </c>
      <c r="G511" s="48">
        <f t="shared" si="7"/>
        <v>-1.103355100202652E-2</v>
      </c>
    </row>
    <row r="512" spans="1:7">
      <c r="A512" t="s">
        <v>892</v>
      </c>
      <c r="B512">
        <v>136.24</v>
      </c>
      <c r="C512">
        <v>133.65</v>
      </c>
      <c r="D512">
        <v>136.44999999999999</v>
      </c>
      <c r="E512">
        <v>131.29</v>
      </c>
      <c r="F512" t="s">
        <v>893</v>
      </c>
      <c r="G512" s="48">
        <f t="shared" si="7"/>
        <v>3.4001214329083318E-2</v>
      </c>
    </row>
    <row r="513" spans="1:7">
      <c r="A513" t="s">
        <v>894</v>
      </c>
      <c r="B513">
        <v>133.57</v>
      </c>
      <c r="C513">
        <v>138.63999999999999</v>
      </c>
      <c r="D513">
        <v>138.75</v>
      </c>
      <c r="E513">
        <v>133.49</v>
      </c>
      <c r="F513" t="s">
        <v>895</v>
      </c>
      <c r="G513" s="48">
        <f t="shared" si="7"/>
        <v>-1.9597768643570324E-2</v>
      </c>
    </row>
    <row r="514" spans="1:7">
      <c r="A514" t="s">
        <v>896</v>
      </c>
      <c r="B514">
        <v>137.71</v>
      </c>
      <c r="C514">
        <v>136.69</v>
      </c>
      <c r="D514">
        <v>138.5</v>
      </c>
      <c r="E514">
        <v>135.46</v>
      </c>
      <c r="F514" t="s">
        <v>897</v>
      </c>
      <c r="G514" s="48">
        <f t="shared" si="7"/>
        <v>3.0994983903571249E-2</v>
      </c>
    </row>
    <row r="515" spans="1:7">
      <c r="A515" t="s">
        <v>898</v>
      </c>
      <c r="B515">
        <v>140.83000000000001</v>
      </c>
      <c r="C515">
        <v>139.16</v>
      </c>
      <c r="D515">
        <v>141.83000000000001</v>
      </c>
      <c r="E515">
        <v>137.09</v>
      </c>
      <c r="F515" t="s">
        <v>899</v>
      </c>
      <c r="G515" s="48">
        <f t="shared" si="7"/>
        <v>2.265630673153729E-2</v>
      </c>
    </row>
    <row r="516" spans="1:7">
      <c r="A516" t="s">
        <v>900</v>
      </c>
      <c r="B516">
        <v>147.07</v>
      </c>
      <c r="C516">
        <v>144.66</v>
      </c>
      <c r="D516">
        <v>147.79</v>
      </c>
      <c r="E516">
        <v>143.66999999999999</v>
      </c>
      <c r="F516" t="s">
        <v>901</v>
      </c>
      <c r="G516" s="48">
        <f t="shared" ref="G516:G564" si="8">B516/B515-1</f>
        <v>4.43087410352907E-2</v>
      </c>
    </row>
    <row r="517" spans="1:7">
      <c r="A517" t="s">
        <v>902</v>
      </c>
      <c r="B517">
        <v>147.22</v>
      </c>
      <c r="C517">
        <v>145.05000000000001</v>
      </c>
      <c r="D517">
        <v>147.22999999999999</v>
      </c>
      <c r="E517">
        <v>143.72</v>
      </c>
      <c r="F517" t="s">
        <v>903</v>
      </c>
      <c r="G517" s="48">
        <f t="shared" si="8"/>
        <v>1.0199224858911116E-3</v>
      </c>
    </row>
    <row r="518" spans="1:7">
      <c r="A518" t="s">
        <v>904</v>
      </c>
      <c r="B518">
        <v>142.62</v>
      </c>
      <c r="C518">
        <v>148.37</v>
      </c>
      <c r="D518">
        <v>148.97</v>
      </c>
      <c r="E518">
        <v>141.88</v>
      </c>
      <c r="F518" t="s">
        <v>905</v>
      </c>
      <c r="G518" s="48">
        <f t="shared" si="8"/>
        <v>-3.1245754652900359E-2</v>
      </c>
    </row>
    <row r="519" spans="1:7">
      <c r="A519" t="s">
        <v>906</v>
      </c>
      <c r="B519">
        <v>118.42</v>
      </c>
      <c r="C519">
        <v>124.8</v>
      </c>
      <c r="D519">
        <v>128.4</v>
      </c>
      <c r="E519">
        <v>116.7</v>
      </c>
      <c r="F519" t="s">
        <v>907</v>
      </c>
      <c r="G519" s="48">
        <f t="shared" si="8"/>
        <v>-0.16968167157481417</v>
      </c>
    </row>
    <row r="520" spans="1:7">
      <c r="A520" t="s">
        <v>908</v>
      </c>
      <c r="B520">
        <v>128.99</v>
      </c>
      <c r="C520">
        <v>121.81</v>
      </c>
      <c r="D520">
        <v>129</v>
      </c>
      <c r="E520">
        <v>116.25</v>
      </c>
      <c r="F520" t="s">
        <v>909</v>
      </c>
      <c r="G520" s="48">
        <f t="shared" si="8"/>
        <v>8.9258571187299518E-2</v>
      </c>
    </row>
    <row r="521" spans="1:7">
      <c r="A521" t="s">
        <v>910</v>
      </c>
      <c r="B521">
        <v>123.7</v>
      </c>
      <c r="C521">
        <v>126.5</v>
      </c>
      <c r="D521">
        <v>126.89</v>
      </c>
      <c r="E521">
        <v>120.05</v>
      </c>
      <c r="F521" t="s">
        <v>911</v>
      </c>
      <c r="G521" s="48">
        <f t="shared" si="8"/>
        <v>-4.1010931079928703E-2</v>
      </c>
    </row>
    <row r="522" spans="1:7">
      <c r="A522" t="s">
        <v>912</v>
      </c>
      <c r="B522">
        <v>124.65</v>
      </c>
      <c r="C522">
        <v>123.1</v>
      </c>
      <c r="D522">
        <v>125</v>
      </c>
      <c r="E522">
        <v>118.1</v>
      </c>
      <c r="F522" t="s">
        <v>913</v>
      </c>
      <c r="G522" s="48">
        <f t="shared" si="8"/>
        <v>7.6798706548100171E-3</v>
      </c>
    </row>
    <row r="523" spans="1:7">
      <c r="A523" t="s">
        <v>914</v>
      </c>
      <c r="B523">
        <v>120.07</v>
      </c>
      <c r="C523">
        <v>123.78</v>
      </c>
      <c r="D523">
        <v>127.85</v>
      </c>
      <c r="E523">
        <v>119.19</v>
      </c>
      <c r="F523" t="s">
        <v>915</v>
      </c>
      <c r="G523" s="48">
        <f t="shared" si="8"/>
        <v>-3.6742880064179806E-2</v>
      </c>
    </row>
    <row r="524" spans="1:7">
      <c r="A524" s="79">
        <v>45718</v>
      </c>
      <c r="B524">
        <v>116.66</v>
      </c>
      <c r="C524">
        <v>114.75</v>
      </c>
      <c r="D524">
        <v>118.57</v>
      </c>
      <c r="E524">
        <v>113.01</v>
      </c>
      <c r="F524" t="s">
        <v>916</v>
      </c>
      <c r="G524" s="48">
        <f t="shared" si="8"/>
        <v>-2.8400099941700674E-2</v>
      </c>
    </row>
    <row r="525" spans="1:7">
      <c r="A525" s="79">
        <v>45749</v>
      </c>
      <c r="B525">
        <v>118.65</v>
      </c>
      <c r="C525">
        <v>116.96</v>
      </c>
      <c r="D525">
        <v>121.2</v>
      </c>
      <c r="E525">
        <v>116.7</v>
      </c>
      <c r="F525" t="s">
        <v>917</v>
      </c>
      <c r="G525" s="48">
        <f t="shared" si="8"/>
        <v>1.705811760672038E-2</v>
      </c>
    </row>
    <row r="526" spans="1:7">
      <c r="A526" s="79">
        <v>45779</v>
      </c>
      <c r="B526">
        <v>124.83</v>
      </c>
      <c r="C526">
        <v>121.76</v>
      </c>
      <c r="D526">
        <v>125</v>
      </c>
      <c r="E526">
        <v>120.76</v>
      </c>
      <c r="F526" t="s">
        <v>918</v>
      </c>
      <c r="G526" s="48">
        <f t="shared" si="8"/>
        <v>5.2085967130214961E-2</v>
      </c>
    </row>
    <row r="527" spans="1:7">
      <c r="A527" s="79">
        <v>45810</v>
      </c>
      <c r="B527">
        <v>128.68</v>
      </c>
      <c r="C527">
        <v>127.42</v>
      </c>
      <c r="D527">
        <v>128.77000000000001</v>
      </c>
      <c r="E527">
        <v>125.21</v>
      </c>
      <c r="F527" t="s">
        <v>919</v>
      </c>
      <c r="G527" s="48">
        <f t="shared" si="8"/>
        <v>3.0841945045261721E-2</v>
      </c>
    </row>
    <row r="528" spans="1:7">
      <c r="A528" s="79">
        <v>45840</v>
      </c>
      <c r="B528">
        <v>129.84</v>
      </c>
      <c r="C528">
        <v>129.22</v>
      </c>
      <c r="D528">
        <v>130.37</v>
      </c>
      <c r="E528">
        <v>125</v>
      </c>
      <c r="F528" t="s">
        <v>920</v>
      </c>
      <c r="G528" s="48">
        <f t="shared" si="8"/>
        <v>9.0146098849859246E-3</v>
      </c>
    </row>
    <row r="529" spans="1:7">
      <c r="A529" s="79">
        <v>45932</v>
      </c>
      <c r="B529">
        <v>133.57</v>
      </c>
      <c r="C529">
        <v>130.09</v>
      </c>
      <c r="D529">
        <v>135</v>
      </c>
      <c r="E529">
        <v>129.96</v>
      </c>
      <c r="F529" t="s">
        <v>921</v>
      </c>
      <c r="G529" s="48">
        <f t="shared" si="8"/>
        <v>2.8727664818237741E-2</v>
      </c>
    </row>
    <row r="530" spans="1:7">
      <c r="A530" s="79">
        <v>45963</v>
      </c>
      <c r="B530">
        <v>132.80000000000001</v>
      </c>
      <c r="C530">
        <v>132.58000000000001</v>
      </c>
      <c r="D530">
        <v>134.47999999999999</v>
      </c>
      <c r="E530">
        <v>131.02000000000001</v>
      </c>
      <c r="F530" t="s">
        <v>922</v>
      </c>
      <c r="G530" s="48">
        <f t="shared" si="8"/>
        <v>-5.7647675376205632E-3</v>
      </c>
    </row>
    <row r="531" spans="1:7">
      <c r="A531" s="79">
        <v>45993</v>
      </c>
      <c r="B531">
        <v>131.13999999999999</v>
      </c>
      <c r="C531">
        <v>130.02000000000001</v>
      </c>
      <c r="D531">
        <v>132.24</v>
      </c>
      <c r="E531">
        <v>129.08000000000001</v>
      </c>
      <c r="F531" t="s">
        <v>923</v>
      </c>
      <c r="G531" s="48">
        <f t="shared" si="8"/>
        <v>-1.2500000000000178E-2</v>
      </c>
    </row>
    <row r="532" spans="1:7">
      <c r="A532" t="s">
        <v>924</v>
      </c>
      <c r="B532">
        <v>135.29</v>
      </c>
      <c r="C532">
        <v>131.55000000000001</v>
      </c>
      <c r="D532">
        <v>136.5</v>
      </c>
      <c r="E532">
        <v>131.16999999999999</v>
      </c>
      <c r="F532" t="s">
        <v>925</v>
      </c>
      <c r="G532" s="48">
        <f t="shared" si="8"/>
        <v>3.1645569620253111E-2</v>
      </c>
    </row>
    <row r="533" spans="1:7">
      <c r="A533" t="s">
        <v>926</v>
      </c>
      <c r="B533">
        <v>138.85</v>
      </c>
      <c r="C533">
        <v>136.47999999999999</v>
      </c>
      <c r="D533">
        <v>139.25</v>
      </c>
      <c r="E533">
        <v>135.5</v>
      </c>
      <c r="F533" t="s">
        <v>927</v>
      </c>
      <c r="G533" s="48">
        <f t="shared" si="8"/>
        <v>2.6313844334392877E-2</v>
      </c>
    </row>
    <row r="534" spans="1:7">
      <c r="A534" t="s">
        <v>928</v>
      </c>
      <c r="B534">
        <v>139.4</v>
      </c>
      <c r="C534">
        <v>141.27000000000001</v>
      </c>
      <c r="D534">
        <v>143.44</v>
      </c>
      <c r="E534">
        <v>137.93</v>
      </c>
      <c r="F534" t="s">
        <v>929</v>
      </c>
      <c r="G534" s="48">
        <f t="shared" si="8"/>
        <v>3.961109110551142E-3</v>
      </c>
    </row>
    <row r="535" spans="1:7">
      <c r="A535" t="s">
        <v>930</v>
      </c>
      <c r="B535">
        <v>139.22999999999999</v>
      </c>
      <c r="C535">
        <v>139.51</v>
      </c>
      <c r="D535">
        <v>141.36000000000001</v>
      </c>
      <c r="E535">
        <v>137.22</v>
      </c>
      <c r="F535" t="s">
        <v>931</v>
      </c>
      <c r="G535" s="48">
        <f t="shared" si="8"/>
        <v>-1.2195121951220633E-3</v>
      </c>
    </row>
    <row r="536" spans="1:7">
      <c r="A536" t="s">
        <v>932</v>
      </c>
      <c r="B536">
        <v>140.11000000000001</v>
      </c>
      <c r="C536">
        <v>140.03</v>
      </c>
      <c r="D536">
        <v>140.66</v>
      </c>
      <c r="E536">
        <v>136.79</v>
      </c>
      <c r="F536" t="s">
        <v>933</v>
      </c>
      <c r="G536" s="48">
        <f t="shared" si="8"/>
        <v>6.3204769087124024E-3</v>
      </c>
    </row>
    <row r="537" spans="1:7">
      <c r="A537" t="s">
        <v>934</v>
      </c>
      <c r="B537">
        <v>134.43</v>
      </c>
      <c r="C537">
        <v>140.04</v>
      </c>
      <c r="D537">
        <v>141.46</v>
      </c>
      <c r="E537">
        <v>134.03</v>
      </c>
      <c r="F537" t="s">
        <v>935</v>
      </c>
      <c r="G537" s="48">
        <f t="shared" si="8"/>
        <v>-4.0539576047391335E-2</v>
      </c>
    </row>
    <row r="538" spans="1:7">
      <c r="A538" t="s">
        <v>936</v>
      </c>
      <c r="B538">
        <v>130.28</v>
      </c>
      <c r="C538">
        <v>136.56</v>
      </c>
      <c r="D538">
        <v>138.59</v>
      </c>
      <c r="E538">
        <v>130.08000000000001</v>
      </c>
      <c r="F538" t="s">
        <v>937</v>
      </c>
      <c r="G538" s="48">
        <f t="shared" si="8"/>
        <v>-3.0871085323216585E-2</v>
      </c>
    </row>
    <row r="539" spans="1:7">
      <c r="A539" t="s">
        <v>938</v>
      </c>
      <c r="B539">
        <v>126.63</v>
      </c>
      <c r="C539">
        <v>129.97999999999999</v>
      </c>
      <c r="D539">
        <v>130.19999999999999</v>
      </c>
      <c r="E539">
        <v>124.44</v>
      </c>
      <c r="F539" t="s">
        <v>939</v>
      </c>
      <c r="G539" s="48">
        <f t="shared" si="8"/>
        <v>-2.8016579674547182E-2</v>
      </c>
    </row>
    <row r="540" spans="1:7">
      <c r="A540" t="s">
        <v>940</v>
      </c>
      <c r="B540">
        <v>131.28</v>
      </c>
      <c r="C540">
        <v>129.99</v>
      </c>
      <c r="D540">
        <v>133.72999999999999</v>
      </c>
      <c r="E540">
        <v>128.49</v>
      </c>
      <c r="F540" t="s">
        <v>941</v>
      </c>
      <c r="G540" s="48">
        <f t="shared" si="8"/>
        <v>3.6721156124141174E-2</v>
      </c>
    </row>
    <row r="541" spans="1:7">
      <c r="A541" t="s">
        <v>942</v>
      </c>
      <c r="B541">
        <v>120.15</v>
      </c>
      <c r="C541">
        <v>135</v>
      </c>
      <c r="D541">
        <v>135.01</v>
      </c>
      <c r="E541">
        <v>120.01</v>
      </c>
      <c r="F541" t="s">
        <v>943</v>
      </c>
      <c r="G541" s="48">
        <f t="shared" si="8"/>
        <v>-8.4780621572212E-2</v>
      </c>
    </row>
    <row r="542" spans="1:7">
      <c r="A542" t="s">
        <v>944</v>
      </c>
      <c r="B542">
        <v>124.92</v>
      </c>
      <c r="C542">
        <v>118.02</v>
      </c>
      <c r="D542">
        <v>125.09</v>
      </c>
      <c r="E542">
        <v>116.4</v>
      </c>
      <c r="F542" t="s">
        <v>945</v>
      </c>
      <c r="G542" s="48">
        <f t="shared" si="8"/>
        <v>3.970037453183517E-2</v>
      </c>
    </row>
    <row r="543" spans="1:7">
      <c r="A543" s="79">
        <v>45719</v>
      </c>
      <c r="B543">
        <v>114.06</v>
      </c>
      <c r="C543">
        <v>123.51</v>
      </c>
      <c r="D543">
        <v>123.7</v>
      </c>
      <c r="E543">
        <v>112.28</v>
      </c>
      <c r="F543" t="s">
        <v>946</v>
      </c>
      <c r="G543" s="48">
        <f t="shared" si="8"/>
        <v>-8.6935638808837701E-2</v>
      </c>
    </row>
    <row r="544" spans="1:7">
      <c r="A544" s="79">
        <v>45750</v>
      </c>
      <c r="B544">
        <v>115.99</v>
      </c>
      <c r="C544">
        <v>110.64</v>
      </c>
      <c r="D544">
        <v>119.31</v>
      </c>
      <c r="E544">
        <v>110.11</v>
      </c>
      <c r="F544" t="s">
        <v>947</v>
      </c>
      <c r="G544" s="48">
        <f t="shared" si="8"/>
        <v>1.6920918814658847E-2</v>
      </c>
    </row>
    <row r="545" spans="1:7">
      <c r="A545" s="79">
        <v>45780</v>
      </c>
      <c r="B545">
        <v>117.3</v>
      </c>
      <c r="C545">
        <v>117.58</v>
      </c>
      <c r="D545">
        <v>118.28</v>
      </c>
      <c r="E545">
        <v>114.51</v>
      </c>
      <c r="F545" t="s">
        <v>948</v>
      </c>
      <c r="G545" s="48">
        <f t="shared" si="8"/>
        <v>1.1294077075610032E-2</v>
      </c>
    </row>
    <row r="546" spans="1:7">
      <c r="A546" s="79">
        <v>45811</v>
      </c>
      <c r="B546">
        <v>110.57</v>
      </c>
      <c r="C546">
        <v>113.53</v>
      </c>
      <c r="D546">
        <v>115.35</v>
      </c>
      <c r="E546">
        <v>110.22</v>
      </c>
      <c r="F546" t="s">
        <v>949</v>
      </c>
      <c r="G546" s="48">
        <f t="shared" si="8"/>
        <v>-5.737425404944585E-2</v>
      </c>
    </row>
    <row r="547" spans="1:7">
      <c r="A547" s="79">
        <v>45841</v>
      </c>
      <c r="B547">
        <v>112.69</v>
      </c>
      <c r="C547">
        <v>111.25</v>
      </c>
      <c r="D547">
        <v>113.48</v>
      </c>
      <c r="E547">
        <v>107.56</v>
      </c>
      <c r="F547" t="s">
        <v>950</v>
      </c>
      <c r="G547" s="48">
        <f t="shared" si="8"/>
        <v>1.9173374333001814E-2</v>
      </c>
    </row>
    <row r="548" spans="1:7">
      <c r="A548" s="79">
        <v>45933</v>
      </c>
      <c r="B548">
        <v>106.98</v>
      </c>
      <c r="C548">
        <v>109.9</v>
      </c>
      <c r="D548">
        <v>111.85</v>
      </c>
      <c r="E548">
        <v>105.46</v>
      </c>
      <c r="F548" t="s">
        <v>951</v>
      </c>
      <c r="G548" s="48">
        <f t="shared" si="8"/>
        <v>-5.0669979590025727E-2</v>
      </c>
    </row>
    <row r="549" spans="1:7">
      <c r="A549" s="79">
        <v>45964</v>
      </c>
      <c r="B549">
        <v>108.76</v>
      </c>
      <c r="C549">
        <v>106.99</v>
      </c>
      <c r="D549">
        <v>112.24</v>
      </c>
      <c r="E549">
        <v>104.77</v>
      </c>
      <c r="F549" t="s">
        <v>952</v>
      </c>
      <c r="G549" s="48">
        <f t="shared" si="8"/>
        <v>1.6638624041876993E-2</v>
      </c>
    </row>
    <row r="550" spans="1:7">
      <c r="A550" s="79">
        <v>45994</v>
      </c>
      <c r="B550">
        <v>115.74</v>
      </c>
      <c r="C550">
        <v>114.12</v>
      </c>
      <c r="D550">
        <v>116.76</v>
      </c>
      <c r="E550">
        <v>112.88</v>
      </c>
      <c r="F550" t="s">
        <v>953</v>
      </c>
      <c r="G550" s="48">
        <f t="shared" si="8"/>
        <v>6.4178006620080774E-2</v>
      </c>
    </row>
    <row r="551" spans="1:7">
      <c r="A551" t="s">
        <v>954</v>
      </c>
      <c r="B551">
        <v>115.58</v>
      </c>
      <c r="C551">
        <v>117.03</v>
      </c>
      <c r="D551">
        <v>117.76</v>
      </c>
      <c r="E551">
        <v>113.79</v>
      </c>
      <c r="F551" t="s">
        <v>955</v>
      </c>
      <c r="G551" s="48">
        <f t="shared" si="8"/>
        <v>-1.382408847416583E-3</v>
      </c>
    </row>
    <row r="552" spans="1:7">
      <c r="A552" t="s">
        <v>956</v>
      </c>
      <c r="B552">
        <v>121.67</v>
      </c>
      <c r="C552">
        <v>118.61</v>
      </c>
      <c r="D552">
        <v>121.88</v>
      </c>
      <c r="E552">
        <v>118.15</v>
      </c>
      <c r="F552" t="s">
        <v>957</v>
      </c>
      <c r="G552" s="48">
        <f t="shared" si="8"/>
        <v>5.2690776951029639E-2</v>
      </c>
    </row>
    <row r="553" spans="1:7">
      <c r="A553" t="s">
        <v>958</v>
      </c>
      <c r="B553">
        <v>119.53</v>
      </c>
      <c r="C553">
        <v>122.74</v>
      </c>
      <c r="D553">
        <v>122.89</v>
      </c>
      <c r="E553">
        <v>118.03</v>
      </c>
      <c r="F553" t="s">
        <v>959</v>
      </c>
      <c r="G553" s="48">
        <f t="shared" si="8"/>
        <v>-1.7588559217555644E-2</v>
      </c>
    </row>
    <row r="554" spans="1:7">
      <c r="A554" t="s">
        <v>960</v>
      </c>
      <c r="B554">
        <v>115.43</v>
      </c>
      <c r="C554">
        <v>118</v>
      </c>
      <c r="D554">
        <v>119.02</v>
      </c>
      <c r="E554">
        <v>114.54</v>
      </c>
      <c r="F554" t="s">
        <v>961</v>
      </c>
      <c r="G554" s="48">
        <f t="shared" si="8"/>
        <v>-3.4301012298167732E-2</v>
      </c>
    </row>
    <row r="555" spans="1:7">
      <c r="A555" t="s">
        <v>962</v>
      </c>
      <c r="B555">
        <v>117.52</v>
      </c>
      <c r="C555">
        <v>117.27</v>
      </c>
      <c r="D555">
        <v>120.44</v>
      </c>
      <c r="E555">
        <v>115.68</v>
      </c>
      <c r="F555" t="s">
        <v>963</v>
      </c>
      <c r="G555" s="48">
        <f t="shared" si="8"/>
        <v>1.8106211556787599E-2</v>
      </c>
    </row>
    <row r="556" spans="1:7">
      <c r="A556" t="s">
        <v>964</v>
      </c>
      <c r="B556">
        <v>118.53</v>
      </c>
      <c r="C556">
        <v>116.55</v>
      </c>
      <c r="D556">
        <v>120.2</v>
      </c>
      <c r="E556">
        <v>116.47</v>
      </c>
      <c r="F556" t="s">
        <v>965</v>
      </c>
      <c r="G556" s="48">
        <f t="shared" si="8"/>
        <v>8.5942818243702757E-3</v>
      </c>
    </row>
    <row r="557" spans="1:7">
      <c r="A557" t="s">
        <v>966</v>
      </c>
      <c r="B557">
        <v>117.7</v>
      </c>
      <c r="C557">
        <v>116.94</v>
      </c>
      <c r="D557">
        <v>117.99</v>
      </c>
      <c r="E557">
        <v>115.42</v>
      </c>
      <c r="F557" t="s">
        <v>967</v>
      </c>
      <c r="G557" s="48">
        <f t="shared" si="8"/>
        <v>-7.002446637981885E-3</v>
      </c>
    </row>
    <row r="558" spans="1:7">
      <c r="A558" t="s">
        <v>968</v>
      </c>
      <c r="B558">
        <v>121.41</v>
      </c>
      <c r="C558">
        <v>119.88</v>
      </c>
      <c r="D558">
        <v>122.22</v>
      </c>
      <c r="E558">
        <v>119.34</v>
      </c>
      <c r="F558" t="s">
        <v>969</v>
      </c>
      <c r="G558" s="48">
        <f t="shared" si="8"/>
        <v>3.152081563296516E-2</v>
      </c>
    </row>
    <row r="559" spans="1:7">
      <c r="A559" t="s">
        <v>970</v>
      </c>
      <c r="B559">
        <v>120.69</v>
      </c>
      <c r="C559">
        <v>120.54</v>
      </c>
      <c r="D559">
        <v>121.29</v>
      </c>
      <c r="E559">
        <v>118.92</v>
      </c>
      <c r="F559" t="s">
        <v>971</v>
      </c>
      <c r="G559" s="48">
        <f t="shared" si="8"/>
        <v>-5.9303187546330127E-3</v>
      </c>
    </row>
    <row r="560" spans="1:7">
      <c r="A560" t="s">
        <v>972</v>
      </c>
      <c r="B560">
        <v>113.76</v>
      </c>
      <c r="C560">
        <v>118.73</v>
      </c>
      <c r="D560">
        <v>118.84</v>
      </c>
      <c r="E560">
        <v>112.71</v>
      </c>
      <c r="F560" t="s">
        <v>973</v>
      </c>
      <c r="G560" s="48">
        <f t="shared" si="8"/>
        <v>-5.7419835943325781E-2</v>
      </c>
    </row>
    <row r="561" spans="1:7">
      <c r="A561" t="s">
        <v>974</v>
      </c>
      <c r="B561">
        <v>111.43</v>
      </c>
      <c r="C561">
        <v>111.35</v>
      </c>
      <c r="D561">
        <v>114.45</v>
      </c>
      <c r="E561">
        <v>110.66</v>
      </c>
      <c r="F561" t="s">
        <v>975</v>
      </c>
      <c r="G561" s="48">
        <f t="shared" si="8"/>
        <v>-2.0481715893108321E-2</v>
      </c>
    </row>
    <row r="562" spans="1:7">
      <c r="A562" t="s">
        <v>976</v>
      </c>
      <c r="B562">
        <v>109.67</v>
      </c>
      <c r="C562">
        <v>111.49</v>
      </c>
      <c r="D562">
        <v>112.87</v>
      </c>
      <c r="E562">
        <v>109.07</v>
      </c>
      <c r="F562" t="s">
        <v>977</v>
      </c>
      <c r="G562" s="48">
        <f t="shared" si="8"/>
        <v>-1.5794669299111552E-2</v>
      </c>
    </row>
    <row r="563" spans="1:7">
      <c r="A563" t="s">
        <v>978</v>
      </c>
      <c r="B563">
        <v>108.38</v>
      </c>
      <c r="C563">
        <v>105.13</v>
      </c>
      <c r="D563">
        <v>110.96</v>
      </c>
      <c r="E563">
        <v>103.65</v>
      </c>
      <c r="F563" t="s">
        <v>979</v>
      </c>
      <c r="G563" s="48">
        <f t="shared" si="8"/>
        <v>-1.1762560408498324E-2</v>
      </c>
    </row>
    <row r="564" spans="1:7">
      <c r="A564" s="79">
        <v>45661</v>
      </c>
      <c r="B564">
        <v>107.85</v>
      </c>
      <c r="C564">
        <v>108.45</v>
      </c>
      <c r="D564">
        <v>109.92</v>
      </c>
      <c r="E564">
        <v>106.5</v>
      </c>
      <c r="F564" t="s">
        <v>980</v>
      </c>
      <c r="G564" s="48">
        <f t="shared" si="8"/>
        <v>-4.8902011441225302E-3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AF42-D8E3-4444-85D3-06E7A4DB48B4}">
  <dimension ref="A1:G574"/>
  <sheetViews>
    <sheetView topLeftCell="A55" workbookViewId="0">
      <selection activeCell="G3" sqref="G3:G574"/>
    </sheetView>
  </sheetViews>
  <sheetFormatPr baseColWidth="10" defaultColWidth="8.83203125" defaultRowHeight="15"/>
  <cols>
    <col min="1" max="1" width="12.1640625" customWidth="1"/>
  </cols>
  <sheetData>
    <row r="1" spans="1:7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7">
      <c r="A2" s="79">
        <v>44958</v>
      </c>
      <c r="B2">
        <v>60.3</v>
      </c>
      <c r="C2">
        <v>60.2</v>
      </c>
      <c r="D2">
        <v>60.45</v>
      </c>
      <c r="E2">
        <v>60</v>
      </c>
      <c r="F2" t="s">
        <v>981</v>
      </c>
    </row>
    <row r="3" spans="1:7">
      <c r="A3" s="79">
        <v>44986</v>
      </c>
      <c r="B3">
        <v>61.05</v>
      </c>
      <c r="C3">
        <v>60.1</v>
      </c>
      <c r="D3">
        <v>61.3</v>
      </c>
      <c r="E3">
        <v>60.05</v>
      </c>
      <c r="F3" t="s">
        <v>982</v>
      </c>
      <c r="G3">
        <f>B3/B2-1</f>
        <v>1.2437810945273631E-2</v>
      </c>
    </row>
    <row r="4" spans="1:7">
      <c r="A4" s="79">
        <v>45017</v>
      </c>
      <c r="B4">
        <v>61.4</v>
      </c>
      <c r="C4">
        <v>61.3</v>
      </c>
      <c r="D4">
        <v>61.75</v>
      </c>
      <c r="E4">
        <v>61.05</v>
      </c>
      <c r="F4" t="s">
        <v>983</v>
      </c>
      <c r="G4">
        <f t="shared" ref="G4:G67" si="0">B4/B3-1</f>
        <v>5.7330057330058359E-3</v>
      </c>
    </row>
    <row r="5" spans="1:7">
      <c r="A5" s="79">
        <v>45047</v>
      </c>
      <c r="B5">
        <v>62.25</v>
      </c>
      <c r="C5">
        <v>61.3</v>
      </c>
      <c r="D5">
        <v>62.6</v>
      </c>
      <c r="E5">
        <v>61.3</v>
      </c>
      <c r="F5" t="s">
        <v>984</v>
      </c>
      <c r="G5">
        <f t="shared" si="0"/>
        <v>1.3843648208469173E-2</v>
      </c>
    </row>
    <row r="6" spans="1:7">
      <c r="A6" s="79">
        <v>45078</v>
      </c>
      <c r="B6">
        <v>61.4</v>
      </c>
      <c r="C6">
        <v>62.3</v>
      </c>
      <c r="D6">
        <v>62.55</v>
      </c>
      <c r="E6">
        <v>61</v>
      </c>
      <c r="F6" t="s">
        <v>985</v>
      </c>
      <c r="G6">
        <f t="shared" si="0"/>
        <v>-1.3654618473895597E-2</v>
      </c>
    </row>
    <row r="7" spans="1:7">
      <c r="A7" s="79">
        <v>45170</v>
      </c>
      <c r="B7">
        <v>61.5</v>
      </c>
      <c r="C7">
        <v>61.3</v>
      </c>
      <c r="D7">
        <v>61.7</v>
      </c>
      <c r="E7">
        <v>59.55</v>
      </c>
      <c r="F7" t="s">
        <v>986</v>
      </c>
      <c r="G7">
        <f t="shared" si="0"/>
        <v>1.6286644951140072E-3</v>
      </c>
    </row>
    <row r="8" spans="1:7">
      <c r="A8" s="79">
        <v>45200</v>
      </c>
      <c r="B8">
        <v>61.05</v>
      </c>
      <c r="C8">
        <v>61.45</v>
      </c>
      <c r="D8">
        <v>61.6</v>
      </c>
      <c r="E8">
        <v>60.65</v>
      </c>
      <c r="F8" t="s">
        <v>987</v>
      </c>
      <c r="G8">
        <f t="shared" si="0"/>
        <v>-7.3170731707317138E-3</v>
      </c>
    </row>
    <row r="9" spans="1:7">
      <c r="A9" s="79">
        <v>45231</v>
      </c>
      <c r="B9">
        <v>61.5</v>
      </c>
      <c r="C9">
        <v>61</v>
      </c>
      <c r="D9">
        <v>61.55</v>
      </c>
      <c r="E9">
        <v>60.65</v>
      </c>
      <c r="F9" t="s">
        <v>988</v>
      </c>
      <c r="G9">
        <f t="shared" si="0"/>
        <v>7.3710073710073765E-3</v>
      </c>
    </row>
    <row r="10" spans="1:7">
      <c r="A10" s="79">
        <v>45261</v>
      </c>
      <c r="B10">
        <v>61</v>
      </c>
      <c r="C10">
        <v>61</v>
      </c>
      <c r="D10">
        <v>61.55</v>
      </c>
      <c r="E10">
        <v>60.65</v>
      </c>
      <c r="F10" t="s">
        <v>989</v>
      </c>
      <c r="G10">
        <f t="shared" si="0"/>
        <v>-8.1300813008130524E-3</v>
      </c>
    </row>
    <row r="11" spans="1:7">
      <c r="A11" t="s">
        <v>89</v>
      </c>
      <c r="B11">
        <v>61.1</v>
      </c>
      <c r="C11">
        <v>61</v>
      </c>
      <c r="D11">
        <v>61.55</v>
      </c>
      <c r="E11">
        <v>60.8</v>
      </c>
      <c r="F11" t="s">
        <v>990</v>
      </c>
      <c r="G11">
        <f t="shared" si="0"/>
        <v>1.6393442622950616E-3</v>
      </c>
    </row>
    <row r="12" spans="1:7">
      <c r="A12" t="s">
        <v>991</v>
      </c>
      <c r="B12">
        <v>61.65</v>
      </c>
      <c r="C12">
        <v>61.2</v>
      </c>
      <c r="D12">
        <v>62.15</v>
      </c>
      <c r="E12">
        <v>61.15</v>
      </c>
      <c r="F12" t="s">
        <v>992</v>
      </c>
      <c r="G12">
        <f t="shared" si="0"/>
        <v>9.0016366612111209E-3</v>
      </c>
    </row>
    <row r="13" spans="1:7">
      <c r="A13" t="s">
        <v>91</v>
      </c>
      <c r="B13">
        <v>62</v>
      </c>
      <c r="C13">
        <v>61.6</v>
      </c>
      <c r="D13">
        <v>62.65</v>
      </c>
      <c r="E13">
        <v>61.4</v>
      </c>
      <c r="F13" t="s">
        <v>993</v>
      </c>
      <c r="G13">
        <f t="shared" si="0"/>
        <v>5.6772100567721306E-3</v>
      </c>
    </row>
    <row r="14" spans="1:7">
      <c r="A14" t="s">
        <v>93</v>
      </c>
      <c r="B14">
        <v>62.3</v>
      </c>
      <c r="C14">
        <v>62.05</v>
      </c>
      <c r="D14">
        <v>63.1</v>
      </c>
      <c r="E14">
        <v>62.05</v>
      </c>
      <c r="F14" t="s">
        <v>994</v>
      </c>
      <c r="G14">
        <f t="shared" si="0"/>
        <v>4.8387096774193949E-3</v>
      </c>
    </row>
    <row r="15" spans="1:7">
      <c r="A15" t="s">
        <v>95</v>
      </c>
      <c r="B15">
        <v>61.25</v>
      </c>
      <c r="C15">
        <v>62.1</v>
      </c>
      <c r="D15">
        <v>62.2</v>
      </c>
      <c r="E15">
        <v>60.95</v>
      </c>
      <c r="F15" t="s">
        <v>995</v>
      </c>
      <c r="G15">
        <f t="shared" si="0"/>
        <v>-1.6853932584269593E-2</v>
      </c>
    </row>
    <row r="16" spans="1:7">
      <c r="A16" t="s">
        <v>97</v>
      </c>
      <c r="B16">
        <v>61.3</v>
      </c>
      <c r="C16">
        <v>61.25</v>
      </c>
      <c r="D16">
        <v>61.65</v>
      </c>
      <c r="E16">
        <v>61</v>
      </c>
      <c r="F16" t="s">
        <v>996</v>
      </c>
      <c r="G16">
        <f t="shared" si="0"/>
        <v>8.1632653061225469E-4</v>
      </c>
    </row>
    <row r="17" spans="1:7">
      <c r="A17" t="s">
        <v>99</v>
      </c>
      <c r="B17">
        <v>60.9</v>
      </c>
      <c r="C17">
        <v>61.5</v>
      </c>
      <c r="D17">
        <v>61.6</v>
      </c>
      <c r="E17">
        <v>60.8</v>
      </c>
      <c r="F17" t="s">
        <v>997</v>
      </c>
      <c r="G17">
        <f t="shared" si="0"/>
        <v>-6.525285481239762E-3</v>
      </c>
    </row>
    <row r="18" spans="1:7">
      <c r="A18" t="s">
        <v>101</v>
      </c>
      <c r="B18">
        <v>60.85</v>
      </c>
      <c r="C18">
        <v>60.85</v>
      </c>
      <c r="D18">
        <v>61</v>
      </c>
      <c r="E18">
        <v>60.25</v>
      </c>
      <c r="F18" t="s">
        <v>998</v>
      </c>
      <c r="G18">
        <f t="shared" si="0"/>
        <v>-8.2101806239731623E-4</v>
      </c>
    </row>
    <row r="19" spans="1:7">
      <c r="A19" t="s">
        <v>103</v>
      </c>
      <c r="B19">
        <v>61.15</v>
      </c>
      <c r="C19">
        <v>60.65</v>
      </c>
      <c r="D19">
        <v>61.2</v>
      </c>
      <c r="E19">
        <v>60.65</v>
      </c>
      <c r="F19" t="s">
        <v>999</v>
      </c>
      <c r="G19">
        <f t="shared" si="0"/>
        <v>4.9301561216104073E-3</v>
      </c>
    </row>
    <row r="20" spans="1:7">
      <c r="A20" t="s">
        <v>105</v>
      </c>
      <c r="B20">
        <v>60.9</v>
      </c>
      <c r="C20">
        <v>61.4</v>
      </c>
      <c r="D20">
        <v>61.5</v>
      </c>
      <c r="E20">
        <v>60.6</v>
      </c>
      <c r="F20" t="s">
        <v>1000</v>
      </c>
      <c r="G20">
        <f t="shared" si="0"/>
        <v>-4.0883074407195297E-3</v>
      </c>
    </row>
    <row r="21" spans="1:7">
      <c r="A21" t="s">
        <v>107</v>
      </c>
      <c r="B21">
        <v>60.8</v>
      </c>
      <c r="C21">
        <v>60.85</v>
      </c>
      <c r="D21">
        <v>61.05</v>
      </c>
      <c r="E21">
        <v>60.45</v>
      </c>
      <c r="F21" t="s">
        <v>1001</v>
      </c>
      <c r="G21">
        <f t="shared" si="0"/>
        <v>-1.6420361247947435E-3</v>
      </c>
    </row>
    <row r="22" spans="1:7">
      <c r="A22" t="s">
        <v>109</v>
      </c>
      <c r="B22">
        <v>61.25</v>
      </c>
      <c r="C22">
        <v>60.65</v>
      </c>
      <c r="D22">
        <v>61.4</v>
      </c>
      <c r="E22">
        <v>60.4</v>
      </c>
      <c r="F22" t="s">
        <v>1002</v>
      </c>
      <c r="G22">
        <f t="shared" si="0"/>
        <v>7.4013157894736725E-3</v>
      </c>
    </row>
    <row r="23" spans="1:7">
      <c r="A23" t="s">
        <v>111</v>
      </c>
      <c r="B23">
        <v>61.3</v>
      </c>
      <c r="C23">
        <v>61.15</v>
      </c>
      <c r="D23">
        <v>61.4</v>
      </c>
      <c r="E23">
        <v>61</v>
      </c>
      <c r="F23" t="s">
        <v>1003</v>
      </c>
      <c r="G23">
        <f t="shared" si="0"/>
        <v>8.1632653061225469E-4</v>
      </c>
    </row>
    <row r="24" spans="1:7">
      <c r="A24" s="79">
        <v>44928</v>
      </c>
      <c r="B24">
        <v>61.5</v>
      </c>
      <c r="C24">
        <v>61.5</v>
      </c>
      <c r="D24">
        <v>61.5</v>
      </c>
      <c r="E24">
        <v>60.95</v>
      </c>
      <c r="F24" t="s">
        <v>1004</v>
      </c>
      <c r="G24">
        <f t="shared" si="0"/>
        <v>3.2626427406199365E-3</v>
      </c>
    </row>
    <row r="25" spans="1:7">
      <c r="A25" s="79">
        <v>44959</v>
      </c>
      <c r="B25">
        <v>61.45</v>
      </c>
      <c r="C25">
        <v>61.9</v>
      </c>
      <c r="D25">
        <v>61.9</v>
      </c>
      <c r="E25">
        <v>61.1</v>
      </c>
      <c r="F25" t="s">
        <v>1005</v>
      </c>
      <c r="G25">
        <f t="shared" si="0"/>
        <v>-8.1300813008122752E-4</v>
      </c>
    </row>
    <row r="26" spans="1:7">
      <c r="A26" s="79">
        <v>44987</v>
      </c>
      <c r="B26">
        <v>61.5</v>
      </c>
      <c r="C26">
        <v>61.45</v>
      </c>
      <c r="D26">
        <v>61.5</v>
      </c>
      <c r="E26">
        <v>61.15</v>
      </c>
      <c r="F26" t="s">
        <v>1006</v>
      </c>
      <c r="G26">
        <f t="shared" si="0"/>
        <v>8.1366965012197312E-4</v>
      </c>
    </row>
    <row r="27" spans="1:7">
      <c r="A27" s="79">
        <v>45079</v>
      </c>
      <c r="B27">
        <v>61.25</v>
      </c>
      <c r="C27">
        <v>61.25</v>
      </c>
      <c r="D27">
        <v>61.45</v>
      </c>
      <c r="E27">
        <v>60.8</v>
      </c>
      <c r="F27" t="s">
        <v>1007</v>
      </c>
      <c r="G27">
        <f t="shared" si="0"/>
        <v>-4.0650406504064707E-3</v>
      </c>
    </row>
    <row r="28" spans="1:7">
      <c r="A28" s="79">
        <v>45109</v>
      </c>
      <c r="B28">
        <v>61.35</v>
      </c>
      <c r="C28">
        <v>61</v>
      </c>
      <c r="D28">
        <v>61.35</v>
      </c>
      <c r="E28">
        <v>60.85</v>
      </c>
      <c r="F28" t="s">
        <v>1008</v>
      </c>
      <c r="G28">
        <f t="shared" si="0"/>
        <v>1.6326530612245094E-3</v>
      </c>
    </row>
    <row r="29" spans="1:7">
      <c r="A29" s="79">
        <v>45140</v>
      </c>
      <c r="B29">
        <v>62</v>
      </c>
      <c r="C29">
        <v>61.45</v>
      </c>
      <c r="D29">
        <v>62.15</v>
      </c>
      <c r="E29">
        <v>61.25</v>
      </c>
      <c r="F29" t="s">
        <v>1009</v>
      </c>
      <c r="G29">
        <f t="shared" si="0"/>
        <v>1.0594947025264867E-2</v>
      </c>
    </row>
    <row r="30" spans="1:7">
      <c r="A30" s="79">
        <v>45171</v>
      </c>
      <c r="B30">
        <v>61.95</v>
      </c>
      <c r="C30">
        <v>61.75</v>
      </c>
      <c r="D30">
        <v>62.25</v>
      </c>
      <c r="E30">
        <v>61.75</v>
      </c>
      <c r="F30" t="s">
        <v>1010</v>
      </c>
      <c r="G30">
        <f t="shared" si="0"/>
        <v>-8.0645161290315848E-4</v>
      </c>
    </row>
    <row r="31" spans="1:7">
      <c r="A31" s="79">
        <v>45201</v>
      </c>
      <c r="B31">
        <v>62.3</v>
      </c>
      <c r="C31">
        <v>61.8</v>
      </c>
      <c r="D31">
        <v>62.4</v>
      </c>
      <c r="E31">
        <v>61.65</v>
      </c>
      <c r="F31" t="s">
        <v>1011</v>
      </c>
      <c r="G31">
        <f t="shared" si="0"/>
        <v>5.6497175141241307E-3</v>
      </c>
    </row>
    <row r="32" spans="1:7">
      <c r="A32" t="s">
        <v>121</v>
      </c>
      <c r="B32">
        <v>63.45</v>
      </c>
      <c r="C32">
        <v>62.35</v>
      </c>
      <c r="D32">
        <v>63.45</v>
      </c>
      <c r="E32">
        <v>62.35</v>
      </c>
      <c r="F32" t="s">
        <v>1012</v>
      </c>
      <c r="G32">
        <f t="shared" si="0"/>
        <v>1.8459069020866803E-2</v>
      </c>
    </row>
    <row r="33" spans="1:7">
      <c r="A33" t="s">
        <v>123</v>
      </c>
      <c r="B33">
        <v>63.65</v>
      </c>
      <c r="C33">
        <v>63.05</v>
      </c>
      <c r="D33">
        <v>63.95</v>
      </c>
      <c r="E33">
        <v>63.05</v>
      </c>
      <c r="F33" t="s">
        <v>1013</v>
      </c>
      <c r="G33">
        <f t="shared" si="0"/>
        <v>3.1520882584712417E-3</v>
      </c>
    </row>
    <row r="34" spans="1:7">
      <c r="A34" t="s">
        <v>125</v>
      </c>
      <c r="B34">
        <v>63.9</v>
      </c>
      <c r="C34">
        <v>63.75</v>
      </c>
      <c r="D34">
        <v>64.05</v>
      </c>
      <c r="E34">
        <v>63.6</v>
      </c>
      <c r="F34" t="s">
        <v>1014</v>
      </c>
      <c r="G34">
        <f t="shared" si="0"/>
        <v>3.9277297721915794E-3</v>
      </c>
    </row>
    <row r="35" spans="1:7">
      <c r="A35" t="s">
        <v>127</v>
      </c>
      <c r="B35">
        <v>63.55</v>
      </c>
      <c r="C35">
        <v>63.75</v>
      </c>
      <c r="D35">
        <v>63.95</v>
      </c>
      <c r="E35">
        <v>62.85</v>
      </c>
      <c r="F35" t="s">
        <v>1015</v>
      </c>
      <c r="G35">
        <f t="shared" si="0"/>
        <v>-5.4773082942096707E-3</v>
      </c>
    </row>
    <row r="36" spans="1:7">
      <c r="A36" t="s">
        <v>129</v>
      </c>
      <c r="B36">
        <v>64.099999999999994</v>
      </c>
      <c r="C36">
        <v>63.2</v>
      </c>
      <c r="D36">
        <v>64.150000000000006</v>
      </c>
      <c r="E36">
        <v>63.05</v>
      </c>
      <c r="F36" t="s">
        <v>1016</v>
      </c>
      <c r="G36">
        <f t="shared" si="0"/>
        <v>8.6546026750589089E-3</v>
      </c>
    </row>
    <row r="37" spans="1:7">
      <c r="A37" t="s">
        <v>1017</v>
      </c>
      <c r="B37">
        <v>64.5</v>
      </c>
      <c r="C37">
        <v>64.25</v>
      </c>
      <c r="D37">
        <v>64.5</v>
      </c>
      <c r="E37">
        <v>63.85</v>
      </c>
      <c r="F37" t="s">
        <v>1018</v>
      </c>
      <c r="G37">
        <f t="shared" si="0"/>
        <v>6.2402496099844829E-3</v>
      </c>
    </row>
    <row r="38" spans="1:7">
      <c r="A38" t="s">
        <v>131</v>
      </c>
      <c r="B38">
        <v>64.849999999999994</v>
      </c>
      <c r="C38">
        <v>64.45</v>
      </c>
      <c r="D38">
        <v>65</v>
      </c>
      <c r="E38">
        <v>64.349999999999994</v>
      </c>
      <c r="F38" t="s">
        <v>1019</v>
      </c>
      <c r="G38">
        <f t="shared" si="0"/>
        <v>5.4263565891472521E-3</v>
      </c>
    </row>
    <row r="39" spans="1:7">
      <c r="A39" t="s">
        <v>133</v>
      </c>
      <c r="B39">
        <v>65.8</v>
      </c>
      <c r="C39">
        <v>64.75</v>
      </c>
      <c r="D39">
        <v>65.95</v>
      </c>
      <c r="E39">
        <v>64.7</v>
      </c>
      <c r="F39" t="s">
        <v>1020</v>
      </c>
      <c r="G39">
        <f t="shared" si="0"/>
        <v>1.4649190439475657E-2</v>
      </c>
    </row>
    <row r="40" spans="1:7">
      <c r="A40" t="s">
        <v>135</v>
      </c>
      <c r="B40">
        <v>65.150000000000006</v>
      </c>
      <c r="C40">
        <v>65.75</v>
      </c>
      <c r="D40">
        <v>65.900000000000006</v>
      </c>
      <c r="E40">
        <v>65.099999999999994</v>
      </c>
      <c r="F40" t="s">
        <v>1021</v>
      </c>
      <c r="G40">
        <f t="shared" si="0"/>
        <v>-9.8784194528873659E-3</v>
      </c>
    </row>
    <row r="41" spans="1:7">
      <c r="A41" t="s">
        <v>137</v>
      </c>
      <c r="B41">
        <v>65.2</v>
      </c>
      <c r="C41">
        <v>65.3</v>
      </c>
      <c r="D41">
        <v>65.5</v>
      </c>
      <c r="E41">
        <v>64.8</v>
      </c>
      <c r="F41" t="s">
        <v>1022</v>
      </c>
      <c r="G41">
        <f t="shared" si="0"/>
        <v>7.6745970836533672E-4</v>
      </c>
    </row>
    <row r="42" spans="1:7">
      <c r="A42" t="s">
        <v>139</v>
      </c>
      <c r="B42">
        <v>65.599999999999994</v>
      </c>
      <c r="C42">
        <v>65.400000000000006</v>
      </c>
      <c r="D42">
        <v>66</v>
      </c>
      <c r="E42">
        <v>65.3</v>
      </c>
      <c r="F42" t="s">
        <v>1023</v>
      </c>
      <c r="G42">
        <f t="shared" si="0"/>
        <v>6.1349693251533388E-3</v>
      </c>
    </row>
    <row r="43" spans="1:7">
      <c r="A43" t="s">
        <v>141</v>
      </c>
      <c r="B43">
        <v>65.45</v>
      </c>
      <c r="C43">
        <v>65.55</v>
      </c>
      <c r="D43">
        <v>65.650000000000006</v>
      </c>
      <c r="E43">
        <v>65.2</v>
      </c>
      <c r="F43" t="s">
        <v>1024</v>
      </c>
      <c r="G43">
        <f t="shared" si="0"/>
        <v>-2.2865853658535773E-3</v>
      </c>
    </row>
    <row r="44" spans="1:7">
      <c r="A44" s="79">
        <v>44929</v>
      </c>
      <c r="B44">
        <v>65.2</v>
      </c>
      <c r="C44">
        <v>65.099999999999994</v>
      </c>
      <c r="D44">
        <v>65.55</v>
      </c>
      <c r="E44">
        <v>64.8</v>
      </c>
      <c r="F44" t="s">
        <v>1025</v>
      </c>
      <c r="G44">
        <f t="shared" si="0"/>
        <v>-3.8197097020626902E-3</v>
      </c>
    </row>
    <row r="45" spans="1:7">
      <c r="A45" s="79">
        <v>44960</v>
      </c>
      <c r="B45">
        <v>65.2</v>
      </c>
      <c r="C45">
        <v>65.2</v>
      </c>
      <c r="D45">
        <v>65.45</v>
      </c>
      <c r="E45">
        <v>64.849999999999994</v>
      </c>
      <c r="F45" t="s">
        <v>1026</v>
      </c>
      <c r="G45">
        <f t="shared" si="0"/>
        <v>0</v>
      </c>
    </row>
    <row r="46" spans="1:7">
      <c r="A46" s="79">
        <v>44988</v>
      </c>
      <c r="B46">
        <v>65.400000000000006</v>
      </c>
      <c r="C46">
        <v>65.7</v>
      </c>
      <c r="D46">
        <v>65.7</v>
      </c>
      <c r="E46">
        <v>65.05</v>
      </c>
      <c r="F46" t="s">
        <v>1027</v>
      </c>
      <c r="G46">
        <f t="shared" si="0"/>
        <v>3.0674846625766694E-3</v>
      </c>
    </row>
    <row r="47" spans="1:7">
      <c r="A47" s="79">
        <v>45080</v>
      </c>
      <c r="B47">
        <v>65.099999999999994</v>
      </c>
      <c r="C47">
        <v>65.55</v>
      </c>
      <c r="D47">
        <v>65.55</v>
      </c>
      <c r="E47">
        <v>65.05</v>
      </c>
      <c r="F47" t="s">
        <v>1028</v>
      </c>
      <c r="G47">
        <f t="shared" si="0"/>
        <v>-4.5871559633029468E-3</v>
      </c>
    </row>
    <row r="48" spans="1:7">
      <c r="A48" s="79">
        <v>45110</v>
      </c>
      <c r="B48">
        <v>63.05</v>
      </c>
      <c r="C48">
        <v>63.55</v>
      </c>
      <c r="D48">
        <v>63.95</v>
      </c>
      <c r="E48">
        <v>62.4</v>
      </c>
      <c r="F48" t="s">
        <v>1029</v>
      </c>
      <c r="G48">
        <f t="shared" si="0"/>
        <v>-3.1490015360983059E-2</v>
      </c>
    </row>
    <row r="49" spans="1:7">
      <c r="A49" s="79">
        <v>45141</v>
      </c>
      <c r="B49">
        <v>63</v>
      </c>
      <c r="C49">
        <v>62.95</v>
      </c>
      <c r="D49">
        <v>63</v>
      </c>
      <c r="E49">
        <v>61.6</v>
      </c>
      <c r="F49" t="s">
        <v>1030</v>
      </c>
      <c r="G49">
        <f t="shared" si="0"/>
        <v>-7.9302141157810979E-4</v>
      </c>
    </row>
    <row r="50" spans="1:7">
      <c r="A50" s="79">
        <v>45172</v>
      </c>
      <c r="B50">
        <v>63.5</v>
      </c>
      <c r="C50">
        <v>62.7</v>
      </c>
      <c r="D50">
        <v>64.2</v>
      </c>
      <c r="E50">
        <v>62.7</v>
      </c>
      <c r="F50" t="s">
        <v>1031</v>
      </c>
      <c r="G50">
        <f t="shared" si="0"/>
        <v>7.9365079365079083E-3</v>
      </c>
    </row>
    <row r="51" spans="1:7">
      <c r="A51" s="79">
        <v>45202</v>
      </c>
      <c r="B51">
        <v>63.25</v>
      </c>
      <c r="C51">
        <v>63.35</v>
      </c>
      <c r="D51">
        <v>63.75</v>
      </c>
      <c r="E51">
        <v>62.45</v>
      </c>
      <c r="F51" t="s">
        <v>1032</v>
      </c>
      <c r="G51">
        <f t="shared" si="0"/>
        <v>-3.937007874015741E-3</v>
      </c>
    </row>
    <row r="52" spans="1:7">
      <c r="A52" t="s">
        <v>151</v>
      </c>
      <c r="B52">
        <v>62.3</v>
      </c>
      <c r="C52">
        <v>63.35</v>
      </c>
      <c r="D52">
        <v>63.35</v>
      </c>
      <c r="E52">
        <v>62.1</v>
      </c>
      <c r="F52" t="s">
        <v>1033</v>
      </c>
      <c r="G52">
        <f t="shared" si="0"/>
        <v>-1.5019762845849827E-2</v>
      </c>
    </row>
    <row r="53" spans="1:7">
      <c r="A53" t="s">
        <v>153</v>
      </c>
      <c r="B53">
        <v>63</v>
      </c>
      <c r="C53">
        <v>62.3</v>
      </c>
      <c r="D53">
        <v>63.15</v>
      </c>
      <c r="E53">
        <v>62.25</v>
      </c>
      <c r="F53" t="s">
        <v>1034</v>
      </c>
      <c r="G53">
        <f t="shared" si="0"/>
        <v>1.1235955056179803E-2</v>
      </c>
    </row>
    <row r="54" spans="1:7">
      <c r="A54" t="s">
        <v>155</v>
      </c>
      <c r="B54">
        <v>62.8</v>
      </c>
      <c r="C54">
        <v>63.05</v>
      </c>
      <c r="D54">
        <v>63.35</v>
      </c>
      <c r="E54">
        <v>62</v>
      </c>
      <c r="F54" t="s">
        <v>1035</v>
      </c>
      <c r="G54">
        <f t="shared" si="0"/>
        <v>-3.1746031746032743E-3</v>
      </c>
    </row>
    <row r="55" spans="1:7">
      <c r="A55" t="s">
        <v>157</v>
      </c>
      <c r="B55">
        <v>63.85</v>
      </c>
      <c r="C55">
        <v>63</v>
      </c>
      <c r="D55">
        <v>63.85</v>
      </c>
      <c r="E55">
        <v>62.95</v>
      </c>
      <c r="F55" t="s">
        <v>1036</v>
      </c>
      <c r="G55">
        <f t="shared" si="0"/>
        <v>1.671974522292996E-2</v>
      </c>
    </row>
    <row r="56" spans="1:7">
      <c r="A56" t="s">
        <v>159</v>
      </c>
      <c r="B56">
        <v>62.8</v>
      </c>
      <c r="C56">
        <v>63.8</v>
      </c>
      <c r="D56">
        <v>63.95</v>
      </c>
      <c r="E56">
        <v>62.7</v>
      </c>
      <c r="F56" t="s">
        <v>1037</v>
      </c>
      <c r="G56">
        <f t="shared" si="0"/>
        <v>-1.6444792482380621E-2</v>
      </c>
    </row>
    <row r="57" spans="1:7">
      <c r="A57" t="s">
        <v>161</v>
      </c>
      <c r="B57">
        <v>63.2</v>
      </c>
      <c r="C57">
        <v>62.4</v>
      </c>
      <c r="D57">
        <v>63.4</v>
      </c>
      <c r="E57">
        <v>62.4</v>
      </c>
      <c r="F57" t="s">
        <v>1038</v>
      </c>
      <c r="G57">
        <f t="shared" si="0"/>
        <v>6.3694267515923553E-3</v>
      </c>
    </row>
    <row r="58" spans="1:7">
      <c r="A58" t="s">
        <v>163</v>
      </c>
      <c r="B58">
        <v>64.45</v>
      </c>
      <c r="C58">
        <v>63.65</v>
      </c>
      <c r="D58">
        <v>64.900000000000006</v>
      </c>
      <c r="E58">
        <v>63.4</v>
      </c>
      <c r="F58" t="s">
        <v>1031</v>
      </c>
      <c r="G58">
        <f t="shared" si="0"/>
        <v>1.9778481012658222E-2</v>
      </c>
    </row>
    <row r="59" spans="1:7">
      <c r="A59" t="s">
        <v>165</v>
      </c>
      <c r="B59">
        <v>65.55</v>
      </c>
      <c r="C59">
        <v>64.95</v>
      </c>
      <c r="D59">
        <v>65.650000000000006</v>
      </c>
      <c r="E59">
        <v>64.5</v>
      </c>
      <c r="F59" t="s">
        <v>1039</v>
      </c>
      <c r="G59">
        <f t="shared" si="0"/>
        <v>1.706749418153608E-2</v>
      </c>
    </row>
    <row r="60" spans="1:7">
      <c r="A60" t="s">
        <v>167</v>
      </c>
      <c r="B60">
        <v>65.400000000000006</v>
      </c>
      <c r="C60">
        <v>65.45</v>
      </c>
      <c r="D60">
        <v>65.849999999999994</v>
      </c>
      <c r="E60">
        <v>65.3</v>
      </c>
      <c r="F60" t="s">
        <v>1040</v>
      </c>
      <c r="G60">
        <f t="shared" si="0"/>
        <v>-2.2883295194506825E-3</v>
      </c>
    </row>
    <row r="61" spans="1:7">
      <c r="A61" t="s">
        <v>169</v>
      </c>
      <c r="B61">
        <v>65.3</v>
      </c>
      <c r="C61">
        <v>65.45</v>
      </c>
      <c r="D61">
        <v>65.650000000000006</v>
      </c>
      <c r="E61">
        <v>64.650000000000006</v>
      </c>
      <c r="F61" t="s">
        <v>1041</v>
      </c>
      <c r="G61">
        <f t="shared" si="0"/>
        <v>-1.52905198776776E-3</v>
      </c>
    </row>
    <row r="62" spans="1:7">
      <c r="A62" t="s">
        <v>171</v>
      </c>
      <c r="B62">
        <v>65.599999999999994</v>
      </c>
      <c r="C62">
        <v>65.849999999999994</v>
      </c>
      <c r="D62">
        <v>66.05</v>
      </c>
      <c r="E62">
        <v>65.599999999999994</v>
      </c>
      <c r="F62" t="s">
        <v>1042</v>
      </c>
      <c r="G62">
        <f t="shared" si="0"/>
        <v>4.5941807044409533E-3</v>
      </c>
    </row>
    <row r="63" spans="1:7">
      <c r="A63" t="s">
        <v>173</v>
      </c>
      <c r="B63">
        <v>65.5</v>
      </c>
      <c r="C63">
        <v>65.599999999999994</v>
      </c>
      <c r="D63">
        <v>65.7</v>
      </c>
      <c r="E63">
        <v>65.349999999999994</v>
      </c>
      <c r="F63" t="s">
        <v>1043</v>
      </c>
      <c r="G63">
        <f t="shared" si="0"/>
        <v>-1.5243902439023849E-3</v>
      </c>
    </row>
    <row r="64" spans="1:7">
      <c r="A64" t="s">
        <v>175</v>
      </c>
      <c r="B64">
        <v>66.400000000000006</v>
      </c>
      <c r="C64">
        <v>65.599999999999994</v>
      </c>
      <c r="D64">
        <v>66.8</v>
      </c>
      <c r="E64">
        <v>65.599999999999994</v>
      </c>
      <c r="F64" t="s">
        <v>1044</v>
      </c>
      <c r="G64">
        <f t="shared" si="0"/>
        <v>1.3740458015267354E-2</v>
      </c>
    </row>
    <row r="65" spans="1:7">
      <c r="A65" t="s">
        <v>177</v>
      </c>
      <c r="B65">
        <v>66.599999999999994</v>
      </c>
      <c r="C65">
        <v>66.3</v>
      </c>
      <c r="D65">
        <v>66.650000000000006</v>
      </c>
      <c r="E65">
        <v>65.75</v>
      </c>
      <c r="F65" t="s">
        <v>1045</v>
      </c>
      <c r="G65">
        <f t="shared" si="0"/>
        <v>3.0120481927708997E-3</v>
      </c>
    </row>
    <row r="66" spans="1:7">
      <c r="A66" t="s">
        <v>179</v>
      </c>
      <c r="B66">
        <v>67</v>
      </c>
      <c r="C66">
        <v>66.400000000000006</v>
      </c>
      <c r="D66">
        <v>67.900000000000006</v>
      </c>
      <c r="E66">
        <v>66.400000000000006</v>
      </c>
      <c r="F66" t="s">
        <v>1046</v>
      </c>
      <c r="G66">
        <f t="shared" si="0"/>
        <v>6.0060060060060927E-3</v>
      </c>
    </row>
    <row r="67" spans="1:7">
      <c r="A67" s="79">
        <v>44989</v>
      </c>
      <c r="B67">
        <v>67.36</v>
      </c>
      <c r="C67">
        <v>66.98</v>
      </c>
      <c r="D67">
        <v>67.38</v>
      </c>
      <c r="E67">
        <v>66.56</v>
      </c>
      <c r="F67" t="s">
        <v>1047</v>
      </c>
      <c r="G67">
        <f t="shared" si="0"/>
        <v>5.3731343283582866E-3</v>
      </c>
    </row>
    <row r="68" spans="1:7">
      <c r="A68" s="79">
        <v>45020</v>
      </c>
      <c r="B68">
        <v>68.72</v>
      </c>
      <c r="C68">
        <v>67.06</v>
      </c>
      <c r="D68">
        <v>69.180000000000007</v>
      </c>
      <c r="E68">
        <v>66.92</v>
      </c>
      <c r="F68" t="s">
        <v>1048</v>
      </c>
      <c r="G68">
        <f t="shared" ref="G68:G131" si="1">B68/B67-1</f>
        <v>2.0190023752969077E-2</v>
      </c>
    </row>
    <row r="69" spans="1:7">
      <c r="A69" s="79">
        <v>45050</v>
      </c>
      <c r="B69">
        <v>69</v>
      </c>
      <c r="C69">
        <v>68.94</v>
      </c>
      <c r="D69">
        <v>69.14</v>
      </c>
      <c r="E69">
        <v>68.239999999999995</v>
      </c>
      <c r="F69" t="s">
        <v>1049</v>
      </c>
      <c r="G69">
        <f t="shared" si="1"/>
        <v>4.0745052386497171E-3</v>
      </c>
    </row>
    <row r="70" spans="1:7">
      <c r="A70" s="79">
        <v>45081</v>
      </c>
      <c r="B70">
        <v>69.42</v>
      </c>
      <c r="C70">
        <v>68.88</v>
      </c>
      <c r="D70">
        <v>69.459999999999994</v>
      </c>
      <c r="E70">
        <v>68.680000000000007</v>
      </c>
      <c r="F70" t="s">
        <v>1050</v>
      </c>
      <c r="G70">
        <f t="shared" si="1"/>
        <v>6.0869565217391841E-3</v>
      </c>
    </row>
    <row r="71" spans="1:7">
      <c r="A71" s="79">
        <v>45234</v>
      </c>
      <c r="B71">
        <v>69.12</v>
      </c>
      <c r="C71">
        <v>69.48</v>
      </c>
      <c r="D71">
        <v>69.62</v>
      </c>
      <c r="E71">
        <v>68.8</v>
      </c>
      <c r="F71" t="s">
        <v>1051</v>
      </c>
      <c r="G71">
        <f t="shared" si="1"/>
        <v>-4.321521175453702E-3</v>
      </c>
    </row>
    <row r="72" spans="1:7">
      <c r="A72" s="79">
        <v>45264</v>
      </c>
      <c r="B72">
        <v>68.64</v>
      </c>
      <c r="C72">
        <v>69.02</v>
      </c>
      <c r="D72">
        <v>69.260000000000005</v>
      </c>
      <c r="E72">
        <v>68.540000000000006</v>
      </c>
      <c r="F72" t="s">
        <v>1052</v>
      </c>
      <c r="G72">
        <f t="shared" si="1"/>
        <v>-6.9444444444445308E-3</v>
      </c>
    </row>
    <row r="73" spans="1:7">
      <c r="A73" t="s">
        <v>188</v>
      </c>
      <c r="B73">
        <v>68.62</v>
      </c>
      <c r="C73">
        <v>68.78</v>
      </c>
      <c r="D73">
        <v>69.099999999999994</v>
      </c>
      <c r="E73">
        <v>68.28</v>
      </c>
      <c r="F73" t="s">
        <v>1053</v>
      </c>
      <c r="G73">
        <f t="shared" si="1"/>
        <v>-2.9137529137523988E-4</v>
      </c>
    </row>
    <row r="74" spans="1:7">
      <c r="A74" t="s">
        <v>190</v>
      </c>
      <c r="B74">
        <v>68.92</v>
      </c>
      <c r="C74">
        <v>68.84</v>
      </c>
      <c r="D74">
        <v>69.12</v>
      </c>
      <c r="E74">
        <v>68.540000000000006</v>
      </c>
      <c r="F74" t="s">
        <v>1054</v>
      </c>
      <c r="G74">
        <f t="shared" si="1"/>
        <v>4.3719032352083076E-3</v>
      </c>
    </row>
    <row r="75" spans="1:7">
      <c r="A75" t="s">
        <v>192</v>
      </c>
      <c r="B75">
        <v>68.98</v>
      </c>
      <c r="C75">
        <v>68.92</v>
      </c>
      <c r="D75">
        <v>69.459999999999994</v>
      </c>
      <c r="E75">
        <v>68.88</v>
      </c>
      <c r="F75" t="s">
        <v>1055</v>
      </c>
      <c r="G75">
        <f t="shared" si="1"/>
        <v>8.705745792223496E-4</v>
      </c>
    </row>
    <row r="76" spans="1:7">
      <c r="A76" t="s">
        <v>194</v>
      </c>
      <c r="B76">
        <v>69.08</v>
      </c>
      <c r="C76">
        <v>68.5</v>
      </c>
      <c r="D76">
        <v>69.08</v>
      </c>
      <c r="E76">
        <v>68.22</v>
      </c>
      <c r="F76" t="s">
        <v>1004</v>
      </c>
      <c r="G76">
        <f t="shared" si="1"/>
        <v>1.4496955639315967E-3</v>
      </c>
    </row>
    <row r="77" spans="1:7">
      <c r="A77" t="s">
        <v>196</v>
      </c>
      <c r="B77">
        <v>69.400000000000006</v>
      </c>
      <c r="C77">
        <v>68.819999999999993</v>
      </c>
      <c r="D77">
        <v>69.680000000000007</v>
      </c>
      <c r="E77">
        <v>68.819999999999993</v>
      </c>
      <c r="F77" t="s">
        <v>1056</v>
      </c>
      <c r="G77">
        <f t="shared" si="1"/>
        <v>4.6323103647945008E-3</v>
      </c>
    </row>
    <row r="78" spans="1:7">
      <c r="A78" t="s">
        <v>198</v>
      </c>
      <c r="B78">
        <v>69.34</v>
      </c>
      <c r="C78">
        <v>69.400000000000006</v>
      </c>
      <c r="D78">
        <v>69.599999999999994</v>
      </c>
      <c r="E78">
        <v>68.84</v>
      </c>
      <c r="F78" t="s">
        <v>1057</v>
      </c>
      <c r="G78">
        <f t="shared" si="1"/>
        <v>-8.6455331412105263E-4</v>
      </c>
    </row>
    <row r="79" spans="1:7">
      <c r="A79" t="s">
        <v>200</v>
      </c>
      <c r="B79">
        <v>68.92</v>
      </c>
      <c r="C79">
        <v>69.099999999999994</v>
      </c>
      <c r="D79">
        <v>69.62</v>
      </c>
      <c r="E79">
        <v>68.760000000000005</v>
      </c>
      <c r="F79" t="s">
        <v>1058</v>
      </c>
      <c r="G79">
        <f t="shared" si="1"/>
        <v>-6.0571098932795664E-3</v>
      </c>
    </row>
    <row r="80" spans="1:7">
      <c r="A80" t="s">
        <v>202</v>
      </c>
      <c r="B80">
        <v>68.08</v>
      </c>
      <c r="C80">
        <v>69</v>
      </c>
      <c r="D80">
        <v>69</v>
      </c>
      <c r="E80">
        <v>67.72</v>
      </c>
      <c r="F80" t="s">
        <v>1059</v>
      </c>
      <c r="G80">
        <f t="shared" si="1"/>
        <v>-1.2188044109112117E-2</v>
      </c>
    </row>
    <row r="81" spans="1:7">
      <c r="A81" t="s">
        <v>204</v>
      </c>
      <c r="B81">
        <v>66.42</v>
      </c>
      <c r="C81">
        <v>66.14</v>
      </c>
      <c r="D81">
        <v>66.680000000000007</v>
      </c>
      <c r="E81">
        <v>65.84</v>
      </c>
      <c r="F81" t="s">
        <v>1060</v>
      </c>
      <c r="G81">
        <f t="shared" si="1"/>
        <v>-2.4383078730904728E-2</v>
      </c>
    </row>
    <row r="82" spans="1:7">
      <c r="A82" t="s">
        <v>206</v>
      </c>
      <c r="B82">
        <v>66.86</v>
      </c>
      <c r="C82">
        <v>66.260000000000005</v>
      </c>
      <c r="D82">
        <v>67.22</v>
      </c>
      <c r="E82">
        <v>66.02</v>
      </c>
      <c r="F82" t="s">
        <v>1061</v>
      </c>
      <c r="G82">
        <f t="shared" si="1"/>
        <v>6.6245106895512773E-3</v>
      </c>
    </row>
    <row r="83" spans="1:7">
      <c r="A83" t="s">
        <v>208</v>
      </c>
      <c r="B83">
        <v>66.900000000000006</v>
      </c>
      <c r="C83">
        <v>67.2</v>
      </c>
      <c r="D83">
        <v>67.48</v>
      </c>
      <c r="E83">
        <v>66.72</v>
      </c>
      <c r="F83" t="s">
        <v>1062</v>
      </c>
      <c r="G83">
        <f t="shared" si="1"/>
        <v>5.9826503140891774E-4</v>
      </c>
    </row>
    <row r="84" spans="1:7">
      <c r="A84" t="s">
        <v>210</v>
      </c>
      <c r="B84">
        <v>67</v>
      </c>
      <c r="C84">
        <v>67.2</v>
      </c>
      <c r="D84">
        <v>67.28</v>
      </c>
      <c r="E84">
        <v>66.48</v>
      </c>
      <c r="F84" t="s">
        <v>1063</v>
      </c>
      <c r="G84">
        <f t="shared" si="1"/>
        <v>1.494768310911665E-3</v>
      </c>
    </row>
    <row r="85" spans="1:7">
      <c r="A85" s="79">
        <v>44962</v>
      </c>
      <c r="B85">
        <v>67.040000000000006</v>
      </c>
      <c r="C85">
        <v>67</v>
      </c>
      <c r="D85">
        <v>67.3</v>
      </c>
      <c r="E85">
        <v>66.7</v>
      </c>
      <c r="F85" t="s">
        <v>1064</v>
      </c>
      <c r="G85">
        <f t="shared" si="1"/>
        <v>5.9701492537311829E-4</v>
      </c>
    </row>
    <row r="86" spans="1:7">
      <c r="A86" s="79">
        <v>44990</v>
      </c>
      <c r="B86">
        <v>67.7</v>
      </c>
      <c r="C86">
        <v>67.28</v>
      </c>
      <c r="D86">
        <v>67.7</v>
      </c>
      <c r="E86">
        <v>66.959999999999994</v>
      </c>
      <c r="F86" t="s">
        <v>1065</v>
      </c>
      <c r="G86">
        <f t="shared" si="1"/>
        <v>9.8448687350833897E-3</v>
      </c>
    </row>
    <row r="87" spans="1:7">
      <c r="A87" s="79">
        <v>45021</v>
      </c>
      <c r="B87">
        <v>66.459999999999994</v>
      </c>
      <c r="C87">
        <v>66.099999999999994</v>
      </c>
      <c r="D87">
        <v>67.040000000000006</v>
      </c>
      <c r="E87">
        <v>65.7</v>
      </c>
      <c r="F87" t="s">
        <v>1066</v>
      </c>
      <c r="G87">
        <f t="shared" si="1"/>
        <v>-1.8316100443131589E-2</v>
      </c>
    </row>
    <row r="88" spans="1:7">
      <c r="A88" s="79">
        <v>45051</v>
      </c>
      <c r="B88">
        <v>66.959999999999994</v>
      </c>
      <c r="C88">
        <v>66.52</v>
      </c>
      <c r="D88">
        <v>66.959999999999994</v>
      </c>
      <c r="E88">
        <v>66</v>
      </c>
      <c r="F88" t="s">
        <v>1067</v>
      </c>
      <c r="G88">
        <f t="shared" si="1"/>
        <v>7.523322299127333E-3</v>
      </c>
    </row>
    <row r="89" spans="1:7">
      <c r="A89" s="79">
        <v>45143</v>
      </c>
      <c r="B89">
        <v>67.34</v>
      </c>
      <c r="C89">
        <v>67.44</v>
      </c>
      <c r="D89">
        <v>67.44</v>
      </c>
      <c r="E89">
        <v>66.78</v>
      </c>
      <c r="F89" t="s">
        <v>1068</v>
      </c>
      <c r="G89">
        <f t="shared" si="1"/>
        <v>5.675029868578374E-3</v>
      </c>
    </row>
    <row r="90" spans="1:7">
      <c r="A90" s="79">
        <v>45174</v>
      </c>
      <c r="B90">
        <v>67.66</v>
      </c>
      <c r="C90">
        <v>67.36</v>
      </c>
      <c r="D90">
        <v>67.78</v>
      </c>
      <c r="E90">
        <v>66.98</v>
      </c>
      <c r="F90" t="s">
        <v>1069</v>
      </c>
      <c r="G90">
        <f t="shared" si="1"/>
        <v>4.7520047520046571E-3</v>
      </c>
    </row>
    <row r="91" spans="1:7">
      <c r="A91" s="79">
        <v>45204</v>
      </c>
      <c r="B91">
        <v>67.06</v>
      </c>
      <c r="C91">
        <v>67.7</v>
      </c>
      <c r="D91">
        <v>67.7</v>
      </c>
      <c r="E91">
        <v>66</v>
      </c>
      <c r="F91" t="s">
        <v>1070</v>
      </c>
      <c r="G91">
        <f t="shared" si="1"/>
        <v>-8.8678687555423519E-3</v>
      </c>
    </row>
    <row r="92" spans="1:7">
      <c r="A92" s="79">
        <v>45235</v>
      </c>
      <c r="B92">
        <v>67.459999999999994</v>
      </c>
      <c r="C92">
        <v>67</v>
      </c>
      <c r="D92">
        <v>67.66</v>
      </c>
      <c r="E92">
        <v>67</v>
      </c>
      <c r="F92" t="s">
        <v>1071</v>
      </c>
      <c r="G92">
        <f t="shared" si="1"/>
        <v>5.9648076349536616E-3</v>
      </c>
    </row>
    <row r="93" spans="1:7">
      <c r="A93" s="79">
        <v>45265</v>
      </c>
      <c r="B93">
        <v>68.16</v>
      </c>
      <c r="C93">
        <v>67.88</v>
      </c>
      <c r="D93">
        <v>68.2</v>
      </c>
      <c r="E93">
        <v>67.64</v>
      </c>
      <c r="F93" t="s">
        <v>1072</v>
      </c>
      <c r="G93">
        <f t="shared" si="1"/>
        <v>1.0376519418914931E-2</v>
      </c>
    </row>
    <row r="94" spans="1:7">
      <c r="A94" t="s">
        <v>222</v>
      </c>
      <c r="B94">
        <v>69.06</v>
      </c>
      <c r="C94">
        <v>68</v>
      </c>
      <c r="D94">
        <v>69.900000000000006</v>
      </c>
      <c r="E94">
        <v>67.98</v>
      </c>
      <c r="F94" t="s">
        <v>1073</v>
      </c>
      <c r="G94">
        <f t="shared" si="1"/>
        <v>1.3204225352112742E-2</v>
      </c>
    </row>
    <row r="95" spans="1:7">
      <c r="A95" t="s">
        <v>224</v>
      </c>
      <c r="B95">
        <v>69.680000000000007</v>
      </c>
      <c r="C95">
        <v>68.72</v>
      </c>
      <c r="D95">
        <v>70</v>
      </c>
      <c r="E95">
        <v>68.44</v>
      </c>
      <c r="F95" t="s">
        <v>1074</v>
      </c>
      <c r="G95">
        <f t="shared" si="1"/>
        <v>8.9777005502462703E-3</v>
      </c>
    </row>
    <row r="96" spans="1:7">
      <c r="A96" t="s">
        <v>226</v>
      </c>
      <c r="B96">
        <v>69.260000000000005</v>
      </c>
      <c r="C96">
        <v>69.5</v>
      </c>
      <c r="D96">
        <v>69.84</v>
      </c>
      <c r="E96">
        <v>69.22</v>
      </c>
      <c r="F96" t="s">
        <v>1075</v>
      </c>
      <c r="G96">
        <f t="shared" si="1"/>
        <v>-6.0275545350172433E-3</v>
      </c>
    </row>
    <row r="97" spans="1:7">
      <c r="A97" t="s">
        <v>228</v>
      </c>
      <c r="B97">
        <v>69.900000000000006</v>
      </c>
      <c r="C97">
        <v>69.5</v>
      </c>
      <c r="D97">
        <v>70.06</v>
      </c>
      <c r="E97">
        <v>69.400000000000006</v>
      </c>
      <c r="F97" t="s">
        <v>1076</v>
      </c>
      <c r="G97">
        <f t="shared" si="1"/>
        <v>9.2405428818942426E-3</v>
      </c>
    </row>
    <row r="98" spans="1:7">
      <c r="A98" t="s">
        <v>230</v>
      </c>
      <c r="B98">
        <v>69.62</v>
      </c>
      <c r="C98">
        <v>69.84</v>
      </c>
      <c r="D98">
        <v>70.099999999999994</v>
      </c>
      <c r="E98">
        <v>69.400000000000006</v>
      </c>
      <c r="F98" t="s">
        <v>1077</v>
      </c>
      <c r="G98">
        <f t="shared" si="1"/>
        <v>-4.0057224606581121E-3</v>
      </c>
    </row>
    <row r="99" spans="1:7">
      <c r="A99" t="s">
        <v>232</v>
      </c>
      <c r="B99">
        <v>68.98</v>
      </c>
      <c r="C99">
        <v>69.36</v>
      </c>
      <c r="D99">
        <v>69.760000000000005</v>
      </c>
      <c r="E99">
        <v>68.88</v>
      </c>
      <c r="F99" t="s">
        <v>1078</v>
      </c>
      <c r="G99">
        <f t="shared" si="1"/>
        <v>-9.1927607009479884E-3</v>
      </c>
    </row>
    <row r="100" spans="1:7">
      <c r="A100" t="s">
        <v>234</v>
      </c>
      <c r="B100">
        <v>68.64</v>
      </c>
      <c r="C100">
        <v>69.16</v>
      </c>
      <c r="D100">
        <v>69.16</v>
      </c>
      <c r="E100">
        <v>68</v>
      </c>
      <c r="F100" t="s">
        <v>1079</v>
      </c>
      <c r="G100">
        <f t="shared" si="1"/>
        <v>-4.9289649173673844E-3</v>
      </c>
    </row>
    <row r="101" spans="1:7">
      <c r="A101" t="s">
        <v>236</v>
      </c>
      <c r="B101">
        <v>68.2</v>
      </c>
      <c r="C101">
        <v>68.64</v>
      </c>
      <c r="D101">
        <v>68.64</v>
      </c>
      <c r="E101">
        <v>67.900000000000006</v>
      </c>
      <c r="F101" t="s">
        <v>1080</v>
      </c>
      <c r="G101">
        <f t="shared" si="1"/>
        <v>-6.4102564102563875E-3</v>
      </c>
    </row>
    <row r="102" spans="1:7">
      <c r="A102" t="s">
        <v>238</v>
      </c>
      <c r="B102">
        <v>68.040000000000006</v>
      </c>
      <c r="C102">
        <v>68.319999999999993</v>
      </c>
      <c r="D102">
        <v>68.34</v>
      </c>
      <c r="E102">
        <v>67.459999999999994</v>
      </c>
      <c r="F102" t="s">
        <v>1081</v>
      </c>
      <c r="G102">
        <f t="shared" si="1"/>
        <v>-2.3460410557184508E-3</v>
      </c>
    </row>
    <row r="103" spans="1:7">
      <c r="A103" t="s">
        <v>240</v>
      </c>
      <c r="B103">
        <v>68.2</v>
      </c>
      <c r="C103">
        <v>67.7</v>
      </c>
      <c r="D103">
        <v>68.48</v>
      </c>
      <c r="E103">
        <v>67.7</v>
      </c>
      <c r="F103" t="s">
        <v>1082</v>
      </c>
      <c r="G103">
        <f t="shared" si="1"/>
        <v>2.3515579071133885E-3</v>
      </c>
    </row>
    <row r="104" spans="1:7">
      <c r="A104" t="s">
        <v>1083</v>
      </c>
      <c r="B104">
        <v>68.14</v>
      </c>
      <c r="C104">
        <v>68.5</v>
      </c>
      <c r="D104">
        <v>68.5</v>
      </c>
      <c r="E104">
        <v>67.239999999999995</v>
      </c>
      <c r="F104" t="s">
        <v>1084</v>
      </c>
      <c r="G104">
        <f t="shared" si="1"/>
        <v>-8.7976539589451619E-4</v>
      </c>
    </row>
    <row r="105" spans="1:7">
      <c r="A105" t="s">
        <v>242</v>
      </c>
      <c r="B105">
        <v>66.86</v>
      </c>
      <c r="C105">
        <v>67.959999999999994</v>
      </c>
      <c r="D105">
        <v>68.06</v>
      </c>
      <c r="E105">
        <v>66.52</v>
      </c>
      <c r="F105" t="s">
        <v>1085</v>
      </c>
      <c r="G105">
        <f t="shared" si="1"/>
        <v>-1.8784854710889309E-2</v>
      </c>
    </row>
    <row r="106" spans="1:7">
      <c r="A106" t="s">
        <v>244</v>
      </c>
      <c r="B106">
        <v>67.12</v>
      </c>
      <c r="C106">
        <v>66.62</v>
      </c>
      <c r="D106">
        <v>67.52</v>
      </c>
      <c r="E106">
        <v>66.52</v>
      </c>
      <c r="F106" t="s">
        <v>1086</v>
      </c>
      <c r="G106">
        <f t="shared" si="1"/>
        <v>3.8887227041579653E-3</v>
      </c>
    </row>
    <row r="107" spans="1:7">
      <c r="A107" s="79">
        <v>44932</v>
      </c>
      <c r="B107">
        <v>67.16</v>
      </c>
      <c r="C107">
        <v>67.599999999999994</v>
      </c>
      <c r="D107">
        <v>67.680000000000007</v>
      </c>
      <c r="E107">
        <v>66.58</v>
      </c>
      <c r="F107" t="s">
        <v>1087</v>
      </c>
      <c r="G107">
        <f t="shared" si="1"/>
        <v>5.9594755661485088E-4</v>
      </c>
    </row>
    <row r="108" spans="1:7">
      <c r="A108" s="79">
        <v>44963</v>
      </c>
      <c r="B108">
        <v>67.7</v>
      </c>
      <c r="C108">
        <v>67.34</v>
      </c>
      <c r="D108">
        <v>67.78</v>
      </c>
      <c r="E108">
        <v>67.12</v>
      </c>
      <c r="F108" t="s">
        <v>1088</v>
      </c>
      <c r="G108">
        <f t="shared" si="1"/>
        <v>8.0405002977963491E-3</v>
      </c>
    </row>
    <row r="109" spans="1:7">
      <c r="A109" s="79">
        <v>45052</v>
      </c>
      <c r="B109">
        <v>67.12</v>
      </c>
      <c r="C109">
        <v>67.900000000000006</v>
      </c>
      <c r="D109">
        <v>67.900000000000006</v>
      </c>
      <c r="E109">
        <v>67.099999999999994</v>
      </c>
      <c r="F109" t="s">
        <v>1089</v>
      </c>
      <c r="G109">
        <f t="shared" si="1"/>
        <v>-8.5672082717872522E-3</v>
      </c>
    </row>
    <row r="110" spans="1:7">
      <c r="A110" s="79">
        <v>45083</v>
      </c>
      <c r="B110">
        <v>67.06</v>
      </c>
      <c r="C110">
        <v>67.06</v>
      </c>
      <c r="D110">
        <v>67.239999999999995</v>
      </c>
      <c r="E110">
        <v>66.760000000000005</v>
      </c>
      <c r="F110" t="s">
        <v>1090</v>
      </c>
      <c r="G110">
        <f t="shared" si="1"/>
        <v>-8.9392133492260939E-4</v>
      </c>
    </row>
    <row r="111" spans="1:7">
      <c r="A111" s="79">
        <v>45113</v>
      </c>
      <c r="B111">
        <v>66.84</v>
      </c>
      <c r="C111">
        <v>67.06</v>
      </c>
      <c r="D111">
        <v>67.5</v>
      </c>
      <c r="E111">
        <v>66.84</v>
      </c>
      <c r="F111" t="s">
        <v>1091</v>
      </c>
      <c r="G111">
        <f t="shared" si="1"/>
        <v>-3.2806441992245805E-3</v>
      </c>
    </row>
    <row r="112" spans="1:7">
      <c r="A112" s="79">
        <v>45144</v>
      </c>
      <c r="B112">
        <v>67.040000000000006</v>
      </c>
      <c r="C112">
        <v>66.959999999999994</v>
      </c>
      <c r="D112">
        <v>67.3</v>
      </c>
      <c r="E112">
        <v>66.5</v>
      </c>
      <c r="F112" t="s">
        <v>1092</v>
      </c>
      <c r="G112">
        <f t="shared" si="1"/>
        <v>2.9922202274088594E-3</v>
      </c>
    </row>
    <row r="113" spans="1:7">
      <c r="A113" s="79">
        <v>45175</v>
      </c>
      <c r="B113">
        <v>66.38</v>
      </c>
      <c r="C113">
        <v>67.06</v>
      </c>
      <c r="D113">
        <v>67.22</v>
      </c>
      <c r="E113">
        <v>66</v>
      </c>
      <c r="F113" t="s">
        <v>1093</v>
      </c>
      <c r="G113">
        <f t="shared" si="1"/>
        <v>-9.8448687350837227E-3</v>
      </c>
    </row>
    <row r="114" spans="1:7">
      <c r="A114" s="79">
        <v>45266</v>
      </c>
      <c r="B114">
        <v>66.56</v>
      </c>
      <c r="C114">
        <v>66.2</v>
      </c>
      <c r="D114">
        <v>67.319999999999993</v>
      </c>
      <c r="E114">
        <v>66.2</v>
      </c>
      <c r="F114" t="s">
        <v>1094</v>
      </c>
      <c r="G114">
        <f t="shared" si="1"/>
        <v>2.7116601385961392E-3</v>
      </c>
    </row>
    <row r="115" spans="1:7">
      <c r="A115" t="s">
        <v>254</v>
      </c>
      <c r="B115">
        <v>66.400000000000006</v>
      </c>
      <c r="C115">
        <v>66.56</v>
      </c>
      <c r="D115">
        <v>66.72</v>
      </c>
      <c r="E115">
        <v>65.14</v>
      </c>
      <c r="F115" t="s">
        <v>1095</v>
      </c>
      <c r="G115">
        <f t="shared" si="1"/>
        <v>-2.4038461538461453E-3</v>
      </c>
    </row>
    <row r="116" spans="1:7">
      <c r="A116" t="s">
        <v>256</v>
      </c>
      <c r="B116">
        <v>65.7</v>
      </c>
      <c r="C116">
        <v>66.400000000000006</v>
      </c>
      <c r="D116">
        <v>66.48</v>
      </c>
      <c r="E116">
        <v>65.7</v>
      </c>
      <c r="F116" t="s">
        <v>1096</v>
      </c>
      <c r="G116">
        <f t="shared" si="1"/>
        <v>-1.0542168674698815E-2</v>
      </c>
    </row>
    <row r="117" spans="1:7">
      <c r="A117" t="s">
        <v>258</v>
      </c>
      <c r="B117">
        <v>65.44</v>
      </c>
      <c r="C117">
        <v>65.8</v>
      </c>
      <c r="D117">
        <v>66.7</v>
      </c>
      <c r="E117">
        <v>65.44</v>
      </c>
      <c r="F117" t="s">
        <v>1097</v>
      </c>
      <c r="G117">
        <f t="shared" si="1"/>
        <v>-3.9573820395738535E-3</v>
      </c>
    </row>
    <row r="118" spans="1:7">
      <c r="A118" t="s">
        <v>260</v>
      </c>
      <c r="B118">
        <v>65.58</v>
      </c>
      <c r="C118">
        <v>65.72</v>
      </c>
      <c r="D118">
        <v>66.02</v>
      </c>
      <c r="E118">
        <v>65.28</v>
      </c>
      <c r="F118" t="s">
        <v>1098</v>
      </c>
      <c r="G118">
        <f t="shared" si="1"/>
        <v>2.1393643031784038E-3</v>
      </c>
    </row>
    <row r="119" spans="1:7">
      <c r="A119" t="s">
        <v>1099</v>
      </c>
      <c r="B119">
        <v>64.62</v>
      </c>
      <c r="C119">
        <v>65.92</v>
      </c>
      <c r="D119">
        <v>65.92</v>
      </c>
      <c r="E119">
        <v>64.540000000000006</v>
      </c>
      <c r="F119" t="s">
        <v>1100</v>
      </c>
      <c r="G119">
        <f t="shared" si="1"/>
        <v>-1.4638609332113361E-2</v>
      </c>
    </row>
    <row r="120" spans="1:7">
      <c r="A120" t="s">
        <v>262</v>
      </c>
      <c r="B120">
        <v>64.48</v>
      </c>
      <c r="C120">
        <v>64.2</v>
      </c>
      <c r="D120">
        <v>64.8</v>
      </c>
      <c r="E120">
        <v>63.52</v>
      </c>
      <c r="F120" t="s">
        <v>1101</v>
      </c>
      <c r="G120">
        <f t="shared" si="1"/>
        <v>-2.1665119158155166E-3</v>
      </c>
    </row>
    <row r="121" spans="1:7">
      <c r="A121" t="s">
        <v>264</v>
      </c>
      <c r="B121">
        <v>64.36</v>
      </c>
      <c r="C121">
        <v>64.62</v>
      </c>
      <c r="D121">
        <v>64.86</v>
      </c>
      <c r="E121">
        <v>63.98</v>
      </c>
      <c r="F121" t="s">
        <v>1102</v>
      </c>
      <c r="G121">
        <f t="shared" si="1"/>
        <v>-1.8610421836229296E-3</v>
      </c>
    </row>
    <row r="122" spans="1:7">
      <c r="A122" t="s">
        <v>266</v>
      </c>
      <c r="B122">
        <v>63.12</v>
      </c>
      <c r="C122">
        <v>64.36</v>
      </c>
      <c r="D122">
        <v>64.36</v>
      </c>
      <c r="E122">
        <v>63.02</v>
      </c>
      <c r="F122" t="s">
        <v>1103</v>
      </c>
      <c r="G122">
        <f t="shared" si="1"/>
        <v>-1.9266625233063994E-2</v>
      </c>
    </row>
    <row r="123" spans="1:7">
      <c r="A123" t="s">
        <v>268</v>
      </c>
      <c r="B123">
        <v>63.68</v>
      </c>
      <c r="C123">
        <v>63.14</v>
      </c>
      <c r="D123">
        <v>63.78</v>
      </c>
      <c r="E123">
        <v>63.14</v>
      </c>
      <c r="F123" t="s">
        <v>1104</v>
      </c>
      <c r="G123">
        <f t="shared" si="1"/>
        <v>8.8719898605831293E-3</v>
      </c>
    </row>
    <row r="124" spans="1:7">
      <c r="A124" t="s">
        <v>270</v>
      </c>
      <c r="B124">
        <v>63.78</v>
      </c>
      <c r="C124">
        <v>63.6</v>
      </c>
      <c r="D124">
        <v>64.239999999999995</v>
      </c>
      <c r="E124">
        <v>63.6</v>
      </c>
      <c r="F124" t="s">
        <v>1105</v>
      </c>
      <c r="G124">
        <f t="shared" si="1"/>
        <v>1.570351758793942E-3</v>
      </c>
    </row>
    <row r="125" spans="1:7">
      <c r="A125" t="s">
        <v>272</v>
      </c>
      <c r="B125">
        <v>63.96</v>
      </c>
      <c r="C125">
        <v>64.08</v>
      </c>
      <c r="D125">
        <v>64.12</v>
      </c>
      <c r="E125">
        <v>63.7</v>
      </c>
      <c r="F125" t="s">
        <v>1106</v>
      </c>
      <c r="G125">
        <f t="shared" si="1"/>
        <v>2.822201317027373E-3</v>
      </c>
    </row>
    <row r="126" spans="1:7">
      <c r="A126" t="s">
        <v>274</v>
      </c>
      <c r="B126">
        <v>64.459999999999994</v>
      </c>
      <c r="C126">
        <v>64.12</v>
      </c>
      <c r="D126">
        <v>64.56</v>
      </c>
      <c r="E126">
        <v>63.92</v>
      </c>
      <c r="F126" t="s">
        <v>1107</v>
      </c>
      <c r="G126">
        <f t="shared" si="1"/>
        <v>7.8173858661663154E-3</v>
      </c>
    </row>
    <row r="127" spans="1:7">
      <c r="A127" t="s">
        <v>276</v>
      </c>
      <c r="B127">
        <v>64.06</v>
      </c>
      <c r="C127">
        <v>64.8</v>
      </c>
      <c r="D127">
        <v>64.8</v>
      </c>
      <c r="E127">
        <v>63.68</v>
      </c>
      <c r="F127" t="s">
        <v>1108</v>
      </c>
      <c r="G127">
        <f t="shared" si="1"/>
        <v>-6.2053986968660935E-3</v>
      </c>
    </row>
    <row r="128" spans="1:7">
      <c r="A128" t="s">
        <v>278</v>
      </c>
      <c r="B128">
        <v>64.5</v>
      </c>
      <c r="C128">
        <v>64.08</v>
      </c>
      <c r="D128">
        <v>65.180000000000007</v>
      </c>
      <c r="E128">
        <v>63.86</v>
      </c>
      <c r="F128" t="s">
        <v>1109</v>
      </c>
      <c r="G128">
        <f t="shared" si="1"/>
        <v>6.8685607243208491E-3</v>
      </c>
    </row>
    <row r="129" spans="1:7">
      <c r="A129" s="79">
        <v>44992</v>
      </c>
      <c r="B129">
        <v>64.2</v>
      </c>
      <c r="C129">
        <v>64.66</v>
      </c>
      <c r="D129">
        <v>64.92</v>
      </c>
      <c r="E129">
        <v>64</v>
      </c>
      <c r="F129" t="s">
        <v>1110</v>
      </c>
      <c r="G129">
        <f t="shared" si="1"/>
        <v>-4.6511627906976605E-3</v>
      </c>
    </row>
    <row r="130" spans="1:7">
      <c r="A130" s="79">
        <v>45023</v>
      </c>
      <c r="B130">
        <v>63.68</v>
      </c>
      <c r="C130">
        <v>64</v>
      </c>
      <c r="D130">
        <v>64.260000000000005</v>
      </c>
      <c r="E130">
        <v>63.68</v>
      </c>
      <c r="F130" t="s">
        <v>1111</v>
      </c>
      <c r="G130">
        <f t="shared" si="1"/>
        <v>-8.0996884735202723E-3</v>
      </c>
    </row>
    <row r="131" spans="1:7">
      <c r="A131" s="79">
        <v>45053</v>
      </c>
      <c r="B131">
        <v>63.06</v>
      </c>
      <c r="C131">
        <v>63.32</v>
      </c>
      <c r="D131">
        <v>63.58</v>
      </c>
      <c r="E131">
        <v>62.48</v>
      </c>
      <c r="F131" t="s">
        <v>1112</v>
      </c>
      <c r="G131">
        <f t="shared" si="1"/>
        <v>-9.7361809045225511E-3</v>
      </c>
    </row>
    <row r="132" spans="1:7">
      <c r="A132" s="79">
        <v>45084</v>
      </c>
      <c r="B132">
        <v>62.44</v>
      </c>
      <c r="C132">
        <v>63.1</v>
      </c>
      <c r="D132">
        <v>63.1</v>
      </c>
      <c r="E132">
        <v>62.16</v>
      </c>
      <c r="F132" t="s">
        <v>1113</v>
      </c>
      <c r="G132">
        <f t="shared" ref="G132:G195" si="2">B132/B131-1</f>
        <v>-9.8319061211544767E-3</v>
      </c>
    </row>
    <row r="133" spans="1:7">
      <c r="A133" s="79">
        <v>45114</v>
      </c>
      <c r="B133">
        <v>61.86</v>
      </c>
      <c r="C133">
        <v>62.1</v>
      </c>
      <c r="D133">
        <v>62.44</v>
      </c>
      <c r="E133">
        <v>61.78</v>
      </c>
      <c r="F133" t="s">
        <v>1114</v>
      </c>
      <c r="G133">
        <f t="shared" si="2"/>
        <v>-9.2889173606661712E-3</v>
      </c>
    </row>
    <row r="134" spans="1:7">
      <c r="A134" s="79">
        <v>45206</v>
      </c>
      <c r="B134">
        <v>61.76</v>
      </c>
      <c r="C134">
        <v>61.74</v>
      </c>
      <c r="D134">
        <v>61.98</v>
      </c>
      <c r="E134">
        <v>61.58</v>
      </c>
      <c r="F134" t="s">
        <v>1115</v>
      </c>
      <c r="G134">
        <f t="shared" si="2"/>
        <v>-1.6165535079211146E-3</v>
      </c>
    </row>
    <row r="135" spans="1:7">
      <c r="A135" s="79">
        <v>45237</v>
      </c>
      <c r="B135">
        <v>62.28</v>
      </c>
      <c r="C135">
        <v>61.62</v>
      </c>
      <c r="D135">
        <v>62.5</v>
      </c>
      <c r="E135">
        <v>61.56</v>
      </c>
      <c r="F135" t="s">
        <v>1116</v>
      </c>
      <c r="G135">
        <f t="shared" si="2"/>
        <v>8.4196891191710144E-3</v>
      </c>
    </row>
    <row r="136" spans="1:7">
      <c r="A136" s="79">
        <v>45267</v>
      </c>
      <c r="B136">
        <v>62.44</v>
      </c>
      <c r="C136">
        <v>62.3</v>
      </c>
      <c r="D136">
        <v>62.88</v>
      </c>
      <c r="E136">
        <v>62</v>
      </c>
      <c r="F136" t="s">
        <v>1117</v>
      </c>
      <c r="G136">
        <f t="shared" si="2"/>
        <v>2.5690430314706525E-3</v>
      </c>
    </row>
    <row r="137" spans="1:7">
      <c r="A137" t="s">
        <v>287</v>
      </c>
      <c r="B137">
        <v>63.18</v>
      </c>
      <c r="C137">
        <v>62.96</v>
      </c>
      <c r="D137">
        <v>63.36</v>
      </c>
      <c r="E137">
        <v>62.48</v>
      </c>
      <c r="F137" t="s">
        <v>1118</v>
      </c>
      <c r="G137">
        <f t="shared" si="2"/>
        <v>1.1851377322229295E-2</v>
      </c>
    </row>
    <row r="138" spans="1:7">
      <c r="A138" t="s">
        <v>289</v>
      </c>
      <c r="B138">
        <v>63.32</v>
      </c>
      <c r="C138">
        <v>63</v>
      </c>
      <c r="D138">
        <v>63.52</v>
      </c>
      <c r="E138">
        <v>63</v>
      </c>
      <c r="F138" t="s">
        <v>1119</v>
      </c>
      <c r="G138">
        <f t="shared" si="2"/>
        <v>2.2158911047800434E-3</v>
      </c>
    </row>
    <row r="139" spans="1:7">
      <c r="A139" t="s">
        <v>291</v>
      </c>
      <c r="B139">
        <v>63.36</v>
      </c>
      <c r="C139">
        <v>63.34</v>
      </c>
      <c r="D139">
        <v>63.48</v>
      </c>
      <c r="E139">
        <v>63.02</v>
      </c>
      <c r="F139" t="s">
        <v>1120</v>
      </c>
      <c r="G139">
        <f t="shared" si="2"/>
        <v>6.317119393557391E-4</v>
      </c>
    </row>
    <row r="140" spans="1:7">
      <c r="A140" t="s">
        <v>293</v>
      </c>
      <c r="B140">
        <v>63.08</v>
      </c>
      <c r="C140">
        <v>63.76</v>
      </c>
      <c r="D140">
        <v>63.76</v>
      </c>
      <c r="E140">
        <v>62.54</v>
      </c>
      <c r="F140" t="s">
        <v>1121</v>
      </c>
      <c r="G140">
        <f t="shared" si="2"/>
        <v>-4.4191919191919338E-3</v>
      </c>
    </row>
    <row r="141" spans="1:7">
      <c r="A141" t="s">
        <v>295</v>
      </c>
      <c r="B141">
        <v>63.54</v>
      </c>
      <c r="C141">
        <v>63</v>
      </c>
      <c r="D141">
        <v>64</v>
      </c>
      <c r="E141">
        <v>63</v>
      </c>
      <c r="F141" t="s">
        <v>1122</v>
      </c>
      <c r="G141">
        <f t="shared" si="2"/>
        <v>7.2923272035509967E-3</v>
      </c>
    </row>
    <row r="142" spans="1:7">
      <c r="A142" t="s">
        <v>297</v>
      </c>
      <c r="B142">
        <v>63.7</v>
      </c>
      <c r="C142">
        <v>63.68</v>
      </c>
      <c r="D142">
        <v>63.96</v>
      </c>
      <c r="E142">
        <v>63.32</v>
      </c>
      <c r="F142" t="s">
        <v>1123</v>
      </c>
      <c r="G142">
        <f t="shared" si="2"/>
        <v>2.5180988353794564E-3</v>
      </c>
    </row>
    <row r="143" spans="1:7">
      <c r="A143" t="s">
        <v>299</v>
      </c>
      <c r="B143">
        <v>63.86</v>
      </c>
      <c r="C143">
        <v>63.76</v>
      </c>
      <c r="D143">
        <v>64.06</v>
      </c>
      <c r="E143">
        <v>63.5</v>
      </c>
      <c r="F143" t="s">
        <v>1124</v>
      </c>
      <c r="G143">
        <f t="shared" si="2"/>
        <v>2.5117739403452966E-3</v>
      </c>
    </row>
    <row r="144" spans="1:7">
      <c r="A144" t="s">
        <v>301</v>
      </c>
      <c r="B144">
        <v>63.28</v>
      </c>
      <c r="C144">
        <v>63.5</v>
      </c>
      <c r="D144">
        <v>63.88</v>
      </c>
      <c r="E144">
        <v>62.8</v>
      </c>
      <c r="F144" t="s">
        <v>1125</v>
      </c>
      <c r="G144">
        <f t="shared" si="2"/>
        <v>-9.0823676792984864E-3</v>
      </c>
    </row>
    <row r="145" spans="1:7">
      <c r="A145" t="s">
        <v>303</v>
      </c>
      <c r="B145">
        <v>64</v>
      </c>
      <c r="C145">
        <v>62.84</v>
      </c>
      <c r="D145">
        <v>64</v>
      </c>
      <c r="E145">
        <v>62.78</v>
      </c>
      <c r="F145" t="s">
        <v>1126</v>
      </c>
      <c r="G145">
        <f t="shared" si="2"/>
        <v>1.1378002528444897E-2</v>
      </c>
    </row>
    <row r="146" spans="1:7">
      <c r="A146" t="s">
        <v>305</v>
      </c>
      <c r="B146">
        <v>63.82</v>
      </c>
      <c r="C146">
        <v>63.66</v>
      </c>
      <c r="D146">
        <v>64.44</v>
      </c>
      <c r="E146">
        <v>63</v>
      </c>
      <c r="F146" t="s">
        <v>1127</v>
      </c>
      <c r="G146">
        <f t="shared" si="2"/>
        <v>-2.8124999999999956E-3</v>
      </c>
    </row>
    <row r="147" spans="1:7">
      <c r="A147" t="s">
        <v>307</v>
      </c>
      <c r="B147">
        <v>64.2</v>
      </c>
      <c r="C147">
        <v>63.78</v>
      </c>
      <c r="D147">
        <v>64.62</v>
      </c>
      <c r="E147">
        <v>63.78</v>
      </c>
      <c r="F147" t="s">
        <v>1128</v>
      </c>
      <c r="G147">
        <f t="shared" si="2"/>
        <v>5.9542463177688632E-3</v>
      </c>
    </row>
    <row r="148" spans="1:7">
      <c r="A148" t="s">
        <v>309</v>
      </c>
      <c r="B148">
        <v>64.2</v>
      </c>
      <c r="C148">
        <v>64.28</v>
      </c>
      <c r="D148">
        <v>64.36</v>
      </c>
      <c r="E148">
        <v>63.82</v>
      </c>
      <c r="F148" t="s">
        <v>1129</v>
      </c>
      <c r="G148">
        <f t="shared" si="2"/>
        <v>0</v>
      </c>
    </row>
    <row r="149" spans="1:7">
      <c r="A149" t="s">
        <v>311</v>
      </c>
      <c r="B149">
        <v>63.54</v>
      </c>
      <c r="C149">
        <v>64.48</v>
      </c>
      <c r="D149">
        <v>64.48</v>
      </c>
      <c r="E149">
        <v>63</v>
      </c>
      <c r="F149" t="s">
        <v>1130</v>
      </c>
      <c r="G149">
        <f t="shared" si="2"/>
        <v>-1.0280373831775713E-2</v>
      </c>
    </row>
    <row r="150" spans="1:7">
      <c r="A150" s="79">
        <v>44934</v>
      </c>
      <c r="B150">
        <v>62.86</v>
      </c>
      <c r="C150">
        <v>63.72</v>
      </c>
      <c r="D150">
        <v>63.72</v>
      </c>
      <c r="E150">
        <v>62.84</v>
      </c>
      <c r="F150" t="s">
        <v>1131</v>
      </c>
      <c r="G150">
        <f t="shared" si="2"/>
        <v>-1.0701920050361968E-2</v>
      </c>
    </row>
    <row r="151" spans="1:7">
      <c r="A151" s="79">
        <v>44965</v>
      </c>
      <c r="B151">
        <v>62.68</v>
      </c>
      <c r="C151">
        <v>62.36</v>
      </c>
      <c r="D151">
        <v>63</v>
      </c>
      <c r="E151">
        <v>62.2</v>
      </c>
      <c r="F151" t="s">
        <v>1132</v>
      </c>
      <c r="G151">
        <f t="shared" si="2"/>
        <v>-2.8635062042634551E-3</v>
      </c>
    </row>
    <row r="152" spans="1:7">
      <c r="A152" s="79">
        <v>44993</v>
      </c>
      <c r="B152">
        <v>62.4</v>
      </c>
      <c r="C152">
        <v>62.48</v>
      </c>
      <c r="D152">
        <v>62.62</v>
      </c>
      <c r="E152">
        <v>62.06</v>
      </c>
      <c r="F152" t="s">
        <v>1133</v>
      </c>
      <c r="G152">
        <f t="shared" si="2"/>
        <v>-4.4671346522017208E-3</v>
      </c>
    </row>
    <row r="153" spans="1:7">
      <c r="A153" s="79">
        <v>45024</v>
      </c>
      <c r="B153">
        <v>62.02</v>
      </c>
      <c r="C153">
        <v>62.06</v>
      </c>
      <c r="D153">
        <v>62.34</v>
      </c>
      <c r="E153">
        <v>61.58</v>
      </c>
      <c r="F153" t="s">
        <v>1134</v>
      </c>
      <c r="G153">
        <f t="shared" si="2"/>
        <v>-6.0897435897435681E-3</v>
      </c>
    </row>
    <row r="154" spans="1:7">
      <c r="A154" s="79">
        <v>45115</v>
      </c>
      <c r="B154">
        <v>62.06</v>
      </c>
      <c r="C154">
        <v>62</v>
      </c>
      <c r="D154">
        <v>62.06</v>
      </c>
      <c r="E154">
        <v>61.6</v>
      </c>
      <c r="F154" t="s">
        <v>1135</v>
      </c>
      <c r="G154">
        <f t="shared" si="2"/>
        <v>6.4495324089008932E-4</v>
      </c>
    </row>
    <row r="155" spans="1:7">
      <c r="A155" s="79">
        <v>45146</v>
      </c>
      <c r="B155">
        <v>62.2</v>
      </c>
      <c r="C155">
        <v>62.18</v>
      </c>
      <c r="D155">
        <v>62.7</v>
      </c>
      <c r="E155">
        <v>61.96</v>
      </c>
      <c r="F155" t="s">
        <v>1136</v>
      </c>
      <c r="G155">
        <f t="shared" si="2"/>
        <v>2.2558814050919196E-3</v>
      </c>
    </row>
    <row r="156" spans="1:7">
      <c r="A156" s="79">
        <v>45177</v>
      </c>
      <c r="B156">
        <v>62.58</v>
      </c>
      <c r="C156">
        <v>62.26</v>
      </c>
      <c r="D156">
        <v>63.64</v>
      </c>
      <c r="E156">
        <v>62.14</v>
      </c>
      <c r="F156" t="s">
        <v>1137</v>
      </c>
      <c r="G156">
        <f t="shared" si="2"/>
        <v>6.1093247588424049E-3</v>
      </c>
    </row>
    <row r="157" spans="1:7">
      <c r="A157" s="79">
        <v>45207</v>
      </c>
      <c r="B157">
        <v>63.44</v>
      </c>
      <c r="C157">
        <v>63.42</v>
      </c>
      <c r="D157">
        <v>63.98</v>
      </c>
      <c r="E157">
        <v>62.76</v>
      </c>
      <c r="F157" t="s">
        <v>1138</v>
      </c>
      <c r="G157">
        <f t="shared" si="2"/>
        <v>1.3742409715564063E-2</v>
      </c>
    </row>
    <row r="158" spans="1:7">
      <c r="A158" s="79">
        <v>45238</v>
      </c>
      <c r="B158">
        <v>63.76</v>
      </c>
      <c r="C158">
        <v>63.48</v>
      </c>
      <c r="D158">
        <v>64.400000000000006</v>
      </c>
      <c r="E158">
        <v>62.52</v>
      </c>
      <c r="F158" t="s">
        <v>1007</v>
      </c>
      <c r="G158">
        <f t="shared" si="2"/>
        <v>5.0441361916770955E-3</v>
      </c>
    </row>
    <row r="159" spans="1:7">
      <c r="A159" t="s">
        <v>321</v>
      </c>
      <c r="B159">
        <v>64</v>
      </c>
      <c r="C159">
        <v>63.76</v>
      </c>
      <c r="D159">
        <v>65.319999999999993</v>
      </c>
      <c r="E159">
        <v>63.76</v>
      </c>
      <c r="F159" t="s">
        <v>1139</v>
      </c>
      <c r="G159">
        <f t="shared" si="2"/>
        <v>3.7641154328733606E-3</v>
      </c>
    </row>
    <row r="160" spans="1:7">
      <c r="A160" t="s">
        <v>323</v>
      </c>
      <c r="B160">
        <v>64.08</v>
      </c>
      <c r="C160">
        <v>63.84</v>
      </c>
      <c r="D160">
        <v>64.239999999999995</v>
      </c>
      <c r="E160">
        <v>63</v>
      </c>
      <c r="F160" t="s">
        <v>1140</v>
      </c>
      <c r="G160">
        <f t="shared" si="2"/>
        <v>1.2499999999999734E-3</v>
      </c>
    </row>
    <row r="161" spans="1:7">
      <c r="A161" t="s">
        <v>325</v>
      </c>
      <c r="B161">
        <v>64.7</v>
      </c>
      <c r="C161">
        <v>64.900000000000006</v>
      </c>
      <c r="D161">
        <v>64.959999999999994</v>
      </c>
      <c r="E161">
        <v>64.36</v>
      </c>
      <c r="F161" t="s">
        <v>1141</v>
      </c>
      <c r="G161">
        <f t="shared" si="2"/>
        <v>9.6754057428214413E-3</v>
      </c>
    </row>
    <row r="162" spans="1:7">
      <c r="A162" t="s">
        <v>327</v>
      </c>
      <c r="B162">
        <v>64.72</v>
      </c>
      <c r="C162">
        <v>64.900000000000006</v>
      </c>
      <c r="D162">
        <v>64.92</v>
      </c>
      <c r="E162">
        <v>64.48</v>
      </c>
      <c r="F162" t="s">
        <v>1142</v>
      </c>
      <c r="G162">
        <f t="shared" si="2"/>
        <v>3.0911901081909221E-4</v>
      </c>
    </row>
    <row r="163" spans="1:7">
      <c r="A163" t="s">
        <v>329</v>
      </c>
      <c r="B163">
        <v>64.02</v>
      </c>
      <c r="C163">
        <v>64.64</v>
      </c>
      <c r="D163">
        <v>64.64</v>
      </c>
      <c r="E163">
        <v>63.8</v>
      </c>
      <c r="F163" t="s">
        <v>1143</v>
      </c>
      <c r="G163">
        <f t="shared" si="2"/>
        <v>-1.081582200247222E-2</v>
      </c>
    </row>
    <row r="164" spans="1:7">
      <c r="A164" t="s">
        <v>331</v>
      </c>
      <c r="B164">
        <v>63.64</v>
      </c>
      <c r="C164">
        <v>64.040000000000006</v>
      </c>
      <c r="D164">
        <v>64.64</v>
      </c>
      <c r="E164">
        <v>63.64</v>
      </c>
      <c r="F164" t="s">
        <v>1144</v>
      </c>
      <c r="G164">
        <f t="shared" si="2"/>
        <v>-5.9356451109027208E-3</v>
      </c>
    </row>
    <row r="165" spans="1:7">
      <c r="A165" t="s">
        <v>333</v>
      </c>
      <c r="B165">
        <v>64.260000000000005</v>
      </c>
      <c r="C165">
        <v>63.74</v>
      </c>
      <c r="D165">
        <v>64.5</v>
      </c>
      <c r="E165">
        <v>63.7</v>
      </c>
      <c r="F165" t="s">
        <v>1145</v>
      </c>
      <c r="G165">
        <f t="shared" si="2"/>
        <v>9.7423004399750379E-3</v>
      </c>
    </row>
    <row r="166" spans="1:7">
      <c r="A166" t="s">
        <v>335</v>
      </c>
      <c r="B166">
        <v>64.36</v>
      </c>
      <c r="C166">
        <v>64.959999999999994</v>
      </c>
      <c r="D166">
        <v>64.959999999999994</v>
      </c>
      <c r="E166">
        <v>64.2</v>
      </c>
      <c r="F166" t="s">
        <v>1146</v>
      </c>
      <c r="G166">
        <f t="shared" si="2"/>
        <v>1.5561780267661085E-3</v>
      </c>
    </row>
    <row r="167" spans="1:7">
      <c r="A167" t="s">
        <v>337</v>
      </c>
      <c r="B167">
        <v>64.36</v>
      </c>
      <c r="C167">
        <v>64.459999999999994</v>
      </c>
      <c r="D167">
        <v>64.900000000000006</v>
      </c>
      <c r="E167">
        <v>64.040000000000006</v>
      </c>
      <c r="F167" t="s">
        <v>1147</v>
      </c>
      <c r="G167">
        <f t="shared" si="2"/>
        <v>0</v>
      </c>
    </row>
    <row r="168" spans="1:7">
      <c r="A168" t="s">
        <v>339</v>
      </c>
      <c r="B168">
        <v>64.34</v>
      </c>
      <c r="C168">
        <v>64.400000000000006</v>
      </c>
      <c r="D168">
        <v>64.599999999999994</v>
      </c>
      <c r="E168">
        <v>64.239999999999995</v>
      </c>
      <c r="F168" t="s">
        <v>1148</v>
      </c>
      <c r="G168">
        <f t="shared" si="2"/>
        <v>-3.1075201988806089E-4</v>
      </c>
    </row>
    <row r="169" spans="1:7">
      <c r="A169" t="s">
        <v>341</v>
      </c>
      <c r="B169">
        <v>64.400000000000006</v>
      </c>
      <c r="C169">
        <v>64.5</v>
      </c>
      <c r="D169">
        <v>64.62</v>
      </c>
      <c r="E169">
        <v>64.2</v>
      </c>
      <c r="F169" t="s">
        <v>1149</v>
      </c>
      <c r="G169">
        <f t="shared" si="2"/>
        <v>9.32545850170996E-4</v>
      </c>
    </row>
    <row r="170" spans="1:7">
      <c r="A170" t="s">
        <v>343</v>
      </c>
      <c r="B170">
        <v>64.540000000000006</v>
      </c>
      <c r="C170">
        <v>64.180000000000007</v>
      </c>
      <c r="D170">
        <v>64.72</v>
      </c>
      <c r="E170">
        <v>64.180000000000007</v>
      </c>
      <c r="F170" t="s">
        <v>1150</v>
      </c>
      <c r="G170">
        <f t="shared" si="2"/>
        <v>2.1739130434783593E-3</v>
      </c>
    </row>
    <row r="171" spans="1:7">
      <c r="A171" t="s">
        <v>345</v>
      </c>
      <c r="B171">
        <v>64.180000000000007</v>
      </c>
      <c r="C171">
        <v>64.260000000000005</v>
      </c>
      <c r="D171">
        <v>64.540000000000006</v>
      </c>
      <c r="E171">
        <v>64.06</v>
      </c>
      <c r="F171" t="s">
        <v>1151</v>
      </c>
      <c r="G171">
        <f t="shared" si="2"/>
        <v>-5.5779361636194569E-3</v>
      </c>
    </row>
    <row r="172" spans="1:7">
      <c r="A172" t="s">
        <v>347</v>
      </c>
      <c r="B172">
        <v>63.78</v>
      </c>
      <c r="C172">
        <v>64.48</v>
      </c>
      <c r="D172">
        <v>64.5</v>
      </c>
      <c r="E172">
        <v>63.7</v>
      </c>
      <c r="F172" t="s">
        <v>1152</v>
      </c>
      <c r="G172">
        <f t="shared" si="2"/>
        <v>-6.2324711748209527E-3</v>
      </c>
    </row>
    <row r="173" spans="1:7">
      <c r="A173" s="79">
        <v>44935</v>
      </c>
      <c r="B173">
        <v>64.22</v>
      </c>
      <c r="C173">
        <v>64</v>
      </c>
      <c r="D173">
        <v>64.900000000000006</v>
      </c>
      <c r="E173">
        <v>63.64</v>
      </c>
      <c r="F173" t="s">
        <v>1153</v>
      </c>
      <c r="G173">
        <f t="shared" si="2"/>
        <v>6.8987143305110354E-3</v>
      </c>
    </row>
    <row r="174" spans="1:7">
      <c r="A174" s="79">
        <v>45025</v>
      </c>
      <c r="B174">
        <v>64.040000000000006</v>
      </c>
      <c r="C174">
        <v>64.239999999999995</v>
      </c>
      <c r="D174">
        <v>64.400000000000006</v>
      </c>
      <c r="E174">
        <v>63.94</v>
      </c>
      <c r="F174" t="s">
        <v>1154</v>
      </c>
      <c r="G174">
        <f t="shared" si="2"/>
        <v>-2.8028651510432212E-3</v>
      </c>
    </row>
    <row r="175" spans="1:7">
      <c r="A175" s="79">
        <v>45055</v>
      </c>
      <c r="B175">
        <v>63.58</v>
      </c>
      <c r="C175">
        <v>64.12</v>
      </c>
      <c r="D175">
        <v>64.12</v>
      </c>
      <c r="E175">
        <v>63.34</v>
      </c>
      <c r="F175" t="s">
        <v>1155</v>
      </c>
      <c r="G175">
        <f t="shared" si="2"/>
        <v>-7.1830106183636833E-3</v>
      </c>
    </row>
    <row r="176" spans="1:7">
      <c r="A176" s="79">
        <v>45086</v>
      </c>
      <c r="B176">
        <v>63.94</v>
      </c>
      <c r="C176">
        <v>63.06</v>
      </c>
      <c r="D176">
        <v>63.96</v>
      </c>
      <c r="E176">
        <v>63</v>
      </c>
      <c r="F176" t="s">
        <v>1156</v>
      </c>
      <c r="G176">
        <f t="shared" si="2"/>
        <v>5.6621579112927645E-3</v>
      </c>
    </row>
    <row r="177" spans="1:7">
      <c r="A177" s="79">
        <v>45116</v>
      </c>
      <c r="B177">
        <v>64.040000000000006</v>
      </c>
      <c r="C177">
        <v>63.5</v>
      </c>
      <c r="D177">
        <v>64.3</v>
      </c>
      <c r="E177">
        <v>63.5</v>
      </c>
      <c r="F177" t="s">
        <v>1157</v>
      </c>
      <c r="G177">
        <f t="shared" si="2"/>
        <v>1.5639662183297709E-3</v>
      </c>
    </row>
    <row r="178" spans="1:7">
      <c r="A178" s="79">
        <v>45147</v>
      </c>
      <c r="B178">
        <v>64</v>
      </c>
      <c r="C178">
        <v>64.08</v>
      </c>
      <c r="D178">
        <v>64.260000000000005</v>
      </c>
      <c r="E178">
        <v>63.38</v>
      </c>
      <c r="F178" t="s">
        <v>1158</v>
      </c>
      <c r="G178">
        <f t="shared" si="2"/>
        <v>-6.2460961898824774E-4</v>
      </c>
    </row>
    <row r="179" spans="1:7">
      <c r="A179" s="79">
        <v>45239</v>
      </c>
      <c r="B179">
        <v>64.14</v>
      </c>
      <c r="C179">
        <v>64.239999999999995</v>
      </c>
      <c r="D179">
        <v>64.44</v>
      </c>
      <c r="E179">
        <v>63.78</v>
      </c>
      <c r="F179" t="s">
        <v>1159</v>
      </c>
      <c r="G179">
        <f t="shared" si="2"/>
        <v>2.1875000000000089E-3</v>
      </c>
    </row>
    <row r="180" spans="1:7">
      <c r="A180" s="79">
        <v>45269</v>
      </c>
      <c r="B180">
        <v>63.02</v>
      </c>
      <c r="C180">
        <v>63.9</v>
      </c>
      <c r="D180">
        <v>63.98</v>
      </c>
      <c r="E180">
        <v>62.88</v>
      </c>
      <c r="F180" t="s">
        <v>1160</v>
      </c>
      <c r="G180">
        <f t="shared" si="2"/>
        <v>-1.7461802307452423E-2</v>
      </c>
    </row>
    <row r="181" spans="1:7">
      <c r="A181" t="s">
        <v>356</v>
      </c>
      <c r="B181">
        <v>62.36</v>
      </c>
      <c r="C181">
        <v>62.26</v>
      </c>
      <c r="D181">
        <v>63.1</v>
      </c>
      <c r="E181">
        <v>62.26</v>
      </c>
      <c r="F181" t="s">
        <v>1161</v>
      </c>
      <c r="G181">
        <f t="shared" si="2"/>
        <v>-1.047286575690265E-2</v>
      </c>
    </row>
    <row r="182" spans="1:7">
      <c r="A182" t="s">
        <v>358</v>
      </c>
      <c r="B182">
        <v>61.18</v>
      </c>
      <c r="C182">
        <v>62.38</v>
      </c>
      <c r="D182">
        <v>62.38</v>
      </c>
      <c r="E182">
        <v>60.62</v>
      </c>
      <c r="F182" t="s">
        <v>1162</v>
      </c>
      <c r="G182">
        <f t="shared" si="2"/>
        <v>-1.8922386144964665E-2</v>
      </c>
    </row>
    <row r="183" spans="1:7">
      <c r="A183" t="s">
        <v>360</v>
      </c>
      <c r="B183">
        <v>61.3</v>
      </c>
      <c r="C183">
        <v>61.34</v>
      </c>
      <c r="D183">
        <v>61.68</v>
      </c>
      <c r="E183">
        <v>61.02</v>
      </c>
      <c r="F183" t="s">
        <v>1163</v>
      </c>
      <c r="G183">
        <f t="shared" si="2"/>
        <v>1.9614253023862993E-3</v>
      </c>
    </row>
    <row r="184" spans="1:7">
      <c r="A184" t="s">
        <v>362</v>
      </c>
      <c r="B184">
        <v>60.94</v>
      </c>
      <c r="C184">
        <v>61.4</v>
      </c>
      <c r="D184">
        <v>61.4</v>
      </c>
      <c r="E184">
        <v>60.7</v>
      </c>
      <c r="F184" t="s">
        <v>1164</v>
      </c>
      <c r="G184">
        <f t="shared" si="2"/>
        <v>-5.8727569331158413E-3</v>
      </c>
    </row>
    <row r="185" spans="1:7">
      <c r="A185" t="s">
        <v>364</v>
      </c>
      <c r="B185">
        <v>61.12</v>
      </c>
      <c r="C185">
        <v>60.8</v>
      </c>
      <c r="D185">
        <v>61.2</v>
      </c>
      <c r="E185">
        <v>60.58</v>
      </c>
      <c r="F185" t="s">
        <v>1165</v>
      </c>
      <c r="G185">
        <f t="shared" si="2"/>
        <v>2.9537249753857076E-3</v>
      </c>
    </row>
    <row r="186" spans="1:7">
      <c r="A186" t="s">
        <v>366</v>
      </c>
      <c r="B186">
        <v>60.94</v>
      </c>
      <c r="C186">
        <v>61.28</v>
      </c>
      <c r="D186">
        <v>61.28</v>
      </c>
      <c r="E186">
        <v>60.6</v>
      </c>
      <c r="F186" t="s">
        <v>1166</v>
      </c>
      <c r="G186">
        <f t="shared" si="2"/>
        <v>-2.9450261780105125E-3</v>
      </c>
    </row>
    <row r="187" spans="1:7">
      <c r="A187" t="s">
        <v>368</v>
      </c>
      <c r="B187">
        <v>61</v>
      </c>
      <c r="C187">
        <v>60.7</v>
      </c>
      <c r="D187">
        <v>61.2</v>
      </c>
      <c r="E187">
        <v>60.66</v>
      </c>
      <c r="F187" t="s">
        <v>1167</v>
      </c>
      <c r="G187">
        <f t="shared" si="2"/>
        <v>9.8457499179516184E-4</v>
      </c>
    </row>
    <row r="188" spans="1:7">
      <c r="A188" t="s">
        <v>370</v>
      </c>
      <c r="B188">
        <v>60.84</v>
      </c>
      <c r="C188">
        <v>60.7</v>
      </c>
      <c r="D188">
        <v>60.9</v>
      </c>
      <c r="E188">
        <v>60.36</v>
      </c>
      <c r="F188" t="s">
        <v>1168</v>
      </c>
      <c r="G188">
        <f t="shared" si="2"/>
        <v>-2.6229508196721207E-3</v>
      </c>
    </row>
    <row r="189" spans="1:7">
      <c r="A189" t="s">
        <v>372</v>
      </c>
      <c r="B189">
        <v>60.26</v>
      </c>
      <c r="C189">
        <v>60.5</v>
      </c>
      <c r="D189">
        <v>61.06</v>
      </c>
      <c r="E189">
        <v>60</v>
      </c>
      <c r="F189" t="s">
        <v>1169</v>
      </c>
      <c r="G189">
        <f t="shared" si="2"/>
        <v>-9.5332018408942343E-3</v>
      </c>
    </row>
    <row r="190" spans="1:7">
      <c r="A190" t="s">
        <v>374</v>
      </c>
      <c r="B190">
        <v>59.82</v>
      </c>
      <c r="C190">
        <v>60.06</v>
      </c>
      <c r="D190">
        <v>60.2</v>
      </c>
      <c r="E190">
        <v>59.62</v>
      </c>
      <c r="F190" t="s">
        <v>1170</v>
      </c>
      <c r="G190">
        <f t="shared" si="2"/>
        <v>-7.3016926651178204E-3</v>
      </c>
    </row>
    <row r="191" spans="1:7">
      <c r="A191" t="s">
        <v>376</v>
      </c>
      <c r="B191">
        <v>59.28</v>
      </c>
      <c r="C191">
        <v>59.6</v>
      </c>
      <c r="D191">
        <v>59.88</v>
      </c>
      <c r="E191">
        <v>59.1</v>
      </c>
      <c r="F191" t="s">
        <v>1171</v>
      </c>
      <c r="G191">
        <f t="shared" si="2"/>
        <v>-9.0270812437311942E-3</v>
      </c>
    </row>
    <row r="192" spans="1:7">
      <c r="A192" t="s">
        <v>378</v>
      </c>
      <c r="B192">
        <v>59.64</v>
      </c>
      <c r="C192">
        <v>59.38</v>
      </c>
      <c r="D192">
        <v>59.68</v>
      </c>
      <c r="E192">
        <v>58.94</v>
      </c>
      <c r="F192" t="s">
        <v>1172</v>
      </c>
      <c r="G192">
        <f t="shared" si="2"/>
        <v>6.0728744939271273E-3</v>
      </c>
    </row>
    <row r="193" spans="1:7">
      <c r="A193" t="s">
        <v>380</v>
      </c>
      <c r="B193">
        <v>59.72</v>
      </c>
      <c r="C193">
        <v>60.08</v>
      </c>
      <c r="D193">
        <v>60.36</v>
      </c>
      <c r="E193">
        <v>59.72</v>
      </c>
      <c r="F193" t="s">
        <v>1173</v>
      </c>
      <c r="G193">
        <f t="shared" si="2"/>
        <v>1.3413816230716247E-3</v>
      </c>
    </row>
    <row r="194" spans="1:7">
      <c r="A194" s="79">
        <v>44967</v>
      </c>
      <c r="B194">
        <v>60</v>
      </c>
      <c r="C194">
        <v>59.86</v>
      </c>
      <c r="D194">
        <v>60.18</v>
      </c>
      <c r="E194">
        <v>59.68</v>
      </c>
      <c r="F194" t="s">
        <v>1174</v>
      </c>
      <c r="G194">
        <f t="shared" si="2"/>
        <v>4.6885465505692725E-3</v>
      </c>
    </row>
    <row r="195" spans="1:7">
      <c r="A195" s="79">
        <v>44995</v>
      </c>
      <c r="B195">
        <v>60.54</v>
      </c>
      <c r="C195">
        <v>59.62</v>
      </c>
      <c r="D195">
        <v>60.6</v>
      </c>
      <c r="E195">
        <v>59.62</v>
      </c>
      <c r="F195" t="s">
        <v>1175</v>
      </c>
      <c r="G195">
        <f t="shared" si="2"/>
        <v>8.999999999999897E-3</v>
      </c>
    </row>
    <row r="196" spans="1:7">
      <c r="A196" s="79">
        <v>45026</v>
      </c>
      <c r="B196">
        <v>59.48</v>
      </c>
      <c r="C196">
        <v>60.22</v>
      </c>
      <c r="D196">
        <v>60.66</v>
      </c>
      <c r="E196">
        <v>58.78</v>
      </c>
      <c r="F196" t="s">
        <v>1176</v>
      </c>
      <c r="G196">
        <f t="shared" ref="G196:G259" si="3">B196/B195-1</f>
        <v>-1.750908490254377E-2</v>
      </c>
    </row>
    <row r="197" spans="1:7">
      <c r="A197" s="79">
        <v>45056</v>
      </c>
      <c r="B197">
        <v>60.12</v>
      </c>
      <c r="C197">
        <v>59.38</v>
      </c>
      <c r="D197">
        <v>60.44</v>
      </c>
      <c r="E197">
        <v>59.38</v>
      </c>
      <c r="F197" t="s">
        <v>1177</v>
      </c>
      <c r="G197">
        <f t="shared" si="3"/>
        <v>1.0759919300605159E-2</v>
      </c>
    </row>
    <row r="198" spans="1:7">
      <c r="A198" s="79">
        <v>45087</v>
      </c>
      <c r="B198">
        <v>60.36</v>
      </c>
      <c r="C198">
        <v>60.22</v>
      </c>
      <c r="D198">
        <v>60.58</v>
      </c>
      <c r="E198">
        <v>59.72</v>
      </c>
      <c r="F198" t="s">
        <v>1178</v>
      </c>
      <c r="G198">
        <f t="shared" si="3"/>
        <v>3.9920159680639777E-3</v>
      </c>
    </row>
    <row r="199" spans="1:7">
      <c r="A199" s="79">
        <v>45179</v>
      </c>
      <c r="B199">
        <v>60.34</v>
      </c>
      <c r="C199">
        <v>60.1</v>
      </c>
      <c r="D199">
        <v>60.82</v>
      </c>
      <c r="E199">
        <v>60.1</v>
      </c>
      <c r="F199" t="s">
        <v>1179</v>
      </c>
      <c r="G199">
        <f t="shared" si="3"/>
        <v>-3.3134526176270551E-4</v>
      </c>
    </row>
    <row r="200" spans="1:7">
      <c r="A200" s="79">
        <v>45209</v>
      </c>
      <c r="B200">
        <v>60.08</v>
      </c>
      <c r="C200">
        <v>60.46</v>
      </c>
      <c r="D200">
        <v>60.62</v>
      </c>
      <c r="E200">
        <v>59.82</v>
      </c>
      <c r="F200" t="s">
        <v>1180</v>
      </c>
      <c r="G200">
        <f t="shared" si="3"/>
        <v>-4.3089161418629063E-3</v>
      </c>
    </row>
    <row r="201" spans="1:7">
      <c r="A201" s="79">
        <v>45240</v>
      </c>
      <c r="B201">
        <v>60.24</v>
      </c>
      <c r="C201">
        <v>59.86</v>
      </c>
      <c r="D201">
        <v>60.38</v>
      </c>
      <c r="E201">
        <v>59.72</v>
      </c>
      <c r="F201" t="s">
        <v>1181</v>
      </c>
      <c r="G201">
        <f t="shared" si="3"/>
        <v>2.6631158455392434E-3</v>
      </c>
    </row>
    <row r="202" spans="1:7">
      <c r="A202" s="79">
        <v>45270</v>
      </c>
      <c r="B202">
        <v>59.54</v>
      </c>
      <c r="C202">
        <v>60.2</v>
      </c>
      <c r="D202">
        <v>60.44</v>
      </c>
      <c r="E202">
        <v>59.44</v>
      </c>
      <c r="F202" t="s">
        <v>1182</v>
      </c>
      <c r="G202">
        <f t="shared" si="3"/>
        <v>-1.1620185922974868E-2</v>
      </c>
    </row>
    <row r="203" spans="1:7">
      <c r="A203" t="s">
        <v>391</v>
      </c>
      <c r="B203">
        <v>59.12</v>
      </c>
      <c r="C203">
        <v>59.38</v>
      </c>
      <c r="D203">
        <v>59.44</v>
      </c>
      <c r="E203">
        <v>58.92</v>
      </c>
      <c r="F203" t="s">
        <v>1183</v>
      </c>
      <c r="G203">
        <f t="shared" si="3"/>
        <v>-7.0540812898891581E-3</v>
      </c>
    </row>
    <row r="204" spans="1:7">
      <c r="A204" t="s">
        <v>393</v>
      </c>
      <c r="B204">
        <v>59.18</v>
      </c>
      <c r="C204">
        <v>59.12</v>
      </c>
      <c r="D204">
        <v>59.28</v>
      </c>
      <c r="E204">
        <v>58.86</v>
      </c>
      <c r="F204" t="s">
        <v>1184</v>
      </c>
      <c r="G204">
        <f t="shared" si="3"/>
        <v>1.0148849797022574E-3</v>
      </c>
    </row>
    <row r="205" spans="1:7">
      <c r="A205" t="s">
        <v>395</v>
      </c>
      <c r="B205">
        <v>58.84</v>
      </c>
      <c r="C205">
        <v>58.7</v>
      </c>
      <c r="D205">
        <v>59.46</v>
      </c>
      <c r="E205">
        <v>58.68</v>
      </c>
      <c r="F205" t="s">
        <v>1185</v>
      </c>
      <c r="G205">
        <f t="shared" si="3"/>
        <v>-5.7451841838458417E-3</v>
      </c>
    </row>
    <row r="206" spans="1:7">
      <c r="A206" t="s">
        <v>397</v>
      </c>
      <c r="B206">
        <v>59.02</v>
      </c>
      <c r="C206">
        <v>58.64</v>
      </c>
      <c r="D206">
        <v>59.2</v>
      </c>
      <c r="E206">
        <v>58.64</v>
      </c>
      <c r="F206" t="s">
        <v>1186</v>
      </c>
      <c r="G206">
        <f t="shared" si="3"/>
        <v>3.05914343983682E-3</v>
      </c>
    </row>
    <row r="207" spans="1:7">
      <c r="A207" t="s">
        <v>399</v>
      </c>
      <c r="B207">
        <v>58.92</v>
      </c>
      <c r="C207">
        <v>58.6</v>
      </c>
      <c r="D207">
        <v>59.14</v>
      </c>
      <c r="E207">
        <v>58.6</v>
      </c>
      <c r="F207" t="s">
        <v>1187</v>
      </c>
      <c r="G207">
        <f t="shared" si="3"/>
        <v>-1.6943409013894239E-3</v>
      </c>
    </row>
    <row r="208" spans="1:7">
      <c r="A208" t="s">
        <v>401</v>
      </c>
      <c r="B208">
        <v>58.62</v>
      </c>
      <c r="C208">
        <v>58.6</v>
      </c>
      <c r="D208">
        <v>58.9</v>
      </c>
      <c r="E208">
        <v>58.42</v>
      </c>
      <c r="F208" t="s">
        <v>1188</v>
      </c>
      <c r="G208">
        <f t="shared" si="3"/>
        <v>-5.0916496945010437E-3</v>
      </c>
    </row>
    <row r="209" spans="1:7">
      <c r="A209" t="s">
        <v>403</v>
      </c>
      <c r="B209">
        <v>58.82</v>
      </c>
      <c r="C209">
        <v>59</v>
      </c>
      <c r="D209">
        <v>59</v>
      </c>
      <c r="E209">
        <v>58.62</v>
      </c>
      <c r="F209" t="s">
        <v>1189</v>
      </c>
      <c r="G209">
        <f t="shared" si="3"/>
        <v>3.411804844762889E-3</v>
      </c>
    </row>
    <row r="210" spans="1:7">
      <c r="A210" t="s">
        <v>405</v>
      </c>
      <c r="B210">
        <v>58.94</v>
      </c>
      <c r="C210">
        <v>58.48</v>
      </c>
      <c r="D210">
        <v>59.14</v>
      </c>
      <c r="E210">
        <v>58.48</v>
      </c>
      <c r="F210" t="s">
        <v>1190</v>
      </c>
      <c r="G210">
        <f t="shared" si="3"/>
        <v>2.0401224073443025E-3</v>
      </c>
    </row>
    <row r="211" spans="1:7">
      <c r="A211" t="s">
        <v>407</v>
      </c>
      <c r="B211">
        <v>59.5</v>
      </c>
      <c r="C211">
        <v>58.96</v>
      </c>
      <c r="D211">
        <v>59.56</v>
      </c>
      <c r="E211">
        <v>58.58</v>
      </c>
      <c r="F211" t="s">
        <v>1191</v>
      </c>
      <c r="G211">
        <f t="shared" si="3"/>
        <v>9.5011876484560887E-3</v>
      </c>
    </row>
    <row r="212" spans="1:7">
      <c r="A212" t="s">
        <v>409</v>
      </c>
      <c r="B212">
        <v>59.54</v>
      </c>
      <c r="C212">
        <v>59.5</v>
      </c>
      <c r="D212">
        <v>59.84</v>
      </c>
      <c r="E212">
        <v>59.26</v>
      </c>
      <c r="F212" t="s">
        <v>1192</v>
      </c>
      <c r="G212">
        <f t="shared" si="3"/>
        <v>6.7226890756311164E-4</v>
      </c>
    </row>
    <row r="213" spans="1:7">
      <c r="A213" t="s">
        <v>411</v>
      </c>
      <c r="B213">
        <v>58.98</v>
      </c>
      <c r="C213">
        <v>59.4</v>
      </c>
      <c r="D213">
        <v>59.74</v>
      </c>
      <c r="E213">
        <v>58.98</v>
      </c>
      <c r="F213" t="s">
        <v>1193</v>
      </c>
      <c r="G213">
        <f t="shared" si="3"/>
        <v>-9.4054417198522478E-3</v>
      </c>
    </row>
    <row r="214" spans="1:7">
      <c r="A214" t="s">
        <v>413</v>
      </c>
      <c r="B214">
        <v>59.34</v>
      </c>
      <c r="C214">
        <v>58.56</v>
      </c>
      <c r="D214">
        <v>59.92</v>
      </c>
      <c r="E214">
        <v>58.36</v>
      </c>
      <c r="F214" t="s">
        <v>1194</v>
      </c>
      <c r="G214">
        <f t="shared" si="3"/>
        <v>6.1037639877925542E-3</v>
      </c>
    </row>
    <row r="215" spans="1:7">
      <c r="A215" t="s">
        <v>415</v>
      </c>
      <c r="B215">
        <v>59.66</v>
      </c>
      <c r="C215">
        <v>59.68</v>
      </c>
      <c r="D215">
        <v>59.74</v>
      </c>
      <c r="E215">
        <v>59.46</v>
      </c>
      <c r="F215" t="s">
        <v>1195</v>
      </c>
      <c r="G215">
        <f t="shared" si="3"/>
        <v>5.3926525109537771E-3</v>
      </c>
    </row>
    <row r="216" spans="1:7">
      <c r="A216" s="79">
        <v>44937</v>
      </c>
      <c r="B216">
        <v>60.1</v>
      </c>
      <c r="C216">
        <v>59.82</v>
      </c>
      <c r="D216">
        <v>60.22</v>
      </c>
      <c r="E216">
        <v>59.72</v>
      </c>
      <c r="F216" t="s">
        <v>1196</v>
      </c>
      <c r="G216">
        <f t="shared" si="3"/>
        <v>7.3751257123702008E-3</v>
      </c>
    </row>
    <row r="217" spans="1:7">
      <c r="A217" s="79">
        <v>44968</v>
      </c>
      <c r="B217">
        <v>60.04</v>
      </c>
      <c r="C217">
        <v>59.7</v>
      </c>
      <c r="D217">
        <v>60.26</v>
      </c>
      <c r="E217">
        <v>59.7</v>
      </c>
      <c r="F217" t="s">
        <v>1197</v>
      </c>
      <c r="G217">
        <f t="shared" si="3"/>
        <v>-9.9833610648925042E-4</v>
      </c>
    </row>
    <row r="218" spans="1:7">
      <c r="A218" s="79">
        <v>44996</v>
      </c>
      <c r="B218">
        <v>59.5</v>
      </c>
      <c r="C218">
        <v>60.36</v>
      </c>
      <c r="D218">
        <v>60.4</v>
      </c>
      <c r="E218">
        <v>59.38</v>
      </c>
      <c r="F218" t="s">
        <v>1198</v>
      </c>
      <c r="G218">
        <f t="shared" si="3"/>
        <v>-8.9940039973350761E-3</v>
      </c>
    </row>
    <row r="219" spans="1:7">
      <c r="A219" s="79">
        <v>45088</v>
      </c>
      <c r="B219">
        <v>59.58</v>
      </c>
      <c r="C219">
        <v>59.6</v>
      </c>
      <c r="D219">
        <v>59.66</v>
      </c>
      <c r="E219">
        <v>59</v>
      </c>
      <c r="F219" t="s">
        <v>1199</v>
      </c>
      <c r="G219">
        <f t="shared" si="3"/>
        <v>1.3445378151260012E-3</v>
      </c>
    </row>
    <row r="220" spans="1:7">
      <c r="A220" s="79">
        <v>45118</v>
      </c>
      <c r="B220">
        <v>59.52</v>
      </c>
      <c r="C220">
        <v>59.58</v>
      </c>
      <c r="D220">
        <v>59.86</v>
      </c>
      <c r="E220">
        <v>59.44</v>
      </c>
      <c r="F220" t="s">
        <v>1200</v>
      </c>
      <c r="G220">
        <f t="shared" si="3"/>
        <v>-1.0070493454178431E-3</v>
      </c>
    </row>
    <row r="221" spans="1:7">
      <c r="A221" s="79">
        <v>45149</v>
      </c>
      <c r="B221">
        <v>58.8</v>
      </c>
      <c r="C221">
        <v>59.28</v>
      </c>
      <c r="D221">
        <v>59.42</v>
      </c>
      <c r="E221">
        <v>58.5</v>
      </c>
      <c r="F221" t="s">
        <v>1201</v>
      </c>
      <c r="G221">
        <f t="shared" si="3"/>
        <v>-1.2096774193548487E-2</v>
      </c>
    </row>
    <row r="222" spans="1:7">
      <c r="A222" s="79">
        <v>45180</v>
      </c>
      <c r="B222">
        <v>61.44</v>
      </c>
      <c r="C222">
        <v>59.22</v>
      </c>
      <c r="D222">
        <v>61.58</v>
      </c>
      <c r="E222">
        <v>59.22</v>
      </c>
      <c r="F222" t="s">
        <v>1202</v>
      </c>
      <c r="G222">
        <f t="shared" si="3"/>
        <v>4.4897959183673564E-2</v>
      </c>
    </row>
    <row r="223" spans="1:7">
      <c r="A223" s="79">
        <v>45210</v>
      </c>
      <c r="B223">
        <v>61.92</v>
      </c>
      <c r="C223">
        <v>61.24</v>
      </c>
      <c r="D223">
        <v>62.48</v>
      </c>
      <c r="E223">
        <v>61.24</v>
      </c>
      <c r="F223" t="s">
        <v>1203</v>
      </c>
      <c r="G223">
        <f t="shared" si="3"/>
        <v>7.8125E-3</v>
      </c>
    </row>
    <row r="224" spans="1:7">
      <c r="A224" t="s">
        <v>425</v>
      </c>
      <c r="B224">
        <v>62.64</v>
      </c>
      <c r="C224">
        <v>62.5</v>
      </c>
      <c r="D224">
        <v>63.08</v>
      </c>
      <c r="E224">
        <v>61.78</v>
      </c>
      <c r="F224" t="s">
        <v>1204</v>
      </c>
      <c r="G224">
        <f t="shared" si="3"/>
        <v>1.1627906976744207E-2</v>
      </c>
    </row>
    <row r="225" spans="1:7">
      <c r="A225" t="s">
        <v>427</v>
      </c>
      <c r="B225">
        <v>63.1</v>
      </c>
      <c r="C225">
        <v>62.84</v>
      </c>
      <c r="D225">
        <v>63.3</v>
      </c>
      <c r="E225">
        <v>62.54</v>
      </c>
      <c r="F225" t="s">
        <v>1205</v>
      </c>
      <c r="G225">
        <f t="shared" si="3"/>
        <v>7.3435504469987478E-3</v>
      </c>
    </row>
    <row r="226" spans="1:7">
      <c r="A226" t="s">
        <v>429</v>
      </c>
      <c r="B226">
        <v>62.9</v>
      </c>
      <c r="C226">
        <v>63.34</v>
      </c>
      <c r="D226">
        <v>63.34</v>
      </c>
      <c r="E226">
        <v>62.78</v>
      </c>
      <c r="F226" t="s">
        <v>1206</v>
      </c>
      <c r="G226">
        <f t="shared" si="3"/>
        <v>-3.1695721077654726E-3</v>
      </c>
    </row>
    <row r="227" spans="1:7">
      <c r="A227" t="s">
        <v>431</v>
      </c>
      <c r="B227">
        <v>62.86</v>
      </c>
      <c r="C227">
        <v>62.96</v>
      </c>
      <c r="D227">
        <v>63.24</v>
      </c>
      <c r="E227">
        <v>62.6</v>
      </c>
      <c r="F227" t="s">
        <v>1207</v>
      </c>
      <c r="G227">
        <f t="shared" si="3"/>
        <v>-6.3593004769468831E-4</v>
      </c>
    </row>
    <row r="228" spans="1:7">
      <c r="A228" t="s">
        <v>433</v>
      </c>
      <c r="B228">
        <v>62.88</v>
      </c>
      <c r="C228">
        <v>63.14</v>
      </c>
      <c r="D228">
        <v>63.5</v>
      </c>
      <c r="E228">
        <v>62.88</v>
      </c>
      <c r="F228" t="s">
        <v>1208</v>
      </c>
      <c r="G228">
        <f t="shared" si="3"/>
        <v>3.1816735602929747E-4</v>
      </c>
    </row>
    <row r="229" spans="1:7">
      <c r="A229" t="s">
        <v>435</v>
      </c>
      <c r="B229">
        <v>61.16</v>
      </c>
      <c r="C229">
        <v>63.04</v>
      </c>
      <c r="D229">
        <v>63.04</v>
      </c>
      <c r="E229">
        <v>61.04</v>
      </c>
      <c r="F229" t="s">
        <v>1209</v>
      </c>
      <c r="G229">
        <f t="shared" si="3"/>
        <v>-2.7353689567430117E-2</v>
      </c>
    </row>
    <row r="230" spans="1:7">
      <c r="A230" t="s">
        <v>437</v>
      </c>
      <c r="B230">
        <v>61.7</v>
      </c>
      <c r="C230">
        <v>61.32</v>
      </c>
      <c r="D230">
        <v>62</v>
      </c>
      <c r="E230">
        <v>61.02</v>
      </c>
      <c r="F230" t="s">
        <v>1210</v>
      </c>
      <c r="G230">
        <f t="shared" si="3"/>
        <v>8.8293001962067574E-3</v>
      </c>
    </row>
    <row r="231" spans="1:7">
      <c r="A231" t="s">
        <v>439</v>
      </c>
      <c r="B231">
        <v>62.24</v>
      </c>
      <c r="C231">
        <v>62</v>
      </c>
      <c r="D231">
        <v>62.24</v>
      </c>
      <c r="E231">
        <v>61.8</v>
      </c>
      <c r="F231" t="s">
        <v>1211</v>
      </c>
      <c r="G231">
        <f t="shared" si="3"/>
        <v>8.7520259319286975E-3</v>
      </c>
    </row>
    <row r="232" spans="1:7">
      <c r="A232" t="s">
        <v>1212</v>
      </c>
      <c r="B232">
        <v>62.16</v>
      </c>
      <c r="C232">
        <v>62.4</v>
      </c>
      <c r="D232">
        <v>62.74</v>
      </c>
      <c r="E232">
        <v>62.16</v>
      </c>
      <c r="F232" t="s">
        <v>1213</v>
      </c>
      <c r="G232">
        <f t="shared" si="3"/>
        <v>-1.2853470437018677E-3</v>
      </c>
    </row>
    <row r="233" spans="1:7">
      <c r="A233" t="s">
        <v>441</v>
      </c>
      <c r="B233">
        <v>62.78</v>
      </c>
      <c r="C233">
        <v>62.32</v>
      </c>
      <c r="D233">
        <v>62.84</v>
      </c>
      <c r="E233">
        <v>62.18</v>
      </c>
      <c r="F233" t="s">
        <v>1214</v>
      </c>
      <c r="G233">
        <f t="shared" si="3"/>
        <v>9.9742599742600468E-3</v>
      </c>
    </row>
    <row r="234" spans="1:7">
      <c r="A234" t="s">
        <v>443</v>
      </c>
      <c r="B234">
        <v>62.88</v>
      </c>
      <c r="C234">
        <v>63.38</v>
      </c>
      <c r="D234">
        <v>63.44</v>
      </c>
      <c r="E234">
        <v>62.82</v>
      </c>
      <c r="F234" t="s">
        <v>1215</v>
      </c>
      <c r="G234">
        <f t="shared" si="3"/>
        <v>1.5928639694169355E-3</v>
      </c>
    </row>
    <row r="235" spans="1:7">
      <c r="A235" t="s">
        <v>444</v>
      </c>
      <c r="B235">
        <v>62.78</v>
      </c>
      <c r="C235">
        <v>62.44</v>
      </c>
      <c r="D235">
        <v>62.96</v>
      </c>
      <c r="E235">
        <v>62.16</v>
      </c>
      <c r="F235" t="s">
        <v>1216</v>
      </c>
      <c r="G235">
        <f t="shared" si="3"/>
        <v>-1.5903307888041063E-3</v>
      </c>
    </row>
    <row r="236" spans="1:7">
      <c r="A236" t="s">
        <v>446</v>
      </c>
      <c r="B236">
        <v>62.7</v>
      </c>
      <c r="C236">
        <v>62.66</v>
      </c>
      <c r="D236">
        <v>63.02</v>
      </c>
      <c r="E236">
        <v>62.54</v>
      </c>
      <c r="F236" t="s">
        <v>1217</v>
      </c>
      <c r="G236">
        <f t="shared" si="3"/>
        <v>-1.2742911755335706E-3</v>
      </c>
    </row>
    <row r="237" spans="1:7">
      <c r="A237" t="s">
        <v>448</v>
      </c>
      <c r="B237">
        <v>64.08</v>
      </c>
      <c r="C237">
        <v>63</v>
      </c>
      <c r="D237">
        <v>64.08</v>
      </c>
      <c r="E237">
        <v>62.7</v>
      </c>
      <c r="F237" t="s">
        <v>1218</v>
      </c>
      <c r="G237">
        <f t="shared" si="3"/>
        <v>2.2009569377990257E-2</v>
      </c>
    </row>
    <row r="238" spans="1:7">
      <c r="A238" s="79">
        <v>44938</v>
      </c>
      <c r="B238">
        <v>64.06</v>
      </c>
      <c r="C238">
        <v>64.16</v>
      </c>
      <c r="D238">
        <v>64.58</v>
      </c>
      <c r="E238">
        <v>63.82</v>
      </c>
      <c r="F238" t="s">
        <v>1219</v>
      </c>
      <c r="G238">
        <f t="shared" si="3"/>
        <v>-3.1210986267160568E-4</v>
      </c>
    </row>
    <row r="239" spans="1:7">
      <c r="A239" s="79">
        <v>45028</v>
      </c>
      <c r="B239">
        <v>64.040000000000006</v>
      </c>
      <c r="C239">
        <v>64.099999999999994</v>
      </c>
      <c r="D239">
        <v>64.8</v>
      </c>
      <c r="E239">
        <v>63.68</v>
      </c>
      <c r="F239" t="s">
        <v>1220</v>
      </c>
      <c r="G239">
        <f t="shared" si="3"/>
        <v>-3.1220730565084676E-4</v>
      </c>
    </row>
    <row r="240" spans="1:7">
      <c r="A240" s="79">
        <v>45058</v>
      </c>
      <c r="B240">
        <v>64.16</v>
      </c>
      <c r="C240">
        <v>64.040000000000006</v>
      </c>
      <c r="D240">
        <v>64.42</v>
      </c>
      <c r="E240">
        <v>63.8</v>
      </c>
      <c r="F240" t="s">
        <v>1221</v>
      </c>
      <c r="G240">
        <f t="shared" si="3"/>
        <v>1.8738288569641881E-3</v>
      </c>
    </row>
    <row r="241" spans="1:7">
      <c r="A241" s="79">
        <v>45089</v>
      </c>
      <c r="B241">
        <v>64.099999999999994</v>
      </c>
      <c r="C241">
        <v>64.08</v>
      </c>
      <c r="D241">
        <v>64.180000000000007</v>
      </c>
      <c r="E241">
        <v>63.74</v>
      </c>
      <c r="F241" t="s">
        <v>1222</v>
      </c>
      <c r="G241">
        <f t="shared" si="3"/>
        <v>-9.3516209476307566E-4</v>
      </c>
    </row>
    <row r="242" spans="1:7">
      <c r="A242" s="79">
        <v>45119</v>
      </c>
      <c r="B242">
        <v>64.2</v>
      </c>
      <c r="C242">
        <v>64</v>
      </c>
      <c r="D242">
        <v>64.56</v>
      </c>
      <c r="E242">
        <v>63.78</v>
      </c>
      <c r="F242" t="s">
        <v>1223</v>
      </c>
      <c r="G242">
        <f t="shared" si="3"/>
        <v>1.5600624024962872E-3</v>
      </c>
    </row>
    <row r="243" spans="1:7">
      <c r="A243" s="79">
        <v>45150</v>
      </c>
      <c r="B243">
        <v>64</v>
      </c>
      <c r="C243">
        <v>63.6</v>
      </c>
      <c r="D243">
        <v>64.319999999999993</v>
      </c>
      <c r="E243">
        <v>63.6</v>
      </c>
      <c r="F243" t="s">
        <v>1224</v>
      </c>
      <c r="G243">
        <f t="shared" si="3"/>
        <v>-3.1152647975077885E-3</v>
      </c>
    </row>
    <row r="244" spans="1:7">
      <c r="A244" s="79">
        <v>45242</v>
      </c>
      <c r="B244">
        <v>64.38</v>
      </c>
      <c r="C244">
        <v>64.040000000000006</v>
      </c>
      <c r="D244">
        <v>64.459999999999994</v>
      </c>
      <c r="E244">
        <v>63.8</v>
      </c>
      <c r="F244" t="s">
        <v>1225</v>
      </c>
      <c r="G244">
        <f t="shared" si="3"/>
        <v>5.9374999999999289E-3</v>
      </c>
    </row>
    <row r="245" spans="1:7">
      <c r="A245" s="79">
        <v>45272</v>
      </c>
      <c r="B245">
        <v>64.94</v>
      </c>
      <c r="C245">
        <v>64.28</v>
      </c>
      <c r="D245">
        <v>65.12</v>
      </c>
      <c r="E245">
        <v>64.28</v>
      </c>
      <c r="F245" t="s">
        <v>1226</v>
      </c>
      <c r="G245">
        <f t="shared" si="3"/>
        <v>8.6983535259397282E-3</v>
      </c>
    </row>
    <row r="246" spans="1:7">
      <c r="A246" t="s">
        <v>458</v>
      </c>
      <c r="B246">
        <v>65.2</v>
      </c>
      <c r="C246">
        <v>64.58</v>
      </c>
      <c r="D246">
        <v>65.5</v>
      </c>
      <c r="E246">
        <v>64.58</v>
      </c>
      <c r="F246" t="s">
        <v>1227</v>
      </c>
      <c r="G246">
        <f t="shared" si="3"/>
        <v>4.0036957191253997E-3</v>
      </c>
    </row>
    <row r="247" spans="1:7">
      <c r="A247" t="s">
        <v>460</v>
      </c>
      <c r="B247">
        <v>65.040000000000006</v>
      </c>
      <c r="C247">
        <v>65.739999999999995</v>
      </c>
      <c r="D247">
        <v>66</v>
      </c>
      <c r="E247">
        <v>64.62</v>
      </c>
      <c r="F247" t="s">
        <v>1228</v>
      </c>
      <c r="G247">
        <f t="shared" si="3"/>
        <v>-2.4539877300613355E-3</v>
      </c>
    </row>
    <row r="248" spans="1:7">
      <c r="A248" t="s">
        <v>462</v>
      </c>
      <c r="B248">
        <v>64.44</v>
      </c>
      <c r="C248">
        <v>64.8</v>
      </c>
      <c r="D248">
        <v>65.06</v>
      </c>
      <c r="E248">
        <v>63.92</v>
      </c>
      <c r="F248" t="s">
        <v>1229</v>
      </c>
      <c r="G248">
        <f t="shared" si="3"/>
        <v>-9.2250922509226063E-3</v>
      </c>
    </row>
    <row r="249" spans="1:7">
      <c r="A249" t="s">
        <v>464</v>
      </c>
      <c r="B249">
        <v>64.72</v>
      </c>
      <c r="C249">
        <v>64.459999999999994</v>
      </c>
      <c r="D249">
        <v>64.72</v>
      </c>
      <c r="E249">
        <v>64.14</v>
      </c>
      <c r="F249" t="s">
        <v>1230</v>
      </c>
      <c r="G249">
        <f t="shared" si="3"/>
        <v>4.345127250155123E-3</v>
      </c>
    </row>
    <row r="250" spans="1:7">
      <c r="A250" t="s">
        <v>466</v>
      </c>
      <c r="B250">
        <v>64.12</v>
      </c>
      <c r="C250">
        <v>64</v>
      </c>
      <c r="D250">
        <v>64.44</v>
      </c>
      <c r="E250">
        <v>63.54</v>
      </c>
      <c r="F250" t="s">
        <v>1231</v>
      </c>
      <c r="G250">
        <f t="shared" si="3"/>
        <v>-9.2707045735475058E-3</v>
      </c>
    </row>
    <row r="251" spans="1:7">
      <c r="A251" t="s">
        <v>468</v>
      </c>
      <c r="B251">
        <v>64.36</v>
      </c>
      <c r="C251">
        <v>63.98</v>
      </c>
      <c r="D251">
        <v>64.42</v>
      </c>
      <c r="E251">
        <v>63.88</v>
      </c>
      <c r="F251" t="s">
        <v>1232</v>
      </c>
      <c r="G251">
        <f t="shared" si="3"/>
        <v>3.7429819089207506E-3</v>
      </c>
    </row>
    <row r="252" spans="1:7">
      <c r="A252" t="s">
        <v>470</v>
      </c>
      <c r="B252">
        <v>64.5</v>
      </c>
      <c r="C252">
        <v>64.36</v>
      </c>
      <c r="D252">
        <v>64.7</v>
      </c>
      <c r="E252">
        <v>64.14</v>
      </c>
      <c r="F252" t="s">
        <v>1233</v>
      </c>
      <c r="G252">
        <f t="shared" si="3"/>
        <v>2.1752641392169814E-3</v>
      </c>
    </row>
    <row r="253" spans="1:7">
      <c r="A253" t="s">
        <v>472</v>
      </c>
      <c r="B253">
        <v>64.88</v>
      </c>
      <c r="C253">
        <v>64.319999999999993</v>
      </c>
      <c r="D253">
        <v>64.88</v>
      </c>
      <c r="E253">
        <v>64.319999999999993</v>
      </c>
      <c r="F253" t="s">
        <v>1234</v>
      </c>
      <c r="G253">
        <f t="shared" si="3"/>
        <v>5.891472868216896E-3</v>
      </c>
    </row>
    <row r="254" spans="1:7">
      <c r="A254" t="s">
        <v>476</v>
      </c>
      <c r="B254">
        <v>64.78</v>
      </c>
      <c r="C254">
        <v>64.819999999999993</v>
      </c>
      <c r="D254">
        <v>64.92</v>
      </c>
      <c r="E254">
        <v>64.5</v>
      </c>
      <c r="F254" t="s">
        <v>1235</v>
      </c>
      <c r="G254">
        <f t="shared" si="3"/>
        <v>-1.5413070283599728E-3</v>
      </c>
    </row>
    <row r="255" spans="1:7">
      <c r="A255" t="s">
        <v>478</v>
      </c>
      <c r="B255">
        <v>64.599999999999994</v>
      </c>
      <c r="C255">
        <v>64.42</v>
      </c>
      <c r="D255">
        <v>64.78</v>
      </c>
      <c r="E255">
        <v>64.14</v>
      </c>
      <c r="F255" t="s">
        <v>1236</v>
      </c>
      <c r="G255">
        <f t="shared" si="3"/>
        <v>-2.7786353812906395E-3</v>
      </c>
    </row>
    <row r="256" spans="1:7">
      <c r="A256" t="s">
        <v>480</v>
      </c>
      <c r="B256">
        <v>64.98</v>
      </c>
      <c r="C256">
        <v>64.84</v>
      </c>
      <c r="D256">
        <v>64.98</v>
      </c>
      <c r="E256">
        <v>64.72</v>
      </c>
      <c r="F256" t="s">
        <v>1039</v>
      </c>
      <c r="G256">
        <f t="shared" si="3"/>
        <v>5.8823529411766717E-3</v>
      </c>
    </row>
    <row r="257" spans="1:7">
      <c r="A257" s="79">
        <v>45323</v>
      </c>
      <c r="B257">
        <v>65.599999999999994</v>
      </c>
      <c r="C257">
        <v>65</v>
      </c>
      <c r="D257">
        <v>65.84</v>
      </c>
      <c r="E257">
        <v>64.819999999999993</v>
      </c>
      <c r="F257" t="s">
        <v>1237</v>
      </c>
      <c r="G257">
        <f t="shared" si="3"/>
        <v>9.541397353031611E-3</v>
      </c>
    </row>
    <row r="258" spans="1:7">
      <c r="A258" s="79">
        <v>45352</v>
      </c>
      <c r="B258">
        <v>65.56</v>
      </c>
      <c r="C258">
        <v>65.64</v>
      </c>
      <c r="D258">
        <v>66.319999999999993</v>
      </c>
      <c r="E258">
        <v>65.459999999999994</v>
      </c>
      <c r="F258" t="s">
        <v>1238</v>
      </c>
      <c r="G258">
        <f t="shared" si="3"/>
        <v>-6.0975609756086513E-4</v>
      </c>
    </row>
    <row r="259" spans="1:7">
      <c r="A259" s="79">
        <v>45383</v>
      </c>
      <c r="B259">
        <v>65.540000000000006</v>
      </c>
      <c r="C259">
        <v>65.599999999999994</v>
      </c>
      <c r="D259">
        <v>66</v>
      </c>
      <c r="E259">
        <v>65.260000000000005</v>
      </c>
      <c r="F259" t="s">
        <v>1239</v>
      </c>
      <c r="G259">
        <f t="shared" si="3"/>
        <v>-3.0506406345331971E-4</v>
      </c>
    </row>
    <row r="260" spans="1:7">
      <c r="A260" s="79">
        <v>45413</v>
      </c>
      <c r="B260">
        <v>65.38</v>
      </c>
      <c r="C260">
        <v>65.22</v>
      </c>
      <c r="D260">
        <v>65.459999999999994</v>
      </c>
      <c r="E260">
        <v>64.900000000000006</v>
      </c>
      <c r="F260" t="s">
        <v>1240</v>
      </c>
      <c r="G260">
        <f t="shared" ref="G260:G323" si="4">B260/B259-1</f>
        <v>-2.4412572474825645E-3</v>
      </c>
    </row>
    <row r="261" spans="1:7">
      <c r="A261" s="79">
        <v>45505</v>
      </c>
      <c r="B261">
        <v>65.62</v>
      </c>
      <c r="C261">
        <v>65.3</v>
      </c>
      <c r="D261">
        <v>65.7</v>
      </c>
      <c r="E261">
        <v>64.94</v>
      </c>
      <c r="F261" t="s">
        <v>1241</v>
      </c>
      <c r="G261">
        <f t="shared" si="4"/>
        <v>3.6708473539310837E-3</v>
      </c>
    </row>
    <row r="262" spans="1:7">
      <c r="A262" s="79">
        <v>45536</v>
      </c>
      <c r="B262">
        <v>66.02</v>
      </c>
      <c r="C262">
        <v>65.900000000000006</v>
      </c>
      <c r="D262">
        <v>66.14</v>
      </c>
      <c r="E262">
        <v>65.58</v>
      </c>
      <c r="F262" t="s">
        <v>1242</v>
      </c>
      <c r="G262">
        <f t="shared" si="4"/>
        <v>6.0957025297163625E-3</v>
      </c>
    </row>
    <row r="263" spans="1:7">
      <c r="A263" s="79">
        <v>45566</v>
      </c>
      <c r="B263">
        <v>65.8</v>
      </c>
      <c r="C263">
        <v>65.900000000000006</v>
      </c>
      <c r="D263">
        <v>66.260000000000005</v>
      </c>
      <c r="E263">
        <v>65.3</v>
      </c>
      <c r="F263" t="s">
        <v>1243</v>
      </c>
      <c r="G263">
        <f t="shared" si="4"/>
        <v>-3.3323235383216909E-3</v>
      </c>
    </row>
    <row r="264" spans="1:7">
      <c r="A264" s="79">
        <v>45597</v>
      </c>
      <c r="B264">
        <v>65.739999999999995</v>
      </c>
      <c r="C264">
        <v>65.92</v>
      </c>
      <c r="D264">
        <v>66.22</v>
      </c>
      <c r="E264">
        <v>65.62</v>
      </c>
      <c r="F264" t="s">
        <v>1244</v>
      </c>
      <c r="G264">
        <f t="shared" si="4"/>
        <v>-9.1185410334349015E-4</v>
      </c>
    </row>
    <row r="265" spans="1:7">
      <c r="A265" s="79">
        <v>45627</v>
      </c>
      <c r="B265">
        <v>66.3</v>
      </c>
      <c r="C265">
        <v>65.8</v>
      </c>
      <c r="D265">
        <v>66.540000000000006</v>
      </c>
      <c r="E265">
        <v>65.8</v>
      </c>
      <c r="F265" t="s">
        <v>1245</v>
      </c>
      <c r="G265">
        <f t="shared" si="4"/>
        <v>8.5184058411926777E-3</v>
      </c>
    </row>
    <row r="266" spans="1:7">
      <c r="A266" t="s">
        <v>1246</v>
      </c>
      <c r="B266">
        <v>65.760000000000005</v>
      </c>
      <c r="C266">
        <v>66.5</v>
      </c>
      <c r="D266">
        <v>66.52</v>
      </c>
      <c r="E266">
        <v>65.58</v>
      </c>
      <c r="F266" t="s">
        <v>1247</v>
      </c>
      <c r="G266">
        <f t="shared" si="4"/>
        <v>-8.1447963800903578E-3</v>
      </c>
    </row>
    <row r="267" spans="1:7">
      <c r="A267" t="s">
        <v>491</v>
      </c>
      <c r="B267">
        <v>65.64</v>
      </c>
      <c r="C267">
        <v>65.5</v>
      </c>
      <c r="D267">
        <v>66</v>
      </c>
      <c r="E267">
        <v>65.42</v>
      </c>
      <c r="F267" t="s">
        <v>1248</v>
      </c>
      <c r="G267">
        <f t="shared" si="4"/>
        <v>-1.8248175182482562E-3</v>
      </c>
    </row>
    <row r="268" spans="1:7">
      <c r="A268" t="s">
        <v>493</v>
      </c>
      <c r="B268">
        <v>64.760000000000005</v>
      </c>
      <c r="C268">
        <v>65.36</v>
      </c>
      <c r="D268">
        <v>65.36</v>
      </c>
      <c r="E268">
        <v>64.239999999999995</v>
      </c>
      <c r="F268" t="s">
        <v>1249</v>
      </c>
      <c r="G268">
        <f t="shared" si="4"/>
        <v>-1.3406459475929222E-2</v>
      </c>
    </row>
    <row r="269" spans="1:7">
      <c r="A269" t="s">
        <v>495</v>
      </c>
      <c r="B269">
        <v>64.94</v>
      </c>
      <c r="C269">
        <v>64.3</v>
      </c>
      <c r="D269">
        <v>64.94</v>
      </c>
      <c r="E269">
        <v>64.08</v>
      </c>
      <c r="F269" t="s">
        <v>1250</v>
      </c>
      <c r="G269">
        <f t="shared" si="4"/>
        <v>2.7794935145151189E-3</v>
      </c>
    </row>
    <row r="270" spans="1:7">
      <c r="A270" t="s">
        <v>497</v>
      </c>
      <c r="B270">
        <v>64.680000000000007</v>
      </c>
      <c r="C270">
        <v>65.040000000000006</v>
      </c>
      <c r="D270">
        <v>65.36</v>
      </c>
      <c r="E270">
        <v>64.540000000000006</v>
      </c>
      <c r="F270" t="s">
        <v>1251</v>
      </c>
      <c r="G270">
        <f t="shared" si="4"/>
        <v>-4.0036957191251776E-3</v>
      </c>
    </row>
    <row r="271" spans="1:7">
      <c r="A271" t="s">
        <v>499</v>
      </c>
      <c r="B271">
        <v>64.16</v>
      </c>
      <c r="C271">
        <v>64.58</v>
      </c>
      <c r="D271">
        <v>64.959999999999994</v>
      </c>
      <c r="E271">
        <v>64.099999999999994</v>
      </c>
      <c r="F271" t="s">
        <v>1252</v>
      </c>
      <c r="G271">
        <f t="shared" si="4"/>
        <v>-8.0395794681510369E-3</v>
      </c>
    </row>
    <row r="272" spans="1:7">
      <c r="A272" t="s">
        <v>501</v>
      </c>
      <c r="B272">
        <v>63.92</v>
      </c>
      <c r="C272">
        <v>64.239999999999995</v>
      </c>
      <c r="D272">
        <v>64.239999999999995</v>
      </c>
      <c r="E272">
        <v>63.34</v>
      </c>
      <c r="F272" t="s">
        <v>1253</v>
      </c>
      <c r="G272">
        <f t="shared" si="4"/>
        <v>-3.7406483790523026E-3</v>
      </c>
    </row>
    <row r="273" spans="1:7">
      <c r="A273" t="s">
        <v>503</v>
      </c>
      <c r="B273">
        <v>63.76</v>
      </c>
      <c r="C273">
        <v>63.72</v>
      </c>
      <c r="D273">
        <v>63.96</v>
      </c>
      <c r="E273">
        <v>63.58</v>
      </c>
      <c r="F273" t="s">
        <v>1254</v>
      </c>
      <c r="G273">
        <f t="shared" si="4"/>
        <v>-2.5031289111390187E-3</v>
      </c>
    </row>
    <row r="274" spans="1:7">
      <c r="A274" t="s">
        <v>505</v>
      </c>
      <c r="B274">
        <v>63.52</v>
      </c>
      <c r="C274">
        <v>63.84</v>
      </c>
      <c r="D274">
        <v>63.86</v>
      </c>
      <c r="E274">
        <v>62.88</v>
      </c>
      <c r="F274" t="s">
        <v>1255</v>
      </c>
      <c r="G274">
        <f t="shared" si="4"/>
        <v>-3.7641154328732496E-3</v>
      </c>
    </row>
    <row r="275" spans="1:7">
      <c r="A275" t="s">
        <v>507</v>
      </c>
      <c r="B275">
        <v>64.28</v>
      </c>
      <c r="C275">
        <v>63.8</v>
      </c>
      <c r="D275">
        <v>64.400000000000006</v>
      </c>
      <c r="E275">
        <v>63.8</v>
      </c>
      <c r="F275" t="s">
        <v>1256</v>
      </c>
      <c r="G275">
        <f t="shared" si="4"/>
        <v>1.1964735516372782E-2</v>
      </c>
    </row>
    <row r="276" spans="1:7">
      <c r="A276" t="s">
        <v>509</v>
      </c>
      <c r="B276">
        <v>64.239999999999995</v>
      </c>
      <c r="C276">
        <v>63.82</v>
      </c>
      <c r="D276">
        <v>64.84</v>
      </c>
      <c r="E276">
        <v>63.82</v>
      </c>
      <c r="F276" t="s">
        <v>1257</v>
      </c>
      <c r="G276">
        <f t="shared" si="4"/>
        <v>-6.2227753578103506E-4</v>
      </c>
    </row>
    <row r="277" spans="1:7">
      <c r="A277" t="s">
        <v>511</v>
      </c>
      <c r="B277">
        <v>64.099999999999994</v>
      </c>
      <c r="C277">
        <v>63.78</v>
      </c>
      <c r="D277">
        <v>64.56</v>
      </c>
      <c r="E277">
        <v>63.78</v>
      </c>
      <c r="F277" t="s">
        <v>1258</v>
      </c>
      <c r="G277">
        <f t="shared" si="4"/>
        <v>-2.1793275217932839E-3</v>
      </c>
    </row>
    <row r="278" spans="1:7">
      <c r="A278" t="s">
        <v>513</v>
      </c>
      <c r="B278">
        <v>63.36</v>
      </c>
      <c r="C278">
        <v>64.08</v>
      </c>
      <c r="D278">
        <v>64.16</v>
      </c>
      <c r="E278">
        <v>63.26</v>
      </c>
      <c r="F278" t="s">
        <v>1259</v>
      </c>
      <c r="G278">
        <f t="shared" si="4"/>
        <v>-1.1544461778471016E-2</v>
      </c>
    </row>
    <row r="279" spans="1:7">
      <c r="A279" s="79">
        <v>45293</v>
      </c>
      <c r="B279">
        <v>62.96</v>
      </c>
      <c r="C279">
        <v>63.12</v>
      </c>
      <c r="D279">
        <v>63.58</v>
      </c>
      <c r="E279">
        <v>62.72</v>
      </c>
      <c r="F279" t="s">
        <v>1260</v>
      </c>
      <c r="G279">
        <f t="shared" si="4"/>
        <v>-6.3131313131312705E-3</v>
      </c>
    </row>
    <row r="280" spans="1:7">
      <c r="A280" s="79">
        <v>45324</v>
      </c>
      <c r="B280">
        <v>62.58</v>
      </c>
      <c r="C280">
        <v>63</v>
      </c>
      <c r="D280">
        <v>63.52</v>
      </c>
      <c r="E280">
        <v>62.48</v>
      </c>
      <c r="F280" t="s">
        <v>997</v>
      </c>
      <c r="G280">
        <f t="shared" si="4"/>
        <v>-6.0355781448538925E-3</v>
      </c>
    </row>
    <row r="281" spans="1:7">
      <c r="A281" s="79">
        <v>45414</v>
      </c>
      <c r="B281">
        <v>63.54</v>
      </c>
      <c r="C281">
        <v>62.58</v>
      </c>
      <c r="D281">
        <v>63.64</v>
      </c>
      <c r="E281">
        <v>62.42</v>
      </c>
      <c r="F281" t="s">
        <v>1261</v>
      </c>
      <c r="G281">
        <f t="shared" si="4"/>
        <v>1.5340364333652934E-2</v>
      </c>
    </row>
    <row r="282" spans="1:7">
      <c r="A282" s="79">
        <v>45445</v>
      </c>
      <c r="B282">
        <v>63.62</v>
      </c>
      <c r="C282">
        <v>63.42</v>
      </c>
      <c r="D282">
        <v>64.2</v>
      </c>
      <c r="E282">
        <v>63.32</v>
      </c>
      <c r="F282" t="s">
        <v>1262</v>
      </c>
      <c r="G282">
        <f t="shared" si="4"/>
        <v>1.2590494176896172E-3</v>
      </c>
    </row>
    <row r="283" spans="1:7">
      <c r="A283" s="79">
        <v>45475</v>
      </c>
      <c r="B283">
        <v>63.3</v>
      </c>
      <c r="C283">
        <v>63</v>
      </c>
      <c r="D283">
        <v>63.7</v>
      </c>
      <c r="E283">
        <v>63</v>
      </c>
      <c r="F283" t="s">
        <v>1263</v>
      </c>
      <c r="G283">
        <f t="shared" si="4"/>
        <v>-5.029864822382879E-3</v>
      </c>
    </row>
    <row r="284" spans="1:7">
      <c r="A284" s="79">
        <v>45506</v>
      </c>
      <c r="B284">
        <v>63.38</v>
      </c>
      <c r="C284">
        <v>63.06</v>
      </c>
      <c r="D284">
        <v>64.040000000000006</v>
      </c>
      <c r="E284">
        <v>63.06</v>
      </c>
      <c r="F284" t="s">
        <v>1264</v>
      </c>
      <c r="G284">
        <f t="shared" si="4"/>
        <v>1.2638230647710191E-3</v>
      </c>
    </row>
    <row r="285" spans="1:7">
      <c r="A285" s="79">
        <v>45537</v>
      </c>
      <c r="B285">
        <v>63.18</v>
      </c>
      <c r="C285">
        <v>63.38</v>
      </c>
      <c r="D285">
        <v>63.84</v>
      </c>
      <c r="E285">
        <v>62.78</v>
      </c>
      <c r="F285" t="s">
        <v>1265</v>
      </c>
      <c r="G285">
        <f t="shared" si="4"/>
        <v>-3.1555695803092698E-3</v>
      </c>
    </row>
    <row r="286" spans="1:7">
      <c r="A286" s="79">
        <v>45628</v>
      </c>
      <c r="B286">
        <v>63.44</v>
      </c>
      <c r="C286">
        <v>63.28</v>
      </c>
      <c r="D286">
        <v>63.74</v>
      </c>
      <c r="E286">
        <v>63.14</v>
      </c>
      <c r="F286" t="s">
        <v>1266</v>
      </c>
      <c r="G286">
        <f t="shared" si="4"/>
        <v>4.1152263374484299E-3</v>
      </c>
    </row>
    <row r="287" spans="1:7">
      <c r="A287" t="s">
        <v>523</v>
      </c>
      <c r="B287">
        <v>63.48</v>
      </c>
      <c r="C287">
        <v>63.48</v>
      </c>
      <c r="D287">
        <v>63.54</v>
      </c>
      <c r="E287">
        <v>63.06</v>
      </c>
      <c r="F287" t="s">
        <v>1267</v>
      </c>
      <c r="G287">
        <f t="shared" si="4"/>
        <v>6.3051702395955367E-4</v>
      </c>
    </row>
    <row r="288" spans="1:7">
      <c r="A288" t="s">
        <v>525</v>
      </c>
      <c r="B288">
        <v>62.98</v>
      </c>
      <c r="C288">
        <v>63.36</v>
      </c>
      <c r="D288">
        <v>63.5</v>
      </c>
      <c r="E288">
        <v>62.78</v>
      </c>
      <c r="F288" t="s">
        <v>1268</v>
      </c>
      <c r="G288">
        <f t="shared" si="4"/>
        <v>-7.8764965343415261E-3</v>
      </c>
    </row>
    <row r="289" spans="1:7">
      <c r="A289" t="s">
        <v>527</v>
      </c>
      <c r="B289">
        <v>62.82</v>
      </c>
      <c r="C289">
        <v>62.98</v>
      </c>
      <c r="D289">
        <v>63.06</v>
      </c>
      <c r="E289">
        <v>62.38</v>
      </c>
      <c r="F289" t="s">
        <v>1269</v>
      </c>
      <c r="G289">
        <f t="shared" si="4"/>
        <v>-2.5404890441409478E-3</v>
      </c>
    </row>
    <row r="290" spans="1:7">
      <c r="A290" t="s">
        <v>529</v>
      </c>
      <c r="B290">
        <v>63.18</v>
      </c>
      <c r="C290">
        <v>62.7</v>
      </c>
      <c r="D290">
        <v>63.48</v>
      </c>
      <c r="E290">
        <v>62.7</v>
      </c>
      <c r="F290" t="s">
        <v>1270</v>
      </c>
      <c r="G290">
        <f t="shared" si="4"/>
        <v>5.7306590257879542E-3</v>
      </c>
    </row>
    <row r="291" spans="1:7">
      <c r="A291" t="s">
        <v>1271</v>
      </c>
      <c r="B291">
        <v>63.32</v>
      </c>
      <c r="C291">
        <v>63.16</v>
      </c>
      <c r="D291">
        <v>63.36</v>
      </c>
      <c r="E291">
        <v>62.82</v>
      </c>
      <c r="F291" t="s">
        <v>1272</v>
      </c>
      <c r="G291">
        <f t="shared" si="4"/>
        <v>2.2158911047800434E-3</v>
      </c>
    </row>
    <row r="292" spans="1:7">
      <c r="A292" t="s">
        <v>531</v>
      </c>
      <c r="B292">
        <v>64.44</v>
      </c>
      <c r="C292">
        <v>63.38</v>
      </c>
      <c r="D292">
        <v>64.7</v>
      </c>
      <c r="E292">
        <v>63.12</v>
      </c>
      <c r="F292" t="s">
        <v>1273</v>
      </c>
      <c r="G292">
        <f t="shared" si="4"/>
        <v>1.7687934301958252E-2</v>
      </c>
    </row>
    <row r="293" spans="1:7">
      <c r="A293" t="s">
        <v>533</v>
      </c>
      <c r="B293">
        <v>64.48</v>
      </c>
      <c r="C293">
        <v>64.34</v>
      </c>
      <c r="D293">
        <v>64.78</v>
      </c>
      <c r="E293">
        <v>64.040000000000006</v>
      </c>
      <c r="F293" t="s">
        <v>1274</v>
      </c>
      <c r="G293">
        <f t="shared" si="4"/>
        <v>6.2073246430793816E-4</v>
      </c>
    </row>
    <row r="294" spans="1:7">
      <c r="A294" t="s">
        <v>535</v>
      </c>
      <c r="B294">
        <v>64.02</v>
      </c>
      <c r="C294">
        <v>64.88</v>
      </c>
      <c r="D294">
        <v>64.88</v>
      </c>
      <c r="E294">
        <v>63.98</v>
      </c>
      <c r="F294" t="s">
        <v>1275</v>
      </c>
      <c r="G294">
        <f t="shared" si="4"/>
        <v>-7.1339950372210081E-3</v>
      </c>
    </row>
    <row r="295" spans="1:7">
      <c r="A295" t="s">
        <v>537</v>
      </c>
      <c r="B295">
        <v>63.46</v>
      </c>
      <c r="C295">
        <v>63.8</v>
      </c>
      <c r="D295">
        <v>64.48</v>
      </c>
      <c r="E295">
        <v>63.46</v>
      </c>
      <c r="F295" t="s">
        <v>1276</v>
      </c>
      <c r="G295">
        <f t="shared" si="4"/>
        <v>-8.7472664792251908E-3</v>
      </c>
    </row>
    <row r="296" spans="1:7">
      <c r="A296" t="s">
        <v>539</v>
      </c>
      <c r="B296">
        <v>63.32</v>
      </c>
      <c r="C296">
        <v>63.64</v>
      </c>
      <c r="D296">
        <v>63.64</v>
      </c>
      <c r="E296">
        <v>63.18</v>
      </c>
      <c r="F296" t="s">
        <v>1277</v>
      </c>
      <c r="G296">
        <f t="shared" si="4"/>
        <v>-2.206114087614286E-3</v>
      </c>
    </row>
    <row r="297" spans="1:7">
      <c r="A297" t="s">
        <v>541</v>
      </c>
      <c r="B297">
        <v>63.3</v>
      </c>
      <c r="C297">
        <v>62.4</v>
      </c>
      <c r="D297">
        <v>63.3</v>
      </c>
      <c r="E297">
        <v>62.4</v>
      </c>
      <c r="F297" t="s">
        <v>1278</v>
      </c>
      <c r="G297">
        <f t="shared" si="4"/>
        <v>-3.1585596967786955E-4</v>
      </c>
    </row>
    <row r="298" spans="1:7">
      <c r="A298" t="s">
        <v>543</v>
      </c>
      <c r="B298">
        <v>62.54</v>
      </c>
      <c r="C298">
        <v>63.2</v>
      </c>
      <c r="D298">
        <v>63.26</v>
      </c>
      <c r="E298">
        <v>62.28</v>
      </c>
      <c r="F298" t="s">
        <v>1279</v>
      </c>
      <c r="G298">
        <f t="shared" si="4"/>
        <v>-1.2006319115323794E-2</v>
      </c>
    </row>
    <row r="299" spans="1:7">
      <c r="A299" t="s">
        <v>545</v>
      </c>
      <c r="B299">
        <v>62.4</v>
      </c>
      <c r="C299">
        <v>62.3</v>
      </c>
      <c r="D299">
        <v>63.12</v>
      </c>
      <c r="E299">
        <v>62</v>
      </c>
      <c r="F299" t="s">
        <v>1280</v>
      </c>
      <c r="G299">
        <f t="shared" si="4"/>
        <v>-2.2385673169171838E-3</v>
      </c>
    </row>
    <row r="300" spans="1:7">
      <c r="A300" s="79">
        <v>45294</v>
      </c>
      <c r="B300">
        <v>63.12</v>
      </c>
      <c r="C300">
        <v>62.6</v>
      </c>
      <c r="D300">
        <v>63.56</v>
      </c>
      <c r="E300">
        <v>62</v>
      </c>
      <c r="F300" t="s">
        <v>1281</v>
      </c>
      <c r="G300">
        <f t="shared" si="4"/>
        <v>1.1538461538461497E-2</v>
      </c>
    </row>
    <row r="301" spans="1:7">
      <c r="A301" s="79">
        <v>45385</v>
      </c>
      <c r="B301">
        <v>62.76</v>
      </c>
      <c r="C301">
        <v>63.84</v>
      </c>
      <c r="D301">
        <v>64.64</v>
      </c>
      <c r="E301">
        <v>60.82</v>
      </c>
      <c r="F301" t="s">
        <v>1282</v>
      </c>
      <c r="G301">
        <f t="shared" si="4"/>
        <v>-5.7034220532319324E-3</v>
      </c>
    </row>
    <row r="302" spans="1:7">
      <c r="A302" s="79">
        <v>45415</v>
      </c>
      <c r="B302">
        <v>62.92</v>
      </c>
      <c r="C302">
        <v>62.66</v>
      </c>
      <c r="D302">
        <v>64.14</v>
      </c>
      <c r="E302">
        <v>62.5</v>
      </c>
      <c r="F302" t="s">
        <v>1283</v>
      </c>
      <c r="G302">
        <f t="shared" si="4"/>
        <v>2.5493945188017619E-3</v>
      </c>
    </row>
    <row r="303" spans="1:7">
      <c r="A303" s="79">
        <v>45446</v>
      </c>
      <c r="B303">
        <v>63.54</v>
      </c>
      <c r="C303">
        <v>62.78</v>
      </c>
      <c r="D303">
        <v>63.88</v>
      </c>
      <c r="E303">
        <v>62.78</v>
      </c>
      <c r="F303" t="s">
        <v>1284</v>
      </c>
      <c r="G303">
        <f t="shared" si="4"/>
        <v>9.8537825810551816E-3</v>
      </c>
    </row>
    <row r="304" spans="1:7">
      <c r="A304" s="79">
        <v>45476</v>
      </c>
      <c r="B304">
        <v>65.02</v>
      </c>
      <c r="C304">
        <v>63.68</v>
      </c>
      <c r="D304">
        <v>65.08</v>
      </c>
      <c r="E304">
        <v>63.22</v>
      </c>
      <c r="F304" t="s">
        <v>1285</v>
      </c>
      <c r="G304">
        <f t="shared" si="4"/>
        <v>2.3292414227258362E-2</v>
      </c>
    </row>
    <row r="305" spans="1:7">
      <c r="A305" s="79">
        <v>45507</v>
      </c>
      <c r="B305">
        <v>65.14</v>
      </c>
      <c r="C305">
        <v>64.900000000000006</v>
      </c>
      <c r="D305">
        <v>65.62</v>
      </c>
      <c r="E305">
        <v>64.86</v>
      </c>
      <c r="F305" t="s">
        <v>1286</v>
      </c>
      <c r="G305">
        <f t="shared" si="4"/>
        <v>1.8455859735466706E-3</v>
      </c>
    </row>
    <row r="306" spans="1:7">
      <c r="A306" s="79">
        <v>45599</v>
      </c>
      <c r="B306">
        <v>65.680000000000007</v>
      </c>
      <c r="C306">
        <v>65</v>
      </c>
      <c r="D306">
        <v>65.78</v>
      </c>
      <c r="E306">
        <v>65</v>
      </c>
      <c r="F306" t="s">
        <v>1000</v>
      </c>
      <c r="G306">
        <f t="shared" si="4"/>
        <v>8.289837273564693E-3</v>
      </c>
    </row>
    <row r="307" spans="1:7">
      <c r="A307" s="79">
        <v>45629</v>
      </c>
      <c r="B307">
        <v>67.180000000000007</v>
      </c>
      <c r="C307">
        <v>65.819999999999993</v>
      </c>
      <c r="D307">
        <v>67.400000000000006</v>
      </c>
      <c r="E307">
        <v>65.8</v>
      </c>
      <c r="F307" t="s">
        <v>1287</v>
      </c>
      <c r="G307">
        <f t="shared" si="4"/>
        <v>2.2838002436053495E-2</v>
      </c>
    </row>
    <row r="308" spans="1:7">
      <c r="A308" t="s">
        <v>555</v>
      </c>
      <c r="B308">
        <v>67.84</v>
      </c>
      <c r="C308">
        <v>67.38</v>
      </c>
      <c r="D308">
        <v>67.900000000000006</v>
      </c>
      <c r="E308">
        <v>67.06</v>
      </c>
      <c r="F308" t="s">
        <v>1288</v>
      </c>
      <c r="G308">
        <f t="shared" si="4"/>
        <v>9.8243524858587783E-3</v>
      </c>
    </row>
    <row r="309" spans="1:7">
      <c r="A309" t="s">
        <v>557</v>
      </c>
      <c r="B309">
        <v>66.42</v>
      </c>
      <c r="C309">
        <v>67.84</v>
      </c>
      <c r="D309">
        <v>68.02</v>
      </c>
      <c r="E309">
        <v>66.36</v>
      </c>
      <c r="F309" t="s">
        <v>1289</v>
      </c>
      <c r="G309">
        <f t="shared" si="4"/>
        <v>-2.0931603773584939E-2</v>
      </c>
    </row>
    <row r="310" spans="1:7">
      <c r="A310" t="s">
        <v>559</v>
      </c>
      <c r="B310">
        <v>67.14</v>
      </c>
      <c r="C310">
        <v>66.5</v>
      </c>
      <c r="D310">
        <v>67.88</v>
      </c>
      <c r="E310">
        <v>66.28</v>
      </c>
      <c r="F310" t="s">
        <v>1290</v>
      </c>
      <c r="G310">
        <f t="shared" si="4"/>
        <v>1.084010840108407E-2</v>
      </c>
    </row>
    <row r="311" spans="1:7">
      <c r="A311" t="s">
        <v>561</v>
      </c>
      <c r="B311">
        <v>65.98</v>
      </c>
      <c r="C311">
        <v>66.58</v>
      </c>
      <c r="D311">
        <v>67.38</v>
      </c>
      <c r="E311">
        <v>65.52</v>
      </c>
      <c r="F311" t="s">
        <v>1291</v>
      </c>
      <c r="G311">
        <f t="shared" si="4"/>
        <v>-1.7277330950253189E-2</v>
      </c>
    </row>
    <row r="312" spans="1:7">
      <c r="A312" t="s">
        <v>563</v>
      </c>
      <c r="B312">
        <v>66.22</v>
      </c>
      <c r="C312">
        <v>65.84</v>
      </c>
      <c r="D312">
        <v>66.28</v>
      </c>
      <c r="E312">
        <v>65.66</v>
      </c>
      <c r="F312" t="s">
        <v>1292</v>
      </c>
      <c r="G312">
        <f t="shared" si="4"/>
        <v>3.6374658987570196E-3</v>
      </c>
    </row>
    <row r="313" spans="1:7">
      <c r="A313" t="s">
        <v>565</v>
      </c>
      <c r="B313">
        <v>64.98</v>
      </c>
      <c r="C313">
        <v>66</v>
      </c>
      <c r="D313">
        <v>66</v>
      </c>
      <c r="E313">
        <v>64.739999999999995</v>
      </c>
      <c r="F313" t="s">
        <v>1293</v>
      </c>
      <c r="G313">
        <f t="shared" si="4"/>
        <v>-1.8725460585925613E-2</v>
      </c>
    </row>
    <row r="314" spans="1:7">
      <c r="A314" t="s">
        <v>567</v>
      </c>
      <c r="B314">
        <v>65.16</v>
      </c>
      <c r="C314">
        <v>65.099999999999994</v>
      </c>
      <c r="D314">
        <v>65.16</v>
      </c>
      <c r="E314">
        <v>63.86</v>
      </c>
      <c r="F314" t="s">
        <v>1294</v>
      </c>
      <c r="G314">
        <f t="shared" si="4"/>
        <v>2.7700831024930483E-3</v>
      </c>
    </row>
    <row r="315" spans="1:7">
      <c r="A315" t="s">
        <v>569</v>
      </c>
      <c r="B315">
        <v>65.72</v>
      </c>
      <c r="C315">
        <v>65.28</v>
      </c>
      <c r="D315">
        <v>65.760000000000005</v>
      </c>
      <c r="E315">
        <v>64.72</v>
      </c>
      <c r="F315" t="s">
        <v>1295</v>
      </c>
      <c r="G315">
        <f t="shared" si="4"/>
        <v>8.5942295887047049E-3</v>
      </c>
    </row>
    <row r="316" spans="1:7">
      <c r="A316" t="s">
        <v>571</v>
      </c>
      <c r="B316">
        <v>66.98</v>
      </c>
      <c r="C316">
        <v>65.819999999999993</v>
      </c>
      <c r="D316">
        <v>66.98</v>
      </c>
      <c r="E316">
        <v>65.819999999999993</v>
      </c>
      <c r="F316" t="s">
        <v>1296</v>
      </c>
      <c r="G316">
        <f t="shared" si="4"/>
        <v>1.9172245891661666E-2</v>
      </c>
    </row>
    <row r="317" spans="1:7">
      <c r="A317" t="s">
        <v>573</v>
      </c>
      <c r="B317">
        <v>67.08</v>
      </c>
      <c r="C317">
        <v>67</v>
      </c>
      <c r="D317">
        <v>67.400000000000006</v>
      </c>
      <c r="E317">
        <v>66.540000000000006</v>
      </c>
      <c r="F317" t="s">
        <v>1297</v>
      </c>
      <c r="G317">
        <f t="shared" si="4"/>
        <v>1.4929829799938954E-3</v>
      </c>
    </row>
    <row r="318" spans="1:7">
      <c r="A318" t="s">
        <v>575</v>
      </c>
      <c r="B318">
        <v>67.180000000000007</v>
      </c>
      <c r="C318">
        <v>66.94</v>
      </c>
      <c r="D318">
        <v>67.739999999999995</v>
      </c>
      <c r="E318">
        <v>66.94</v>
      </c>
      <c r="F318" t="s">
        <v>1298</v>
      </c>
      <c r="G318">
        <f t="shared" si="4"/>
        <v>1.4907573047109324E-3</v>
      </c>
    </row>
    <row r="319" spans="1:7">
      <c r="A319" t="s">
        <v>577</v>
      </c>
      <c r="B319">
        <v>66.760000000000005</v>
      </c>
      <c r="C319">
        <v>67.180000000000007</v>
      </c>
      <c r="D319">
        <v>67.459999999999994</v>
      </c>
      <c r="E319">
        <v>66.760000000000005</v>
      </c>
      <c r="F319" t="s">
        <v>1299</v>
      </c>
      <c r="G319">
        <f t="shared" si="4"/>
        <v>-6.2518606728193538E-3</v>
      </c>
    </row>
    <row r="320" spans="1:7">
      <c r="A320" s="79">
        <v>45326</v>
      </c>
      <c r="B320">
        <v>67</v>
      </c>
      <c r="C320">
        <v>66.55</v>
      </c>
      <c r="D320">
        <v>67.849999999999994</v>
      </c>
      <c r="E320">
        <v>66.5</v>
      </c>
      <c r="F320" t="s">
        <v>1300</v>
      </c>
      <c r="G320">
        <f t="shared" si="4"/>
        <v>3.5949670461352667E-3</v>
      </c>
    </row>
    <row r="321" spans="1:7">
      <c r="A321" s="79">
        <v>45355</v>
      </c>
      <c r="B321">
        <v>66.7</v>
      </c>
      <c r="C321">
        <v>67.099999999999994</v>
      </c>
      <c r="D321">
        <v>67.55</v>
      </c>
      <c r="E321">
        <v>66.25</v>
      </c>
      <c r="F321" t="s">
        <v>1301</v>
      </c>
      <c r="G321">
        <f t="shared" si="4"/>
        <v>-4.4776119402984982E-3</v>
      </c>
    </row>
    <row r="322" spans="1:7">
      <c r="A322" s="79">
        <v>45386</v>
      </c>
      <c r="B322">
        <v>66.7</v>
      </c>
      <c r="C322">
        <v>66.5</v>
      </c>
      <c r="D322">
        <v>67.099999999999994</v>
      </c>
      <c r="E322">
        <v>66.2</v>
      </c>
      <c r="F322" t="s">
        <v>1302</v>
      </c>
      <c r="G322">
        <f t="shared" si="4"/>
        <v>0</v>
      </c>
    </row>
    <row r="323" spans="1:7">
      <c r="A323" s="79">
        <v>45416</v>
      </c>
      <c r="B323">
        <v>65.400000000000006</v>
      </c>
      <c r="C323">
        <v>66.349999999999994</v>
      </c>
      <c r="D323">
        <v>66.349999999999994</v>
      </c>
      <c r="E323">
        <v>65.2</v>
      </c>
      <c r="F323" t="s">
        <v>1303</v>
      </c>
      <c r="G323">
        <f t="shared" si="4"/>
        <v>-1.9490254872563728E-2</v>
      </c>
    </row>
    <row r="324" spans="1:7">
      <c r="A324" s="79">
        <v>45508</v>
      </c>
      <c r="B324">
        <v>65.599999999999994</v>
      </c>
      <c r="C324">
        <v>65.5</v>
      </c>
      <c r="D324">
        <v>65.7</v>
      </c>
      <c r="E324">
        <v>65</v>
      </c>
      <c r="F324" t="s">
        <v>1304</v>
      </c>
      <c r="G324">
        <f t="shared" ref="G324:G387" si="5">B324/B323-1</f>
        <v>3.0581039755350758E-3</v>
      </c>
    </row>
    <row r="325" spans="1:7">
      <c r="A325" s="79">
        <v>45539</v>
      </c>
      <c r="B325">
        <v>65.55</v>
      </c>
      <c r="C325">
        <v>65.45</v>
      </c>
      <c r="D325">
        <v>65.7</v>
      </c>
      <c r="E325">
        <v>65.25</v>
      </c>
      <c r="F325" t="s">
        <v>1305</v>
      </c>
      <c r="G325">
        <f t="shared" si="5"/>
        <v>-7.6219512195119243E-4</v>
      </c>
    </row>
    <row r="326" spans="1:7">
      <c r="A326" s="79">
        <v>45569</v>
      </c>
      <c r="B326">
        <v>66.25</v>
      </c>
      <c r="C326">
        <v>65.650000000000006</v>
      </c>
      <c r="D326">
        <v>66.25</v>
      </c>
      <c r="E326">
        <v>65.55</v>
      </c>
      <c r="F326" t="s">
        <v>1306</v>
      </c>
      <c r="G326">
        <f t="shared" si="5"/>
        <v>1.067887109077037E-2</v>
      </c>
    </row>
    <row r="327" spans="1:7">
      <c r="A327" s="79">
        <v>45600</v>
      </c>
      <c r="B327">
        <v>65.900000000000006</v>
      </c>
      <c r="C327">
        <v>66.400000000000006</v>
      </c>
      <c r="D327">
        <v>66.7</v>
      </c>
      <c r="E327">
        <v>65.599999999999994</v>
      </c>
      <c r="F327" t="s">
        <v>1307</v>
      </c>
      <c r="G327">
        <f t="shared" si="5"/>
        <v>-5.2830188679244827E-3</v>
      </c>
    </row>
    <row r="328" spans="1:7">
      <c r="A328" s="79">
        <v>45630</v>
      </c>
      <c r="B328">
        <v>65.400000000000006</v>
      </c>
      <c r="C328">
        <v>65.849999999999994</v>
      </c>
      <c r="D328">
        <v>66.5</v>
      </c>
      <c r="E328">
        <v>65.25</v>
      </c>
      <c r="F328" t="s">
        <v>1308</v>
      </c>
      <c r="G328">
        <f t="shared" si="5"/>
        <v>-7.587253414264028E-3</v>
      </c>
    </row>
    <row r="329" spans="1:7">
      <c r="A329" t="s">
        <v>589</v>
      </c>
      <c r="B329">
        <v>65.349999999999994</v>
      </c>
      <c r="C329">
        <v>65.5</v>
      </c>
      <c r="D329">
        <v>65.650000000000006</v>
      </c>
      <c r="E329">
        <v>65.099999999999994</v>
      </c>
      <c r="F329" t="s">
        <v>1309</v>
      </c>
      <c r="G329">
        <f t="shared" si="5"/>
        <v>-7.6452599388399101E-4</v>
      </c>
    </row>
    <row r="330" spans="1:7">
      <c r="A330" t="s">
        <v>591</v>
      </c>
      <c r="B330">
        <v>64.75</v>
      </c>
      <c r="C330">
        <v>65</v>
      </c>
      <c r="D330">
        <v>65.05</v>
      </c>
      <c r="E330">
        <v>63.95</v>
      </c>
      <c r="F330" t="s">
        <v>1310</v>
      </c>
      <c r="G330">
        <f t="shared" si="5"/>
        <v>-9.1813312930374424E-3</v>
      </c>
    </row>
    <row r="331" spans="1:7">
      <c r="A331" t="s">
        <v>593</v>
      </c>
      <c r="B331">
        <v>65.150000000000006</v>
      </c>
      <c r="C331">
        <v>64.7</v>
      </c>
      <c r="D331">
        <v>65.400000000000006</v>
      </c>
      <c r="E331">
        <v>64.650000000000006</v>
      </c>
      <c r="F331" t="s">
        <v>1311</v>
      </c>
      <c r="G331">
        <f t="shared" si="5"/>
        <v>6.1776061776062097E-3</v>
      </c>
    </row>
    <row r="332" spans="1:7">
      <c r="A332" t="s">
        <v>595</v>
      </c>
      <c r="B332">
        <v>65.95</v>
      </c>
      <c r="C332">
        <v>66.7</v>
      </c>
      <c r="D332">
        <v>66.7</v>
      </c>
      <c r="E332">
        <v>65.650000000000006</v>
      </c>
      <c r="F332" t="s">
        <v>1312</v>
      </c>
      <c r="G332">
        <f t="shared" si="5"/>
        <v>1.2279355333844943E-2</v>
      </c>
    </row>
    <row r="333" spans="1:7">
      <c r="A333" t="s">
        <v>597</v>
      </c>
      <c r="B333">
        <v>65.900000000000006</v>
      </c>
      <c r="C333">
        <v>65.5</v>
      </c>
      <c r="D333">
        <v>66.3</v>
      </c>
      <c r="E333">
        <v>65.5</v>
      </c>
      <c r="F333" t="s">
        <v>1313</v>
      </c>
      <c r="G333">
        <f t="shared" si="5"/>
        <v>-7.5815011372248886E-4</v>
      </c>
    </row>
    <row r="334" spans="1:7">
      <c r="A334" t="s">
        <v>599</v>
      </c>
      <c r="B334">
        <v>66.95</v>
      </c>
      <c r="C334">
        <v>66.349999999999994</v>
      </c>
      <c r="D334">
        <v>66.95</v>
      </c>
      <c r="E334">
        <v>66.150000000000006</v>
      </c>
      <c r="F334" t="s">
        <v>1314</v>
      </c>
      <c r="G334">
        <f t="shared" si="5"/>
        <v>1.5933232169954348E-2</v>
      </c>
    </row>
    <row r="335" spans="1:7">
      <c r="A335" t="s">
        <v>601</v>
      </c>
      <c r="B335">
        <v>65.45</v>
      </c>
      <c r="C335">
        <v>65.3</v>
      </c>
      <c r="D335">
        <v>66.150000000000006</v>
      </c>
      <c r="E335">
        <v>65.3</v>
      </c>
      <c r="F335" t="s">
        <v>1315</v>
      </c>
      <c r="G335">
        <f t="shared" si="5"/>
        <v>-2.2404779686333032E-2</v>
      </c>
    </row>
    <row r="336" spans="1:7">
      <c r="A336" t="s">
        <v>603</v>
      </c>
      <c r="B336">
        <v>65.849999999999994</v>
      </c>
      <c r="C336">
        <v>65.55</v>
      </c>
      <c r="D336">
        <v>66.2</v>
      </c>
      <c r="E336">
        <v>65.5</v>
      </c>
      <c r="F336" t="s">
        <v>1071</v>
      </c>
      <c r="G336">
        <f t="shared" si="5"/>
        <v>6.1115355233001267E-3</v>
      </c>
    </row>
    <row r="337" spans="1:7">
      <c r="A337" t="s">
        <v>605</v>
      </c>
      <c r="B337">
        <v>65.95</v>
      </c>
      <c r="C337">
        <v>66.05</v>
      </c>
      <c r="D337">
        <v>66.5</v>
      </c>
      <c r="E337">
        <v>65.7</v>
      </c>
      <c r="F337" t="s">
        <v>1316</v>
      </c>
      <c r="G337">
        <f t="shared" si="5"/>
        <v>1.5186028853455547E-3</v>
      </c>
    </row>
    <row r="338" spans="1:7">
      <c r="A338" t="s">
        <v>607</v>
      </c>
      <c r="B338">
        <v>66.55</v>
      </c>
      <c r="C338">
        <v>65.8</v>
      </c>
      <c r="D338">
        <v>66.75</v>
      </c>
      <c r="E338">
        <v>65.8</v>
      </c>
      <c r="F338" t="s">
        <v>1317</v>
      </c>
      <c r="G338">
        <f t="shared" si="5"/>
        <v>9.0978013646700884E-3</v>
      </c>
    </row>
    <row r="339" spans="1:7">
      <c r="A339" t="s">
        <v>609</v>
      </c>
      <c r="B339">
        <v>66.7</v>
      </c>
      <c r="C339">
        <v>66.599999999999994</v>
      </c>
      <c r="D339">
        <v>67.25</v>
      </c>
      <c r="E339">
        <v>66.400000000000006</v>
      </c>
      <c r="F339" t="s">
        <v>1318</v>
      </c>
      <c r="G339">
        <f t="shared" si="5"/>
        <v>2.2539444027047661E-3</v>
      </c>
    </row>
    <row r="340" spans="1:7">
      <c r="A340" t="s">
        <v>611</v>
      </c>
      <c r="B340">
        <v>67.150000000000006</v>
      </c>
      <c r="C340">
        <v>66.849999999999994</v>
      </c>
      <c r="D340">
        <v>67.650000000000006</v>
      </c>
      <c r="E340">
        <v>66.849999999999994</v>
      </c>
      <c r="F340" t="s">
        <v>1319</v>
      </c>
      <c r="G340">
        <f t="shared" si="5"/>
        <v>6.7466266866567093E-3</v>
      </c>
    </row>
    <row r="341" spans="1:7">
      <c r="A341" s="79">
        <v>45327</v>
      </c>
      <c r="B341">
        <v>67.099999999999994</v>
      </c>
      <c r="C341">
        <v>67.150000000000006</v>
      </c>
      <c r="D341">
        <v>67.55</v>
      </c>
      <c r="E341">
        <v>67</v>
      </c>
      <c r="F341" t="s">
        <v>1320</v>
      </c>
      <c r="G341">
        <f t="shared" si="5"/>
        <v>-7.4460163812373192E-4</v>
      </c>
    </row>
    <row r="342" spans="1:7">
      <c r="A342" s="79">
        <v>45356</v>
      </c>
      <c r="B342">
        <v>70.75</v>
      </c>
      <c r="C342">
        <v>67.099999999999994</v>
      </c>
      <c r="D342">
        <v>71.55</v>
      </c>
      <c r="E342">
        <v>66.5</v>
      </c>
      <c r="F342" t="s">
        <v>1321</v>
      </c>
      <c r="G342">
        <f t="shared" si="5"/>
        <v>5.4396423248882275E-2</v>
      </c>
    </row>
    <row r="343" spans="1:7">
      <c r="A343" s="79">
        <v>45448</v>
      </c>
      <c r="B343">
        <v>71.349999999999994</v>
      </c>
      <c r="C343">
        <v>71.05</v>
      </c>
      <c r="D343">
        <v>72</v>
      </c>
      <c r="E343">
        <v>70.650000000000006</v>
      </c>
      <c r="F343" t="s">
        <v>1322</v>
      </c>
      <c r="G343">
        <f t="shared" si="5"/>
        <v>8.4805653710247064E-3</v>
      </c>
    </row>
    <row r="344" spans="1:7">
      <c r="A344" s="79">
        <v>45478</v>
      </c>
      <c r="B344">
        <v>71.2</v>
      </c>
      <c r="C344">
        <v>71.400000000000006</v>
      </c>
      <c r="D344">
        <v>71.55</v>
      </c>
      <c r="E344">
        <v>70.849999999999994</v>
      </c>
      <c r="F344" t="s">
        <v>1323</v>
      </c>
      <c r="G344">
        <f t="shared" si="5"/>
        <v>-2.1023125437981127E-3</v>
      </c>
    </row>
    <row r="345" spans="1:7">
      <c r="A345" s="79">
        <v>45509</v>
      </c>
      <c r="B345">
        <v>72.7</v>
      </c>
      <c r="C345">
        <v>71.45</v>
      </c>
      <c r="D345">
        <v>73.8</v>
      </c>
      <c r="E345">
        <v>71.45</v>
      </c>
      <c r="F345" t="s">
        <v>1324</v>
      </c>
      <c r="G345">
        <f t="shared" si="5"/>
        <v>2.1067415730336991E-2</v>
      </c>
    </row>
    <row r="346" spans="1:7">
      <c r="A346" s="79">
        <v>45540</v>
      </c>
      <c r="B346">
        <v>73.2</v>
      </c>
      <c r="C346">
        <v>72.7</v>
      </c>
      <c r="D346">
        <v>73.8</v>
      </c>
      <c r="E346">
        <v>72.599999999999994</v>
      </c>
      <c r="F346" t="s">
        <v>1325</v>
      </c>
      <c r="G346">
        <f t="shared" si="5"/>
        <v>6.8775790921595803E-3</v>
      </c>
    </row>
    <row r="347" spans="1:7">
      <c r="A347" s="79">
        <v>45570</v>
      </c>
      <c r="B347">
        <v>73.099999999999994</v>
      </c>
      <c r="C347">
        <v>73.400000000000006</v>
      </c>
      <c r="D347">
        <v>74.25</v>
      </c>
      <c r="E347">
        <v>73.099999999999994</v>
      </c>
      <c r="F347" t="s">
        <v>1326</v>
      </c>
      <c r="G347">
        <f t="shared" si="5"/>
        <v>-1.366120218579403E-3</v>
      </c>
    </row>
    <row r="348" spans="1:7">
      <c r="A348" t="s">
        <v>621</v>
      </c>
      <c r="B348">
        <v>72.75</v>
      </c>
      <c r="C348">
        <v>72.25</v>
      </c>
      <c r="D348">
        <v>73.3</v>
      </c>
      <c r="E348">
        <v>72.05</v>
      </c>
      <c r="F348" t="s">
        <v>1327</v>
      </c>
      <c r="G348">
        <f t="shared" si="5"/>
        <v>-4.7879616963063532E-3</v>
      </c>
    </row>
    <row r="349" spans="1:7">
      <c r="A349" t="s">
        <v>623</v>
      </c>
      <c r="B349">
        <v>73.55</v>
      </c>
      <c r="C349">
        <v>72.900000000000006</v>
      </c>
      <c r="D349">
        <v>73.7</v>
      </c>
      <c r="E349">
        <v>72.400000000000006</v>
      </c>
      <c r="F349" t="s">
        <v>1328</v>
      </c>
      <c r="G349">
        <f t="shared" si="5"/>
        <v>1.0996563573883122E-2</v>
      </c>
    </row>
    <row r="350" spans="1:7">
      <c r="A350" t="s">
        <v>625</v>
      </c>
      <c r="B350">
        <v>73.7</v>
      </c>
      <c r="C350">
        <v>73.5</v>
      </c>
      <c r="D350">
        <v>73.75</v>
      </c>
      <c r="E350">
        <v>72.599999999999994</v>
      </c>
      <c r="F350" t="s">
        <v>1329</v>
      </c>
      <c r="G350">
        <f t="shared" si="5"/>
        <v>2.0394289598912874E-3</v>
      </c>
    </row>
    <row r="351" spans="1:7">
      <c r="A351" t="s">
        <v>626</v>
      </c>
      <c r="B351">
        <v>74.25</v>
      </c>
      <c r="C351">
        <v>73.849999999999994</v>
      </c>
      <c r="D351">
        <v>74.900000000000006</v>
      </c>
      <c r="E351">
        <v>73.650000000000006</v>
      </c>
      <c r="F351" t="s">
        <v>1330</v>
      </c>
      <c r="G351">
        <f t="shared" si="5"/>
        <v>7.4626865671640896E-3</v>
      </c>
    </row>
    <row r="352" spans="1:7">
      <c r="A352" t="s">
        <v>628</v>
      </c>
      <c r="B352">
        <v>74.650000000000006</v>
      </c>
      <c r="C352">
        <v>74</v>
      </c>
      <c r="D352">
        <v>75.099999999999994</v>
      </c>
      <c r="E352">
        <v>73.8</v>
      </c>
      <c r="F352" t="s">
        <v>1331</v>
      </c>
      <c r="G352">
        <f t="shared" si="5"/>
        <v>5.3872053872054959E-3</v>
      </c>
    </row>
    <row r="353" spans="1:7">
      <c r="A353" t="s">
        <v>630</v>
      </c>
      <c r="B353">
        <v>75</v>
      </c>
      <c r="C353">
        <v>74.75</v>
      </c>
      <c r="D353">
        <v>75.349999999999994</v>
      </c>
      <c r="E353">
        <v>74.55</v>
      </c>
      <c r="F353" t="s">
        <v>1332</v>
      </c>
      <c r="G353">
        <f t="shared" si="5"/>
        <v>4.6885465505692725E-3</v>
      </c>
    </row>
    <row r="354" spans="1:7">
      <c r="A354" t="s">
        <v>632</v>
      </c>
      <c r="B354">
        <v>74.95</v>
      </c>
      <c r="C354">
        <v>75.2</v>
      </c>
      <c r="D354">
        <v>75.5</v>
      </c>
      <c r="E354">
        <v>74.7</v>
      </c>
      <c r="F354" t="s">
        <v>1333</v>
      </c>
      <c r="G354">
        <f t="shared" si="5"/>
        <v>-6.6666666666659324E-4</v>
      </c>
    </row>
    <row r="355" spans="1:7">
      <c r="A355" t="s">
        <v>634</v>
      </c>
      <c r="B355">
        <v>74.3</v>
      </c>
      <c r="C355">
        <v>74.7</v>
      </c>
      <c r="D355">
        <v>75</v>
      </c>
      <c r="E355">
        <v>73.900000000000006</v>
      </c>
      <c r="F355" t="s">
        <v>1334</v>
      </c>
      <c r="G355">
        <f t="shared" si="5"/>
        <v>-8.6724482988659313E-3</v>
      </c>
    </row>
    <row r="356" spans="1:7">
      <c r="A356" t="s">
        <v>636</v>
      </c>
      <c r="B356">
        <v>74.25</v>
      </c>
      <c r="C356">
        <v>74.599999999999994</v>
      </c>
      <c r="D356">
        <v>74.900000000000006</v>
      </c>
      <c r="E356">
        <v>74</v>
      </c>
      <c r="F356" t="s">
        <v>1335</v>
      </c>
      <c r="G356">
        <f t="shared" si="5"/>
        <v>-6.7294751009416842E-4</v>
      </c>
    </row>
    <row r="357" spans="1:7">
      <c r="A357" t="s">
        <v>638</v>
      </c>
      <c r="B357">
        <v>74.25</v>
      </c>
      <c r="C357">
        <v>73.900000000000006</v>
      </c>
      <c r="D357">
        <v>74.45</v>
      </c>
      <c r="E357">
        <v>73.5</v>
      </c>
      <c r="F357" t="s">
        <v>1336</v>
      </c>
      <c r="G357">
        <f t="shared" si="5"/>
        <v>0</v>
      </c>
    </row>
    <row r="358" spans="1:7">
      <c r="A358" t="s">
        <v>1337</v>
      </c>
      <c r="B358">
        <v>74.25</v>
      </c>
      <c r="C358">
        <v>73.5</v>
      </c>
      <c r="D358">
        <v>74.25</v>
      </c>
      <c r="E358">
        <v>73.5</v>
      </c>
      <c r="F358" t="s">
        <v>1016</v>
      </c>
      <c r="G358">
        <f t="shared" si="5"/>
        <v>0</v>
      </c>
    </row>
    <row r="359" spans="1:7">
      <c r="A359" t="s">
        <v>640</v>
      </c>
      <c r="B359">
        <v>73.099999999999994</v>
      </c>
      <c r="C359">
        <v>74.25</v>
      </c>
      <c r="D359">
        <v>74.349999999999994</v>
      </c>
      <c r="E359">
        <v>73.05</v>
      </c>
      <c r="F359" t="s">
        <v>1338</v>
      </c>
      <c r="G359">
        <f t="shared" si="5"/>
        <v>-1.5488215488215551E-2</v>
      </c>
    </row>
    <row r="360" spans="1:7">
      <c r="A360" t="s">
        <v>642</v>
      </c>
      <c r="B360">
        <v>72.900000000000006</v>
      </c>
      <c r="C360">
        <v>72.900000000000006</v>
      </c>
      <c r="D360">
        <v>73.099999999999994</v>
      </c>
      <c r="E360">
        <v>72.7</v>
      </c>
      <c r="F360" t="s">
        <v>1339</v>
      </c>
      <c r="G360">
        <f t="shared" si="5"/>
        <v>-2.7359781121749638E-3</v>
      </c>
    </row>
    <row r="361" spans="1:7">
      <c r="A361" t="s">
        <v>644</v>
      </c>
      <c r="B361">
        <v>73.05</v>
      </c>
      <c r="C361">
        <v>72.900000000000006</v>
      </c>
      <c r="D361">
        <v>73.5</v>
      </c>
      <c r="E361">
        <v>72.900000000000006</v>
      </c>
      <c r="F361" t="s">
        <v>1340</v>
      </c>
      <c r="G361">
        <f t="shared" si="5"/>
        <v>2.057613168724215E-3</v>
      </c>
    </row>
    <row r="362" spans="1:7">
      <c r="A362" t="s">
        <v>646</v>
      </c>
      <c r="B362">
        <v>73.599999999999994</v>
      </c>
      <c r="C362">
        <v>72.900000000000006</v>
      </c>
      <c r="D362">
        <v>73.7</v>
      </c>
      <c r="E362">
        <v>72.7</v>
      </c>
      <c r="F362" t="s">
        <v>1341</v>
      </c>
      <c r="G362">
        <f t="shared" si="5"/>
        <v>7.5290896646131866E-3</v>
      </c>
    </row>
    <row r="363" spans="1:7">
      <c r="A363" s="79">
        <v>45357</v>
      </c>
      <c r="B363">
        <v>73.2</v>
      </c>
      <c r="C363">
        <v>72.900000000000006</v>
      </c>
      <c r="D363">
        <v>73.7</v>
      </c>
      <c r="E363">
        <v>72.599999999999994</v>
      </c>
      <c r="F363" t="s">
        <v>1342</v>
      </c>
      <c r="G363">
        <f t="shared" si="5"/>
        <v>-5.4347826086955653E-3</v>
      </c>
    </row>
    <row r="364" spans="1:7">
      <c r="A364" s="79">
        <v>45388</v>
      </c>
      <c r="B364">
        <v>73.599999999999994</v>
      </c>
      <c r="C364">
        <v>73.599999999999994</v>
      </c>
      <c r="D364">
        <v>73.599999999999994</v>
      </c>
      <c r="E364">
        <v>72.75</v>
      </c>
      <c r="F364" t="s">
        <v>1343</v>
      </c>
      <c r="G364">
        <f t="shared" si="5"/>
        <v>5.4644808743167239E-3</v>
      </c>
    </row>
    <row r="365" spans="1:7">
      <c r="A365" s="79">
        <v>45418</v>
      </c>
      <c r="B365">
        <v>73.95</v>
      </c>
      <c r="C365">
        <v>73.900000000000006</v>
      </c>
      <c r="D365">
        <v>74</v>
      </c>
      <c r="E365">
        <v>73.5</v>
      </c>
      <c r="F365" t="s">
        <v>1344</v>
      </c>
      <c r="G365">
        <f t="shared" si="5"/>
        <v>4.7554347826088694E-3</v>
      </c>
    </row>
    <row r="366" spans="1:7">
      <c r="A366" s="79">
        <v>45449</v>
      </c>
      <c r="B366">
        <v>74.349999999999994</v>
      </c>
      <c r="C366">
        <v>73.95</v>
      </c>
      <c r="D366">
        <v>74.650000000000006</v>
      </c>
      <c r="E366">
        <v>73.75</v>
      </c>
      <c r="F366" t="s">
        <v>1345</v>
      </c>
      <c r="G366">
        <f t="shared" si="5"/>
        <v>5.4090601757943446E-3</v>
      </c>
    </row>
    <row r="367" spans="1:7">
      <c r="A367" s="79">
        <v>45479</v>
      </c>
      <c r="B367">
        <v>74.75</v>
      </c>
      <c r="C367">
        <v>74.849999999999994</v>
      </c>
      <c r="D367">
        <v>74.900000000000006</v>
      </c>
      <c r="E367">
        <v>74.25</v>
      </c>
      <c r="F367" t="s">
        <v>1346</v>
      </c>
      <c r="G367">
        <f t="shared" si="5"/>
        <v>5.3799596503028013E-3</v>
      </c>
    </row>
    <row r="368" spans="1:7">
      <c r="A368" s="79">
        <v>45571</v>
      </c>
      <c r="B368">
        <v>74.55</v>
      </c>
      <c r="C368">
        <v>74.5</v>
      </c>
      <c r="D368">
        <v>75.05</v>
      </c>
      <c r="E368">
        <v>74.2</v>
      </c>
      <c r="F368" t="s">
        <v>1347</v>
      </c>
      <c r="G368">
        <f t="shared" si="5"/>
        <v>-2.6755852842810235E-3</v>
      </c>
    </row>
    <row r="369" spans="1:7">
      <c r="A369" s="79">
        <v>45602</v>
      </c>
      <c r="B369">
        <v>75.099999999999994</v>
      </c>
      <c r="C369">
        <v>74.45</v>
      </c>
      <c r="D369">
        <v>75.25</v>
      </c>
      <c r="E369">
        <v>74.349999999999994</v>
      </c>
      <c r="F369" t="s">
        <v>1348</v>
      </c>
      <c r="G369">
        <f t="shared" si="5"/>
        <v>7.3775989268947129E-3</v>
      </c>
    </row>
    <row r="370" spans="1:7">
      <c r="A370" s="79">
        <v>45632</v>
      </c>
      <c r="B370">
        <v>74.849999999999994</v>
      </c>
      <c r="C370">
        <v>75.5</v>
      </c>
      <c r="D370">
        <v>75.8</v>
      </c>
      <c r="E370">
        <v>74.849999999999994</v>
      </c>
      <c r="F370" t="s">
        <v>1349</v>
      </c>
      <c r="G370">
        <f t="shared" si="5"/>
        <v>-3.3288948069241098E-3</v>
      </c>
    </row>
    <row r="371" spans="1:7">
      <c r="A371" t="s">
        <v>655</v>
      </c>
      <c r="B371">
        <v>74.599999999999994</v>
      </c>
      <c r="C371">
        <v>74.8</v>
      </c>
      <c r="D371">
        <v>74.849999999999994</v>
      </c>
      <c r="E371">
        <v>73.900000000000006</v>
      </c>
      <c r="F371" t="s">
        <v>1350</v>
      </c>
      <c r="G371">
        <f t="shared" si="5"/>
        <v>-3.3400133600534065E-3</v>
      </c>
    </row>
    <row r="372" spans="1:7">
      <c r="A372" t="s">
        <v>657</v>
      </c>
      <c r="B372">
        <v>73.650000000000006</v>
      </c>
      <c r="C372">
        <v>74.7</v>
      </c>
      <c r="D372">
        <v>74.95</v>
      </c>
      <c r="E372">
        <v>73.349999999999994</v>
      </c>
      <c r="F372" t="s">
        <v>1351</v>
      </c>
      <c r="G372">
        <f t="shared" si="5"/>
        <v>-1.2734584450401987E-2</v>
      </c>
    </row>
    <row r="373" spans="1:7">
      <c r="A373" t="s">
        <v>659</v>
      </c>
      <c r="B373">
        <v>74.45</v>
      </c>
      <c r="C373">
        <v>74.349999999999994</v>
      </c>
      <c r="D373">
        <v>74.5</v>
      </c>
      <c r="E373">
        <v>73.7</v>
      </c>
      <c r="F373" t="s">
        <v>1352</v>
      </c>
      <c r="G373">
        <f t="shared" si="5"/>
        <v>1.0862186014935382E-2</v>
      </c>
    </row>
    <row r="374" spans="1:7">
      <c r="A374" t="s">
        <v>661</v>
      </c>
      <c r="B374">
        <v>74.150000000000006</v>
      </c>
      <c r="C374">
        <v>74.650000000000006</v>
      </c>
      <c r="D374">
        <v>75.150000000000006</v>
      </c>
      <c r="E374">
        <v>73.8</v>
      </c>
      <c r="F374" t="s">
        <v>1353</v>
      </c>
      <c r="G374">
        <f t="shared" si="5"/>
        <v>-4.0295500335795209E-3</v>
      </c>
    </row>
    <row r="375" spans="1:7">
      <c r="A375" t="s">
        <v>1354</v>
      </c>
      <c r="B375">
        <v>73.7</v>
      </c>
      <c r="C375">
        <v>73.849999999999994</v>
      </c>
      <c r="D375">
        <v>74.05</v>
      </c>
      <c r="E375">
        <v>73.5</v>
      </c>
      <c r="F375" t="s">
        <v>1355</v>
      </c>
      <c r="G375">
        <f t="shared" si="5"/>
        <v>-6.0687795010114787E-3</v>
      </c>
    </row>
    <row r="376" spans="1:7">
      <c r="A376" t="s">
        <v>663</v>
      </c>
      <c r="B376">
        <v>73.25</v>
      </c>
      <c r="C376">
        <v>73.849999999999994</v>
      </c>
      <c r="D376">
        <v>74.55</v>
      </c>
      <c r="E376">
        <v>73.25</v>
      </c>
      <c r="F376" t="s">
        <v>1356</v>
      </c>
      <c r="G376">
        <f t="shared" si="5"/>
        <v>-6.105834464043447E-3</v>
      </c>
    </row>
    <row r="377" spans="1:7">
      <c r="A377" t="s">
        <v>665</v>
      </c>
      <c r="B377">
        <v>73.099999999999994</v>
      </c>
      <c r="C377">
        <v>72.7</v>
      </c>
      <c r="D377">
        <v>73.099999999999994</v>
      </c>
      <c r="E377">
        <v>72.25</v>
      </c>
      <c r="F377" t="s">
        <v>1357</v>
      </c>
      <c r="G377">
        <f t="shared" si="5"/>
        <v>-2.0477815699659896E-3</v>
      </c>
    </row>
    <row r="378" spans="1:7">
      <c r="A378" t="s">
        <v>667</v>
      </c>
      <c r="B378">
        <v>73.75</v>
      </c>
      <c r="C378">
        <v>72.95</v>
      </c>
      <c r="D378">
        <v>73.75</v>
      </c>
      <c r="E378">
        <v>72.849999999999994</v>
      </c>
      <c r="F378" t="s">
        <v>1358</v>
      </c>
      <c r="G378">
        <f t="shared" si="5"/>
        <v>8.8919288645692429E-3</v>
      </c>
    </row>
    <row r="379" spans="1:7">
      <c r="A379" t="s">
        <v>669</v>
      </c>
      <c r="B379">
        <v>73.45</v>
      </c>
      <c r="C379">
        <v>73.45</v>
      </c>
      <c r="D379">
        <v>74</v>
      </c>
      <c r="E379">
        <v>73.150000000000006</v>
      </c>
      <c r="F379" t="s">
        <v>1359</v>
      </c>
      <c r="G379">
        <f t="shared" si="5"/>
        <v>-4.0677966101694274E-3</v>
      </c>
    </row>
    <row r="380" spans="1:7">
      <c r="A380" t="s">
        <v>671</v>
      </c>
      <c r="B380">
        <v>73.849999999999994</v>
      </c>
      <c r="C380">
        <v>73.75</v>
      </c>
      <c r="D380">
        <v>73.900000000000006</v>
      </c>
      <c r="E380">
        <v>73.25</v>
      </c>
      <c r="F380" t="s">
        <v>1360</v>
      </c>
      <c r="G380">
        <f t="shared" si="5"/>
        <v>5.4458815520761483E-3</v>
      </c>
    </row>
    <row r="381" spans="1:7">
      <c r="A381" t="s">
        <v>673</v>
      </c>
      <c r="B381">
        <v>74.150000000000006</v>
      </c>
      <c r="C381">
        <v>73.849999999999994</v>
      </c>
      <c r="D381">
        <v>74.75</v>
      </c>
      <c r="E381">
        <v>73.75</v>
      </c>
      <c r="F381" t="s">
        <v>1361</v>
      </c>
      <c r="G381">
        <f t="shared" si="5"/>
        <v>4.062288422478133E-3</v>
      </c>
    </row>
    <row r="382" spans="1:7">
      <c r="A382" t="s">
        <v>675</v>
      </c>
      <c r="B382">
        <v>73.45</v>
      </c>
      <c r="C382">
        <v>74.25</v>
      </c>
      <c r="D382">
        <v>74.5</v>
      </c>
      <c r="E382">
        <v>73.05</v>
      </c>
      <c r="F382" t="s">
        <v>1362</v>
      </c>
      <c r="G382">
        <f t="shared" si="5"/>
        <v>-9.4403236682401026E-3</v>
      </c>
    </row>
    <row r="383" spans="1:7">
      <c r="A383" s="79">
        <v>45298</v>
      </c>
      <c r="B383">
        <v>73.349999999999994</v>
      </c>
      <c r="C383">
        <v>73.900000000000006</v>
      </c>
      <c r="D383">
        <v>74</v>
      </c>
      <c r="E383">
        <v>73.2</v>
      </c>
      <c r="F383" t="s">
        <v>1363</v>
      </c>
      <c r="G383">
        <f t="shared" si="5"/>
        <v>-1.3614703880191481E-3</v>
      </c>
    </row>
    <row r="384" spans="1:7">
      <c r="A384" s="79">
        <v>45329</v>
      </c>
      <c r="B384">
        <v>73.150000000000006</v>
      </c>
      <c r="C384">
        <v>73.3</v>
      </c>
      <c r="D384">
        <v>73.3</v>
      </c>
      <c r="E384">
        <v>72.55</v>
      </c>
      <c r="F384" t="s">
        <v>1364</v>
      </c>
      <c r="G384">
        <f t="shared" si="5"/>
        <v>-2.7266530334013606E-3</v>
      </c>
    </row>
    <row r="385" spans="1:7">
      <c r="A385" s="79">
        <v>45358</v>
      </c>
      <c r="B385">
        <v>73</v>
      </c>
      <c r="C385">
        <v>73.2</v>
      </c>
      <c r="D385">
        <v>73.349999999999994</v>
      </c>
      <c r="E385">
        <v>72.3</v>
      </c>
      <c r="F385" t="s">
        <v>1365</v>
      </c>
      <c r="G385">
        <f t="shared" si="5"/>
        <v>-2.0505809979495249E-3</v>
      </c>
    </row>
    <row r="386" spans="1:7">
      <c r="A386" s="79">
        <v>45389</v>
      </c>
      <c r="B386">
        <v>72.95</v>
      </c>
      <c r="C386">
        <v>72.900000000000006</v>
      </c>
      <c r="D386">
        <v>73.25</v>
      </c>
      <c r="E386">
        <v>72.55</v>
      </c>
      <c r="F386" t="s">
        <v>1366</v>
      </c>
      <c r="G386">
        <f t="shared" si="5"/>
        <v>-6.8493150684922899E-4</v>
      </c>
    </row>
    <row r="387" spans="1:7">
      <c r="A387" s="79">
        <v>45419</v>
      </c>
      <c r="B387">
        <v>72.75</v>
      </c>
      <c r="C387">
        <v>73.099999999999994</v>
      </c>
      <c r="D387">
        <v>73.3</v>
      </c>
      <c r="E387">
        <v>72.650000000000006</v>
      </c>
      <c r="F387" t="s">
        <v>1367</v>
      </c>
      <c r="G387">
        <f t="shared" si="5"/>
        <v>-2.7416038382453989E-3</v>
      </c>
    </row>
    <row r="388" spans="1:7">
      <c r="A388" s="79">
        <v>45511</v>
      </c>
      <c r="B388">
        <v>72.900000000000006</v>
      </c>
      <c r="C388">
        <v>72.75</v>
      </c>
      <c r="D388">
        <v>73.2</v>
      </c>
      <c r="E388">
        <v>72.599999999999994</v>
      </c>
      <c r="F388" t="s">
        <v>1368</v>
      </c>
      <c r="G388">
        <f t="shared" ref="G388:G451" si="6">B388/B387-1</f>
        <v>2.0618556701030855E-3</v>
      </c>
    </row>
    <row r="389" spans="1:7">
      <c r="A389" s="79">
        <v>45542</v>
      </c>
      <c r="B389">
        <v>72.8</v>
      </c>
      <c r="C389">
        <v>72.849999999999994</v>
      </c>
      <c r="D389">
        <v>73.400000000000006</v>
      </c>
      <c r="E389">
        <v>72.55</v>
      </c>
      <c r="F389" t="s">
        <v>1369</v>
      </c>
      <c r="G389">
        <f t="shared" si="6"/>
        <v>-1.371742112482921E-3</v>
      </c>
    </row>
    <row r="390" spans="1:7">
      <c r="A390" s="79">
        <v>45572</v>
      </c>
      <c r="B390">
        <v>72.55</v>
      </c>
      <c r="C390">
        <v>72.599999999999994</v>
      </c>
      <c r="D390">
        <v>72.849999999999994</v>
      </c>
      <c r="E390">
        <v>72</v>
      </c>
      <c r="F390" t="s">
        <v>1370</v>
      </c>
      <c r="G390">
        <f t="shared" si="6"/>
        <v>-3.4340659340659219E-3</v>
      </c>
    </row>
    <row r="391" spans="1:7">
      <c r="A391" s="79">
        <v>45603</v>
      </c>
      <c r="B391">
        <v>72.05</v>
      </c>
      <c r="C391">
        <v>72.95</v>
      </c>
      <c r="D391">
        <v>72.95</v>
      </c>
      <c r="E391">
        <v>71.8</v>
      </c>
      <c r="F391" t="s">
        <v>1371</v>
      </c>
      <c r="G391">
        <f t="shared" si="6"/>
        <v>-6.8917987594762087E-3</v>
      </c>
    </row>
    <row r="392" spans="1:7">
      <c r="A392" s="79">
        <v>45633</v>
      </c>
      <c r="B392">
        <v>73.3</v>
      </c>
      <c r="C392">
        <v>72.05</v>
      </c>
      <c r="D392">
        <v>73.599999999999994</v>
      </c>
      <c r="E392">
        <v>72.05</v>
      </c>
      <c r="F392" t="s">
        <v>1331</v>
      </c>
      <c r="G392">
        <f t="shared" si="6"/>
        <v>1.7349063150589927E-2</v>
      </c>
    </row>
    <row r="393" spans="1:7">
      <c r="A393" t="s">
        <v>686</v>
      </c>
      <c r="B393">
        <v>72.599999999999994</v>
      </c>
      <c r="C393">
        <v>73.349999999999994</v>
      </c>
      <c r="D393">
        <v>73.400000000000006</v>
      </c>
      <c r="E393">
        <v>72.400000000000006</v>
      </c>
      <c r="F393" t="s">
        <v>1372</v>
      </c>
      <c r="G393">
        <f t="shared" si="6"/>
        <v>-9.5497953615280018E-3</v>
      </c>
    </row>
    <row r="394" spans="1:7">
      <c r="A394" t="s">
        <v>688</v>
      </c>
      <c r="B394">
        <v>72.5</v>
      </c>
      <c r="C394">
        <v>72.150000000000006</v>
      </c>
      <c r="D394">
        <v>72.5</v>
      </c>
      <c r="E394">
        <v>71.900000000000006</v>
      </c>
      <c r="F394" t="s">
        <v>1373</v>
      </c>
      <c r="G394">
        <f t="shared" si="6"/>
        <v>-1.3774104683195176E-3</v>
      </c>
    </row>
    <row r="395" spans="1:7">
      <c r="A395" t="s">
        <v>690</v>
      </c>
      <c r="B395">
        <v>74.25</v>
      </c>
      <c r="C395">
        <v>72</v>
      </c>
      <c r="D395">
        <v>75.349999999999994</v>
      </c>
      <c r="E395">
        <v>72</v>
      </c>
      <c r="F395" t="s">
        <v>1374</v>
      </c>
      <c r="G395">
        <f t="shared" si="6"/>
        <v>2.4137931034482696E-2</v>
      </c>
    </row>
    <row r="396" spans="1:7">
      <c r="A396" t="s">
        <v>692</v>
      </c>
      <c r="B396">
        <v>75.099999999999994</v>
      </c>
      <c r="C396">
        <v>74.650000000000006</v>
      </c>
      <c r="D396">
        <v>75.150000000000006</v>
      </c>
      <c r="E396">
        <v>74.349999999999994</v>
      </c>
      <c r="F396" t="s">
        <v>1375</v>
      </c>
      <c r="G396">
        <f t="shared" si="6"/>
        <v>1.1447811447811373E-2</v>
      </c>
    </row>
    <row r="397" spans="1:7">
      <c r="A397" t="s">
        <v>694</v>
      </c>
      <c r="B397">
        <v>74.45</v>
      </c>
      <c r="C397">
        <v>74.7</v>
      </c>
      <c r="D397">
        <v>75.05</v>
      </c>
      <c r="E397">
        <v>73.95</v>
      </c>
      <c r="F397" t="s">
        <v>1376</v>
      </c>
      <c r="G397">
        <f t="shared" si="6"/>
        <v>-8.6551264980025966E-3</v>
      </c>
    </row>
    <row r="398" spans="1:7">
      <c r="A398" t="s">
        <v>696</v>
      </c>
      <c r="B398">
        <v>74.3</v>
      </c>
      <c r="C398">
        <v>74.599999999999994</v>
      </c>
      <c r="D398">
        <v>74.75</v>
      </c>
      <c r="E398">
        <v>74.25</v>
      </c>
      <c r="F398" t="s">
        <v>1377</v>
      </c>
      <c r="G398">
        <f t="shared" si="6"/>
        <v>-2.014775016789816E-3</v>
      </c>
    </row>
    <row r="399" spans="1:7">
      <c r="A399" t="s">
        <v>698</v>
      </c>
      <c r="B399">
        <v>74.400000000000006</v>
      </c>
      <c r="C399">
        <v>74.5</v>
      </c>
      <c r="D399">
        <v>74.599999999999994</v>
      </c>
      <c r="E399">
        <v>73.849999999999994</v>
      </c>
      <c r="F399" t="s">
        <v>1378</v>
      </c>
      <c r="G399">
        <f t="shared" si="6"/>
        <v>1.3458950201885589E-3</v>
      </c>
    </row>
    <row r="400" spans="1:7">
      <c r="A400" t="s">
        <v>700</v>
      </c>
      <c r="B400">
        <v>73.599999999999994</v>
      </c>
      <c r="C400">
        <v>74.5</v>
      </c>
      <c r="D400">
        <v>74.5</v>
      </c>
      <c r="E400">
        <v>72.900000000000006</v>
      </c>
      <c r="F400" t="s">
        <v>1379</v>
      </c>
      <c r="G400">
        <f t="shared" si="6"/>
        <v>-1.0752688172043112E-2</v>
      </c>
    </row>
    <row r="401" spans="1:7">
      <c r="A401" t="s">
        <v>702</v>
      </c>
      <c r="B401">
        <v>72.099999999999994</v>
      </c>
      <c r="C401">
        <v>73.349999999999994</v>
      </c>
      <c r="D401">
        <v>74.05</v>
      </c>
      <c r="E401">
        <v>72.099999999999994</v>
      </c>
      <c r="F401" t="s">
        <v>1380</v>
      </c>
      <c r="G401">
        <f t="shared" si="6"/>
        <v>-2.0380434782608647E-2</v>
      </c>
    </row>
    <row r="402" spans="1:7">
      <c r="A402" t="s">
        <v>704</v>
      </c>
      <c r="B402">
        <v>73.25</v>
      </c>
      <c r="C402">
        <v>72</v>
      </c>
      <c r="D402">
        <v>73.25</v>
      </c>
      <c r="E402">
        <v>72</v>
      </c>
      <c r="F402" t="s">
        <v>1161</v>
      </c>
      <c r="G402">
        <f t="shared" si="6"/>
        <v>1.5950069348127593E-2</v>
      </c>
    </row>
    <row r="403" spans="1:7">
      <c r="A403" t="s">
        <v>706</v>
      </c>
      <c r="B403">
        <v>72</v>
      </c>
      <c r="C403">
        <v>73.099999999999994</v>
      </c>
      <c r="D403">
        <v>73.099999999999994</v>
      </c>
      <c r="E403">
        <v>71.95</v>
      </c>
      <c r="F403" t="s">
        <v>1381</v>
      </c>
      <c r="G403">
        <f t="shared" si="6"/>
        <v>-1.7064846416382284E-2</v>
      </c>
    </row>
    <row r="404" spans="1:7">
      <c r="A404" t="s">
        <v>708</v>
      </c>
      <c r="B404">
        <v>71.599999999999994</v>
      </c>
      <c r="C404">
        <v>73.3</v>
      </c>
      <c r="D404">
        <v>73.3</v>
      </c>
      <c r="E404">
        <v>71.05</v>
      </c>
      <c r="F404" t="s">
        <v>1382</v>
      </c>
      <c r="G404">
        <f t="shared" si="6"/>
        <v>-5.5555555555556468E-3</v>
      </c>
    </row>
    <row r="405" spans="1:7">
      <c r="A405" t="s">
        <v>710</v>
      </c>
      <c r="B405">
        <v>71.650000000000006</v>
      </c>
      <c r="C405">
        <v>72.2</v>
      </c>
      <c r="D405">
        <v>72.400000000000006</v>
      </c>
      <c r="E405">
        <v>71.45</v>
      </c>
      <c r="F405" t="s">
        <v>1383</v>
      </c>
      <c r="G405">
        <f t="shared" si="6"/>
        <v>6.9832402234659696E-4</v>
      </c>
    </row>
    <row r="406" spans="1:7">
      <c r="A406" s="79">
        <v>45299</v>
      </c>
      <c r="B406">
        <v>71.2</v>
      </c>
      <c r="C406">
        <v>71.3</v>
      </c>
      <c r="D406">
        <v>71.7</v>
      </c>
      <c r="E406">
        <v>70.900000000000006</v>
      </c>
      <c r="F406" t="s">
        <v>1384</v>
      </c>
      <c r="G406">
        <f t="shared" si="6"/>
        <v>-6.2805303558967074E-3</v>
      </c>
    </row>
    <row r="407" spans="1:7">
      <c r="A407" s="79">
        <v>45330</v>
      </c>
      <c r="B407">
        <v>70.45</v>
      </c>
      <c r="C407">
        <v>71.2</v>
      </c>
      <c r="D407">
        <v>71.2</v>
      </c>
      <c r="E407">
        <v>70.25</v>
      </c>
      <c r="F407" t="s">
        <v>1385</v>
      </c>
      <c r="G407">
        <f t="shared" si="6"/>
        <v>-1.0533707865168496E-2</v>
      </c>
    </row>
    <row r="408" spans="1:7">
      <c r="A408" s="79">
        <v>45420</v>
      </c>
      <c r="B408">
        <v>69.95</v>
      </c>
      <c r="C408">
        <v>70.45</v>
      </c>
      <c r="D408">
        <v>70.45</v>
      </c>
      <c r="E408">
        <v>69.400000000000006</v>
      </c>
      <c r="F408" t="s">
        <v>1386</v>
      </c>
      <c r="G408">
        <f t="shared" si="6"/>
        <v>-7.0972320794889798E-3</v>
      </c>
    </row>
    <row r="409" spans="1:7">
      <c r="A409" s="79">
        <v>45451</v>
      </c>
      <c r="B409">
        <v>70.3</v>
      </c>
      <c r="C409">
        <v>70.099999999999994</v>
      </c>
      <c r="D409">
        <v>70.45</v>
      </c>
      <c r="E409">
        <v>69.45</v>
      </c>
      <c r="F409" t="s">
        <v>1387</v>
      </c>
      <c r="G409">
        <f t="shared" si="6"/>
        <v>5.0035739814151547E-3</v>
      </c>
    </row>
    <row r="410" spans="1:7">
      <c r="A410" s="79">
        <v>45481</v>
      </c>
      <c r="B410">
        <v>70.599999999999994</v>
      </c>
      <c r="C410">
        <v>70.150000000000006</v>
      </c>
      <c r="D410">
        <v>70.849999999999994</v>
      </c>
      <c r="E410">
        <v>70.150000000000006</v>
      </c>
      <c r="F410" t="s">
        <v>1388</v>
      </c>
      <c r="G410">
        <f t="shared" si="6"/>
        <v>4.2674253200567502E-3</v>
      </c>
    </row>
    <row r="411" spans="1:7">
      <c r="A411" s="79">
        <v>45512</v>
      </c>
      <c r="B411">
        <v>70.349999999999994</v>
      </c>
      <c r="C411">
        <v>70.150000000000006</v>
      </c>
      <c r="D411">
        <v>70.400000000000006</v>
      </c>
      <c r="E411">
        <v>69.900000000000006</v>
      </c>
      <c r="F411" t="s">
        <v>1389</v>
      </c>
      <c r="G411">
        <f t="shared" si="6"/>
        <v>-3.5410764872521039E-3</v>
      </c>
    </row>
    <row r="412" spans="1:7">
      <c r="A412" s="79">
        <v>45543</v>
      </c>
      <c r="B412">
        <v>70.150000000000006</v>
      </c>
      <c r="C412">
        <v>70.45</v>
      </c>
      <c r="D412">
        <v>70.599999999999994</v>
      </c>
      <c r="E412">
        <v>69.900000000000006</v>
      </c>
      <c r="F412" t="s">
        <v>1390</v>
      </c>
      <c r="G412">
        <f t="shared" si="6"/>
        <v>-2.842928216062357E-3</v>
      </c>
    </row>
    <row r="413" spans="1:7">
      <c r="A413" s="79">
        <v>45634</v>
      </c>
      <c r="B413">
        <v>70.3</v>
      </c>
      <c r="C413">
        <v>70</v>
      </c>
      <c r="D413">
        <v>71.099999999999994</v>
      </c>
      <c r="E413">
        <v>69.75</v>
      </c>
      <c r="F413" t="s">
        <v>1391</v>
      </c>
      <c r="G413">
        <f t="shared" si="6"/>
        <v>2.1382751247325249E-3</v>
      </c>
    </row>
    <row r="414" spans="1:7">
      <c r="A414" t="s">
        <v>720</v>
      </c>
      <c r="B414">
        <v>70.650000000000006</v>
      </c>
      <c r="C414">
        <v>70.45</v>
      </c>
      <c r="D414">
        <v>71.05</v>
      </c>
      <c r="E414">
        <v>70.099999999999994</v>
      </c>
      <c r="F414" t="s">
        <v>1392</v>
      </c>
      <c r="G414">
        <f t="shared" si="6"/>
        <v>4.978662873399875E-3</v>
      </c>
    </row>
    <row r="415" spans="1:7">
      <c r="A415" t="s">
        <v>722</v>
      </c>
      <c r="B415">
        <v>70.900000000000006</v>
      </c>
      <c r="C415">
        <v>71</v>
      </c>
      <c r="D415">
        <v>71.25</v>
      </c>
      <c r="E415">
        <v>70.5</v>
      </c>
      <c r="F415" t="s">
        <v>1393</v>
      </c>
      <c r="G415">
        <f t="shared" si="6"/>
        <v>3.5385704175512345E-3</v>
      </c>
    </row>
    <row r="416" spans="1:7">
      <c r="A416" t="s">
        <v>724</v>
      </c>
      <c r="B416">
        <v>70.55</v>
      </c>
      <c r="C416">
        <v>70.849999999999994</v>
      </c>
      <c r="D416">
        <v>70.900000000000006</v>
      </c>
      <c r="E416">
        <v>70.150000000000006</v>
      </c>
      <c r="F416" t="s">
        <v>1394</v>
      </c>
      <c r="G416">
        <f t="shared" si="6"/>
        <v>-4.9365303244006675E-3</v>
      </c>
    </row>
    <row r="417" spans="1:7">
      <c r="A417" t="s">
        <v>726</v>
      </c>
      <c r="B417">
        <v>71</v>
      </c>
      <c r="C417">
        <v>70.650000000000006</v>
      </c>
      <c r="D417">
        <v>71.05</v>
      </c>
      <c r="E417">
        <v>69.95</v>
      </c>
      <c r="F417" t="s">
        <v>1395</v>
      </c>
      <c r="G417">
        <f t="shared" si="6"/>
        <v>6.3784549964565063E-3</v>
      </c>
    </row>
    <row r="418" spans="1:7">
      <c r="A418" t="s">
        <v>728</v>
      </c>
      <c r="B418">
        <v>70.599999999999994</v>
      </c>
      <c r="C418">
        <v>70.900000000000006</v>
      </c>
      <c r="D418">
        <v>71.2</v>
      </c>
      <c r="E418">
        <v>70.150000000000006</v>
      </c>
      <c r="F418" t="s">
        <v>1396</v>
      </c>
      <c r="G418">
        <f t="shared" si="6"/>
        <v>-5.633802816901512E-3</v>
      </c>
    </row>
    <row r="419" spans="1:7">
      <c r="A419" t="s">
        <v>730</v>
      </c>
      <c r="B419">
        <v>71.45</v>
      </c>
      <c r="C419">
        <v>70.900000000000006</v>
      </c>
      <c r="D419">
        <v>71.45</v>
      </c>
      <c r="E419">
        <v>70.7</v>
      </c>
      <c r="F419" t="s">
        <v>1397</v>
      </c>
      <c r="G419">
        <f t="shared" si="6"/>
        <v>1.2039660056657242E-2</v>
      </c>
    </row>
    <row r="420" spans="1:7">
      <c r="A420" t="s">
        <v>732</v>
      </c>
      <c r="B420">
        <v>72.650000000000006</v>
      </c>
      <c r="C420">
        <v>71.150000000000006</v>
      </c>
      <c r="D420">
        <v>72.650000000000006</v>
      </c>
      <c r="E420">
        <v>71.150000000000006</v>
      </c>
      <c r="F420" t="s">
        <v>1398</v>
      </c>
      <c r="G420">
        <f t="shared" si="6"/>
        <v>1.679496151154658E-2</v>
      </c>
    </row>
    <row r="421" spans="1:7">
      <c r="A421" t="s">
        <v>734</v>
      </c>
      <c r="B421">
        <v>73.099999999999994</v>
      </c>
      <c r="C421">
        <v>72.75</v>
      </c>
      <c r="D421">
        <v>73.099999999999994</v>
      </c>
      <c r="E421">
        <v>72.55</v>
      </c>
      <c r="F421" t="s">
        <v>1399</v>
      </c>
      <c r="G421">
        <f t="shared" si="6"/>
        <v>6.1940812112868393E-3</v>
      </c>
    </row>
    <row r="422" spans="1:7">
      <c r="A422" t="s">
        <v>736</v>
      </c>
      <c r="B422">
        <v>73.45</v>
      </c>
      <c r="C422">
        <v>73</v>
      </c>
      <c r="D422">
        <v>73.599999999999994</v>
      </c>
      <c r="E422">
        <v>72.849999999999994</v>
      </c>
      <c r="F422" t="s">
        <v>1400</v>
      </c>
      <c r="G422">
        <f t="shared" si="6"/>
        <v>4.7879616963064642E-3</v>
      </c>
    </row>
    <row r="423" spans="1:7">
      <c r="A423" t="s">
        <v>738</v>
      </c>
      <c r="B423">
        <v>73.150000000000006</v>
      </c>
      <c r="C423">
        <v>73.599999999999994</v>
      </c>
      <c r="D423">
        <v>73.599999999999994</v>
      </c>
      <c r="E423">
        <v>73.099999999999994</v>
      </c>
      <c r="F423" t="s">
        <v>1401</v>
      </c>
      <c r="G423">
        <f t="shared" si="6"/>
        <v>-4.0844111640571112E-3</v>
      </c>
    </row>
    <row r="424" spans="1:7">
      <c r="A424" t="s">
        <v>740</v>
      </c>
      <c r="B424">
        <v>73.95</v>
      </c>
      <c r="C424">
        <v>73.2</v>
      </c>
      <c r="D424">
        <v>74.150000000000006</v>
      </c>
      <c r="E424">
        <v>73</v>
      </c>
      <c r="F424" t="s">
        <v>1402</v>
      </c>
      <c r="G424">
        <f t="shared" si="6"/>
        <v>1.0936431989063466E-2</v>
      </c>
    </row>
    <row r="425" spans="1:7">
      <c r="A425" t="s">
        <v>742</v>
      </c>
      <c r="B425">
        <v>74.2</v>
      </c>
      <c r="C425">
        <v>74</v>
      </c>
      <c r="D425">
        <v>74.7</v>
      </c>
      <c r="E425">
        <v>74</v>
      </c>
      <c r="F425" t="s">
        <v>1403</v>
      </c>
      <c r="G425">
        <f t="shared" si="6"/>
        <v>3.3806626098715764E-3</v>
      </c>
    </row>
    <row r="426" spans="1:7">
      <c r="A426" t="s">
        <v>744</v>
      </c>
      <c r="B426">
        <v>74.5</v>
      </c>
      <c r="C426">
        <v>74.05</v>
      </c>
      <c r="D426">
        <v>74.5</v>
      </c>
      <c r="E426">
        <v>74</v>
      </c>
      <c r="F426" t="s">
        <v>1404</v>
      </c>
      <c r="G426">
        <f t="shared" si="6"/>
        <v>4.0431266846361336E-3</v>
      </c>
    </row>
    <row r="427" spans="1:7">
      <c r="A427" t="s">
        <v>746</v>
      </c>
      <c r="B427">
        <v>75.150000000000006</v>
      </c>
      <c r="C427">
        <v>74.45</v>
      </c>
      <c r="D427">
        <v>75.150000000000006</v>
      </c>
      <c r="E427">
        <v>74.45</v>
      </c>
      <c r="F427" t="s">
        <v>1405</v>
      </c>
      <c r="G427">
        <f t="shared" si="6"/>
        <v>8.7248322147652768E-3</v>
      </c>
    </row>
    <row r="428" spans="1:7">
      <c r="A428" s="79">
        <v>45331</v>
      </c>
      <c r="B428">
        <v>75.349999999999994</v>
      </c>
      <c r="C428">
        <v>75.400000000000006</v>
      </c>
      <c r="D428">
        <v>75.599999999999994</v>
      </c>
      <c r="E428">
        <v>74.3</v>
      </c>
      <c r="F428" t="s">
        <v>1406</v>
      </c>
      <c r="G428">
        <f t="shared" si="6"/>
        <v>2.6613439787090964E-3</v>
      </c>
    </row>
    <row r="429" spans="1:7">
      <c r="A429" s="79">
        <v>45360</v>
      </c>
      <c r="B429">
        <v>75.55</v>
      </c>
      <c r="C429">
        <v>75</v>
      </c>
      <c r="D429">
        <v>75.599999999999994</v>
      </c>
      <c r="E429">
        <v>74.95</v>
      </c>
      <c r="F429" t="s">
        <v>1407</v>
      </c>
      <c r="G429">
        <f t="shared" si="6"/>
        <v>2.6542800265427768E-3</v>
      </c>
    </row>
    <row r="430" spans="1:7">
      <c r="A430" s="79">
        <v>45391</v>
      </c>
      <c r="B430">
        <v>74.400000000000006</v>
      </c>
      <c r="C430">
        <v>75.45</v>
      </c>
      <c r="D430">
        <v>75.75</v>
      </c>
      <c r="E430">
        <v>74.3</v>
      </c>
      <c r="F430" t="s">
        <v>1408</v>
      </c>
      <c r="G430">
        <f t="shared" si="6"/>
        <v>-1.5221707478490942E-2</v>
      </c>
    </row>
    <row r="431" spans="1:7">
      <c r="A431" s="79">
        <v>45421</v>
      </c>
      <c r="B431">
        <v>74.55</v>
      </c>
      <c r="C431">
        <v>74.5</v>
      </c>
      <c r="D431">
        <v>74.8</v>
      </c>
      <c r="E431">
        <v>73.95</v>
      </c>
      <c r="F431" t="s">
        <v>1409</v>
      </c>
      <c r="G431">
        <f t="shared" si="6"/>
        <v>2.0161290322580072E-3</v>
      </c>
    </row>
    <row r="432" spans="1:7">
      <c r="A432" s="79">
        <v>45452</v>
      </c>
      <c r="B432">
        <v>73.8</v>
      </c>
      <c r="C432">
        <v>74.349999999999994</v>
      </c>
      <c r="D432">
        <v>74.599999999999994</v>
      </c>
      <c r="E432">
        <v>73.3</v>
      </c>
      <c r="F432" t="s">
        <v>1410</v>
      </c>
      <c r="G432">
        <f t="shared" si="6"/>
        <v>-1.0060362173038184E-2</v>
      </c>
    </row>
    <row r="433" spans="1:7">
      <c r="A433" s="79">
        <v>45544</v>
      </c>
      <c r="B433">
        <v>73.5</v>
      </c>
      <c r="C433">
        <v>73.7</v>
      </c>
      <c r="D433">
        <v>73.900000000000006</v>
      </c>
      <c r="E433">
        <v>72.849999999999994</v>
      </c>
      <c r="F433" t="s">
        <v>1411</v>
      </c>
      <c r="G433">
        <f t="shared" si="6"/>
        <v>-4.0650406504064707E-3</v>
      </c>
    </row>
    <row r="434" spans="1:7">
      <c r="A434" s="79">
        <v>45574</v>
      </c>
      <c r="B434">
        <v>73.150000000000006</v>
      </c>
      <c r="C434">
        <v>73.8</v>
      </c>
      <c r="D434">
        <v>73.8</v>
      </c>
      <c r="E434">
        <v>72.95</v>
      </c>
      <c r="F434" t="s">
        <v>1412</v>
      </c>
      <c r="G434">
        <f t="shared" si="6"/>
        <v>-4.761904761904634E-3</v>
      </c>
    </row>
    <row r="435" spans="1:7">
      <c r="A435" s="79">
        <v>45605</v>
      </c>
      <c r="B435">
        <v>73.150000000000006</v>
      </c>
      <c r="C435">
        <v>73.099999999999994</v>
      </c>
      <c r="D435">
        <v>74.5</v>
      </c>
      <c r="E435">
        <v>72.75</v>
      </c>
      <c r="F435" t="s">
        <v>1413</v>
      </c>
      <c r="G435">
        <f t="shared" si="6"/>
        <v>0</v>
      </c>
    </row>
    <row r="436" spans="1:7">
      <c r="A436" s="79">
        <v>45635</v>
      </c>
      <c r="B436">
        <v>72.8</v>
      </c>
      <c r="C436">
        <v>72.650000000000006</v>
      </c>
      <c r="D436">
        <v>73.25</v>
      </c>
      <c r="E436">
        <v>72.650000000000006</v>
      </c>
      <c r="F436" t="s">
        <v>1414</v>
      </c>
      <c r="G436">
        <f t="shared" si="6"/>
        <v>-4.784688995215447E-3</v>
      </c>
    </row>
    <row r="437" spans="1:7">
      <c r="A437" t="s">
        <v>756</v>
      </c>
      <c r="B437">
        <v>72.75</v>
      </c>
      <c r="C437">
        <v>72.5</v>
      </c>
      <c r="D437">
        <v>72.75</v>
      </c>
      <c r="E437">
        <v>71.75</v>
      </c>
      <c r="F437" t="s">
        <v>1165</v>
      </c>
      <c r="G437">
        <f t="shared" si="6"/>
        <v>-6.8681318681318437E-4</v>
      </c>
    </row>
    <row r="438" spans="1:7">
      <c r="A438" t="s">
        <v>758</v>
      </c>
      <c r="B438">
        <v>72.900000000000006</v>
      </c>
      <c r="C438">
        <v>72.75</v>
      </c>
      <c r="D438">
        <v>72.900000000000006</v>
      </c>
      <c r="E438">
        <v>72.349999999999994</v>
      </c>
      <c r="G438">
        <f t="shared" si="6"/>
        <v>2.0618556701030855E-3</v>
      </c>
    </row>
    <row r="439" spans="1:7">
      <c r="A439" t="s">
        <v>760</v>
      </c>
      <c r="B439">
        <v>72.45</v>
      </c>
      <c r="C439">
        <v>72.900000000000006</v>
      </c>
      <c r="D439">
        <v>73.099999999999994</v>
      </c>
      <c r="E439">
        <v>72.3</v>
      </c>
      <c r="F439" t="s">
        <v>1415</v>
      </c>
      <c r="G439">
        <f t="shared" si="6"/>
        <v>-6.1728395061728669E-3</v>
      </c>
    </row>
    <row r="440" spans="1:7">
      <c r="A440" t="s">
        <v>762</v>
      </c>
      <c r="B440">
        <v>72.55</v>
      </c>
      <c r="C440">
        <v>72.75</v>
      </c>
      <c r="D440">
        <v>72.849999999999994</v>
      </c>
      <c r="E440">
        <v>72.099999999999994</v>
      </c>
      <c r="F440" t="s">
        <v>1416</v>
      </c>
      <c r="G440">
        <f t="shared" si="6"/>
        <v>1.3802622498273465E-3</v>
      </c>
    </row>
    <row r="441" spans="1:7">
      <c r="A441" t="s">
        <v>764</v>
      </c>
      <c r="B441">
        <v>73.45</v>
      </c>
      <c r="C441">
        <v>73.150000000000006</v>
      </c>
      <c r="D441">
        <v>75</v>
      </c>
      <c r="E441">
        <v>72.75</v>
      </c>
      <c r="F441" t="s">
        <v>1417</v>
      </c>
      <c r="G441">
        <f t="shared" si="6"/>
        <v>1.2405237767057375E-2</v>
      </c>
    </row>
    <row r="442" spans="1:7">
      <c r="A442" t="s">
        <v>766</v>
      </c>
      <c r="B442">
        <v>73.150000000000006</v>
      </c>
      <c r="C442">
        <v>73.349999999999994</v>
      </c>
      <c r="D442">
        <v>73.7</v>
      </c>
      <c r="E442">
        <v>72.8</v>
      </c>
      <c r="F442" t="s">
        <v>1418</v>
      </c>
      <c r="G442">
        <f t="shared" si="6"/>
        <v>-4.0844111640571112E-3</v>
      </c>
    </row>
    <row r="443" spans="1:7">
      <c r="A443" t="s">
        <v>768</v>
      </c>
      <c r="B443">
        <v>74.05</v>
      </c>
      <c r="C443">
        <v>73.599999999999994</v>
      </c>
      <c r="D443">
        <v>74.05</v>
      </c>
      <c r="E443">
        <v>73.45</v>
      </c>
      <c r="F443" t="s">
        <v>1419</v>
      </c>
      <c r="G443">
        <f t="shared" si="6"/>
        <v>1.2303485987696483E-2</v>
      </c>
    </row>
    <row r="444" spans="1:7">
      <c r="A444" t="s">
        <v>770</v>
      </c>
      <c r="B444">
        <v>73.7</v>
      </c>
      <c r="C444">
        <v>73.599999999999994</v>
      </c>
      <c r="D444">
        <v>74.150000000000006</v>
      </c>
      <c r="E444">
        <v>73.599999999999994</v>
      </c>
      <c r="F444" t="s">
        <v>1420</v>
      </c>
      <c r="G444">
        <f t="shared" si="6"/>
        <v>-4.7265361242403436E-3</v>
      </c>
    </row>
    <row r="445" spans="1:7">
      <c r="A445" t="s">
        <v>772</v>
      </c>
      <c r="B445">
        <v>74.349999999999994</v>
      </c>
      <c r="C445">
        <v>74.3</v>
      </c>
      <c r="D445">
        <v>74.400000000000006</v>
      </c>
      <c r="E445">
        <v>73.349999999999994</v>
      </c>
      <c r="F445" t="s">
        <v>1421</v>
      </c>
      <c r="G445">
        <f t="shared" si="6"/>
        <v>8.8195386702847323E-3</v>
      </c>
    </row>
    <row r="446" spans="1:7">
      <c r="A446" t="s">
        <v>774</v>
      </c>
      <c r="B446">
        <v>74.3</v>
      </c>
      <c r="C446">
        <v>74.75</v>
      </c>
      <c r="D446">
        <v>75.05</v>
      </c>
      <c r="E446">
        <v>73.95</v>
      </c>
      <c r="F446" t="s">
        <v>1422</v>
      </c>
      <c r="G446">
        <f t="shared" si="6"/>
        <v>-6.7249495628773914E-4</v>
      </c>
    </row>
    <row r="447" spans="1:7">
      <c r="A447" t="s">
        <v>776</v>
      </c>
      <c r="B447">
        <v>75.45</v>
      </c>
      <c r="C447">
        <v>74.2</v>
      </c>
      <c r="D447">
        <v>75.599999999999994</v>
      </c>
      <c r="E447">
        <v>74.2</v>
      </c>
      <c r="F447" t="s">
        <v>1423</v>
      </c>
      <c r="G447">
        <f t="shared" si="6"/>
        <v>1.5477792732166984E-2</v>
      </c>
    </row>
    <row r="448" spans="1:7">
      <c r="A448" t="s">
        <v>778</v>
      </c>
      <c r="B448">
        <v>76.349999999999994</v>
      </c>
      <c r="C448">
        <v>75.55</v>
      </c>
      <c r="D448">
        <v>76.400000000000006</v>
      </c>
      <c r="E448">
        <v>75.150000000000006</v>
      </c>
      <c r="F448" t="s">
        <v>1424</v>
      </c>
      <c r="G448">
        <f t="shared" si="6"/>
        <v>1.1928429423459175E-2</v>
      </c>
    </row>
    <row r="449" spans="1:7">
      <c r="A449" s="79">
        <v>45301</v>
      </c>
      <c r="B449">
        <v>74.25</v>
      </c>
      <c r="C449">
        <v>76.55</v>
      </c>
      <c r="D449">
        <v>76.55</v>
      </c>
      <c r="E449">
        <v>74.099999999999994</v>
      </c>
      <c r="F449" t="s">
        <v>1425</v>
      </c>
      <c r="G449">
        <f t="shared" si="6"/>
        <v>-2.7504911591355485E-2</v>
      </c>
    </row>
    <row r="450" spans="1:7">
      <c r="A450" s="79">
        <v>45332</v>
      </c>
      <c r="B450">
        <v>74.75</v>
      </c>
      <c r="C450">
        <v>74.3</v>
      </c>
      <c r="D450">
        <v>74.75</v>
      </c>
      <c r="E450">
        <v>73.8</v>
      </c>
      <c r="F450" t="s">
        <v>1426</v>
      </c>
      <c r="G450">
        <f t="shared" si="6"/>
        <v>6.7340067340067034E-3</v>
      </c>
    </row>
    <row r="451" spans="1:7">
      <c r="A451" s="79">
        <v>45361</v>
      </c>
      <c r="B451">
        <v>73.95</v>
      </c>
      <c r="C451">
        <v>74.75</v>
      </c>
      <c r="D451">
        <v>74.900000000000006</v>
      </c>
      <c r="E451">
        <v>73.8</v>
      </c>
      <c r="F451" t="s">
        <v>1427</v>
      </c>
      <c r="G451">
        <f t="shared" si="6"/>
        <v>-1.0702341137123761E-2</v>
      </c>
    </row>
    <row r="452" spans="1:7">
      <c r="A452" s="79">
        <v>45392</v>
      </c>
      <c r="B452">
        <v>73.7</v>
      </c>
      <c r="C452">
        <v>73.7</v>
      </c>
      <c r="D452">
        <v>74.25</v>
      </c>
      <c r="E452">
        <v>73.599999999999994</v>
      </c>
      <c r="F452" t="s">
        <v>1428</v>
      </c>
      <c r="G452">
        <f t="shared" ref="G452:G515" si="7">B452/B451-1</f>
        <v>-3.3806626098715764E-3</v>
      </c>
    </row>
    <row r="453" spans="1:7">
      <c r="A453" s="79">
        <v>45483</v>
      </c>
      <c r="B453">
        <v>74.55</v>
      </c>
      <c r="C453">
        <v>74.25</v>
      </c>
      <c r="D453">
        <v>74.599999999999994</v>
      </c>
      <c r="E453">
        <v>73.900000000000006</v>
      </c>
      <c r="F453" t="s">
        <v>1429</v>
      </c>
      <c r="G453">
        <f t="shared" si="7"/>
        <v>1.1533242876526462E-2</v>
      </c>
    </row>
    <row r="454" spans="1:7">
      <c r="A454" s="79">
        <v>45514</v>
      </c>
      <c r="B454">
        <v>74.400000000000006</v>
      </c>
      <c r="C454">
        <v>74.150000000000006</v>
      </c>
      <c r="D454">
        <v>75</v>
      </c>
      <c r="E454">
        <v>74</v>
      </c>
      <c r="F454" t="s">
        <v>1430</v>
      </c>
      <c r="G454">
        <f t="shared" si="7"/>
        <v>-2.012072434607548E-3</v>
      </c>
    </row>
    <row r="455" spans="1:7">
      <c r="A455" s="79">
        <v>45545</v>
      </c>
      <c r="B455">
        <v>75.25</v>
      </c>
      <c r="C455">
        <v>74.400000000000006</v>
      </c>
      <c r="D455">
        <v>75.25</v>
      </c>
      <c r="E455">
        <v>74.349999999999994</v>
      </c>
      <c r="F455" t="s">
        <v>1431</v>
      </c>
      <c r="G455">
        <f t="shared" si="7"/>
        <v>1.1424731182795522E-2</v>
      </c>
    </row>
    <row r="456" spans="1:7">
      <c r="A456" s="79">
        <v>45575</v>
      </c>
      <c r="B456">
        <v>75.45</v>
      </c>
      <c r="C456">
        <v>75.25</v>
      </c>
      <c r="D456">
        <v>75.7</v>
      </c>
      <c r="E456">
        <v>75</v>
      </c>
      <c r="F456" t="s">
        <v>1432</v>
      </c>
      <c r="G456">
        <f t="shared" si="7"/>
        <v>2.6578073089700283E-3</v>
      </c>
    </row>
    <row r="457" spans="1:7">
      <c r="A457" s="79">
        <v>45606</v>
      </c>
      <c r="B457">
        <v>75.400000000000006</v>
      </c>
      <c r="C457">
        <v>75.25</v>
      </c>
      <c r="D457">
        <v>75.5</v>
      </c>
      <c r="E457">
        <v>74.8</v>
      </c>
      <c r="F457" t="s">
        <v>1433</v>
      </c>
      <c r="G457">
        <f t="shared" si="7"/>
        <v>-6.6269052352552205E-4</v>
      </c>
    </row>
    <row r="458" spans="1:7">
      <c r="A458" t="s">
        <v>789</v>
      </c>
      <c r="B458">
        <v>75.7</v>
      </c>
      <c r="C458">
        <v>75.349999999999994</v>
      </c>
      <c r="D458">
        <v>75.75</v>
      </c>
      <c r="E458">
        <v>75.099999999999994</v>
      </c>
      <c r="F458" t="s">
        <v>1434</v>
      </c>
      <c r="G458">
        <f t="shared" si="7"/>
        <v>3.9787798408488229E-3</v>
      </c>
    </row>
    <row r="459" spans="1:7">
      <c r="A459" t="s">
        <v>791</v>
      </c>
      <c r="B459">
        <v>75.849999999999994</v>
      </c>
      <c r="C459">
        <v>75.7</v>
      </c>
      <c r="D459">
        <v>76.3</v>
      </c>
      <c r="E459">
        <v>75.650000000000006</v>
      </c>
      <c r="F459" t="s">
        <v>1435</v>
      </c>
      <c r="G459">
        <f t="shared" si="7"/>
        <v>1.9815059445176253E-3</v>
      </c>
    </row>
    <row r="460" spans="1:7">
      <c r="A460" t="s">
        <v>793</v>
      </c>
      <c r="B460">
        <v>76.099999999999994</v>
      </c>
      <c r="C460">
        <v>75.400000000000006</v>
      </c>
      <c r="D460">
        <v>76.599999999999994</v>
      </c>
      <c r="E460">
        <v>75.400000000000006</v>
      </c>
      <c r="F460" t="s">
        <v>1436</v>
      </c>
      <c r="G460">
        <f t="shared" si="7"/>
        <v>3.2959789057349642E-3</v>
      </c>
    </row>
    <row r="461" spans="1:7">
      <c r="A461" t="s">
        <v>795</v>
      </c>
      <c r="B461">
        <v>76.75</v>
      </c>
      <c r="C461">
        <v>76.05</v>
      </c>
      <c r="D461">
        <v>77.05</v>
      </c>
      <c r="E461">
        <v>75.5</v>
      </c>
      <c r="F461" t="s">
        <v>1150</v>
      </c>
      <c r="G461">
        <f t="shared" si="7"/>
        <v>8.5413929040736303E-3</v>
      </c>
    </row>
    <row r="462" spans="1:7">
      <c r="A462" t="s">
        <v>797</v>
      </c>
      <c r="B462">
        <v>76.900000000000006</v>
      </c>
      <c r="C462">
        <v>76.849999999999994</v>
      </c>
      <c r="D462">
        <v>77</v>
      </c>
      <c r="E462">
        <v>76.5</v>
      </c>
      <c r="F462" t="s">
        <v>1437</v>
      </c>
      <c r="G462">
        <f t="shared" si="7"/>
        <v>1.9543973941369419E-3</v>
      </c>
    </row>
    <row r="463" spans="1:7">
      <c r="A463" t="s">
        <v>799</v>
      </c>
      <c r="B463">
        <v>75.900000000000006</v>
      </c>
      <c r="C463">
        <v>76.349999999999994</v>
      </c>
      <c r="D463">
        <v>76.900000000000006</v>
      </c>
      <c r="E463">
        <v>75.8</v>
      </c>
      <c r="F463" t="s">
        <v>1438</v>
      </c>
      <c r="G463">
        <f t="shared" si="7"/>
        <v>-1.3003901170351106E-2</v>
      </c>
    </row>
    <row r="464" spans="1:7">
      <c r="A464" t="s">
        <v>801</v>
      </c>
      <c r="B464">
        <v>74.650000000000006</v>
      </c>
      <c r="C464">
        <v>75.8</v>
      </c>
      <c r="D464">
        <v>75.900000000000006</v>
      </c>
      <c r="E464">
        <v>74.650000000000006</v>
      </c>
      <c r="F464" t="s">
        <v>1439</v>
      </c>
      <c r="G464">
        <f t="shared" si="7"/>
        <v>-1.6469038208168696E-2</v>
      </c>
    </row>
    <row r="465" spans="1:7">
      <c r="A465" t="s">
        <v>803</v>
      </c>
      <c r="B465">
        <v>74.599999999999994</v>
      </c>
      <c r="C465">
        <v>74.55</v>
      </c>
      <c r="D465">
        <v>74.95</v>
      </c>
      <c r="E465">
        <v>74.2</v>
      </c>
      <c r="F465" t="s">
        <v>1440</v>
      </c>
      <c r="G465">
        <f t="shared" si="7"/>
        <v>-6.6979236436714995E-4</v>
      </c>
    </row>
    <row r="466" spans="1:7">
      <c r="A466" t="s">
        <v>805</v>
      </c>
      <c r="B466">
        <v>74.2</v>
      </c>
      <c r="C466">
        <v>74.599999999999994</v>
      </c>
      <c r="D466">
        <v>75.2</v>
      </c>
      <c r="E466">
        <v>74.2</v>
      </c>
      <c r="F466" t="s">
        <v>1441</v>
      </c>
      <c r="G466">
        <f t="shared" si="7"/>
        <v>-5.3619302949060588E-3</v>
      </c>
    </row>
    <row r="467" spans="1:7">
      <c r="A467" t="s">
        <v>807</v>
      </c>
      <c r="B467">
        <v>74.2</v>
      </c>
      <c r="C467">
        <v>73.95</v>
      </c>
      <c r="D467">
        <v>74.2</v>
      </c>
      <c r="E467">
        <v>73.599999999999994</v>
      </c>
      <c r="F467" t="s">
        <v>1442</v>
      </c>
      <c r="G467">
        <f t="shared" si="7"/>
        <v>0</v>
      </c>
    </row>
    <row r="468" spans="1:7">
      <c r="A468" t="s">
        <v>809</v>
      </c>
      <c r="B468">
        <v>74.400000000000006</v>
      </c>
      <c r="C468">
        <v>74.8</v>
      </c>
      <c r="D468">
        <v>74.849999999999994</v>
      </c>
      <c r="E468">
        <v>74.3</v>
      </c>
      <c r="F468" t="s">
        <v>1443</v>
      </c>
      <c r="G468">
        <f t="shared" si="7"/>
        <v>2.6954177897573484E-3</v>
      </c>
    </row>
    <row r="469" spans="1:7">
      <c r="A469" t="s">
        <v>811</v>
      </c>
      <c r="B469">
        <v>73.25</v>
      </c>
      <c r="C469">
        <v>73.75</v>
      </c>
      <c r="D469">
        <v>74.5</v>
      </c>
      <c r="E469">
        <v>73.2</v>
      </c>
      <c r="F469" t="s">
        <v>1444</v>
      </c>
      <c r="G469">
        <f t="shared" si="7"/>
        <v>-1.545698924731187E-2</v>
      </c>
    </row>
    <row r="470" spans="1:7">
      <c r="A470" t="s">
        <v>813</v>
      </c>
      <c r="B470">
        <v>72.150000000000006</v>
      </c>
      <c r="C470">
        <v>73</v>
      </c>
      <c r="D470">
        <v>73.349999999999994</v>
      </c>
      <c r="E470">
        <v>72.099999999999994</v>
      </c>
      <c r="F470" t="s">
        <v>1445</v>
      </c>
      <c r="G470">
        <f t="shared" si="7"/>
        <v>-1.5017064846416295E-2</v>
      </c>
    </row>
    <row r="471" spans="1:7">
      <c r="A471" t="s">
        <v>815</v>
      </c>
      <c r="B471">
        <v>71.7</v>
      </c>
      <c r="C471">
        <v>72.150000000000006</v>
      </c>
      <c r="D471">
        <v>72.7</v>
      </c>
      <c r="E471">
        <v>71.099999999999994</v>
      </c>
      <c r="F471" t="s">
        <v>1446</v>
      </c>
      <c r="G471">
        <f t="shared" si="7"/>
        <v>-6.2370062370062929E-3</v>
      </c>
    </row>
    <row r="472" spans="1:7">
      <c r="A472" s="79">
        <v>45302</v>
      </c>
      <c r="B472">
        <v>71.75</v>
      </c>
      <c r="C472">
        <v>71.400000000000006</v>
      </c>
      <c r="D472">
        <v>72.150000000000006</v>
      </c>
      <c r="E472">
        <v>71.400000000000006</v>
      </c>
      <c r="F472" t="s">
        <v>1447</v>
      </c>
      <c r="G472">
        <f t="shared" si="7"/>
        <v>6.9735006973492553E-4</v>
      </c>
    </row>
    <row r="473" spans="1:7">
      <c r="A473" s="79">
        <v>45393</v>
      </c>
      <c r="B473">
        <v>72</v>
      </c>
      <c r="C473">
        <v>71.7</v>
      </c>
      <c r="D473">
        <v>72.099999999999994</v>
      </c>
      <c r="E473">
        <v>71.45</v>
      </c>
      <c r="F473" t="s">
        <v>1448</v>
      </c>
      <c r="G473">
        <f t="shared" si="7"/>
        <v>3.4843205574912606E-3</v>
      </c>
    </row>
    <row r="474" spans="1:7">
      <c r="A474" s="79">
        <v>45423</v>
      </c>
      <c r="B474">
        <v>73.25</v>
      </c>
      <c r="C474">
        <v>71.900000000000006</v>
      </c>
      <c r="D474">
        <v>73.25</v>
      </c>
      <c r="E474">
        <v>71.75</v>
      </c>
      <c r="F474" t="s">
        <v>1449</v>
      </c>
      <c r="G474">
        <f t="shared" si="7"/>
        <v>1.736111111111116E-2</v>
      </c>
    </row>
    <row r="475" spans="1:7">
      <c r="A475" s="79">
        <v>45454</v>
      </c>
      <c r="B475">
        <v>70.3</v>
      </c>
      <c r="C475">
        <v>72.650000000000006</v>
      </c>
      <c r="D475">
        <v>74.400000000000006</v>
      </c>
      <c r="E475">
        <v>70.3</v>
      </c>
      <c r="F475" t="s">
        <v>1450</v>
      </c>
      <c r="G475">
        <f t="shared" si="7"/>
        <v>-4.0273037542662204E-2</v>
      </c>
    </row>
    <row r="476" spans="1:7">
      <c r="A476" s="79">
        <v>45484</v>
      </c>
      <c r="B476">
        <v>70</v>
      </c>
      <c r="C476">
        <v>68.95</v>
      </c>
      <c r="D476">
        <v>71.099999999999994</v>
      </c>
      <c r="E476">
        <v>68.95</v>
      </c>
      <c r="F476" t="s">
        <v>1451</v>
      </c>
      <c r="G476">
        <f t="shared" si="7"/>
        <v>-4.2674253200568613E-3</v>
      </c>
    </row>
    <row r="477" spans="1:7">
      <c r="A477" s="79">
        <v>45515</v>
      </c>
      <c r="B477">
        <v>70.2</v>
      </c>
      <c r="C477">
        <v>70.2</v>
      </c>
      <c r="D477">
        <v>70.7</v>
      </c>
      <c r="E477">
        <v>69.650000000000006</v>
      </c>
      <c r="F477" t="s">
        <v>1452</v>
      </c>
      <c r="G477">
        <f t="shared" si="7"/>
        <v>2.8571428571428914E-3</v>
      </c>
    </row>
    <row r="478" spans="1:7">
      <c r="A478" s="79">
        <v>45607</v>
      </c>
      <c r="B478">
        <v>70.2</v>
      </c>
      <c r="C478">
        <v>70.400000000000006</v>
      </c>
      <c r="D478">
        <v>71.25</v>
      </c>
      <c r="E478">
        <v>70.2</v>
      </c>
      <c r="F478" t="s">
        <v>1453</v>
      </c>
      <c r="G478">
        <f t="shared" si="7"/>
        <v>0</v>
      </c>
    </row>
    <row r="479" spans="1:7">
      <c r="A479" s="79">
        <v>45637</v>
      </c>
      <c r="B479">
        <v>69.8</v>
      </c>
      <c r="C479">
        <v>70.3</v>
      </c>
      <c r="D479">
        <v>70.400000000000006</v>
      </c>
      <c r="E479">
        <v>69.349999999999994</v>
      </c>
      <c r="F479" t="s">
        <v>1454</v>
      </c>
      <c r="G479">
        <f t="shared" si="7"/>
        <v>-5.6980056980058258E-3</v>
      </c>
    </row>
    <row r="480" spans="1:7">
      <c r="A480" t="s">
        <v>825</v>
      </c>
      <c r="B480">
        <v>70.400000000000006</v>
      </c>
      <c r="C480">
        <v>69.8</v>
      </c>
      <c r="D480">
        <v>70.45</v>
      </c>
      <c r="E480">
        <v>69.55</v>
      </c>
      <c r="F480" t="s">
        <v>1455</v>
      </c>
      <c r="G480">
        <f t="shared" si="7"/>
        <v>8.5959885386821533E-3</v>
      </c>
    </row>
    <row r="481" spans="1:7">
      <c r="A481" t="s">
        <v>827</v>
      </c>
      <c r="B481">
        <v>71</v>
      </c>
      <c r="C481">
        <v>70.55</v>
      </c>
      <c r="D481">
        <v>71.25</v>
      </c>
      <c r="E481">
        <v>70.2</v>
      </c>
      <c r="F481" t="s">
        <v>1456</v>
      </c>
      <c r="G481">
        <f t="shared" si="7"/>
        <v>8.5227272727272929E-3</v>
      </c>
    </row>
    <row r="482" spans="1:7">
      <c r="A482" t="s">
        <v>829</v>
      </c>
      <c r="B482">
        <v>71.099999999999994</v>
      </c>
      <c r="C482">
        <v>71</v>
      </c>
      <c r="D482">
        <v>71.55</v>
      </c>
      <c r="E482">
        <v>70.900000000000006</v>
      </c>
      <c r="F482" t="s">
        <v>1457</v>
      </c>
      <c r="G482">
        <f t="shared" si="7"/>
        <v>1.4084507042253502E-3</v>
      </c>
    </row>
    <row r="483" spans="1:7">
      <c r="A483" t="s">
        <v>831</v>
      </c>
      <c r="B483">
        <v>70.900000000000006</v>
      </c>
      <c r="C483">
        <v>71.150000000000006</v>
      </c>
      <c r="D483">
        <v>71.95</v>
      </c>
      <c r="E483">
        <v>70.8</v>
      </c>
      <c r="F483" t="s">
        <v>1458</v>
      </c>
      <c r="G483">
        <f t="shared" si="7"/>
        <v>-2.8129395218001729E-3</v>
      </c>
    </row>
    <row r="484" spans="1:7">
      <c r="A484" t="s">
        <v>833</v>
      </c>
      <c r="B484">
        <v>70.7</v>
      </c>
      <c r="C484">
        <v>70.75</v>
      </c>
      <c r="D484">
        <v>71.2</v>
      </c>
      <c r="E484">
        <v>69.849999999999994</v>
      </c>
      <c r="F484" t="s">
        <v>1459</v>
      </c>
      <c r="G484">
        <f t="shared" si="7"/>
        <v>-2.8208744710860323E-3</v>
      </c>
    </row>
    <row r="485" spans="1:7">
      <c r="A485" t="s">
        <v>835</v>
      </c>
      <c r="B485">
        <v>69.599999999999994</v>
      </c>
      <c r="C485">
        <v>71.2</v>
      </c>
      <c r="D485">
        <v>71.2</v>
      </c>
      <c r="E485">
        <v>69.599999999999994</v>
      </c>
      <c r="F485" t="s">
        <v>1460</v>
      </c>
      <c r="G485">
        <f t="shared" si="7"/>
        <v>-1.5558698727015652E-2</v>
      </c>
    </row>
    <row r="486" spans="1:7">
      <c r="A486" t="s">
        <v>837</v>
      </c>
      <c r="B486">
        <v>69.900000000000006</v>
      </c>
      <c r="C486">
        <v>69.7</v>
      </c>
      <c r="D486">
        <v>70.099999999999994</v>
      </c>
      <c r="E486">
        <v>69.3</v>
      </c>
      <c r="F486" t="s">
        <v>1461</v>
      </c>
      <c r="G486">
        <f t="shared" si="7"/>
        <v>4.3103448275862988E-3</v>
      </c>
    </row>
    <row r="487" spans="1:7">
      <c r="A487" t="s">
        <v>839</v>
      </c>
      <c r="B487">
        <v>70.55</v>
      </c>
      <c r="C487">
        <v>70.2</v>
      </c>
      <c r="D487">
        <v>70.599999999999994</v>
      </c>
      <c r="E487">
        <v>69.05</v>
      </c>
      <c r="F487" t="s">
        <v>1462</v>
      </c>
      <c r="G487">
        <f t="shared" si="7"/>
        <v>9.2989985693847643E-3</v>
      </c>
    </row>
    <row r="488" spans="1:7">
      <c r="A488" t="s">
        <v>841</v>
      </c>
      <c r="B488">
        <v>70.2</v>
      </c>
      <c r="C488">
        <v>70.599999999999994</v>
      </c>
      <c r="D488">
        <v>70.75</v>
      </c>
      <c r="E488">
        <v>70</v>
      </c>
      <c r="F488" t="s">
        <v>1463</v>
      </c>
      <c r="G488">
        <f t="shared" si="7"/>
        <v>-4.9610205527993445E-3</v>
      </c>
    </row>
    <row r="489" spans="1:7">
      <c r="A489" t="s">
        <v>843</v>
      </c>
      <c r="B489">
        <v>70.599999999999994</v>
      </c>
      <c r="C489">
        <v>70.2</v>
      </c>
      <c r="D489">
        <v>70.900000000000006</v>
      </c>
      <c r="E489">
        <v>70.05</v>
      </c>
      <c r="F489" t="s">
        <v>1464</v>
      </c>
      <c r="G489">
        <f t="shared" si="7"/>
        <v>5.6980056980056037E-3</v>
      </c>
    </row>
    <row r="490" spans="1:7">
      <c r="A490" t="s">
        <v>845</v>
      </c>
      <c r="B490">
        <v>72.05</v>
      </c>
      <c r="C490">
        <v>72.599999999999994</v>
      </c>
      <c r="D490">
        <v>73.3</v>
      </c>
      <c r="E490">
        <v>71.849999999999994</v>
      </c>
      <c r="F490" t="s">
        <v>1465</v>
      </c>
      <c r="G490">
        <f t="shared" si="7"/>
        <v>2.053824362606238E-2</v>
      </c>
    </row>
    <row r="491" spans="1:7">
      <c r="A491" t="s">
        <v>1466</v>
      </c>
      <c r="B491">
        <v>71.95</v>
      </c>
      <c r="C491">
        <v>72.2</v>
      </c>
      <c r="D491">
        <v>72.5</v>
      </c>
      <c r="E491">
        <v>71.900000000000006</v>
      </c>
      <c r="F491" t="s">
        <v>1467</v>
      </c>
      <c r="G491">
        <f t="shared" si="7"/>
        <v>-1.3879250520471009E-3</v>
      </c>
    </row>
    <row r="492" spans="1:7">
      <c r="A492" t="s">
        <v>847</v>
      </c>
      <c r="B492">
        <v>71.849999999999994</v>
      </c>
      <c r="C492">
        <v>71.349999999999994</v>
      </c>
      <c r="D492">
        <v>71.95</v>
      </c>
      <c r="E492">
        <v>71.349999999999994</v>
      </c>
      <c r="F492" t="s">
        <v>1468</v>
      </c>
      <c r="G492">
        <f t="shared" si="7"/>
        <v>-1.389854065323215E-3</v>
      </c>
    </row>
    <row r="493" spans="1:7">
      <c r="A493" s="79">
        <v>45334</v>
      </c>
      <c r="B493">
        <v>72.75</v>
      </c>
      <c r="C493">
        <v>71.849999999999994</v>
      </c>
      <c r="D493">
        <v>72.75</v>
      </c>
      <c r="E493">
        <v>71.2</v>
      </c>
      <c r="F493" t="s">
        <v>1469</v>
      </c>
      <c r="G493">
        <f t="shared" si="7"/>
        <v>1.2526096033403045E-2</v>
      </c>
    </row>
    <row r="494" spans="1:7">
      <c r="A494" s="79">
        <v>45363</v>
      </c>
      <c r="B494">
        <v>72.25</v>
      </c>
      <c r="C494">
        <v>72.7</v>
      </c>
      <c r="D494">
        <v>73</v>
      </c>
      <c r="E494">
        <v>72.25</v>
      </c>
      <c r="F494" t="s">
        <v>1470</v>
      </c>
      <c r="G494">
        <f t="shared" si="7"/>
        <v>-6.8728522336769515E-3</v>
      </c>
    </row>
    <row r="495" spans="1:7">
      <c r="A495" s="79">
        <v>45394</v>
      </c>
      <c r="B495">
        <v>72.95</v>
      </c>
      <c r="C495">
        <v>72.400000000000006</v>
      </c>
      <c r="D495">
        <v>73.05</v>
      </c>
      <c r="E495">
        <v>71.849999999999994</v>
      </c>
      <c r="F495" t="s">
        <v>1471</v>
      </c>
      <c r="G495">
        <f t="shared" si="7"/>
        <v>9.6885813148790412E-3</v>
      </c>
    </row>
    <row r="496" spans="1:7">
      <c r="A496" s="79">
        <v>45424</v>
      </c>
      <c r="B496">
        <v>72.8</v>
      </c>
      <c r="C496">
        <v>73.400000000000006</v>
      </c>
      <c r="D496">
        <v>73.400000000000006</v>
      </c>
      <c r="E496">
        <v>72.55</v>
      </c>
      <c r="F496" t="s">
        <v>1472</v>
      </c>
      <c r="G496">
        <f t="shared" si="7"/>
        <v>-2.0562028786841324E-3</v>
      </c>
    </row>
    <row r="497" spans="1:7">
      <c r="A497" s="79">
        <v>45455</v>
      </c>
      <c r="B497">
        <v>74.45</v>
      </c>
      <c r="C497">
        <v>72.7</v>
      </c>
      <c r="D497">
        <v>75.7</v>
      </c>
      <c r="E497">
        <v>72.7</v>
      </c>
      <c r="F497" t="s">
        <v>1473</v>
      </c>
      <c r="G497">
        <f t="shared" si="7"/>
        <v>2.2664835164835306E-2</v>
      </c>
    </row>
    <row r="498" spans="1:7">
      <c r="A498" s="79">
        <v>45547</v>
      </c>
      <c r="B498">
        <v>73.95</v>
      </c>
      <c r="C498">
        <v>73.900000000000006</v>
      </c>
      <c r="D498">
        <v>74.349999999999994</v>
      </c>
      <c r="E498">
        <v>73.849999999999994</v>
      </c>
      <c r="F498" t="s">
        <v>1474</v>
      </c>
      <c r="G498">
        <f t="shared" si="7"/>
        <v>-6.7159167226326089E-3</v>
      </c>
    </row>
    <row r="499" spans="1:7">
      <c r="A499" s="79">
        <v>45577</v>
      </c>
      <c r="B499">
        <v>74.7</v>
      </c>
      <c r="C499">
        <v>74.099999999999994</v>
      </c>
      <c r="D499">
        <v>75</v>
      </c>
      <c r="E499">
        <v>73.7</v>
      </c>
      <c r="F499" t="s">
        <v>1475</v>
      </c>
      <c r="G499">
        <f t="shared" si="7"/>
        <v>1.0141987829614507E-2</v>
      </c>
    </row>
    <row r="500" spans="1:7">
      <c r="A500" s="79">
        <v>45608</v>
      </c>
      <c r="B500">
        <v>75.849999999999994</v>
      </c>
      <c r="C500">
        <v>74.900000000000006</v>
      </c>
      <c r="D500">
        <v>76.95</v>
      </c>
      <c r="E500">
        <v>74.900000000000006</v>
      </c>
      <c r="F500" t="s">
        <v>1476</v>
      </c>
      <c r="G500">
        <f t="shared" si="7"/>
        <v>1.53949129852744E-2</v>
      </c>
    </row>
    <row r="501" spans="1:7">
      <c r="A501" s="79">
        <v>45638</v>
      </c>
      <c r="B501">
        <v>75</v>
      </c>
      <c r="C501">
        <v>75.8</v>
      </c>
      <c r="D501">
        <v>76.3</v>
      </c>
      <c r="E501">
        <v>74.650000000000006</v>
      </c>
      <c r="F501" t="s">
        <v>1477</v>
      </c>
      <c r="G501">
        <f t="shared" si="7"/>
        <v>-1.1206328279498967E-2</v>
      </c>
    </row>
    <row r="502" spans="1:7">
      <c r="A502" t="s">
        <v>858</v>
      </c>
      <c r="B502">
        <v>75.7</v>
      </c>
      <c r="C502">
        <v>74.8</v>
      </c>
      <c r="D502">
        <v>75.95</v>
      </c>
      <c r="E502">
        <v>74.75</v>
      </c>
      <c r="F502" t="s">
        <v>1478</v>
      </c>
      <c r="G502">
        <f t="shared" si="7"/>
        <v>9.3333333333334156E-3</v>
      </c>
    </row>
    <row r="503" spans="1:7">
      <c r="A503" t="s">
        <v>860</v>
      </c>
      <c r="B503">
        <v>75.599999999999994</v>
      </c>
      <c r="C503">
        <v>75.7</v>
      </c>
      <c r="D503">
        <v>76.3</v>
      </c>
      <c r="E503">
        <v>75.349999999999994</v>
      </c>
      <c r="F503" t="s">
        <v>1479</v>
      </c>
      <c r="G503">
        <f t="shared" si="7"/>
        <v>-1.3210039630120463E-3</v>
      </c>
    </row>
    <row r="504" spans="1:7">
      <c r="A504" t="s">
        <v>862</v>
      </c>
      <c r="B504">
        <v>75</v>
      </c>
      <c r="C504">
        <v>75.25</v>
      </c>
      <c r="D504">
        <v>75.900000000000006</v>
      </c>
      <c r="E504">
        <v>74.75</v>
      </c>
      <c r="F504" t="s">
        <v>1480</v>
      </c>
      <c r="G504">
        <f t="shared" si="7"/>
        <v>-7.9365079365079083E-3</v>
      </c>
    </row>
    <row r="505" spans="1:7">
      <c r="A505" t="s">
        <v>864</v>
      </c>
      <c r="B505">
        <v>74</v>
      </c>
      <c r="C505">
        <v>74.900000000000006</v>
      </c>
      <c r="D505">
        <v>75.25</v>
      </c>
      <c r="E505">
        <v>74</v>
      </c>
      <c r="F505" t="s">
        <v>1481</v>
      </c>
      <c r="G505">
        <f t="shared" si="7"/>
        <v>-1.3333333333333308E-2</v>
      </c>
    </row>
    <row r="506" spans="1:7">
      <c r="A506" t="s">
        <v>866</v>
      </c>
      <c r="B506">
        <v>73.7</v>
      </c>
      <c r="C506">
        <v>73.55</v>
      </c>
      <c r="D506">
        <v>74.349999999999994</v>
      </c>
      <c r="E506">
        <v>73.400000000000006</v>
      </c>
      <c r="F506" t="s">
        <v>1482</v>
      </c>
      <c r="G506">
        <f t="shared" si="7"/>
        <v>-4.0540540540540126E-3</v>
      </c>
    </row>
    <row r="507" spans="1:7">
      <c r="A507" t="s">
        <v>868</v>
      </c>
      <c r="B507">
        <v>74.099999999999994</v>
      </c>
      <c r="C507">
        <v>73.150000000000006</v>
      </c>
      <c r="D507">
        <v>74.349999999999994</v>
      </c>
      <c r="E507">
        <v>73.150000000000006</v>
      </c>
      <c r="F507" t="s">
        <v>1483</v>
      </c>
      <c r="G507">
        <f t="shared" si="7"/>
        <v>5.4274084124830146E-3</v>
      </c>
    </row>
    <row r="508" spans="1:7">
      <c r="A508" t="s">
        <v>870</v>
      </c>
      <c r="B508">
        <v>73.95</v>
      </c>
      <c r="C508">
        <v>74</v>
      </c>
      <c r="D508">
        <v>74.3</v>
      </c>
      <c r="E508">
        <v>73.3</v>
      </c>
      <c r="F508" t="s">
        <v>1484</v>
      </c>
      <c r="G508">
        <f t="shared" si="7"/>
        <v>-2.0242914979755611E-3</v>
      </c>
    </row>
    <row r="509" spans="1:7">
      <c r="A509" t="s">
        <v>876</v>
      </c>
      <c r="B509">
        <v>74.400000000000006</v>
      </c>
      <c r="C509">
        <v>73.849999999999994</v>
      </c>
      <c r="D509">
        <v>74.5</v>
      </c>
      <c r="E509">
        <v>73.3</v>
      </c>
      <c r="F509" t="s">
        <v>1485</v>
      </c>
      <c r="G509">
        <f t="shared" si="7"/>
        <v>6.0851926977687487E-3</v>
      </c>
    </row>
    <row r="510" spans="1:7">
      <c r="A510" t="s">
        <v>878</v>
      </c>
      <c r="B510">
        <v>74.400000000000006</v>
      </c>
      <c r="C510">
        <v>74</v>
      </c>
      <c r="D510">
        <v>74.7</v>
      </c>
      <c r="E510">
        <v>74</v>
      </c>
      <c r="F510" t="s">
        <v>1486</v>
      </c>
      <c r="G510">
        <f t="shared" si="7"/>
        <v>0</v>
      </c>
    </row>
    <row r="511" spans="1:7">
      <c r="A511" s="79">
        <v>45689</v>
      </c>
      <c r="B511">
        <v>73.7</v>
      </c>
      <c r="C511">
        <v>74.2</v>
      </c>
      <c r="D511">
        <v>75.05</v>
      </c>
      <c r="E511">
        <v>73.650000000000006</v>
      </c>
      <c r="F511" t="s">
        <v>1487</v>
      </c>
      <c r="G511">
        <f t="shared" si="7"/>
        <v>-9.4086021505376261E-3</v>
      </c>
    </row>
    <row r="512" spans="1:7">
      <c r="A512" s="79">
        <v>45717</v>
      </c>
      <c r="B512">
        <v>73</v>
      </c>
      <c r="C512">
        <v>73.400000000000006</v>
      </c>
      <c r="D512">
        <v>73.95</v>
      </c>
      <c r="E512">
        <v>72.849999999999994</v>
      </c>
      <c r="F512" t="s">
        <v>1488</v>
      </c>
      <c r="G512">
        <f t="shared" si="7"/>
        <v>-9.4979647218453866E-3</v>
      </c>
    </row>
    <row r="513" spans="1:7">
      <c r="A513" s="79">
        <v>45809</v>
      </c>
      <c r="B513">
        <v>73.099999999999994</v>
      </c>
      <c r="C513">
        <v>72.5</v>
      </c>
      <c r="D513">
        <v>73.349999999999994</v>
      </c>
      <c r="E513">
        <v>72.45</v>
      </c>
      <c r="F513" t="s">
        <v>1489</v>
      </c>
      <c r="G513">
        <f t="shared" si="7"/>
        <v>1.369863013698458E-3</v>
      </c>
    </row>
    <row r="514" spans="1:7">
      <c r="A514" s="79">
        <v>45839</v>
      </c>
      <c r="B514">
        <v>73.45</v>
      </c>
      <c r="C514">
        <v>72.900000000000006</v>
      </c>
      <c r="D514">
        <v>73.7</v>
      </c>
      <c r="E514">
        <v>72.7</v>
      </c>
      <c r="F514" t="s">
        <v>1490</v>
      </c>
      <c r="G514">
        <f t="shared" si="7"/>
        <v>4.7879616963064642E-3</v>
      </c>
    </row>
    <row r="515" spans="1:7">
      <c r="A515" s="79">
        <v>45870</v>
      </c>
      <c r="B515">
        <v>74.55</v>
      </c>
      <c r="C515">
        <v>73.25</v>
      </c>
      <c r="D515">
        <v>74.55</v>
      </c>
      <c r="E515">
        <v>73.25</v>
      </c>
      <c r="F515" t="s">
        <v>1491</v>
      </c>
      <c r="G515">
        <f t="shared" si="7"/>
        <v>1.4976174268209519E-2</v>
      </c>
    </row>
    <row r="516" spans="1:7">
      <c r="A516" s="79">
        <v>45901</v>
      </c>
      <c r="B516">
        <v>75.2</v>
      </c>
      <c r="C516">
        <v>74.349999999999994</v>
      </c>
      <c r="D516">
        <v>75.2</v>
      </c>
      <c r="E516">
        <v>74.150000000000006</v>
      </c>
      <c r="F516" t="s">
        <v>1492</v>
      </c>
      <c r="G516">
        <f t="shared" ref="G516:G574" si="8">B516/B515-1</f>
        <v>8.7189805499665596E-3</v>
      </c>
    </row>
    <row r="517" spans="1:7">
      <c r="A517" s="79">
        <v>45931</v>
      </c>
      <c r="B517">
        <v>74.3</v>
      </c>
      <c r="C517">
        <v>75.05</v>
      </c>
      <c r="D517">
        <v>75.099999999999994</v>
      </c>
      <c r="E517">
        <v>74.25</v>
      </c>
      <c r="F517" t="s">
        <v>1182</v>
      </c>
      <c r="G517">
        <f t="shared" si="8"/>
        <v>-1.1968085106383031E-2</v>
      </c>
    </row>
    <row r="518" spans="1:7">
      <c r="A518" t="s">
        <v>888</v>
      </c>
      <c r="B518">
        <v>73.150000000000006</v>
      </c>
      <c r="C518">
        <v>74.25</v>
      </c>
      <c r="D518">
        <v>74.5</v>
      </c>
      <c r="E518">
        <v>73.150000000000006</v>
      </c>
      <c r="F518" t="s">
        <v>1493</v>
      </c>
      <c r="G518">
        <f t="shared" si="8"/>
        <v>-1.5477792732166762E-2</v>
      </c>
    </row>
    <row r="519" spans="1:7">
      <c r="A519" t="s">
        <v>890</v>
      </c>
      <c r="B519">
        <v>73</v>
      </c>
      <c r="C519">
        <v>73.3</v>
      </c>
      <c r="D519">
        <v>73.55</v>
      </c>
      <c r="E519">
        <v>72.849999999999994</v>
      </c>
      <c r="F519" t="s">
        <v>1494</v>
      </c>
      <c r="G519">
        <f t="shared" si="8"/>
        <v>-2.0505809979495249E-3</v>
      </c>
    </row>
    <row r="520" spans="1:7">
      <c r="A520" t="s">
        <v>892</v>
      </c>
      <c r="B520">
        <v>72.75</v>
      </c>
      <c r="C520">
        <v>73</v>
      </c>
      <c r="D520">
        <v>74.150000000000006</v>
      </c>
      <c r="E520">
        <v>72.650000000000006</v>
      </c>
      <c r="F520" t="s">
        <v>1495</v>
      </c>
      <c r="G520">
        <f t="shared" si="8"/>
        <v>-3.424657534246589E-3</v>
      </c>
    </row>
    <row r="521" spans="1:7">
      <c r="A521" t="s">
        <v>894</v>
      </c>
      <c r="B521">
        <v>72.7</v>
      </c>
      <c r="C521">
        <v>72.5</v>
      </c>
      <c r="D521">
        <v>73</v>
      </c>
      <c r="E521">
        <v>71.900000000000006</v>
      </c>
      <c r="F521" t="s">
        <v>1496</v>
      </c>
      <c r="G521">
        <f t="shared" si="8"/>
        <v>-6.8728522336769515E-4</v>
      </c>
    </row>
    <row r="522" spans="1:7">
      <c r="A522" t="s">
        <v>896</v>
      </c>
      <c r="B522">
        <v>73.5</v>
      </c>
      <c r="C522">
        <v>72.75</v>
      </c>
      <c r="D522">
        <v>73.849999999999994</v>
      </c>
      <c r="E522">
        <v>72.75</v>
      </c>
      <c r="F522" t="s">
        <v>1497</v>
      </c>
      <c r="G522">
        <f t="shared" si="8"/>
        <v>1.1004126547455195E-2</v>
      </c>
    </row>
    <row r="523" spans="1:7">
      <c r="A523" t="s">
        <v>1498</v>
      </c>
      <c r="B523">
        <v>73.55</v>
      </c>
      <c r="C523">
        <v>73.2</v>
      </c>
      <c r="D523">
        <v>73.55</v>
      </c>
      <c r="E523">
        <v>72.95</v>
      </c>
      <c r="F523" t="s">
        <v>1499</v>
      </c>
      <c r="G523">
        <f t="shared" si="8"/>
        <v>6.8027210884347156E-4</v>
      </c>
    </row>
    <row r="524" spans="1:7">
      <c r="A524" t="s">
        <v>898</v>
      </c>
      <c r="B524">
        <v>73.75</v>
      </c>
      <c r="C524">
        <v>73</v>
      </c>
      <c r="D524">
        <v>74.2</v>
      </c>
      <c r="E524">
        <v>72.75</v>
      </c>
      <c r="F524" t="s">
        <v>1500</v>
      </c>
      <c r="G524">
        <f t="shared" si="8"/>
        <v>2.7192386131882351E-3</v>
      </c>
    </row>
    <row r="525" spans="1:7">
      <c r="A525" t="s">
        <v>900</v>
      </c>
      <c r="B525">
        <v>74.05</v>
      </c>
      <c r="C525">
        <v>73.5</v>
      </c>
      <c r="D525">
        <v>74.150000000000006</v>
      </c>
      <c r="E525">
        <v>73.5</v>
      </c>
      <c r="F525" t="s">
        <v>1501</v>
      </c>
      <c r="G525">
        <f t="shared" si="8"/>
        <v>4.0677966101694274E-3</v>
      </c>
    </row>
    <row r="526" spans="1:7">
      <c r="A526" t="s">
        <v>902</v>
      </c>
      <c r="B526">
        <v>74.25</v>
      </c>
      <c r="C526">
        <v>73.55</v>
      </c>
      <c r="D526">
        <v>74.3</v>
      </c>
      <c r="E526">
        <v>73.150000000000006</v>
      </c>
      <c r="F526" t="s">
        <v>1502</v>
      </c>
      <c r="G526">
        <f t="shared" si="8"/>
        <v>2.7008777852801646E-3</v>
      </c>
    </row>
    <row r="527" spans="1:7">
      <c r="A527" t="s">
        <v>904</v>
      </c>
      <c r="B527">
        <v>74.150000000000006</v>
      </c>
      <c r="C527">
        <v>74.2</v>
      </c>
      <c r="D527">
        <v>74.7</v>
      </c>
      <c r="E527">
        <v>73.8</v>
      </c>
      <c r="F527" t="s">
        <v>1503</v>
      </c>
      <c r="G527">
        <f t="shared" si="8"/>
        <v>-1.3468013468013185E-3</v>
      </c>
    </row>
    <row r="528" spans="1:7">
      <c r="A528" t="s">
        <v>906</v>
      </c>
      <c r="B528">
        <v>74</v>
      </c>
      <c r="C528">
        <v>74</v>
      </c>
      <c r="D528">
        <v>75</v>
      </c>
      <c r="E528">
        <v>73.900000000000006</v>
      </c>
      <c r="F528" t="s">
        <v>1504</v>
      </c>
      <c r="G528">
        <f t="shared" si="8"/>
        <v>-2.0229265003371966E-3</v>
      </c>
    </row>
    <row r="529" spans="1:7">
      <c r="A529" t="s">
        <v>908</v>
      </c>
      <c r="B529">
        <v>74</v>
      </c>
      <c r="C529">
        <v>74.05</v>
      </c>
      <c r="D529">
        <v>74.599999999999994</v>
      </c>
      <c r="E529">
        <v>73.650000000000006</v>
      </c>
      <c r="F529" t="s">
        <v>1380</v>
      </c>
      <c r="G529">
        <f t="shared" si="8"/>
        <v>0</v>
      </c>
    </row>
    <row r="530" spans="1:7">
      <c r="A530" t="s">
        <v>910</v>
      </c>
      <c r="B530">
        <v>74.099999999999994</v>
      </c>
      <c r="C530">
        <v>73.95</v>
      </c>
      <c r="D530">
        <v>75</v>
      </c>
      <c r="E530">
        <v>73.05</v>
      </c>
      <c r="F530" t="s">
        <v>1505</v>
      </c>
      <c r="G530">
        <f t="shared" si="8"/>
        <v>1.3513513513512265E-3</v>
      </c>
    </row>
    <row r="531" spans="1:7">
      <c r="A531" t="s">
        <v>912</v>
      </c>
      <c r="B531">
        <v>75.25</v>
      </c>
      <c r="C531">
        <v>74.7</v>
      </c>
      <c r="D531">
        <v>75.25</v>
      </c>
      <c r="E531">
        <v>74.150000000000006</v>
      </c>
      <c r="F531" t="s">
        <v>1506</v>
      </c>
      <c r="G531">
        <f t="shared" si="8"/>
        <v>1.5519568151147078E-2</v>
      </c>
    </row>
    <row r="532" spans="1:7">
      <c r="A532" t="s">
        <v>914</v>
      </c>
      <c r="B532">
        <v>74.5</v>
      </c>
      <c r="C532">
        <v>75.5</v>
      </c>
      <c r="D532">
        <v>75.5</v>
      </c>
      <c r="E532">
        <v>74.45</v>
      </c>
      <c r="F532" t="s">
        <v>1507</v>
      </c>
      <c r="G532">
        <f t="shared" si="8"/>
        <v>-9.966777408637828E-3</v>
      </c>
    </row>
    <row r="533" spans="1:7">
      <c r="A533" s="79">
        <v>45718</v>
      </c>
      <c r="B533">
        <v>74.349999999999994</v>
      </c>
      <c r="C533">
        <v>73.5</v>
      </c>
      <c r="D533">
        <v>74.349999999999994</v>
      </c>
      <c r="E533">
        <v>73.5</v>
      </c>
      <c r="F533" t="s">
        <v>1508</v>
      </c>
      <c r="G533">
        <f t="shared" si="8"/>
        <v>-2.0134228187920211E-3</v>
      </c>
    </row>
    <row r="534" spans="1:7">
      <c r="A534" s="79">
        <v>45749</v>
      </c>
      <c r="B534">
        <v>73.900000000000006</v>
      </c>
      <c r="C534">
        <v>74.099999999999994</v>
      </c>
      <c r="D534">
        <v>74.5</v>
      </c>
      <c r="E534">
        <v>73.7</v>
      </c>
      <c r="F534" t="s">
        <v>1509</v>
      </c>
      <c r="G534">
        <f t="shared" si="8"/>
        <v>-6.0524546065903184E-3</v>
      </c>
    </row>
    <row r="535" spans="1:7">
      <c r="A535" s="79">
        <v>45779</v>
      </c>
      <c r="B535">
        <v>74</v>
      </c>
      <c r="C535">
        <v>73.2</v>
      </c>
      <c r="D535">
        <v>74</v>
      </c>
      <c r="E535">
        <v>73.099999999999994</v>
      </c>
      <c r="F535" t="s">
        <v>1105</v>
      </c>
      <c r="G535">
        <f t="shared" si="8"/>
        <v>1.3531799729362692E-3</v>
      </c>
    </row>
    <row r="536" spans="1:7">
      <c r="A536" s="79">
        <v>45810</v>
      </c>
      <c r="B536">
        <v>73.400000000000006</v>
      </c>
      <c r="C536">
        <v>74</v>
      </c>
      <c r="D536">
        <v>74.099999999999994</v>
      </c>
      <c r="E536">
        <v>73.400000000000006</v>
      </c>
      <c r="F536" t="s">
        <v>1510</v>
      </c>
      <c r="G536">
        <f t="shared" si="8"/>
        <v>-8.1081081081080253E-3</v>
      </c>
    </row>
    <row r="537" spans="1:7">
      <c r="A537" s="79">
        <v>45840</v>
      </c>
      <c r="B537">
        <v>74.400000000000006</v>
      </c>
      <c r="C537">
        <v>74.099999999999994</v>
      </c>
      <c r="D537">
        <v>75</v>
      </c>
      <c r="E537">
        <v>73.75</v>
      </c>
      <c r="F537" t="s">
        <v>1511</v>
      </c>
      <c r="G537">
        <f t="shared" si="8"/>
        <v>1.3623978201634968E-2</v>
      </c>
    </row>
    <row r="538" spans="1:7">
      <c r="A538" s="79">
        <v>45932</v>
      </c>
      <c r="B538">
        <v>74.25</v>
      </c>
      <c r="C538">
        <v>74.099999999999994</v>
      </c>
      <c r="D538">
        <v>74.650000000000006</v>
      </c>
      <c r="E538">
        <v>73.55</v>
      </c>
      <c r="F538" t="s">
        <v>1512</v>
      </c>
      <c r="G538">
        <f t="shared" si="8"/>
        <v>-2.0161290322581182E-3</v>
      </c>
    </row>
    <row r="539" spans="1:7">
      <c r="A539" s="79">
        <v>45963</v>
      </c>
      <c r="B539">
        <v>73.849999999999994</v>
      </c>
      <c r="C539">
        <v>74.55</v>
      </c>
      <c r="D539">
        <v>74.75</v>
      </c>
      <c r="E539">
        <v>73.650000000000006</v>
      </c>
      <c r="F539" t="s">
        <v>1513</v>
      </c>
      <c r="G539">
        <f t="shared" si="8"/>
        <v>-5.3872053872054959E-3</v>
      </c>
    </row>
    <row r="540" spans="1:7">
      <c r="A540" s="79">
        <v>45993</v>
      </c>
      <c r="B540">
        <v>74.3</v>
      </c>
      <c r="C540">
        <v>74.05</v>
      </c>
      <c r="D540">
        <v>74.3</v>
      </c>
      <c r="E540">
        <v>73.55</v>
      </c>
      <c r="F540" t="s">
        <v>1514</v>
      </c>
      <c r="G540">
        <f t="shared" si="8"/>
        <v>6.0934326337169775E-3</v>
      </c>
    </row>
    <row r="541" spans="1:7">
      <c r="A541" t="s">
        <v>924</v>
      </c>
      <c r="B541">
        <v>75</v>
      </c>
      <c r="C541">
        <v>75.099999999999994</v>
      </c>
      <c r="D541">
        <v>75.2</v>
      </c>
      <c r="E541">
        <v>73.95</v>
      </c>
      <c r="F541" t="s">
        <v>1515</v>
      </c>
      <c r="G541">
        <f t="shared" si="8"/>
        <v>9.421265141319024E-3</v>
      </c>
    </row>
    <row r="542" spans="1:7">
      <c r="A542" t="s">
        <v>926</v>
      </c>
      <c r="B542">
        <v>74.849999999999994</v>
      </c>
      <c r="C542">
        <v>75.3</v>
      </c>
      <c r="D542">
        <v>75.349999999999994</v>
      </c>
      <c r="E542">
        <v>74.349999999999994</v>
      </c>
      <c r="F542" t="s">
        <v>1516</v>
      </c>
      <c r="G542">
        <f t="shared" si="8"/>
        <v>-2.0000000000001128E-3</v>
      </c>
    </row>
    <row r="543" spans="1:7">
      <c r="A543" t="s">
        <v>1517</v>
      </c>
      <c r="B543">
        <v>74.400000000000006</v>
      </c>
      <c r="C543">
        <v>74.75</v>
      </c>
      <c r="D543">
        <v>75.45</v>
      </c>
      <c r="E543">
        <v>74.400000000000006</v>
      </c>
      <c r="F543" t="s">
        <v>1518</v>
      </c>
      <c r="G543">
        <f t="shared" si="8"/>
        <v>-6.0120240480960874E-3</v>
      </c>
    </row>
    <row r="544" spans="1:7">
      <c r="A544" t="s">
        <v>928</v>
      </c>
      <c r="B544">
        <v>73.849999999999994</v>
      </c>
      <c r="C544">
        <v>74.45</v>
      </c>
      <c r="D544">
        <v>74.75</v>
      </c>
      <c r="E544">
        <v>73.599999999999994</v>
      </c>
      <c r="F544" t="s">
        <v>1519</v>
      </c>
      <c r="G544">
        <f t="shared" si="8"/>
        <v>-7.3924731182797299E-3</v>
      </c>
    </row>
    <row r="545" spans="1:7">
      <c r="A545" t="s">
        <v>930</v>
      </c>
      <c r="B545">
        <v>74.099999999999994</v>
      </c>
      <c r="C545">
        <v>73.849999999999994</v>
      </c>
      <c r="D545">
        <v>74.349999999999994</v>
      </c>
      <c r="E545">
        <v>73.5</v>
      </c>
      <c r="F545" t="s">
        <v>1520</v>
      </c>
      <c r="G545">
        <f t="shared" si="8"/>
        <v>3.3852403520648888E-3</v>
      </c>
    </row>
    <row r="546" spans="1:7">
      <c r="A546" t="s">
        <v>932</v>
      </c>
      <c r="B546">
        <v>73.75</v>
      </c>
      <c r="C546">
        <v>74.25</v>
      </c>
      <c r="D546">
        <v>74.5</v>
      </c>
      <c r="E546">
        <v>73.5</v>
      </c>
      <c r="F546" t="s">
        <v>1521</v>
      </c>
      <c r="G546">
        <f t="shared" si="8"/>
        <v>-4.7233468286098645E-3</v>
      </c>
    </row>
    <row r="547" spans="1:7">
      <c r="A547" t="s">
        <v>934</v>
      </c>
      <c r="B547">
        <v>73.75</v>
      </c>
      <c r="C547">
        <v>73.650000000000006</v>
      </c>
      <c r="D547">
        <v>73.95</v>
      </c>
      <c r="E547">
        <v>73.5</v>
      </c>
      <c r="F547" t="s">
        <v>1522</v>
      </c>
      <c r="G547">
        <f t="shared" si="8"/>
        <v>0</v>
      </c>
    </row>
    <row r="548" spans="1:7">
      <c r="A548" t="s">
        <v>936</v>
      </c>
      <c r="B548">
        <v>74.2</v>
      </c>
      <c r="C548">
        <v>74.2</v>
      </c>
      <c r="D548">
        <v>74.5</v>
      </c>
      <c r="E548">
        <v>73.5</v>
      </c>
      <c r="F548" t="s">
        <v>1523</v>
      </c>
      <c r="G548">
        <f t="shared" si="8"/>
        <v>6.1016949152543631E-3</v>
      </c>
    </row>
    <row r="549" spans="1:7">
      <c r="A549" t="s">
        <v>938</v>
      </c>
      <c r="B549">
        <v>73.3</v>
      </c>
      <c r="C549">
        <v>73.900000000000006</v>
      </c>
      <c r="D549">
        <v>73.95</v>
      </c>
      <c r="E549">
        <v>72.95</v>
      </c>
      <c r="F549" t="s">
        <v>1524</v>
      </c>
      <c r="G549">
        <f t="shared" si="8"/>
        <v>-1.2129380053908401E-2</v>
      </c>
    </row>
    <row r="550" spans="1:7">
      <c r="A550" t="s">
        <v>940</v>
      </c>
      <c r="B550">
        <v>73.599999999999994</v>
      </c>
      <c r="C550">
        <v>73.3</v>
      </c>
      <c r="D550">
        <v>74</v>
      </c>
      <c r="E550">
        <v>73.150000000000006</v>
      </c>
      <c r="F550" t="s">
        <v>1004</v>
      </c>
      <c r="G550">
        <f t="shared" si="8"/>
        <v>4.092769440654731E-3</v>
      </c>
    </row>
    <row r="551" spans="1:7">
      <c r="A551" t="s">
        <v>942</v>
      </c>
      <c r="B551">
        <v>73.400000000000006</v>
      </c>
      <c r="C551">
        <v>73.45</v>
      </c>
      <c r="D551">
        <v>74</v>
      </c>
      <c r="E551">
        <v>72.599999999999994</v>
      </c>
      <c r="F551" t="s">
        <v>1525</v>
      </c>
      <c r="G551">
        <f t="shared" si="8"/>
        <v>-2.7173913043476716E-3</v>
      </c>
    </row>
    <row r="552" spans="1:7">
      <c r="A552" t="s">
        <v>944</v>
      </c>
      <c r="B552">
        <v>73.650000000000006</v>
      </c>
      <c r="C552">
        <v>73.45</v>
      </c>
      <c r="D552">
        <v>74.55</v>
      </c>
      <c r="E552">
        <v>73.349999999999994</v>
      </c>
      <c r="F552" t="s">
        <v>1526</v>
      </c>
      <c r="G552">
        <f t="shared" si="8"/>
        <v>3.4059945504087974E-3</v>
      </c>
    </row>
    <row r="553" spans="1:7">
      <c r="A553" s="79">
        <v>45719</v>
      </c>
      <c r="B553">
        <v>75.05</v>
      </c>
      <c r="C553">
        <v>73.900000000000006</v>
      </c>
      <c r="D553">
        <v>75.150000000000006</v>
      </c>
      <c r="E553">
        <v>73.25</v>
      </c>
      <c r="F553" t="s">
        <v>1527</v>
      </c>
      <c r="G553">
        <f t="shared" si="8"/>
        <v>1.9008825526136919E-2</v>
      </c>
    </row>
    <row r="554" spans="1:7">
      <c r="A554" s="79">
        <v>45750</v>
      </c>
      <c r="B554">
        <v>75.650000000000006</v>
      </c>
      <c r="C554">
        <v>75.3</v>
      </c>
      <c r="D554">
        <v>76.150000000000006</v>
      </c>
      <c r="E554">
        <v>74.849999999999994</v>
      </c>
      <c r="F554" t="s">
        <v>1528</v>
      </c>
      <c r="G554">
        <f t="shared" si="8"/>
        <v>7.9946702198534503E-3</v>
      </c>
    </row>
    <row r="555" spans="1:7">
      <c r="A555" s="79">
        <v>45780</v>
      </c>
      <c r="B555">
        <v>76.5</v>
      </c>
      <c r="C555">
        <v>76.2</v>
      </c>
      <c r="D555">
        <v>76.599999999999994</v>
      </c>
      <c r="E555">
        <v>74.75</v>
      </c>
      <c r="F555" t="s">
        <v>1529</v>
      </c>
      <c r="G555">
        <f t="shared" si="8"/>
        <v>1.1235955056179803E-2</v>
      </c>
    </row>
    <row r="556" spans="1:7">
      <c r="A556" s="79">
        <v>45811</v>
      </c>
      <c r="B556">
        <v>77.150000000000006</v>
      </c>
      <c r="C556">
        <v>76.599999999999994</v>
      </c>
      <c r="D556">
        <v>77.3</v>
      </c>
      <c r="E556">
        <v>75.55</v>
      </c>
      <c r="F556" t="s">
        <v>1530</v>
      </c>
      <c r="G556">
        <f t="shared" si="8"/>
        <v>8.4967320261437607E-3</v>
      </c>
    </row>
    <row r="557" spans="1:7">
      <c r="A557" s="79">
        <v>45841</v>
      </c>
      <c r="B557">
        <v>77.8</v>
      </c>
      <c r="C557">
        <v>77</v>
      </c>
      <c r="D557">
        <v>78</v>
      </c>
      <c r="E557">
        <v>75.900000000000006</v>
      </c>
      <c r="F557" t="s">
        <v>1531</v>
      </c>
      <c r="G557">
        <f t="shared" si="8"/>
        <v>8.4251458198314477E-3</v>
      </c>
    </row>
    <row r="558" spans="1:7">
      <c r="A558" s="79">
        <v>45933</v>
      </c>
      <c r="B558">
        <v>77.8</v>
      </c>
      <c r="C558">
        <v>77.650000000000006</v>
      </c>
      <c r="D558">
        <v>78.8</v>
      </c>
      <c r="E558">
        <v>77.45</v>
      </c>
      <c r="F558" t="s">
        <v>1532</v>
      </c>
      <c r="G558">
        <f t="shared" si="8"/>
        <v>0</v>
      </c>
    </row>
    <row r="559" spans="1:7">
      <c r="A559" s="79">
        <v>45964</v>
      </c>
      <c r="B559">
        <v>69.7</v>
      </c>
      <c r="C559">
        <v>74.95</v>
      </c>
      <c r="D559">
        <v>74.95</v>
      </c>
      <c r="E559">
        <v>69.5</v>
      </c>
      <c r="F559" t="s">
        <v>1533</v>
      </c>
      <c r="G559">
        <f t="shared" si="8"/>
        <v>-0.10411311053984573</v>
      </c>
    </row>
    <row r="560" spans="1:7">
      <c r="A560" s="79">
        <v>45994</v>
      </c>
      <c r="B560">
        <v>67.7</v>
      </c>
      <c r="C560">
        <v>69.599999999999994</v>
      </c>
      <c r="D560">
        <v>70.25</v>
      </c>
      <c r="E560">
        <v>67.599999999999994</v>
      </c>
      <c r="F560" t="s">
        <v>1534</v>
      </c>
      <c r="G560">
        <f t="shared" si="8"/>
        <v>-2.8694404591104727E-2</v>
      </c>
    </row>
    <row r="561" spans="1:7">
      <c r="A561" t="s">
        <v>954</v>
      </c>
      <c r="B561">
        <v>67.8</v>
      </c>
      <c r="C561">
        <v>67.5</v>
      </c>
      <c r="D561">
        <v>68.2</v>
      </c>
      <c r="E561">
        <v>66.7</v>
      </c>
      <c r="F561" t="s">
        <v>1535</v>
      </c>
      <c r="G561">
        <f t="shared" si="8"/>
        <v>1.4771048744459669E-3</v>
      </c>
    </row>
    <row r="562" spans="1:7">
      <c r="A562" t="s">
        <v>956</v>
      </c>
      <c r="B562">
        <v>67.55</v>
      </c>
      <c r="C562">
        <v>67.650000000000006</v>
      </c>
      <c r="D562">
        <v>68.05</v>
      </c>
      <c r="E562">
        <v>67.25</v>
      </c>
      <c r="F562" t="s">
        <v>1536</v>
      </c>
      <c r="G562">
        <f t="shared" si="8"/>
        <v>-3.6873156342183133E-3</v>
      </c>
    </row>
    <row r="563" spans="1:7">
      <c r="A563" t="s">
        <v>958</v>
      </c>
      <c r="B563">
        <v>67.7</v>
      </c>
      <c r="C563">
        <v>67.849999999999994</v>
      </c>
      <c r="D563">
        <v>68.2</v>
      </c>
      <c r="E563">
        <v>67.5</v>
      </c>
      <c r="F563" t="s">
        <v>1537</v>
      </c>
      <c r="G563">
        <f t="shared" si="8"/>
        <v>2.2205773501111636E-3</v>
      </c>
    </row>
    <row r="564" spans="1:7">
      <c r="A564" t="s">
        <v>960</v>
      </c>
      <c r="B564">
        <v>67.95</v>
      </c>
      <c r="C564">
        <v>68</v>
      </c>
      <c r="D564">
        <v>68.400000000000006</v>
      </c>
      <c r="E564">
        <v>67.650000000000006</v>
      </c>
      <c r="F564" t="s">
        <v>1538</v>
      </c>
      <c r="G564">
        <f t="shared" si="8"/>
        <v>3.6927621861151394E-3</v>
      </c>
    </row>
    <row r="565" spans="1:7">
      <c r="A565" t="s">
        <v>962</v>
      </c>
      <c r="B565">
        <v>68.25</v>
      </c>
      <c r="C565">
        <v>67.8</v>
      </c>
      <c r="D565">
        <v>68.25</v>
      </c>
      <c r="E565">
        <v>67.349999999999994</v>
      </c>
      <c r="F565" t="s">
        <v>1539</v>
      </c>
      <c r="G565">
        <f t="shared" si="8"/>
        <v>4.4150110375276164E-3</v>
      </c>
    </row>
    <row r="566" spans="1:7">
      <c r="A566" t="s">
        <v>964</v>
      </c>
      <c r="B566">
        <v>68.3</v>
      </c>
      <c r="C566">
        <v>68.75</v>
      </c>
      <c r="D566">
        <v>68.75</v>
      </c>
      <c r="E566">
        <v>67.7</v>
      </c>
      <c r="F566" t="s">
        <v>1540</v>
      </c>
      <c r="G566">
        <f t="shared" si="8"/>
        <v>7.3260073260073E-4</v>
      </c>
    </row>
    <row r="567" spans="1:7">
      <c r="A567" t="s">
        <v>966</v>
      </c>
      <c r="B567">
        <v>67.8</v>
      </c>
      <c r="C567">
        <v>68</v>
      </c>
      <c r="D567">
        <v>68.599999999999994</v>
      </c>
      <c r="E567">
        <v>67.599999999999994</v>
      </c>
      <c r="F567" t="s">
        <v>1541</v>
      </c>
      <c r="G567">
        <f t="shared" si="8"/>
        <v>-7.3206442166910968E-3</v>
      </c>
    </row>
    <row r="568" spans="1:7">
      <c r="A568" t="s">
        <v>968</v>
      </c>
      <c r="B568">
        <v>66.75</v>
      </c>
      <c r="C568">
        <v>67.75</v>
      </c>
      <c r="D568">
        <v>67.900000000000006</v>
      </c>
      <c r="E568">
        <v>66.650000000000006</v>
      </c>
      <c r="F568" t="s">
        <v>1542</v>
      </c>
      <c r="G568">
        <f t="shared" si="8"/>
        <v>-1.5486725663716783E-2</v>
      </c>
    </row>
    <row r="569" spans="1:7">
      <c r="A569" t="s">
        <v>970</v>
      </c>
      <c r="B569">
        <v>66.25</v>
      </c>
      <c r="C569">
        <v>66.900000000000006</v>
      </c>
      <c r="D569">
        <v>67.599999999999994</v>
      </c>
      <c r="E569">
        <v>66.2</v>
      </c>
      <c r="F569" t="s">
        <v>1543</v>
      </c>
      <c r="G569">
        <f t="shared" si="8"/>
        <v>-7.4906367041198685E-3</v>
      </c>
    </row>
    <row r="570" spans="1:7">
      <c r="A570" t="s">
        <v>972</v>
      </c>
      <c r="B570">
        <v>65.849999999999994</v>
      </c>
      <c r="C570">
        <v>66.2</v>
      </c>
      <c r="D570">
        <v>66.599999999999994</v>
      </c>
      <c r="E570">
        <v>65.849999999999994</v>
      </c>
      <c r="F570" t="s">
        <v>1544</v>
      </c>
      <c r="G570">
        <f t="shared" si="8"/>
        <v>-6.0377358490566468E-3</v>
      </c>
    </row>
    <row r="571" spans="1:7">
      <c r="A571" t="s">
        <v>974</v>
      </c>
      <c r="B571">
        <v>67.2</v>
      </c>
      <c r="C571">
        <v>65.75</v>
      </c>
      <c r="D571">
        <v>67.349999999999994</v>
      </c>
      <c r="E571">
        <v>65.400000000000006</v>
      </c>
      <c r="F571" t="s">
        <v>1545</v>
      </c>
      <c r="G571">
        <f t="shared" si="8"/>
        <v>2.05011389521641E-2</v>
      </c>
    </row>
    <row r="572" spans="1:7">
      <c r="A572" t="s">
        <v>976</v>
      </c>
      <c r="B572">
        <v>66.95</v>
      </c>
      <c r="C572">
        <v>67.2</v>
      </c>
      <c r="D572">
        <v>67.650000000000006</v>
      </c>
      <c r="E572">
        <v>66.95</v>
      </c>
      <c r="F572" t="s">
        <v>1546</v>
      </c>
      <c r="G572">
        <f t="shared" si="8"/>
        <v>-3.7202380952381375E-3</v>
      </c>
    </row>
    <row r="573" spans="1:7">
      <c r="A573" t="s">
        <v>978</v>
      </c>
      <c r="B573">
        <v>66.55</v>
      </c>
      <c r="C573">
        <v>66.599999999999994</v>
      </c>
      <c r="D573">
        <v>66.900000000000006</v>
      </c>
      <c r="E573">
        <v>66.3</v>
      </c>
      <c r="F573" t="s">
        <v>1547</v>
      </c>
      <c r="G573">
        <f t="shared" si="8"/>
        <v>-5.9746079163556232E-3</v>
      </c>
    </row>
    <row r="574" spans="1:7">
      <c r="A574" s="79">
        <v>45661</v>
      </c>
      <c r="B574">
        <v>66.400000000000006</v>
      </c>
      <c r="C574">
        <v>66.849999999999994</v>
      </c>
      <c r="D574">
        <v>67</v>
      </c>
      <c r="E574">
        <v>66.400000000000006</v>
      </c>
      <c r="F574" t="s">
        <v>1548</v>
      </c>
      <c r="G574">
        <f t="shared" si="8"/>
        <v>-2.2539444027046551E-3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35865EB09FA4F8AF0823547988769" ma:contentTypeVersion="7" ma:contentTypeDescription="Create a new document." ma:contentTypeScope="" ma:versionID="b455476372fc0feba34fd63338cfd5f3">
  <xsd:schema xmlns:xsd="http://www.w3.org/2001/XMLSchema" xmlns:xs="http://www.w3.org/2001/XMLSchema" xmlns:p="http://schemas.microsoft.com/office/2006/metadata/properties" xmlns:ns2="9d63bd8f-f4f2-45db-b534-f5f5cad13c33" targetNamespace="http://schemas.microsoft.com/office/2006/metadata/properties" ma:root="true" ma:fieldsID="128069d3d5d132ef31f9a686a825dab1" ns2:_="">
    <xsd:import namespace="9d63bd8f-f4f2-45db-b534-f5f5cad13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3bd8f-f4f2-45db-b534-f5f5cad13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0167C6-A4BD-49FF-8D6A-277515C76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3bd8f-f4f2-45db-b534-f5f5cad13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506AD6-D08C-4606-801F-13FB83910F4D}">
  <ds:schemaRefs>
    <ds:schemaRef ds:uri="9d63bd8f-f4f2-45db-b534-f5f5cad13c33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A915C4-9A65-4D25-B238-B3C0448426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Ejemplo Indp Nvidia Henkel</vt:lpstr>
      <vt:lpstr>CreditMetrics Correlacionado</vt:lpstr>
      <vt:lpstr>NVIDIA</vt:lpstr>
      <vt:lpstr>Henkel ST Stock Price History (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García Castillo</dc:creator>
  <cp:keywords/>
  <dc:description/>
  <cp:lastModifiedBy>Owen Paredes Conde</cp:lastModifiedBy>
  <cp:revision/>
  <dcterms:created xsi:type="dcterms:W3CDTF">2022-10-25T01:11:57Z</dcterms:created>
  <dcterms:modified xsi:type="dcterms:W3CDTF">2026-04-09T02:18:16Z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0x01010092835865EB09FA4F8AF0823547988769</vt:lpwstr>
  </property>
</Properties>
</file>